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13_ncr:1_{733F4C2C-579C-436F-BEF6-949E2727DCCA}" xr6:coauthVersionLast="47" xr6:coauthVersionMax="47" xr10:uidLastSave="{00000000-0000-0000-0000-000000000000}"/>
  <bookViews>
    <workbookView xWindow="-108" yWindow="-108" windowWidth="23256" windowHeight="12576" activeTab="2" xr2:uid="{96CBC72B-A227-4A6D-975C-E149E6C61BE8}"/>
  </bookViews>
  <sheets>
    <sheet name="TOTAL EM ABERTO" sheetId="1" r:id="rId1"/>
    <sheet name="TOTAL INADIMPLENTES" sheetId="2" r:id="rId2"/>
    <sheet name="ANALISE DESEMPENHO" sheetId="4" r:id="rId3"/>
  </sheets>
  <externalReferences>
    <externalReference r:id="rId4"/>
  </externalReferenc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4" l="1"/>
  <c r="E5" i="4"/>
  <c r="E6" i="4"/>
  <c r="E7" i="4"/>
  <c r="E8" i="4"/>
  <c r="E9" i="4"/>
  <c r="E10" i="4"/>
  <c r="E11" i="4"/>
  <c r="E12" i="4"/>
  <c r="E13" i="4"/>
  <c r="E14" i="4"/>
  <c r="E15" i="4"/>
  <c r="E16" i="4"/>
  <c r="E4" i="4"/>
  <c r="D5" i="4"/>
  <c r="D6" i="4"/>
  <c r="D7" i="4"/>
  <c r="D8" i="4"/>
  <c r="D9" i="4"/>
  <c r="D10" i="4"/>
  <c r="D11" i="4"/>
  <c r="D12" i="4"/>
  <c r="D13" i="4"/>
  <c r="D14" i="4"/>
  <c r="D15" i="4"/>
  <c r="D16" i="4"/>
  <c r="D4" i="4"/>
  <c r="C5" i="4"/>
  <c r="C6" i="4"/>
  <c r="C7" i="4"/>
  <c r="C8" i="4"/>
  <c r="C9" i="4"/>
  <c r="C10" i="4"/>
  <c r="C11" i="4"/>
  <c r="C12" i="4"/>
  <c r="C13" i="4"/>
  <c r="C14" i="4"/>
  <c r="C15" i="4"/>
  <c r="C16" i="4"/>
  <c r="C4" i="4"/>
  <c r="B19" i="4"/>
</calcChain>
</file>

<file path=xl/sharedStrings.xml><?xml version="1.0" encoding="utf-8"?>
<sst xmlns="http://schemas.openxmlformats.org/spreadsheetml/2006/main" count="6850" uniqueCount="1347">
  <si>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</si>
  <si>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</si>
  <si>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</si>
  <si>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</si>
  <si>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</si>
  <si>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</si>
  <si>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</si>
  <si>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</si>
  <si>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</si>
  <si>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</si>
  <si>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</si>
  <si>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CL09224</t>
  </si>
  <si>
    <t>AGRO COML AGROMANIA LTDA</t>
  </si>
  <si>
    <t>NOTA FISCAL Nº 31856</t>
  </si>
  <si>
    <t>LEOMAR GONCALVES MULLER</t>
  </si>
  <si>
    <t>BRASIL_COB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</si>
  <si>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</si>
  <si>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</si>
  <si>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</si>
  <si>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</si>
  <si>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</si>
  <si>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</si>
  <si>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</si>
  <si>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</si>
  <si>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</si>
  <si>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</si>
  <si>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</si>
  <si>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</si>
  <si>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</si>
  <si>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</si>
  <si>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</si>
  <si>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</si>
  <si>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</si>
  <si>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</si>
  <si>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</si>
  <si>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</si>
  <si>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</si>
  <si>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</si>
  <si>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</si>
  <si>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</si>
  <si>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</si>
  <si>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</si>
  <si>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</si>
  <si>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</si>
  <si>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</si>
  <si>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</si>
  <si>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</si>
  <si>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</si>
  <si>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</si>
  <si>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</si>
  <si>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31886</t>
  </si>
  <si>
    <t>CL08767</t>
  </si>
  <si>
    <t>FM AGRICOLA VICOSA LTDA</t>
  </si>
  <si>
    <t>NOTA FISCAL Nº 31972</t>
  </si>
  <si>
    <t>CL08748</t>
  </si>
  <si>
    <t>PLANT QUALITY INSUMOS AGRICOLAS LTDA</t>
  </si>
  <si>
    <t>NOTA FISCAL Nº 32183</t>
  </si>
  <si>
    <t>NATHALIA PARISI NAURE</t>
  </si>
  <si>
    <t>CL08552</t>
  </si>
  <si>
    <t>RAFAEL CIALFI ABBONDANZA REPRESENTACOES LTDA</t>
  </si>
  <si>
    <t>NOTA FISCAL Nº 32311</t>
  </si>
  <si>
    <t>CL09276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</si>
  <si>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</si>
  <si>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</si>
  <si>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</si>
  <si>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</si>
  <si>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</si>
  <si>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</si>
  <si>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</si>
  <si>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</si>
  <si>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</si>
  <si>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</si>
  <si>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</si>
  <si>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</si>
  <si>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</si>
  <si>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</si>
  <si>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</si>
  <si>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</si>
  <si>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</si>
  <si>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CL09343</t>
  </si>
  <si>
    <t>BASSO PRODUTOS AGROPECUARIOS EIRELI</t>
  </si>
  <si>
    <t>NOTA FISCAL Nº 29709</t>
  </si>
  <si>
    <t>CARLOS EDUARDO BERNARDES</t>
  </si>
  <si>
    <t>CL08007</t>
  </si>
  <si>
    <t>CONTINENTAL AGRONEGOCIOS EIRELI ME</t>
  </si>
  <si>
    <t>NOTA FISCAL Nº 30862</t>
  </si>
  <si>
    <t>CLAYRTON DA SILVA</t>
  </si>
  <si>
    <t>NOTA FISCAL Nº 31666</t>
  </si>
  <si>
    <t>CL09123</t>
  </si>
  <si>
    <t>MOGIANA NEGOCIOS AGROPECUARIO LTDA</t>
  </si>
  <si>
    <t>NOTA FISCAL Nº 31775</t>
  </si>
  <si>
    <t>CL09317</t>
  </si>
  <si>
    <t>CLUBE DO CAMPO COMERCIO E REPRESENTACAO AGRICOLA LTDA</t>
  </si>
  <si>
    <t>NOTA FISCAL Nº 31999</t>
  </si>
  <si>
    <t>FERNANDO GONCALVES</t>
  </si>
  <si>
    <t>NOTA FISCAL Nº 32039</t>
  </si>
  <si>
    <t>CL01192</t>
  </si>
  <si>
    <t>COASUL COOPERATIVA AGROINDUSTRIAL</t>
  </si>
  <si>
    <t>NOTA FISCAL Nº 32065</t>
  </si>
  <si>
    <t>CRISTIANE CONTERNO DIPP</t>
  </si>
  <si>
    <t>CL08029</t>
  </si>
  <si>
    <t>ALIANCA PRODUTOS AGROPECUARIOS LTDA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</si>
  <si>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</si>
  <si>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</si>
  <si>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</si>
  <si>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</si>
  <si>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</si>
  <si>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</si>
  <si>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32732</t>
  </si>
  <si>
    <t>CL09094</t>
  </si>
  <si>
    <t>FARM VALLEY INSUMOS AGRICOLAS LTDA</t>
  </si>
  <si>
    <t>NOTA FISCAL Nº 29813</t>
  </si>
  <si>
    <t>LEANDRO DA SILVA SANTANA</t>
  </si>
  <si>
    <t>NOTA FISCAL Nº 30457</t>
  </si>
  <si>
    <t>CL09453</t>
  </si>
  <si>
    <t>REGENERARR AGROBIOTECNOLOGIAS LTDA</t>
  </si>
  <si>
    <t>NOTA FISCAL Nº 31813</t>
  </si>
  <si>
    <t>NOTA FISCAL Nº 31872</t>
  </si>
  <si>
    <t>NOTA FISCAL Nº 31962</t>
  </si>
  <si>
    <t>CL01010</t>
  </si>
  <si>
    <t>DECIO LUIZ CASSOL CIA LTDA</t>
  </si>
  <si>
    <t>NOTA FISCAL Nº 32098</t>
  </si>
  <si>
    <t>ALEXSANDER CAMPAGNOLO</t>
  </si>
  <si>
    <t>NOTA FISCAL Nº 32138</t>
  </si>
  <si>
    <t>NOTA FISCAL Nº 32234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</si>
  <si>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</si>
  <si>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</si>
  <si>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</si>
  <si>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</si>
  <si>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</si>
  <si>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</si>
  <si>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</si>
  <si>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CL09435</t>
  </si>
  <si>
    <t>AGROOESTE COMERCIO E REPRESENTACAO LTDA</t>
  </si>
  <si>
    <t>NOTA FISCAL Nº 31630</t>
  </si>
  <si>
    <t>ANDERSON REZZADORI</t>
  </si>
  <si>
    <t>CL02802</t>
  </si>
  <si>
    <t>SOLAGRI MAQUINAS E PRODUTOS AGRICOLAS LTDA</t>
  </si>
  <si>
    <t>NOTA FISCAL Nº 31982</t>
  </si>
  <si>
    <t>CL09492</t>
  </si>
  <si>
    <t>LINEAGRO PRODUTOS AGROPECUARIOS SA</t>
  </si>
  <si>
    <t>NOTA FISCAL Nº 31983</t>
  </si>
  <si>
    <t>NOTA FISCAL Nº 32004</t>
  </si>
  <si>
    <t>NOTA FISCAL Nº 32063</t>
  </si>
  <si>
    <t>NOTA FISCAL Nº 32239</t>
  </si>
  <si>
    <t>CL08821</t>
  </si>
  <si>
    <t>PRODUFERTIL COMERCIO DE PRODUTOS AGRICOLAS LTDA</t>
  </si>
  <si>
    <t>NOTA FISCAL Nº 32374</t>
  </si>
  <si>
    <t>NOTA FISCAL Nº 32445</t>
  </si>
  <si>
    <t>CL02167</t>
  </si>
  <si>
    <t>COMPO EXPERT Chile Fertilizantes Ltda</t>
  </si>
  <si>
    <t>ABIMAEL DA SILVA BORGES</t>
  </si>
  <si>
    <t>CL09173</t>
  </si>
  <si>
    <t>MANEJO INSUMOS AGRICOLAS LTDA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</si>
  <si>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</si>
  <si>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</si>
  <si>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</si>
  <si>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</si>
  <si>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</si>
  <si>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</si>
  <si>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</si>
  <si>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</si>
  <si>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NOTA FISCAL Nº 32721</t>
  </si>
  <si>
    <t>CL08177</t>
  </si>
  <si>
    <t>P.C. BERNARDINO SANTOS - EPP</t>
  </si>
  <si>
    <t>NOTA FISCAL Nº 32848</t>
  </si>
  <si>
    <t>NOTA FISCAL Nº 33179</t>
  </si>
  <si>
    <t>-Nenhum vendedor-</t>
  </si>
  <si>
    <t>NOTA FISCAL Nº 31754</t>
  </si>
  <si>
    <t>NOTA FISCAL Nº 32016</t>
  </si>
  <si>
    <t>CL09154</t>
  </si>
  <si>
    <t>PACK INDUSTRIA E COMERCIO DE PRODUTOS AGROPECUARIOS LTDA</t>
  </si>
  <si>
    <t>NOTA FISCAL Nº 32173</t>
  </si>
  <si>
    <t>NOTA FISCAL Nº 32394</t>
  </si>
  <si>
    <t>CL09179</t>
  </si>
  <si>
    <t>MULTI JARDIM GARDEN CENTER COMERCIO DE PLANTAS LTDA</t>
  </si>
  <si>
    <t>NOTA FISCAL Nº 32480</t>
  </si>
  <si>
    <t>CL08870</t>
  </si>
  <si>
    <t>LEONARDO SANFELICE EITELWEIN</t>
  </si>
  <si>
    <t>NOTA FISCAL Nº 32787</t>
  </si>
  <si>
    <t>NOTA FISCAL Nº 32903</t>
  </si>
  <si>
    <t>CL08753</t>
  </si>
  <si>
    <t>TERRA VERDE COMERCIO E REPRESENTACAO DE PRODUTOS AGRICOLAS LTDA</t>
  </si>
  <si>
    <t>NOTA FISCAL Nº 32942</t>
  </si>
  <si>
    <t>CL09430</t>
  </si>
  <si>
    <t>NOTA FISCAL Nº 32974</t>
  </si>
  <si>
    <t>CL09160</t>
  </si>
  <si>
    <t>TERRASEMENTES COMERCIO E REPRESENTACAO LTDA</t>
  </si>
  <si>
    <t>NOTA FISCAL Nº 33073</t>
  </si>
  <si>
    <t>NOTA FISCAL Nº 31620</t>
  </si>
  <si>
    <t>MARIEL FELIPETTO</t>
  </si>
  <si>
    <t>NOTA FISCAL Nº 32033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</si>
  <si>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</si>
  <si>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</si>
  <si>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</si>
  <si>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</si>
  <si>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</si>
  <si>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</si>
  <si>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</si>
  <si>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</si>
  <si>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</si>
  <si>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</si>
  <si>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</si>
  <si>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</si>
  <si>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</si>
  <si>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</si>
  <si>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</si>
  <si>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</si>
  <si>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NOTA FISCAL Nº 32984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</si>
  <si>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</si>
  <si>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</si>
  <si>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</si>
  <si>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</si>
  <si>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</si>
  <si>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</si>
  <si>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</si>
  <si>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</si>
  <si>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</si>
  <si>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</si>
  <si>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</si>
  <si>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</si>
  <si>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</si>
  <si>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</si>
  <si>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</si>
  <si>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</si>
  <si>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</si>
  <si>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NOTA FISCAL Nº 30052</t>
  </si>
  <si>
    <t>NOTA FISCAL Nº 30674</t>
  </si>
  <si>
    <t>CL08531</t>
  </si>
  <si>
    <t>AHL DISTRIBUIDORA S/A</t>
  </si>
  <si>
    <t>NOTA FISCAL Nº 31529</t>
  </si>
  <si>
    <t>NOTA FISCAL Nº 31551</t>
  </si>
  <si>
    <t>CL09405</t>
  </si>
  <si>
    <t>ORGANOMINERAL ABSOLUTO KSP LTDA</t>
  </si>
  <si>
    <t>NOTA FISCAL Nº 31849</t>
  </si>
  <si>
    <t>NOTA FISCAL Nº 31977</t>
  </si>
  <si>
    <t>CL08562</t>
  </si>
  <si>
    <t>AGROPECUARIA VERDE MINAS LTDA</t>
  </si>
  <si>
    <t>NOTA FISCAL Nº 32103</t>
  </si>
  <si>
    <t>CL09359</t>
  </si>
  <si>
    <t>R C DE OLIVEIRA JUNIOR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</si>
  <si>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</si>
  <si>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</si>
  <si>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</si>
  <si>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</si>
  <si>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</si>
  <si>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</si>
  <si>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</si>
  <si>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</si>
  <si>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</si>
  <si>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</si>
  <si>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</si>
  <si>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CL09030</t>
  </si>
  <si>
    <t>9A AGRONEGOCIOS COMERCIO E REPRESENTACAO LTDA</t>
  </si>
  <si>
    <t>NOTA FISCAL Nº 32663</t>
  </si>
  <si>
    <t>CL01398</t>
  </si>
  <si>
    <t>RAZERA AGRICOLA LTDA</t>
  </si>
  <si>
    <t>NOTA FISCAL Nº 29735</t>
  </si>
  <si>
    <t>NOTA FISCAL Nº 31334</t>
  </si>
  <si>
    <t>CL09203</t>
  </si>
  <si>
    <t>SANTA EFIGENIA AGROPECUARIA LTDA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</si>
  <si>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</si>
  <si>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</si>
  <si>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</si>
  <si>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</si>
  <si>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</si>
  <si>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</si>
  <si>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</si>
  <si>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</si>
  <si>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</si>
  <si>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</si>
  <si>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</si>
  <si>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</si>
  <si>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</si>
  <si>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</si>
  <si>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</si>
  <si>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</si>
  <si>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</si>
  <si>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</si>
  <si>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NOTA FISCAL Nº 31340</t>
  </si>
  <si>
    <t>NOTA FISCAL Nº 32005</t>
  </si>
  <si>
    <t>NOTA FISCAL Nº 32018</t>
  </si>
  <si>
    <t>NOTA FISCAL Nº 32020</t>
  </si>
  <si>
    <t>NOTA FISCAL Nº 32077</t>
  </si>
  <si>
    <t>NOTA FISCAL Nº 32196</t>
  </si>
  <si>
    <t>NOTA FISCAL Nº 32424</t>
  </si>
  <si>
    <t>NOTA FISCAL Nº 32519</t>
  </si>
  <si>
    <t>NOTA FISCAL Nº 32574</t>
  </si>
  <si>
    <t>NOTA FISCAL Nº 32621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</si>
  <si>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</si>
  <si>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</si>
  <si>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</si>
  <si>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</si>
  <si>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</si>
  <si>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</si>
  <si>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NOTA FISCAL Nº 32887</t>
  </si>
  <si>
    <t>NOTA FISCAL Nº 32906</t>
  </si>
  <si>
    <t>NOTA FISCAL Nº 32960</t>
  </si>
  <si>
    <t>NOTA FISCAL Nº 29467</t>
  </si>
  <si>
    <t>NOTA FISCAL Nº 31550</t>
  </si>
  <si>
    <t>NOTA FISCAL Nº 31660</t>
  </si>
  <si>
    <t>CL08913</t>
  </si>
  <si>
    <t>VALE AGRICOLA AGROPECUARIA LTDA ME</t>
  </si>
  <si>
    <t>NOTA FISCAL Nº 31955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</si>
  <si>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</si>
  <si>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</si>
  <si>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</si>
  <si>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</si>
  <si>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</si>
  <si>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</si>
  <si>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</si>
  <si>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</si>
  <si>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</si>
  <si>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</si>
  <si>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</si>
  <si>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</si>
  <si>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</si>
  <si>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</si>
  <si>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</si>
  <si>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NOTA FISCAL Nº 33178</t>
  </si>
  <si>
    <t>CL09586</t>
  </si>
  <si>
    <t>LUIZ CLEVERTON DA CRUZ</t>
  </si>
  <si>
    <t>NOTA FISCAL Nº 33199</t>
  </si>
  <si>
    <t>CL01217</t>
  </si>
  <si>
    <t>FITOVET LTDA</t>
  </si>
  <si>
    <t>NOTA FISCAL Nº 31505</t>
  </si>
  <si>
    <t>CL09260</t>
  </si>
  <si>
    <t>COOPERATIVA AGRICOLA CAMPOFERTIL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</si>
  <si>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</si>
  <si>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</si>
  <si>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</si>
  <si>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</si>
  <si>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</si>
  <si>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</si>
  <si>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</si>
  <si>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</si>
  <si>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</si>
  <si>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</si>
  <si>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</si>
  <si>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</si>
  <si>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CL01223</t>
  </si>
  <si>
    <t>FUTURAGRO DISTRIBUIDORA DE INSUMOS AGRICOLAS LTDA</t>
  </si>
  <si>
    <t>NOTA FISCAL Nº 32432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</si>
  <si>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</si>
  <si>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</si>
  <si>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</si>
  <si>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</si>
  <si>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</si>
  <si>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</si>
  <si>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</si>
  <si>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</si>
  <si>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</si>
  <si>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</si>
  <si>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</si>
  <si>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Notas Fiscais de Saída - CL09568</t>
  </si>
  <si>
    <t>NOTA FISCAL Nº 33102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</si>
  <si>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</si>
  <si>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</si>
  <si>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</si>
  <si>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</si>
  <si>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</si>
  <si>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</si>
  <si>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</si>
  <si>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</si>
  <si>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</si>
  <si>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</si>
  <si>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</si>
  <si>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</si>
  <si>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</si>
  <si>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</si>
  <si>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</si>
  <si>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</si>
  <si>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</si>
  <si>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</si>
  <si>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</si>
  <si>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</si>
  <si>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</si>
  <si>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</si>
  <si>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</si>
  <si>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</si>
  <si>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</si>
  <si>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</si>
  <si>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</si>
  <si>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</si>
  <si>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CL08982</t>
  </si>
  <si>
    <t>INOVAGRI COMERCIO DE PRODUTOS AGRICOLAS LTDA</t>
  </si>
  <si>
    <t>NOTA FISCAL Nº 32966</t>
  </si>
  <si>
    <t>NOTA FISCAL Nº 33075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</si>
  <si>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</si>
  <si>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</si>
  <si>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</si>
  <si>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</si>
  <si>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</si>
  <si>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</si>
  <si>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</si>
  <si>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</si>
  <si>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</si>
  <si>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</si>
  <si>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</si>
  <si>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</si>
  <si>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</si>
  <si>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</si>
  <si>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</si>
  <si>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</si>
  <si>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</si>
  <si>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</si>
  <si>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</si>
  <si>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</si>
  <si>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</si>
  <si>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</si>
  <si>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</si>
  <si>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</si>
  <si>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CL08937</t>
  </si>
  <si>
    <t>JOIJI YOSHIO WATANABE</t>
  </si>
  <si>
    <t>NOTA FISCAL Nº 33059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</si>
  <si>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</si>
  <si>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</si>
  <si>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</si>
  <si>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</si>
  <si>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</si>
  <si>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</si>
  <si>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NOTA FISCAL Nº 31948</t>
  </si>
  <si>
    <t>NOTA FISCAL Nº 31963</t>
  </si>
  <si>
    <t>NOTA FISCAL Nº 32043</t>
  </si>
  <si>
    <t>NOTA FISCAL Nº 32160</t>
  </si>
  <si>
    <t>CL09120</t>
  </si>
  <si>
    <t>MAA DAYALU FERTILIZARS &amp; CHEMICALS PVT LTD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</si>
  <si>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</si>
  <si>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</si>
  <si>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</si>
  <si>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</si>
  <si>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</si>
  <si>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</si>
  <si>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</si>
  <si>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</si>
  <si>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</si>
  <si>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</si>
  <si>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33084</t>
  </si>
  <si>
    <t>CL09403</t>
  </si>
  <si>
    <t>TECNOPLANTA FLORESTAL LTDA</t>
  </si>
  <si>
    <t>NOTA FISCAL Nº 33092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</si>
  <si>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</si>
  <si>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</si>
  <si>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</si>
  <si>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</si>
  <si>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</si>
  <si>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</si>
  <si>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</si>
  <si>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</si>
  <si>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</si>
  <si>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Notas Fiscais de Saída - CL09123</t>
  </si>
  <si>
    <t>CL09172</t>
  </si>
  <si>
    <t>NOTA FISCAL Nº 32909</t>
  </si>
  <si>
    <t>NOTA FISCAL Nº 32959</t>
  </si>
  <si>
    <t>NOTA FISCAL Nº 33031</t>
  </si>
  <si>
    <t>NOTA FISCAL Nº 33067</t>
  </si>
  <si>
    <t>NOTA FISCAL Nº 29597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</si>
  <si>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</si>
  <si>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</si>
  <si>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</si>
  <si>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</si>
  <si>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</si>
  <si>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</si>
  <si>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</si>
  <si>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</si>
  <si>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</si>
  <si>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</si>
  <si>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</si>
  <si>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</si>
  <si>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</si>
  <si>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</si>
  <si>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NOTA FISCAL Nº 32449</t>
  </si>
  <si>
    <t>Royalties sobre venda de produtos 08.2023</t>
  </si>
  <si>
    <t>NOTA FISCAL Nº 32553</t>
  </si>
  <si>
    <t>NOTA FISCAL Nº 32650</t>
  </si>
  <si>
    <t>NOTA FISCAL Nº 32830</t>
  </si>
  <si>
    <t>Notas Fiscais de Saída - CL08913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</si>
  <si>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</si>
  <si>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</si>
  <si>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</si>
  <si>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</si>
  <si>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</si>
  <si>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</si>
  <si>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NOTA FISCAL Nº 32319</t>
  </si>
  <si>
    <t>NOTA FISCAL Nº 32340</t>
  </si>
  <si>
    <t>Notas Fiscais de Saída - CL08562</t>
  </si>
  <si>
    <t>NOTA FISCAL Nº 32375</t>
  </si>
  <si>
    <t>NOTA FISCAL Nº 32635</t>
  </si>
  <si>
    <t>CL09376</t>
  </si>
  <si>
    <t>FARGONI COMÉRCIO E REPRESENTAÇÃO LTDA</t>
  </si>
  <si>
    <t>NOTA FISCAL Nº 32652</t>
  </si>
  <si>
    <t>CL08907</t>
  </si>
  <si>
    <t>INDEPENDENCIA AGRICOLA LTDA</t>
  </si>
  <si>
    <t>NOTA FISCAL Nº 30880</t>
  </si>
  <si>
    <t>NOTA FISCAL Nº 31867</t>
  </si>
  <si>
    <t>CL08542</t>
  </si>
  <si>
    <t>NOTA FISCAL Nº 31941</t>
  </si>
  <si>
    <t>MARTIN WEISMANN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</si>
  <si>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</si>
  <si>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</si>
  <si>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</si>
  <si>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</si>
  <si>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</si>
  <si>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</si>
  <si>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</si>
  <si>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</si>
  <si>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</si>
  <si>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</si>
  <si>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</si>
  <si>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</si>
  <si>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</si>
  <si>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</si>
  <si>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CL09034</t>
  </si>
  <si>
    <t>COMERCIAL MACHADO AGRICOLA LTDA</t>
  </si>
  <si>
    <t>NOTA FISCAL Nº 32783</t>
  </si>
  <si>
    <t>NOTA FISCAL Nº 32854</t>
  </si>
  <si>
    <t>NOTA FISCAL Nº 30729</t>
  </si>
  <si>
    <t>NOTA FISCAL Nº 30904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</si>
  <si>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</si>
  <si>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</si>
  <si>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</si>
  <si>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</si>
  <si>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</si>
  <si>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</si>
  <si>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</si>
  <si>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</si>
  <si>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</si>
  <si>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</si>
  <si>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32774</t>
  </si>
  <si>
    <t>NOTA FISCAL Nº 33068</t>
  </si>
  <si>
    <t>CL08540</t>
  </si>
  <si>
    <t>COMPO EXPERT GMBH</t>
  </si>
  <si>
    <t>Debit Note 002.2023 reembolso R&amp;D</t>
  </si>
  <si>
    <t>CL09547</t>
  </si>
  <si>
    <t>DERMEVAL RODRIGUES DA CUNHA JUNIOR</t>
  </si>
  <si>
    <t>NOTA FISCAL Nº 33118</t>
  </si>
  <si>
    <t>NOTA FISCAL Nº 31516</t>
  </si>
  <si>
    <t>NOTA FISCAL Nº 31800</t>
  </si>
  <si>
    <t>NOTA FISCAL Nº 32040</t>
  </si>
  <si>
    <t>CL09391</t>
  </si>
  <si>
    <t>VALE AGRO INOVACOES AGRICOLAS LTDA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</si>
  <si>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</si>
  <si>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</si>
  <si>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</si>
  <si>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</si>
  <si>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</si>
  <si>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</si>
  <si>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</si>
  <si>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</si>
  <si>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CL09478</t>
  </si>
  <si>
    <t>PLATO AGRO LTDA</t>
  </si>
  <si>
    <t>NOTA FISCAL Nº 33182</t>
  </si>
  <si>
    <t>NOTA FISCAL Nº 31759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</si>
  <si>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</si>
  <si>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</si>
  <si>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</si>
  <si>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</si>
  <si>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</si>
  <si>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</si>
  <si>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</si>
  <si>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</si>
  <si>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CL09462</t>
  </si>
  <si>
    <t>MARCO ANTONIO OLIVEIRA CAMPOS</t>
  </si>
  <si>
    <t>NOTA FISCAL Nº 32932</t>
  </si>
  <si>
    <t>NOTA FISCAL Nº 33006</t>
  </si>
  <si>
    <t>CL09527</t>
  </si>
  <si>
    <t>BC AGRO COMERCIO LTDA</t>
  </si>
  <si>
    <t>NOTA FISCAL Nº 33186</t>
  </si>
  <si>
    <t>CL08656</t>
  </si>
  <si>
    <t>COPERCON COOPERATIVA AGROPECUARIA DOS PRODUTORES DA REGIAO DO CONTESTADO</t>
  </si>
  <si>
    <t>NOTA FISCAL Nº 33193</t>
  </si>
  <si>
    <t>CL09416</t>
  </si>
  <si>
    <t>GEISIANE GISELE DE SOUZA</t>
  </si>
  <si>
    <t>NOTA FISCAL Nº 31680</t>
  </si>
  <si>
    <t>NOTA FISCAL Nº 32068</t>
  </si>
  <si>
    <t>NOTA FISCAL Nº 32564</t>
  </si>
  <si>
    <t>CL09092</t>
  </si>
  <si>
    <t>DOURADO E VIANA LTDA</t>
  </si>
  <si>
    <t>NOTA FISCAL Nº 32613</t>
  </si>
  <si>
    <t>NOTA FISCAL Nº 32712</t>
  </si>
  <si>
    <t>NOTA FISCAL Nº 32713</t>
  </si>
  <si>
    <t>NOTA FISCAL Nº 32728</t>
  </si>
  <si>
    <t>CL08740</t>
  </si>
  <si>
    <t>GEORGES BALECH JUNIOR</t>
  </si>
  <si>
    <t>NOTA FISCAL Nº 32938</t>
  </si>
  <si>
    <t>NOTA FISCAL Nº 33022</t>
  </si>
  <si>
    <t>CL08651</t>
  </si>
  <si>
    <t>BRENNTAG QUIMICA BRASIL LTDA</t>
  </si>
  <si>
    <t>NOTA FISCAL Nº 33227</t>
  </si>
  <si>
    <t>CL08949</t>
  </si>
  <si>
    <t>DIEGO BORDIN</t>
  </si>
  <si>
    <t>NOTA FISCAL Nº 32193</t>
  </si>
  <si>
    <t>NOTA FISCAL Nº 32242</t>
  </si>
  <si>
    <t>CL01252</t>
  </si>
  <si>
    <t>DISAM DISTRIBUIDORA DE INSUMOS AGRICOLAS SUL AMERICA LTDA</t>
  </si>
  <si>
    <t>Notas Fiscais de Saída - CL01252</t>
  </si>
  <si>
    <t>LUCAS ROBERTO WEBER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</si>
  <si>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</si>
  <si>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</si>
  <si>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</si>
  <si>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</si>
  <si>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</si>
  <si>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</si>
  <si>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</si>
  <si>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</si>
  <si>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</si>
  <si>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</si>
  <si>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NOTA FISCAL Nº 30459</t>
  </si>
  <si>
    <t>NOTA FISCAL Nº 30609</t>
  </si>
  <si>
    <t>NOTA FISCAL Nº 31463</t>
  </si>
  <si>
    <t>NOTA FISCAL Nº 31919</t>
  </si>
  <si>
    <t>NOTA FISCAL Nº 31960</t>
  </si>
  <si>
    <t>NOTA FISCAL Nº 32145</t>
  </si>
  <si>
    <t>CL09323</t>
  </si>
  <si>
    <t>FORTEBIO SEEDS LTDA</t>
  </si>
  <si>
    <t>NOTA FISCAL Nº 32516</t>
  </si>
  <si>
    <t>NOTA FISCAL Nº 32781</t>
  </si>
  <si>
    <t>CL09474</t>
  </si>
  <si>
    <t>SIRLEI DE CARVALHO REZENDE</t>
  </si>
  <si>
    <t>NOTA FISCAL Nº 32931</t>
  </si>
  <si>
    <t>NOTA FISCAL Nº 32973</t>
  </si>
  <si>
    <t>NOTA FISCAL Nº 33094</t>
  </si>
  <si>
    <t>NOTA FISCAL Nº 29955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</si>
  <si>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</si>
  <si>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</si>
  <si>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</si>
  <si>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</si>
  <si>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</si>
  <si>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</si>
  <si>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</si>
  <si>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</si>
  <si>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</si>
  <si>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</si>
  <si>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</si>
  <si>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</si>
  <si>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31543</t>
  </si>
  <si>
    <t>NOTA FISCAL Nº 31607</t>
  </si>
  <si>
    <t>CL09436</t>
  </si>
  <si>
    <t>NOTA FISCAL Nº 31761</t>
  </si>
  <si>
    <t>NOTA FISCAL Nº 32444</t>
  </si>
  <si>
    <t>NOTA FISCAL Nº 32510</t>
  </si>
  <si>
    <t>NOTA FISCAL Nº 32581</t>
  </si>
  <si>
    <t>NOTA FISCAL Nº 32946</t>
  </si>
  <si>
    <t>NOTA FISCAL Nº 32976</t>
  </si>
  <si>
    <t>CL09570</t>
  </si>
  <si>
    <t>TATIANA RESENDE SOUZA SILVA</t>
  </si>
  <si>
    <t>NOTA FISCAL Nº 33045</t>
  </si>
  <si>
    <t>NOTA FISCAL Nº 29419</t>
  </si>
  <si>
    <t>NOTA FISCAL Nº 31796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</si>
  <si>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</si>
  <si>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</si>
  <si>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</si>
  <si>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</si>
  <si>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</si>
  <si>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</si>
  <si>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</si>
  <si>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</si>
  <si>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</si>
  <si>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</si>
  <si>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</si>
  <si>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</si>
  <si>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</si>
  <si>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</si>
  <si>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CL09202</t>
  </si>
  <si>
    <t>TERRA BRASIL COMERCIO E REPRESENTACOES LTDA</t>
  </si>
  <si>
    <t>NOTA FISCAL Nº 33143</t>
  </si>
  <si>
    <t>NOTA FISCAL Nº 33217</t>
  </si>
  <si>
    <t>CL08511</t>
  </si>
  <si>
    <t>NOTA FISCAL Nº 33103</t>
  </si>
  <si>
    <t>NOTA FISCAL Nº 33158</t>
  </si>
  <si>
    <t>NOTA FISCAL Nº 33214</t>
  </si>
  <si>
    <t>NOTA FISCAL Nº 33157</t>
  </si>
  <si>
    <t>NOTA FISCAL Nº 33197</t>
  </si>
  <si>
    <t>NOTA FISCAL Nº 33213</t>
  </si>
  <si>
    <t>NOTA FISCAL Nº 31392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</si>
  <si>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</si>
  <si>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</si>
  <si>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</si>
  <si>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</si>
  <si>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</si>
  <si>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</si>
  <si>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</si>
  <si>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Debit Note 001 2023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</si>
  <si>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</si>
  <si>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</si>
  <si>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</si>
  <si>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</si>
  <si>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</si>
  <si>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</si>
  <si>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</si>
  <si>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</si>
  <si>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</si>
  <si>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</si>
  <si>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</si>
  <si>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32614</t>
  </si>
  <si>
    <t>NOTA FISCAL Nº 32618</t>
  </si>
  <si>
    <t>NOTA FISCAL Nº 32641</t>
  </si>
  <si>
    <t>NOTA FISCAL Nº 32780</t>
  </si>
  <si>
    <t>NOTA FISCAL Nº 32852</t>
  </si>
  <si>
    <t>Notas Fiscais de Saída - CL08807</t>
  </si>
  <si>
    <t>NOTA FISCAL Nº 33117</t>
  </si>
  <si>
    <t>Notas Fiscais de Saída - CL08740</t>
  </si>
  <si>
    <t>NOTA FISCAL Nº 33226</t>
  </si>
  <si>
    <t>NOTA FISCAL Nº 32031</t>
  </si>
  <si>
    <t>CL09033</t>
  </si>
  <si>
    <t>L F DE FREITAS ME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</si>
  <si>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</si>
  <si>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</si>
  <si>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</si>
  <si>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</si>
  <si>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</si>
  <si>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</si>
  <si>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</si>
  <si>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31164</t>
  </si>
  <si>
    <t>NOTA FISCAL Nº 33144</t>
  </si>
  <si>
    <t>NOTA FISCAL Nº 30655</t>
  </si>
  <si>
    <t>NOTA FISCAL Nº 31753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</si>
  <si>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</si>
  <si>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</si>
  <si>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</si>
  <si>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</si>
  <si>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</si>
  <si>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</si>
  <si>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</si>
  <si>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</si>
  <si>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</si>
  <si>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</si>
  <si>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</si>
  <si>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</si>
  <si>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</si>
  <si>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30890</t>
  </si>
  <si>
    <t>NOTA FISCAL Nº 30903</t>
  </si>
  <si>
    <t>NOTA FISCAL Nº 31782</t>
  </si>
  <si>
    <t>NOTA FISCAL Nº 31842</t>
  </si>
  <si>
    <t>NOTA FISCAL Nº 33081</t>
  </si>
  <si>
    <t>Notas Fiscais de Saída - CL08834</t>
  </si>
  <si>
    <t>NOTA FISCAL Nº 33140</t>
  </si>
  <si>
    <t>CL09479</t>
  </si>
  <si>
    <t>HORTIFERTIL PRODUTOS AGROPECUARIOS LTDA</t>
  </si>
  <si>
    <t>NOTA FISCAL Nº 33169</t>
  </si>
  <si>
    <t>CL08911</t>
  </si>
  <si>
    <t>JOSE LUIZ CORREA</t>
  </si>
  <si>
    <t>NOTA FISCAL Nº 33223</t>
  </si>
  <si>
    <t>NOTA FISCAL Nº 29968</t>
  </si>
  <si>
    <t>NOTA FISCAL Nº 31664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</si>
  <si>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</si>
  <si>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</si>
  <si>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</si>
  <si>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</si>
  <si>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</si>
  <si>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</si>
  <si>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</si>
  <si>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</si>
  <si>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</si>
  <si>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</si>
  <si>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</si>
  <si>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</si>
  <si>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NOTA FISCAL Nº 33042</t>
  </si>
  <si>
    <t>NOTA FISCAL Nº 29435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</si>
  <si>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</si>
  <si>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</si>
  <si>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</si>
  <si>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</si>
  <si>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</si>
  <si>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</si>
  <si>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</si>
  <si>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</si>
  <si>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</si>
  <si>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29422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</si>
  <si>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</si>
  <si>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</si>
  <si>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</si>
  <si>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</si>
  <si>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</si>
  <si>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</si>
  <si>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</si>
  <si>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</si>
  <si>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</si>
  <si>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</si>
  <si>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</si>
  <si>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</si>
  <si>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</si>
  <si>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33048</t>
  </si>
  <si>
    <t>NOTA FISCAL Nº 32001</t>
  </si>
  <si>
    <t>NOTA FISCAL Nº 32021</t>
  </si>
  <si>
    <t>NOTA FISCAL Nº 32217</t>
  </si>
  <si>
    <t>NOTA FISCAL Nº 32520</t>
  </si>
  <si>
    <t>CL08901</t>
  </si>
  <si>
    <t>TIBAGI REPRESENTACOES COMERCIAIS LTDA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</si>
  <si>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</si>
  <si>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</si>
  <si>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</si>
  <si>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</si>
  <si>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</si>
  <si>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</si>
  <si>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</si>
  <si>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</si>
  <si>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</si>
  <si>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</si>
  <si>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</si>
  <si>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</si>
  <si>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29712</t>
  </si>
  <si>
    <t>NOTA FISCAL Nº 31175</t>
  </si>
  <si>
    <t>NOTA FISCAL Nº 31533</t>
  </si>
  <si>
    <t>NOTA FISCAL Nº 31762</t>
  </si>
  <si>
    <t>NOTA FISCAL Nº 31942</t>
  </si>
  <si>
    <t>NOTA FISCAL Nº 31953</t>
  </si>
  <si>
    <t>NOTA FISCAL Nº 31874</t>
  </si>
  <si>
    <t>NOTA FISCAL Nº 31971</t>
  </si>
  <si>
    <t>CL08556</t>
  </si>
  <si>
    <t>SERRA SEED COMERCIO DE PRODUTOS AGRICOLAS LTDA</t>
  </si>
  <si>
    <t>NOTA FISCAL Nº 32232</t>
  </si>
  <si>
    <t>NOTA FISCAL Nº 32464</t>
  </si>
  <si>
    <t>NOTA FISCAL Nº 32569</t>
  </si>
  <si>
    <t>NOTA FISCAL Nº 32726</t>
  </si>
  <si>
    <t>NOTA FISCAL Nº 32910</t>
  </si>
  <si>
    <t>CL09574</t>
  </si>
  <si>
    <t>LAILSON REZENDE</t>
  </si>
  <si>
    <t>Notas Fiscais de Saída - CL09574</t>
  </si>
  <si>
    <t>NOTA FISCAL Nº 33087</t>
  </si>
  <si>
    <t>NOTA FISCAL Nº 29736</t>
  </si>
  <si>
    <t>NOTA FISCAL Nº 29840</t>
  </si>
  <si>
    <t>NOTA FISCAL Nº 31527</t>
  </si>
  <si>
    <t>NOTA FISCAL Nº 31740</t>
  </si>
  <si>
    <t>CL08193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</si>
  <si>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</si>
  <si>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</si>
  <si>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</si>
  <si>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</si>
  <si>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</si>
  <si>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</si>
  <si>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</si>
  <si>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</si>
  <si>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</si>
  <si>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</si>
  <si>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CL09567</t>
  </si>
  <si>
    <t>MARCELO CARNEIRO COSTA</t>
  </si>
  <si>
    <t>NOTA FISCAL Nº 33122</t>
  </si>
  <si>
    <t>NOTA FISCAL Nº 33163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</si>
  <si>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</si>
  <si>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</si>
  <si>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</si>
  <si>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</si>
  <si>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</si>
  <si>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</si>
  <si>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</si>
  <si>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</si>
  <si>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</si>
  <si>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</si>
  <si>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</si>
  <si>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</si>
  <si>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</si>
  <si>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</si>
  <si>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</si>
  <si>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</si>
  <si>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</si>
  <si>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</si>
  <si>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</si>
  <si>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</si>
  <si>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</si>
  <si>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</si>
  <si>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</si>
  <si>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</si>
  <si>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</si>
  <si>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</si>
  <si>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31692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</si>
  <si>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</si>
  <si>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</si>
  <si>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</si>
  <si>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</si>
  <si>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</si>
  <si>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</si>
  <si>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</si>
  <si>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</si>
  <si>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NOTA FISCAL Nº 32777</t>
  </si>
  <si>
    <t>NOTA FISCAL Nº 32865</t>
  </si>
  <si>
    <t>NOTA FISCAL Nº 33161</t>
  </si>
  <si>
    <t>NOTA FISCAL Nº 33230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</si>
  <si>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</si>
  <si>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</si>
  <si>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</si>
  <si>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</si>
  <si>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</si>
  <si>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</si>
  <si>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30866</t>
  </si>
  <si>
    <t>NOTA FISCAL Nº 33071</t>
  </si>
  <si>
    <t>NOTA FISCAL Nº 33228</t>
  </si>
  <si>
    <t>NOTA FISCAL Nº 33215</t>
  </si>
  <si>
    <t>NOTA FISCAL Nº 33076</t>
  </si>
  <si>
    <t>CL09373</t>
  </si>
  <si>
    <t>COOPERATIVA DOS FRUTICULTORES DO PLANALTO NORTE CATARINENSE</t>
  </si>
  <si>
    <t>NOTA FISCAL Nº 33189</t>
  </si>
  <si>
    <t>NOTA FISCAL Nº 33220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</si>
  <si>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</si>
  <si>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</si>
  <si>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</si>
  <si>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</si>
  <si>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</si>
  <si>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</si>
  <si>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</si>
  <si>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</si>
  <si>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</si>
  <si>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</si>
  <si>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</si>
  <si>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</si>
  <si>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</si>
  <si>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33209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</si>
  <si>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</si>
  <si>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</si>
  <si>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</si>
  <si>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</si>
  <si>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</si>
  <si>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</si>
  <si>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</si>
  <si>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</si>
  <si>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</si>
  <si>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</si>
  <si>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CL09506</t>
  </si>
  <si>
    <t>JOSE RODRIGUES DE CARVALHO</t>
  </si>
  <si>
    <t>NOTA FISCAL Nº 33107</t>
  </si>
  <si>
    <t>NOTA FISCAL Nº 29502</t>
  </si>
  <si>
    <t>NOTA FISCAL Nº 29988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</si>
  <si>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</si>
  <si>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</si>
  <si>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</si>
  <si>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</si>
  <si>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</si>
  <si>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</si>
  <si>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</si>
  <si>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</si>
  <si>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</si>
  <si>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</si>
  <si>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</si>
  <si>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</si>
  <si>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</si>
  <si>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</si>
  <si>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</si>
  <si>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</si>
  <si>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33128</t>
  </si>
  <si>
    <t>NOTA FISCAL Nº 33188</t>
  </si>
  <si>
    <t>NOTA FISCAL Nº 29710</t>
  </si>
  <si>
    <t>NOTA FISCAL Nº 30033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</si>
  <si>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</si>
  <si>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</si>
  <si>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</si>
  <si>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</si>
  <si>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</si>
  <si>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</si>
  <si>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</si>
  <si>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</si>
  <si>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</si>
  <si>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</si>
  <si>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</si>
  <si>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</si>
  <si>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</si>
  <si>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</si>
  <si>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</si>
  <si>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</si>
  <si>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</si>
  <si>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</si>
  <si>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</si>
  <si>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</si>
  <si>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32436</t>
  </si>
  <si>
    <t>NOTA FISCAL Nº 32731</t>
  </si>
  <si>
    <t>NOTA FISCAL Nº 32845</t>
  </si>
  <si>
    <t>NOTA FISCAL Nº 33072</t>
  </si>
  <si>
    <t>NOTA FISCAL Nº 33192</t>
  </si>
  <si>
    <t>CL09488</t>
  </si>
  <si>
    <t>Nataline Maria Tauchert Fabris</t>
  </si>
  <si>
    <t>NOTA FISCAL Nº 33202</t>
  </si>
  <si>
    <t>NOTA FISCAL Nº 33231</t>
  </si>
  <si>
    <t>NOTA FISCAL Nº 31111</t>
  </si>
  <si>
    <t>NOTA FISCAL Nº 32158</t>
  </si>
  <si>
    <t>NOTA FISCAL Nº 32302</t>
  </si>
  <si>
    <t>NOTA FISCAL Nº 32559</t>
  </si>
  <si>
    <t>NOTA FISCAL Nº 32778</t>
  </si>
  <si>
    <t>CL08650</t>
  </si>
  <si>
    <t>CALLEGARI &amp; GOI LTDA ME</t>
  </si>
  <si>
    <t>NOTA FISCAL Nº 32929</t>
  </si>
  <si>
    <t>CL02936</t>
  </si>
  <si>
    <t>COOPERATIVA AGRICOLA SUL BRASIL DE MARILIA</t>
  </si>
  <si>
    <t>NOTA FISCAL Nº 32992</t>
  </si>
  <si>
    <t>NOTA FISCAL Nº 32994</t>
  </si>
  <si>
    <t>CL08637</t>
  </si>
  <si>
    <t>CAROLINA SOIL DO BRASIL LTDA</t>
  </si>
  <si>
    <t>NOTA FISCAL Nº 33183</t>
  </si>
  <si>
    <t>NOTA FISCAL Nº 33229</t>
  </si>
  <si>
    <t>NOTA FISCAL Nº 30987</t>
  </si>
  <si>
    <t>NOTA FISCAL Nº 31267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</si>
  <si>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</si>
  <si>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</si>
  <si>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</si>
  <si>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</si>
  <si>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</si>
  <si>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</si>
  <si>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</si>
  <si>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</si>
  <si>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</si>
  <si>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</si>
  <si>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</si>
  <si>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</si>
  <si>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</si>
  <si>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</si>
  <si>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</si>
  <si>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</si>
  <si>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</si>
  <si>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29837</t>
  </si>
  <si>
    <t>NOTA FISCAL Nº 29987</t>
  </si>
  <si>
    <t>NOTA FISCAL Nº 32089</t>
  </si>
  <si>
    <t>NOTA FISCAL Nº 32327</t>
  </si>
  <si>
    <t>NOTA FISCAL Nº 32346</t>
  </si>
  <si>
    <t>NOTA FISCAL Nº 32412</t>
  </si>
  <si>
    <t>NOTA FISCAL Nº 32693</t>
  </si>
  <si>
    <t>NOTA FISCAL Nº 32981</t>
  </si>
  <si>
    <t>NOTA FISCAL Nº 33026</t>
  </si>
  <si>
    <t>CL09449</t>
  </si>
  <si>
    <t>CELIO SERGIO DA SILVA</t>
  </si>
  <si>
    <t>NOTA FISCAL Nº 33105</t>
  </si>
  <si>
    <t>NOTA FISCAL Nº 33216</t>
  </si>
  <si>
    <t>NOTA FISCAL Nº 32066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</si>
  <si>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</si>
  <si>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</si>
  <si>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</si>
  <si>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</si>
  <si>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</si>
  <si>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</si>
  <si>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</si>
  <si>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</si>
  <si>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 FISCAL Nº 30775</t>
  </si>
  <si>
    <t>NOTA FISCAL Nº 31694</t>
  </si>
  <si>
    <t>NOTA FISCAL Nº 32433</t>
  </si>
  <si>
    <t>NOTA FISCAL Nº 32582</t>
  </si>
  <si>
    <t>NOTA FISCAL Nº 32979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</si>
  <si>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</si>
  <si>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</si>
  <si>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</si>
  <si>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</si>
  <si>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</si>
  <si>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</si>
  <si>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</si>
  <si>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</si>
  <si>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</si>
  <si>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</si>
  <si>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</si>
  <si>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</si>
  <si>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32806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</si>
  <si>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</si>
  <si>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</si>
  <si>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</si>
  <si>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</si>
  <si>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</si>
  <si>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</si>
  <si>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</si>
  <si>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</si>
  <si>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</si>
  <si>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</si>
  <si>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</si>
  <si>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</si>
  <si>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</si>
  <si>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</si>
  <si>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</si>
  <si>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</si>
  <si>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</si>
  <si>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</si>
  <si>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</si>
  <si>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</si>
  <si>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</si>
  <si>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</si>
  <si>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</si>
  <si>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29180</t>
  </si>
  <si>
    <t>Acordo Ari Gobbi</t>
  </si>
  <si>
    <t>NOTA FISCAL Nº 32030</t>
  </si>
  <si>
    <t>NOTA FISCAL Nº 32140</t>
  </si>
  <si>
    <t>NOTA FISCAL Nº 32164</t>
  </si>
  <si>
    <t>NOTA FISCAL Nº 32487</t>
  </si>
  <si>
    <t>CL09473</t>
  </si>
  <si>
    <t>LEONARDO CARVALHO REZENDE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</si>
  <si>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</si>
  <si>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</si>
  <si>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</si>
  <si>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</si>
  <si>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</si>
  <si>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</si>
  <si>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</si>
  <si>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</si>
  <si>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</si>
  <si>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</si>
  <si>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33194</t>
  </si>
  <si>
    <t>NOTA FISCAL Nº 33211</t>
  </si>
  <si>
    <t>CL09507</t>
  </si>
  <si>
    <t>PEDRO FERNANDES FERREIRA</t>
  </si>
  <si>
    <t>NOTA FISCAL Nº 33112</t>
  </si>
  <si>
    <t>NOTA FISCAL Nº 30873</t>
  </si>
  <si>
    <t>NOTA FISCAL Nº 32476</t>
  </si>
  <si>
    <t>NOTA FISCAL Nº 32631</t>
  </si>
  <si>
    <t>NOTA FISCAL Nº 32647</t>
  </si>
  <si>
    <t>NOTA FISCAL Nº 32711</t>
  </si>
  <si>
    <t>NOTA FISCAL Nº 33025</t>
  </si>
  <si>
    <t>NOTA FISCAL Nº 33130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</si>
  <si>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</si>
  <si>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</si>
  <si>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</si>
  <si>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</si>
  <si>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</si>
  <si>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</si>
  <si>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</si>
  <si>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</si>
  <si>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</si>
  <si>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</si>
  <si>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</si>
  <si>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</si>
  <si>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</si>
  <si>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</si>
  <si>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NOTA FISCAL Nº 32844</t>
  </si>
  <si>
    <t>NOTA FISCAL Nº 32990</t>
  </si>
  <si>
    <t>Notas Fiscais de Saída - CL09173</t>
  </si>
  <si>
    <t>CL09475</t>
  </si>
  <si>
    <t>R AGRO NEGOCIOS AGRICOLAS</t>
  </si>
  <si>
    <t>NOTA FISCAL Nº 33064</t>
  </si>
  <si>
    <t>NOTA FISCAL Nº 33098</t>
  </si>
  <si>
    <t>CL09564</t>
  </si>
  <si>
    <t>ALEX MACHADO REZENDE</t>
  </si>
  <si>
    <t>Notas Fiscais de Saída - CL09564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</si>
  <si>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</si>
  <si>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</si>
  <si>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</si>
  <si>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</si>
  <si>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</si>
  <si>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</si>
  <si>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</si>
  <si>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</si>
  <si>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</si>
  <si>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</si>
  <si>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</si>
  <si>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</si>
  <si>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</si>
  <si>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</si>
  <si>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CL09505</t>
  </si>
  <si>
    <t>VICENTE GUALBERTO DA SILVA</t>
  </si>
  <si>
    <t>NOTA FISCAL Nº 33113</t>
  </si>
  <si>
    <t>NOTA FISCAL Nº 33207</t>
  </si>
  <si>
    <t>NOTA FISCAL Nº 31959</t>
  </si>
  <si>
    <t>NOTA FISCAL Nº 32029</t>
  </si>
  <si>
    <t>NOTA FISCAL Nº 32099</t>
  </si>
  <si>
    <t>NOTA FISCAL Nº 32488</t>
  </si>
  <si>
    <t>NOTA FISCAL Nº 32539</t>
  </si>
  <si>
    <t>NOTA FISCAL Nº 32634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</si>
  <si>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</si>
  <si>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</si>
  <si>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</si>
  <si>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</si>
  <si>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</si>
  <si>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</si>
  <si>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NOTA FISCAL Nº 32537</t>
  </si>
  <si>
    <t>NOTA FISCAL Nº 32563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</si>
  <si>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</si>
  <si>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</si>
  <si>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</si>
  <si>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</si>
  <si>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</si>
  <si>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</si>
  <si>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</si>
  <si>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</si>
  <si>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33133</t>
  </si>
  <si>
    <t>CL09582</t>
  </si>
  <si>
    <t>RICARDO PEREIRA DE SOUSA</t>
  </si>
  <si>
    <t>NOTA FISCAL Nº 33126</t>
  </si>
  <si>
    <t>NOTA FISCAL Nº 33208</t>
  </si>
  <si>
    <t>Notas Fiscais de Saída - CL08833</t>
  </si>
  <si>
    <t>NOTA FISCAL Nº 33053</t>
  </si>
  <si>
    <t>CL08868</t>
  </si>
  <si>
    <t>WILSON MAGARIO E OUTROS</t>
  </si>
  <si>
    <t>NOTA FISCAL Nº 33074</t>
  </si>
  <si>
    <t>NOTA FISCAL Nº 33218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</si>
  <si>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</si>
  <si>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</si>
  <si>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</si>
  <si>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</si>
  <si>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</si>
  <si>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</si>
  <si>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</si>
  <si>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</si>
  <si>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</si>
  <si>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</si>
  <si>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</si>
  <si>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</si>
  <si>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</si>
  <si>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</si>
  <si>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</si>
  <si>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</si>
  <si>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</si>
  <si>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</si>
  <si>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</si>
  <si>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</si>
  <si>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</si>
  <si>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</si>
  <si>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</si>
  <si>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</si>
  <si>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</si>
  <si>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</si>
  <si>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</si>
  <si>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</si>
  <si>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</si>
  <si>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</si>
  <si>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</si>
  <si>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</si>
  <si>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</si>
  <si>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</si>
  <si>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</si>
  <si>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32773</t>
  </si>
  <si>
    <t>NOTA FISCAL Nº 32948</t>
  </si>
  <si>
    <t>NOTA FISCAL Nº 33233</t>
  </si>
  <si>
    <t>NOTA FISCAL Nº 33077</t>
  </si>
  <si>
    <t>CL09361</t>
  </si>
  <si>
    <t>MERCOAGRO COMERCIO DE DEFENSIVOS AGRICOLAS LTDA</t>
  </si>
  <si>
    <t>NOTA FISCAL Nº 33172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</si>
  <si>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</si>
  <si>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</si>
  <si>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</si>
  <si>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</si>
  <si>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</si>
  <si>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</si>
  <si>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</si>
  <si>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</si>
  <si>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</si>
  <si>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</si>
  <si>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</si>
  <si>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</si>
  <si>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33061</t>
  </si>
  <si>
    <t>NOTA FISCAL Nº 33088</t>
  </si>
  <si>
    <t>NOTA FISCAL Nº 33097</t>
  </si>
  <si>
    <t>NOTA FISCAL Nº 33124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</si>
  <si>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</si>
  <si>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</si>
  <si>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</si>
  <si>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</si>
  <si>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</si>
  <si>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</si>
  <si>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NOTA FISCAL Nº 31991</t>
  </si>
  <si>
    <t>NOTA FISCAL Nº 32073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</si>
  <si>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</si>
  <si>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</si>
  <si>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</si>
  <si>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</si>
  <si>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</si>
  <si>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</si>
  <si>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</si>
  <si>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</si>
  <si>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</si>
  <si>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</si>
  <si>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</si>
  <si>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</si>
  <si>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</si>
  <si>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</si>
  <si>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</si>
  <si>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</si>
  <si>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29181</t>
  </si>
  <si>
    <t>NOTA FISCAL Nº 29598</t>
  </si>
  <si>
    <t>NOTA FISCAL Nº 30656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</si>
  <si>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</si>
  <si>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</si>
  <si>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</si>
  <si>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</si>
  <si>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</si>
  <si>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</si>
  <si>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</si>
  <si>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</si>
  <si>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</si>
  <si>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</si>
  <si>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</si>
  <si>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</si>
  <si>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</si>
  <si>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33106</t>
  </si>
  <si>
    <t>NOTA FISCAL Nº 33141</t>
  </si>
  <si>
    <t>NOTA FISCAL Nº 33184</t>
  </si>
  <si>
    <t>NOTA FISCAL Nº 32881</t>
  </si>
  <si>
    <t>CL09537</t>
  </si>
  <si>
    <t>ADHEMAR TADEU NICCHIO</t>
  </si>
  <si>
    <t>NOTA FISCAL Nº 32917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</si>
  <si>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</si>
  <si>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</si>
  <si>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</si>
  <si>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</si>
  <si>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</si>
  <si>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</si>
  <si>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</si>
  <si>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</si>
  <si>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</si>
  <si>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</si>
  <si>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</si>
  <si>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</si>
  <si>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</si>
  <si>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</si>
  <si>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</si>
  <si>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</si>
  <si>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</si>
  <si>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</si>
  <si>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</si>
  <si>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</si>
  <si>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</si>
  <si>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</si>
  <si>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</si>
  <si>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</si>
  <si>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</si>
  <si>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</si>
  <si>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</si>
  <si>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</si>
  <si>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</si>
  <si>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</si>
  <si>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</si>
  <si>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33198</t>
  </si>
  <si>
    <t>NOTA FISCAL Nº 30470</t>
  </si>
  <si>
    <t>NOTA FISCAL Nº 30736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</si>
  <si>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</si>
  <si>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</si>
  <si>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</si>
  <si>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</si>
  <si>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</si>
  <si>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</si>
  <si>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</si>
  <si>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</si>
  <si>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</si>
  <si>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</si>
  <si>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</si>
  <si>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</si>
  <si>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NOTA FISCAL Nº 33090</t>
  </si>
  <si>
    <t>NOTA FISCAL Nº 33203</t>
  </si>
  <si>
    <t>NOTA FISCAL Nº 30703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</si>
  <si>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</si>
  <si>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</si>
  <si>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</si>
  <si>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</si>
  <si>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</si>
  <si>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</si>
  <si>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</si>
  <si>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</si>
  <si>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</si>
  <si>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</si>
  <si>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</si>
  <si>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Rótulos de Linha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</si>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</sst>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4" fontId="0" fillId="0" borderId="0" xfId="0" applyNumberFormat="1"/>
    <xf numFmtId="44" fontId="0" fillId="0" borderId="0" xfId="1" applyFont="1"/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16"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19" formatCode="dd/mm/yyyy"/>
    </dxf>
    <dxf>
      <numFmt numFmtId="19" formatCode="dd/mm/yyyy"/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23102023.xlsx" TargetMode="External"/><Relationship Id="rId1" Type="http://schemas.openxmlformats.org/officeDocument/2006/relationships/externalLinkPath" Target="CONTROLE%20DE%20INADIMPLENCIA%2023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DESEMPENHO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4821.72</v>
          </cell>
          <cell r="C4" t="str">
            <v>CONFISSÃO DE DÍVIDA ASSINADA</v>
          </cell>
          <cell r="D4" t="str">
            <v>4 MIL EM 30/10/2023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311794.15000000002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2760950.76</v>
          </cell>
          <cell r="C6" t="str">
    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FARM VALLEY INSUMOS AGRICOLAS LTDA</v>
          </cell>
          <cell r="B7">
            <v>3141046.73</v>
          </cell>
          <cell r="C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97896</v>
          </cell>
          <cell r="C8" t="str">
            <v>CONFISSÃO DE DÍVIDA ASSINADA</v>
          </cell>
          <cell r="D8" t="str">
            <v>4 PARCELAS DE 34 MIL PARA OS DIAS 15/10 (PAGA), 15/11, 01/12 e 20/12/2023</v>
          </cell>
          <cell r="E8" t="str">
            <v>AGUARDANDO PAGAMENTO</v>
          </cell>
        </row>
        <row r="9">
          <cell r="A9" t="str">
            <v>I J E PRODUTOS AGROPECUARIOS LTDA</v>
          </cell>
          <cell r="B9">
            <v>9451.2900000000009</v>
          </cell>
          <cell r="C9" t="str">
            <v>CONFISSÃO DE DÍVIDA ASSINADA, PORÉM CLIENTE NÃO CONSEGUIU PAGAR NA DATA DO VENCIMENTO A 2º PARCELA E NOS FICOU DE MANDAR VALORES PARCIAIS, RECOLHIMENTO DE ESTOQUE 4,7 K BRL SERÁ FEITO PELA LAIANE EM 01/11/2023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828192.5</v>
          </cell>
          <cell r="C10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10" t="str">
            <v>-</v>
          </cell>
          <cell r="E10" t="str">
            <v>AGUARDANDO DEFINIÇÃO SOBRE ACEITE DA PROPOSTA DO CLIENTE.</v>
          </cell>
        </row>
        <row r="11">
          <cell r="A11" t="str">
            <v>LA VITA COM ATACADISTA LTDA</v>
          </cell>
          <cell r="B11">
            <v>7590.95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MERCADO AGRICOLA LTDA</v>
          </cell>
          <cell r="B12">
            <v>40116.639999999999</v>
          </cell>
          <cell r="C12" t="str">
            <v>CLIENTE QUITOU 115 MIL EM 02/10/2023, E 60 MIL EM 18/10/2023, FICOU DE QUITAR O TOTAL ATÉ DIA 20/10/2023</v>
          </cell>
          <cell r="D12" t="str">
            <v>-</v>
          </cell>
          <cell r="E12" t="str">
            <v>-</v>
          </cell>
        </row>
        <row r="13">
          <cell r="A13" t="str">
            <v>PLATO AGRO LTDA</v>
          </cell>
          <cell r="B13">
            <v>486000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PRODUFERTIL COMERCIO DE PRODUTOS AGRICOLAS LTDA</v>
          </cell>
          <cell r="B14">
            <v>3285912.28</v>
          </cell>
          <cell r="C14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REGENERARR AGROBIOTECNOLOGIAS LTDA</v>
          </cell>
          <cell r="B16">
            <v>27230</v>
          </cell>
          <cell r="C16" t="str">
            <v>CLIENTE INFORMOU QUE O CRISTIAN ESTÁ VERIFICANDO COM O EDUARDO SOBRE ESTE VENCIMENTO E EDUARDO TEM REUNIÃO NO DIA 06/10/2023 COM O CLIENTE E NOS PASSARÁ UMA POSIÇÃO</v>
          </cell>
          <cell r="D16" t="str">
            <v>-</v>
          </cell>
          <cell r="E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5223.428691666668" createdVersion="8" refreshedVersion="8" minRefreshableVersion="3" recordCount="78" xr:uid="{00C2C86D-3745-49C7-9C02-1E94ABFE426E}">
  <cacheSource type="worksheet">
    <worksheetSource name="Tabela2"/>
  </cacheSource>
  <cacheFields count="11">
    <cacheField name="Codigo PN" numFmtId="0">
      <sharedItems/>
    </cacheField>
    <cacheField name="Razao Social" numFmtId="0">
      <sharedItems count="13">
        <s v="BASSO PRODUTOS AGROPECUARIOS EIRELI"/>
        <s v="CONTINENTAL AGRONEGOCIOS EIRELI ME"/>
        <s v="MOGIANA NEGOCIOS AGROPECUARIO LTDA"/>
        <s v="FARM VALLEY INSUMOS AGRICOLAS LTDA"/>
        <s v="PRODUFERTIL COMERCIO DE PRODUTOS AGRICOLAS LTDA"/>
        <s v="RAZERA AGRICOLA LTDA"/>
        <s v="MERCADO AGRICOLA LTDA"/>
        <s v="AGRO FORTTE HF LTDA"/>
        <s v="I J E PRODUTOS AGROPECUARIOS LTDA"/>
        <s v="INDEPENDENCIA AGRICOLA LTDA"/>
        <s v="PLATO AGRO LTDA"/>
        <s v="REGENERARR AGROBIOTECNOLOGIAS LTDA"/>
        <s v="FERTIBAHIA COM DE PRODS AGROPEC LTDA"/>
      </sharedItems>
    </cacheField>
    <cacheField name="No.Docto." numFmtId="0">
      <sharedItems containsSemiMixedTypes="0" containsString="0" containsNumber="1" containsInteger="1" minValue="20095" maxValue="23827"/>
    </cacheField>
    <cacheField name="No. NF" numFmtId="0">
      <sharedItems containsSemiMixedTypes="0" containsString="0" containsNumber="1" containsInteger="1" minValue="53" maxValue="33182"/>
    </cacheField>
    <cacheField name="Emissão" numFmtId="14">
      <sharedItems containsSemiMixedTypes="0" containsNonDate="0" containsDate="1" containsString="0" minDate="2022-08-09T00:00:00" maxDate="2023-10-21T00:00:00"/>
    </cacheField>
    <cacheField name="Vencimento" numFmtId="14">
      <sharedItems containsSemiMixedTypes="0" containsNonDate="0" containsDate="1" containsString="0" minDate="2023-04-30T00:00:00" maxDate="2023-10-24T00:00:00"/>
    </cacheField>
    <cacheField name="Valor R$" numFmtId="0">
      <sharedItems containsSemiMixedTypes="0" containsString="0" containsNumber="1" minValue="4821.72" maxValue="489000"/>
    </cacheField>
    <cacheField name="Dias Atraso" numFmtId="0">
      <sharedItems containsSemiMixedTypes="0" containsString="0" containsNumber="1" containsInteger="1" minValue="0" maxValue="176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9343"/>
    <x v="0"/>
    <n v="20603"/>
    <n v="29709"/>
    <d v="2022-09-26T00:00:00"/>
    <d v="2023-04-30T00:00:00"/>
    <n v="14620"/>
    <n v="176"/>
    <s v="NOTA FISCAL Nº 29709"/>
    <s v="CARLOS EDUARDO BERNARDES"/>
    <s v="BRASIL_COB"/>
  </r>
  <r>
    <s v="CL08007"/>
    <x v="1"/>
    <n v="21707"/>
    <n v="30862"/>
    <d v="2023-02-02T00:00:00"/>
    <d v="2023-09-30T00:00:00"/>
    <n v="330000"/>
    <n v="23"/>
    <s v="NOTA FISCAL Nº 30862"/>
    <s v="CLAYRTON DA SILVA"/>
    <s v="BRASIL_COB"/>
  </r>
  <r>
    <s v="CL09123"/>
    <x v="2"/>
    <n v="22518"/>
    <n v="31775"/>
    <d v="2023-05-26T00:00:00"/>
    <d v="2023-10-23T00:00:00"/>
    <n v="30000"/>
    <n v="0"/>
    <s v="NOTA FISCAL Nº 31775"/>
    <s v="MARCOS ROBERTO PEREIRA"/>
    <s v="BRASIL_COB"/>
  </r>
  <r>
    <s v="CL09094"/>
    <x v="3"/>
    <n v="20704"/>
    <n v="29813"/>
    <d v="2022-10-05T00:00:00"/>
    <d v="2023-05-30T00:00:00"/>
    <n v="13240"/>
    <n v="146"/>
    <s v="NOTA FISCAL Nº 29813"/>
    <s v="LEANDRO DA SILVA SANTANA"/>
    <s v="BRASIL_COB"/>
  </r>
  <r>
    <s v="CL09094"/>
    <x v="3"/>
    <n v="21297"/>
    <n v="30457"/>
    <d v="2022-12-16T00:00:00"/>
    <d v="2023-05-30T00:00:00"/>
    <n v="76800"/>
    <n v="146"/>
    <s v="NOTA FISCAL Nº 30457"/>
    <s v="LEANDRO DA SILVA SANTANA"/>
    <s v="BRASIL_COB"/>
  </r>
  <r>
    <s v="CL09094"/>
    <x v="3"/>
    <n v="20909"/>
    <n v="30052"/>
    <d v="2022-11-01T00:00:00"/>
    <d v="2023-05-30T00:00:00"/>
    <n v="383760"/>
    <n v="146"/>
    <s v="NOTA FISCAL Nº 30052"/>
    <s v="LEANDRO DA SILVA SANTANA"/>
    <s v="BRASIL_COB"/>
  </r>
  <r>
    <s v="CL08821"/>
    <x v="4"/>
    <n v="21510"/>
    <n v="30674"/>
    <d v="2023-01-13T00:00:00"/>
    <d v="2023-09-30T00:00:00"/>
    <n v="483600"/>
    <n v="23"/>
    <s v="NOTA FISCAL Nº 30674"/>
    <s v="CARLOS EDUARDO BERNARDES"/>
    <s v="BRASIL_COB"/>
  </r>
  <r>
    <s v="CL01398"/>
    <x v="5"/>
    <n v="20626"/>
    <n v="29735"/>
    <d v="2022-09-28T00:00:00"/>
    <d v="2023-05-30T00:00:00"/>
    <n v="489000"/>
    <n v="146"/>
    <s v="NOTA FISCAL Nº 29735"/>
    <s v="ALEXSANDER CAMPAGNOLO"/>
    <s v="BRASIL_COB"/>
  </r>
  <r>
    <s v="CL09094"/>
    <x v="3"/>
    <n v="20376"/>
    <n v="29467"/>
    <d v="2022-09-08T00:00:00"/>
    <d v="2023-05-30T00:00:00"/>
    <n v="12874"/>
    <n v="146"/>
    <s v="NOTA FISCAL Nº 29467"/>
    <s v="LEANDRO DA SILVA SANTANA"/>
    <s v="BRASIL_COB"/>
  </r>
  <r>
    <s v="CL08869"/>
    <x v="6"/>
    <n v="20575"/>
    <n v="29680"/>
    <d v="2022-09-23T00:00:00"/>
    <d v="2023-09-18T00:00:00"/>
    <n v="40116.639999999999"/>
    <n v="35"/>
    <s v="NOTA FISCAL Nº 29680"/>
    <s v="FERNANDO GONCALVES"/>
    <s v="BRASIL_COB"/>
  </r>
  <r>
    <s v="CL09094"/>
    <x v="3"/>
    <n v="20726"/>
    <n v="29836"/>
    <d v="2022-10-07T00:00:00"/>
    <d v="2023-05-30T00:00:00"/>
    <n v="109449.53"/>
    <n v="146"/>
    <s v="NOTA FISCAL Nº 29836"/>
    <s v="LEANDRO DA SILVA SANTANA"/>
    <s v="BRASIL_COB"/>
  </r>
  <r>
    <s v="CL08007"/>
    <x v="1"/>
    <n v="21379"/>
    <n v="30540"/>
    <d v="2022-12-26T00:00:00"/>
    <d v="2023-08-30T00:00:00"/>
    <n v="248695"/>
    <n v="54"/>
    <s v="NOTA FISCAL Nº 30540"/>
    <s v="CLAYRTON DA SILVA"/>
    <s v="BRASIL_COB"/>
  </r>
  <r>
    <s v="CL09123"/>
    <x v="2"/>
    <n v="22497"/>
    <n v="31756"/>
    <d v="2023-05-24T00:00:00"/>
    <d v="2023-10-21T00:00:00"/>
    <n v="155910.81"/>
    <n v="2"/>
    <s v="NOTA FISCAL Nº 31756"/>
    <s v="MARCOS ROBERTO PEREIRA"/>
    <s v="BRASIL_COB"/>
  </r>
  <r>
    <s v="CL09123"/>
    <x v="2"/>
    <n v="22498"/>
    <n v="31757"/>
    <d v="2023-05-24T00:00:00"/>
    <d v="2023-10-21T00:00:00"/>
    <n v="156000"/>
    <n v="2"/>
    <s v="NOTA FISCAL Nº 31757"/>
    <s v="MARCOS ROBERTO PEREIRA"/>
    <s v="BRASIL_COB"/>
  </r>
  <r>
    <s v="CL09495"/>
    <x v="7"/>
    <n v="22766"/>
    <n v="32053"/>
    <d v="2023-07-07T00:00:00"/>
    <d v="2023-09-05T00:00:00"/>
    <n v="4821.72"/>
    <n v="48"/>
    <s v="NOTA FISCAL Nº 32053"/>
    <s v="ALEXSANDER CAMPAGNOLO"/>
    <s v="BRASIL_COB"/>
  </r>
  <r>
    <s v="CL08007"/>
    <x v="1"/>
    <n v="21546"/>
    <n v="30701"/>
    <d v="2023-01-18T00:00:00"/>
    <d v="2023-08-30T00:00:00"/>
    <n v="15600"/>
    <n v="54"/>
    <s v="NOTA FISCAL Nº 30701"/>
    <s v="CLAYRTON DA SILVA"/>
    <s v="BRASIL_COB"/>
  </r>
  <r>
    <s v="CL09303"/>
    <x v="8"/>
    <n v="22463"/>
    <n v="53"/>
    <d v="2023-05-18T00:00:00"/>
    <d v="2023-06-17T00:00:00"/>
    <n v="9451.2900000000009"/>
    <n v="128"/>
    <s v="RENEGOCIAÇÃO I J E PRODUTOS AGROPECUARIOS LTDA"/>
    <s v="LAIANE PEREIRA RIOS"/>
    <s v="BRASIL_COB"/>
  </r>
  <r>
    <s v="CL01398"/>
    <x v="5"/>
    <n v="20497"/>
    <n v="29597"/>
    <d v="2022-09-19T00:00:00"/>
    <d v="2023-05-30T00:00:00"/>
    <n v="460000"/>
    <n v="146"/>
    <s v="NOTA FISCAL Nº 29597"/>
    <s v="ALEXSANDER CAMPAGNOLO"/>
    <s v="BRASIL_COB"/>
  </r>
  <r>
    <s v="CL08007"/>
    <x v="1"/>
    <n v="21740"/>
    <n v="30891"/>
    <d v="2023-02-04T00:00:00"/>
    <d v="2023-09-30T00:00:00"/>
    <n v="168960"/>
    <n v="23"/>
    <s v="NOTA FISCAL Nº 30891"/>
    <s v="CLAYRTON DA SILVA"/>
    <s v="BRASIL_COB"/>
  </r>
  <r>
    <s v="CL08907"/>
    <x v="9"/>
    <n v="21729"/>
    <n v="30880"/>
    <d v="2023-02-03T00:00:00"/>
    <d v="2023-09-30T00:00:00"/>
    <n v="25218"/>
    <n v="23"/>
    <s v="NOTA FISCAL Nº 30880"/>
    <s v="CARLOS EDUARDO BERNARDES"/>
    <s v="BRASIL_COB"/>
  </r>
  <r>
    <s v="CL08821"/>
    <x v="4"/>
    <n v="21570"/>
    <n v="30729"/>
    <d v="2023-01-19T00:00:00"/>
    <d v="2023-09-30T00:00:00"/>
    <n v="42600"/>
    <n v="23"/>
    <s v="NOTA FISCAL Nº 30729"/>
    <s v="CARLOS EDUARDO BERNARDES"/>
    <s v="BRASIL_COB"/>
  </r>
  <r>
    <s v="CL08821"/>
    <x v="4"/>
    <n v="21753"/>
    <n v="30904"/>
    <d v="2023-02-04T00:00:00"/>
    <d v="2023-09-30T00:00:00"/>
    <n v="115573.2"/>
    <n v="23"/>
    <s v="NOTA FISCAL Nº 30904"/>
    <s v="CARLOS EDUARDO BERNARDES"/>
    <s v="BRASIL_COB"/>
  </r>
  <r>
    <s v="CL08907"/>
    <x v="9"/>
    <n v="22104"/>
    <n v="31282"/>
    <d v="2023-03-15T00:00:00"/>
    <d v="2023-08-30T00:00:00"/>
    <n v="202560"/>
    <n v="54"/>
    <s v="NOTA FISCAL Nº 31282"/>
    <s v="CARLOS EDUARDO BERNARDES"/>
    <s v="BRASIL_COB"/>
  </r>
  <r>
    <s v="CL09478"/>
    <x v="10"/>
    <n v="23827"/>
    <n v="33182"/>
    <d v="2023-10-20T00:00:00"/>
    <d v="2023-10-20T00:00:00"/>
    <n v="486000"/>
    <n v="3"/>
    <s v="NOTA FISCAL Nº 33182"/>
    <s v="MATHEUS MACEDO"/>
    <s v="BRASIL_COB"/>
  </r>
  <r>
    <s v="CL09094"/>
    <x v="3"/>
    <n v="21299"/>
    <n v="30459"/>
    <d v="2022-12-16T00:00:00"/>
    <d v="2023-08-30T00:00:00"/>
    <n v="249200"/>
    <n v="54"/>
    <s v="NOTA FISCAL Nº 30459"/>
    <s v="LEANDRO DA SILVA SANTANA"/>
    <s v="BRASIL_COB"/>
  </r>
  <r>
    <s v="CL08821"/>
    <x v="4"/>
    <n v="21449"/>
    <n v="30609"/>
    <d v="2023-01-06T00:00:00"/>
    <d v="2023-09-30T00:00:00"/>
    <n v="483600"/>
    <n v="23"/>
    <s v="NOTA FISCAL Nº 30609"/>
    <s v="CARLOS EDUARDO BERNARDES"/>
    <s v="BRASIL_COB"/>
  </r>
  <r>
    <s v="CL01398"/>
    <x v="5"/>
    <n v="20836"/>
    <n v="29955"/>
    <d v="2022-10-19T00:00:00"/>
    <d v="2023-05-30T00:00:00"/>
    <n v="168938"/>
    <n v="146"/>
    <s v="NOTA FISCAL Nº 29955"/>
    <s v="ALEXSANDER CAMPAGNOLO"/>
    <s v="BRASIL_COB"/>
  </r>
  <r>
    <s v="CL08007"/>
    <x v="1"/>
    <n v="20330"/>
    <n v="29419"/>
    <d v="2022-09-05T00:00:00"/>
    <d v="2023-05-30T00:00:00"/>
    <n v="50995.76"/>
    <n v="146"/>
    <s v="NOTA FISCAL Nº 29419"/>
    <s v="CLAYRTON DA SILVA"/>
    <s v="BRASIL_COB"/>
  </r>
  <r>
    <s v="CL08907"/>
    <x v="9"/>
    <n v="22008"/>
    <n v="31164"/>
    <d v="2023-02-28T00:00:00"/>
    <d v="2023-08-30T00:00:00"/>
    <n v="254062.1"/>
    <n v="54"/>
    <s v="NOTA FISCAL Nº 31164"/>
    <s v="CARLOS EDUARDO BERNARDES"/>
    <s v="BRASIL_COB"/>
  </r>
  <r>
    <s v="CL09094"/>
    <x v="3"/>
    <n v="21497"/>
    <n v="30655"/>
    <d v="2023-01-10T00:00:00"/>
    <d v="2023-08-30T00:00:00"/>
    <n v="207900"/>
    <n v="54"/>
    <s v="NOTA FISCAL Nº 30655"/>
    <s v="LEANDRO DA SILVA SANTANA"/>
    <s v="BRASIL_COB"/>
  </r>
  <r>
    <s v="CL08007"/>
    <x v="1"/>
    <n v="21739"/>
    <n v="30890"/>
    <d v="2023-02-04T00:00:00"/>
    <d v="2023-08-30T00:00:00"/>
    <n v="22000"/>
    <n v="54"/>
    <s v="NOTA FISCAL Nº 30890"/>
    <s v="CLAYRTON DA SILVA"/>
    <s v="BRASIL_COB"/>
  </r>
  <r>
    <s v="CL08821"/>
    <x v="4"/>
    <n v="21752"/>
    <n v="30903"/>
    <d v="2023-02-04T00:00:00"/>
    <d v="2023-09-30T00:00:00"/>
    <n v="5800"/>
    <n v="23"/>
    <s v="NOTA FISCAL Nº 30903"/>
    <s v="CARLOS EDUARDO BERNARDES"/>
    <s v="BRASIL_COB"/>
  </r>
  <r>
    <s v="CL08007"/>
    <x v="1"/>
    <n v="20847"/>
    <n v="29968"/>
    <d v="2022-10-20T00:00:00"/>
    <d v="2023-05-30T00:00:00"/>
    <n v="158400"/>
    <n v="146"/>
    <s v="NOTA FISCAL Nº 29968"/>
    <s v="CLAYRTON DA SILVA"/>
    <s v="BRASIL_COB"/>
  </r>
  <r>
    <s v="CL09123"/>
    <x v="2"/>
    <n v="22519"/>
    <n v="31776"/>
    <d v="2023-05-26T00:00:00"/>
    <d v="2023-10-23T00:00:00"/>
    <n v="48000"/>
    <n v="0"/>
    <s v="Notas Fiscais de Saída - CL09123"/>
    <s v="MARCOS ROBERTO PEREIRA"/>
    <s v="BRASIL_COB"/>
  </r>
  <r>
    <s v="CL09094"/>
    <x v="3"/>
    <n v="20345"/>
    <n v="29435"/>
    <d v="2022-09-06T00:00:00"/>
    <d v="2023-05-30T00:00:00"/>
    <n v="451800"/>
    <n v="146"/>
    <s v="NOTA FISCAL Nº 29435"/>
    <s v="LEANDRO DA SILVA SANTANA"/>
    <s v="BRASIL_COB"/>
  </r>
  <r>
    <s v="CL08007"/>
    <x v="1"/>
    <n v="20333"/>
    <n v="29422"/>
    <d v="2022-09-05T00:00:00"/>
    <d v="2023-05-30T00:00:00"/>
    <n v="198560"/>
    <n v="146"/>
    <s v="NOTA FISCAL Nº 29422"/>
    <s v="CLAYRTON DA SILVA"/>
    <s v="BRASIL_COB"/>
  </r>
  <r>
    <s v="CL09343"/>
    <x v="0"/>
    <n v="20606"/>
    <n v="29712"/>
    <d v="2022-09-26T00:00:00"/>
    <d v="2023-04-30T00:00:00"/>
    <n v="35922"/>
    <n v="176"/>
    <s v="NOTA FISCAL Nº 29712"/>
    <s v="CARLOS EDUARDO BERNARDES"/>
    <s v="BRASIL_COB"/>
  </r>
  <r>
    <s v="CL09094"/>
    <x v="3"/>
    <n v="22017"/>
    <n v="31175"/>
    <d v="2023-03-02T00:00:00"/>
    <d v="2023-09-30T00:00:00"/>
    <n v="432000"/>
    <n v="23"/>
    <s v="NOTA FISCAL Nº 31175"/>
    <s v="LEANDRO DA SILVA SANTANA"/>
    <s v="BRASIL_COB"/>
  </r>
  <r>
    <s v="CL08821"/>
    <x v="4"/>
    <n v="22317"/>
    <n v="31533"/>
    <d v="2023-04-19T00:00:00"/>
    <d v="2023-09-30T00:00:00"/>
    <n v="104800"/>
    <n v="23"/>
    <s v="NOTA FISCAL Nº 31533"/>
    <s v="CARLOS EDUARDO BERNARDES"/>
    <s v="BRASIL_COB"/>
  </r>
  <r>
    <s v="CL09123"/>
    <x v="2"/>
    <n v="22510"/>
    <n v="31767"/>
    <d v="2023-05-25T00:00:00"/>
    <d v="2023-10-22T00:00:00"/>
    <n v="231000"/>
    <n v="1"/>
    <s v="Notas Fiscais de Saída - CL09123"/>
    <s v="MARCOS ROBERTO PEREIRA"/>
    <s v="BRASIL_COB"/>
  </r>
  <r>
    <s v="CL01398"/>
    <x v="5"/>
    <n v="20627"/>
    <n v="29736"/>
    <d v="2022-09-28T00:00:00"/>
    <d v="2023-05-30T00:00:00"/>
    <n v="305520"/>
    <n v="146"/>
    <s v="NOTA FISCAL Nº 29736"/>
    <s v="ALEXSANDER CAMPAGNOLO"/>
    <s v="BRASIL_COB"/>
  </r>
  <r>
    <s v="CL01398"/>
    <x v="5"/>
    <n v="20728"/>
    <n v="29840"/>
    <d v="2022-10-10T00:00:00"/>
    <d v="2023-05-30T00:00:00"/>
    <n v="174176"/>
    <n v="146"/>
    <s v="NOTA FISCAL Nº 29840"/>
    <s v="ALEXSANDER CAMPAGNOLO"/>
    <s v="BRASIL_COB"/>
  </r>
  <r>
    <s v="CL09343"/>
    <x v="0"/>
    <n v="20721"/>
    <n v="29830"/>
    <d v="2022-10-06T00:00:00"/>
    <d v="2023-04-30T00:00:00"/>
    <n v="12384.84"/>
    <n v="176"/>
    <s v="NOTA FISCAL Nº 29830"/>
    <s v="CARLOS EDUARDO BERNARDES"/>
    <s v="BRASIL_COB"/>
  </r>
  <r>
    <s v="CL09094"/>
    <x v="3"/>
    <n v="21298"/>
    <n v="30458"/>
    <d v="2022-12-16T00:00:00"/>
    <d v="2023-05-30T00:00:00"/>
    <n v="68000"/>
    <n v="146"/>
    <s v="NOTA FISCAL Nº 30458"/>
    <s v="LEANDRO DA SILVA SANTANA"/>
    <s v="BRASIL_COB"/>
  </r>
  <r>
    <s v="CL08007"/>
    <x v="1"/>
    <n v="21711"/>
    <n v="30866"/>
    <d v="2023-02-02T00:00:00"/>
    <d v="2023-09-30T00:00:00"/>
    <n v="160000"/>
    <n v="23"/>
    <s v="NOTA FISCAL Nº 30866"/>
    <s v="CLAYRTON DA SILVA"/>
    <s v="BRASIL_COB"/>
  </r>
  <r>
    <s v="CL09094"/>
    <x v="3"/>
    <n v="20409"/>
    <n v="29502"/>
    <d v="2022-09-12T00:00:00"/>
    <d v="2023-05-30T00:00:00"/>
    <n v="312576"/>
    <n v="146"/>
    <s v="NOTA FISCAL Nº 29502"/>
    <s v="LEANDRO DA SILVA SANTANA"/>
    <s v="BRASIL_COB"/>
  </r>
  <r>
    <s v="CL09094"/>
    <x v="3"/>
    <n v="20860"/>
    <n v="29988"/>
    <d v="2022-10-24T00:00:00"/>
    <d v="2023-05-30T00:00:00"/>
    <n v="221820"/>
    <n v="146"/>
    <s v="NOTA FISCAL Nº 29988"/>
    <s v="LEANDRO DA SILVA SANTANA"/>
    <s v="BRASIL_COB"/>
  </r>
  <r>
    <s v="CL08821"/>
    <x v="4"/>
    <n v="21545"/>
    <n v="30700"/>
    <d v="2023-01-18T00:00:00"/>
    <d v="2023-09-30T00:00:00"/>
    <n v="225000"/>
    <n v="23"/>
    <s v="NOTA FISCAL Nº 30700"/>
    <s v="CARLOS EDUARDO BERNARDES"/>
    <s v="BRASIL_COB"/>
  </r>
  <r>
    <s v="CL09343"/>
    <x v="0"/>
    <n v="20604"/>
    <n v="29710"/>
    <d v="2022-09-26T00:00:00"/>
    <d v="2023-04-30T00:00:00"/>
    <n v="29847.3"/>
    <n v="176"/>
    <s v="NOTA FISCAL Nº 29710"/>
    <s v="CARLOS EDUARDO BERNARDES"/>
    <s v="BRASIL_COB"/>
  </r>
  <r>
    <s v="CL01398"/>
    <x v="5"/>
    <n v="20897"/>
    <n v="30033"/>
    <d v="2022-10-27T00:00:00"/>
    <d v="2023-05-30T00:00:00"/>
    <n v="88800"/>
    <n v="146"/>
    <s v="NOTA FISCAL Nº 30033"/>
    <s v="ALEXSANDER CAMPAGNOLO"/>
    <s v="BRASIL_COB"/>
  </r>
  <r>
    <s v="CL08907"/>
    <x v="9"/>
    <n v="21956"/>
    <n v="31111"/>
    <d v="2023-02-24T00:00:00"/>
    <d v="2023-08-30T00:00:00"/>
    <n v="60357.4"/>
    <n v="54"/>
    <s v="NOTA FISCAL Nº 31111"/>
    <s v="CARLOS EDUARDO BERNARDES"/>
    <s v="BRASIL_COB"/>
  </r>
  <r>
    <s v="CL08821"/>
    <x v="4"/>
    <n v="21835"/>
    <n v="30987"/>
    <d v="2023-02-12T00:00:00"/>
    <d v="2023-09-30T00:00:00"/>
    <n v="22680"/>
    <n v="23"/>
    <s v="NOTA FISCAL Nº 30987"/>
    <s v="CARLOS EDUARDO BERNARDES"/>
    <s v="BRASIL_COB"/>
  </r>
  <r>
    <s v="CL09453"/>
    <x v="11"/>
    <n v="22417"/>
    <n v="31661"/>
    <d v="2023-05-04T00:00:00"/>
    <d v="2023-10-01T00:00:00"/>
    <n v="27230"/>
    <n v="22"/>
    <s v="NOTA FISCAL Nº 31661"/>
    <s v="CARLOS EDUARDO BERNARDES"/>
    <s v="BRASIL_COB"/>
  </r>
  <r>
    <s v="CL09062"/>
    <x v="12"/>
    <n v="22428"/>
    <n v="31677"/>
    <d v="2023-05-08T00:00:00"/>
    <d v="2023-09-05T00:00:00"/>
    <n v="97896"/>
    <n v="48"/>
    <s v="NOTA FISCAL Nº 31677"/>
    <s v="ERICK ALEXANDRE DE OLIVEIRA"/>
    <s v="BRASIL_COB"/>
  </r>
  <r>
    <s v="CL09094"/>
    <x v="3"/>
    <n v="20727"/>
    <n v="29837"/>
    <d v="2022-10-07T00:00:00"/>
    <d v="2023-05-30T00:00:00"/>
    <n v="189000"/>
    <n v="146"/>
    <s v="NOTA FISCAL Nº 29837"/>
    <s v="LEANDRO DA SILVA SANTANA"/>
    <s v="BRASIL_COB"/>
  </r>
  <r>
    <s v="CL09094"/>
    <x v="3"/>
    <n v="20859"/>
    <n v="29987"/>
    <d v="2022-10-24T00:00:00"/>
    <d v="2023-05-30T00:00:00"/>
    <n v="40896"/>
    <n v="146"/>
    <s v="NOTA FISCAL Nº 29987"/>
    <s v="LEANDRO DA SILVA SANTANA"/>
    <s v="BRASIL_COB"/>
  </r>
  <r>
    <s v="CL08007"/>
    <x v="1"/>
    <n v="21617"/>
    <n v="30775"/>
    <d v="2023-01-24T00:00:00"/>
    <d v="2023-08-30T00:00:00"/>
    <n v="353500"/>
    <n v="54"/>
    <s v="NOTA FISCAL Nº 30775"/>
    <s v="CLAYRTON DA SILVA"/>
    <s v="BRASIL_COB"/>
  </r>
  <r>
    <s v="CL09094"/>
    <x v="3"/>
    <n v="20346"/>
    <n v="29436"/>
    <d v="2022-09-06T00:00:00"/>
    <d v="2023-05-30T00:00:00"/>
    <n v="31460"/>
    <n v="146"/>
    <s v="NOTA FISCAL Nº 29436"/>
    <s v="LEANDRO DA SILVA SANTANA"/>
    <s v="BRASIL_COB"/>
  </r>
  <r>
    <s v="CL09343"/>
    <x v="0"/>
    <n v="20095"/>
    <n v="29180"/>
    <d v="2022-08-09T00:00:00"/>
    <d v="2023-04-30T00:00:00"/>
    <n v="160151.13"/>
    <n v="176"/>
    <s v="NOTA FISCAL Nº 29180"/>
    <s v="CARLOS EDUARDO BERNARDES"/>
    <s v="BRASIL_COB"/>
  </r>
  <r>
    <s v="CL08907"/>
    <x v="9"/>
    <n v="21718"/>
    <n v="30873"/>
    <d v="2023-02-03T00:00:00"/>
    <d v="2023-09-30T00:00:00"/>
    <n v="285995"/>
    <n v="23"/>
    <s v="NOTA FISCAL Nº 30873"/>
    <s v="CARLOS EDUARDO BERNARDES"/>
    <s v="BRASIL_COB"/>
  </r>
  <r>
    <s v="CL08007"/>
    <x v="1"/>
    <n v="20541"/>
    <n v="29644"/>
    <d v="2022-09-20T00:00:00"/>
    <d v="2023-05-30T00:00:00"/>
    <n v="37200"/>
    <n v="146"/>
    <s v="NOTA FISCAL Nº 29644"/>
    <s v="CLAYRTON DA SILVA"/>
    <s v="BRASIL_COB"/>
  </r>
  <r>
    <s v="CL08821"/>
    <x v="4"/>
    <n v="21828"/>
    <n v="30982"/>
    <d v="2023-02-12T00:00:00"/>
    <d v="2023-09-30T00:00:00"/>
    <n v="120900"/>
    <n v="23"/>
    <s v="NOTA FISCAL Nº 30982"/>
    <s v="CARLOS EDUARDO BERNARDES"/>
    <s v="BRASIL_COB"/>
  </r>
  <r>
    <s v="CL08821"/>
    <x v="4"/>
    <n v="21946"/>
    <n v="31102"/>
    <d v="2023-02-24T00:00:00"/>
    <d v="2023-09-30T00:00:00"/>
    <n v="59600"/>
    <n v="23"/>
    <s v="NOTA FISCAL Nº 31102"/>
    <s v="CARLOS EDUARDO BERNARDES"/>
    <s v="BRASIL_COB"/>
  </r>
  <r>
    <s v="CL01398"/>
    <x v="5"/>
    <n v="21007"/>
    <n v="30153"/>
    <d v="2022-11-16T00:00:00"/>
    <d v="2023-05-30T00:00:00"/>
    <n v="236800"/>
    <n v="146"/>
    <s v="NOTA FISCAL Nº 30153"/>
    <s v="ALEXSANDER CAMPAGNOLO"/>
    <s v="BRASIL_COB"/>
  </r>
  <r>
    <s v="CL08007"/>
    <x v="1"/>
    <n v="21616"/>
    <n v="30774"/>
    <d v="2023-01-24T00:00:00"/>
    <d v="2023-09-30T00:00:00"/>
    <n v="335040"/>
    <n v="23"/>
    <s v="NOTA FISCAL Nº 30774"/>
    <s v="CLAYRTON DA SILVA"/>
    <s v="BRASIL_COB"/>
  </r>
  <r>
    <s v="CL09343"/>
    <x v="0"/>
    <n v="20096"/>
    <n v="29181"/>
    <d v="2022-08-09T00:00:00"/>
    <d v="2023-04-30T00:00:00"/>
    <n v="10902.48"/>
    <n v="176"/>
    <s v="NOTA FISCAL Nº 29181"/>
    <s v="CARLOS EDUARDO BERNARDES"/>
    <s v="BRASIL_COB"/>
  </r>
  <r>
    <s v="CL01398"/>
    <x v="5"/>
    <n v="20498"/>
    <n v="29598"/>
    <d v="2022-09-19T00:00:00"/>
    <d v="2023-05-30T00:00:00"/>
    <n v="123850"/>
    <n v="146"/>
    <s v="NOTA FISCAL Nº 29598"/>
    <s v="ALEXSANDER CAMPAGNOLO"/>
    <s v="BRASIL_COB"/>
  </r>
  <r>
    <s v="CL09094"/>
    <x v="3"/>
    <n v="21498"/>
    <n v="30656"/>
    <d v="2023-01-10T00:00:00"/>
    <d v="2023-08-30T00:00:00"/>
    <n v="207900"/>
    <n v="54"/>
    <s v="NOTA FISCAL Nº 30656"/>
    <s v="LEANDRO DA SILVA SANTANA"/>
    <s v="BRASIL_COB"/>
  </r>
  <r>
    <s v="CL09094"/>
    <x v="3"/>
    <n v="22201"/>
    <n v="31394"/>
    <d v="2023-03-28T00:00:00"/>
    <d v="2023-07-26T00:00:00"/>
    <n v="132371.20000000001"/>
    <n v="89"/>
    <s v="NOTA FISCAL Nº 31394"/>
    <s v="LEANDRO DA SILVA SANTANA"/>
    <s v="BRASIL_COB"/>
  </r>
  <r>
    <s v="CL09343"/>
    <x v="0"/>
    <n v="20718"/>
    <n v="29828"/>
    <d v="2022-10-06T00:00:00"/>
    <d v="2023-04-30T00:00:00"/>
    <n v="47966.400000000001"/>
    <n v="176"/>
    <s v="NOTA FISCAL Nº 29828"/>
    <s v="CARLOS EDUARDO BERNARDES"/>
    <s v="BRASIL_COB"/>
  </r>
  <r>
    <s v="CL08007"/>
    <x v="1"/>
    <n v="20750"/>
    <n v="29860"/>
    <d v="2022-10-10T00:00:00"/>
    <d v="2023-05-30T00:00:00"/>
    <n v="308000"/>
    <n v="146"/>
    <s v="NOTA FISCAL Nº 29860"/>
    <s v="CLAYRTON DA SILVA"/>
    <s v="BRASIL_COB"/>
  </r>
  <r>
    <s v="CL01398"/>
    <x v="5"/>
    <n v="20835"/>
    <n v="29954"/>
    <d v="2022-10-19T00:00:00"/>
    <d v="2023-05-30T00:00:00"/>
    <n v="445654"/>
    <n v="146"/>
    <s v="NOTA FISCAL Nº 29954"/>
    <s v="ALEXSANDER CAMPAGNOLO"/>
    <s v="BRASIL_COB"/>
  </r>
  <r>
    <s v="CL08007"/>
    <x v="1"/>
    <n v="20867"/>
    <n v="29996"/>
    <d v="2022-10-24T00:00:00"/>
    <d v="2023-05-30T00:00:00"/>
    <n v="104000"/>
    <n v="146"/>
    <s v="NOTA FISCAL Nº 29996"/>
    <s v="CLAYRTON DA SILVA"/>
    <s v="BRASIL_COB"/>
  </r>
  <r>
    <s v="CL08821"/>
    <x v="4"/>
    <n v="21569"/>
    <n v="30726"/>
    <d v="2023-01-19T00:00:00"/>
    <d v="2023-09-30T00:00:00"/>
    <n v="310600"/>
    <n v="23"/>
    <s v="NOTA FISCAL Nº 30726"/>
    <s v="CARLOS EDUARDO BERNARDES"/>
    <s v="BRASIL_COB"/>
  </r>
  <r>
    <s v="CL01398"/>
    <x v="5"/>
    <n v="21310"/>
    <n v="30470"/>
    <d v="2022-12-19T00:00:00"/>
    <d v="2023-05-30T00:00:00"/>
    <n v="10500"/>
    <n v="146"/>
    <s v="NOTA FISCAL Nº 30470"/>
    <s v="ALEXSANDER CAMPAGNOLO"/>
    <s v="BRASIL_COB"/>
  </r>
  <r>
    <s v="CL08821"/>
    <x v="4"/>
    <n v="21577"/>
    <n v="30736"/>
    <d v="2023-01-19T00:00:00"/>
    <d v="2023-08-30T00:00:00"/>
    <n v="176721.48"/>
    <n v="54"/>
    <s v="NOTA FISCAL Nº 30736"/>
    <s v="CARLOS EDUARDO BERNARDES"/>
    <s v="BRASIL_COB"/>
  </r>
  <r>
    <s v="CL09123"/>
    <x v="2"/>
    <n v="22513"/>
    <n v="31770"/>
    <d v="2023-05-25T00:00:00"/>
    <d v="2023-10-22T00:00:00"/>
    <n v="90000"/>
    <n v="1"/>
    <s v="NOTA FISCAL Nº 31770"/>
    <s v="MARCOS ROBERTO PEREIRA"/>
    <s v="BRASIL_COB"/>
  </r>
  <r>
    <s v="CL08007"/>
    <x v="1"/>
    <n v="21548"/>
    <n v="30703"/>
    <d v="2023-01-18T00:00:00"/>
    <d v="2023-09-30T00:00:00"/>
    <n v="270000"/>
    <n v="23"/>
    <s v="NOTA FISCAL Nº 30703"/>
    <s v="CLAYRTON DA SILVA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36BE0-DCDB-462C-98BB-EE9E07CEFE9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" firstHeaderRow="1" firstDataRow="1" firstDataCol="1"/>
  <pivotFields count="11">
    <pivotField showAll="0"/>
    <pivotField axis="axisRow" showAll="0">
      <items count="14">
        <item x="7"/>
        <item x="0"/>
        <item x="1"/>
        <item x="3"/>
        <item x="12"/>
        <item x="8"/>
        <item x="9"/>
        <item x="6"/>
        <item x="2"/>
        <item x="10"/>
        <item x="4"/>
        <item x="5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 numFmtId="44"/>
  </dataFields>
  <formats count="11">
    <format dxfId="10">
      <pivotArea outline="0" collapsedLevelsAreSubtotals="1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A74180-C25F-4473-928E-D27F2ADC546A}" name="Tabela1" displayName="Tabela1" ref="A1:K1293" totalsRowShown="0">
  <autoFilter ref="A1:K1293" xr:uid="{D1A74180-C25F-4473-928E-D27F2ADC546A}"/>
  <sortState xmlns:xlrd2="http://schemas.microsoft.com/office/spreadsheetml/2017/richdata2" ref="A32:K994">
    <sortCondition ref="F1:F1293"/>
  </sortState>
  <tableColumns count="11">
    <tableColumn id="1" xr3:uid="{FFC3A52F-5B68-4EA3-91CD-2C7BE46327BD}" name="Codigo PN"/>
    <tableColumn id="2" xr3:uid="{80C83AD4-D6B7-4724-B392-B8AA66CCF6A9}" name="Razao Social"/>
    <tableColumn id="3" xr3:uid="{6BC5365E-A124-4634-B462-89BA64461807}" name="No.Docto."/>
    <tableColumn id="4" xr3:uid="{7927AA86-8B13-42CF-8CD9-A3D099CFA4DE}" name="No. NF"/>
    <tableColumn id="5" xr3:uid="{2D98DA8D-EF45-4AF0-981B-BFE78B524ECB}" name="Emissão" dataDxfId="15"/>
    <tableColumn id="6" xr3:uid="{EE73D23B-2AB7-4015-BE09-2B763C634002}" name="Vencimento" dataDxfId="14"/>
    <tableColumn id="7" xr3:uid="{4013628F-32E5-4051-9FF3-DFB5A37C5718}" name="Valor R$" dataDxfId="13"/>
    <tableColumn id="8" xr3:uid="{61780B8B-C51B-47D9-8832-7975A986196E}" name="Dias Atraso"/>
    <tableColumn id="9" xr3:uid="{100DB20E-1122-4E56-AC2B-8AC7EB7370B6}" name="Observacoes"/>
    <tableColumn id="10" xr3:uid="{C22A4055-EB29-4A5E-9A23-2CF19D2850D1}" name="Vendedor"/>
    <tableColumn id="11" xr3:uid="{C8FF4B5A-BA31-4DBF-87AA-56D3EC3A8809}" name="Forma Pagto.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17534F-0751-44AC-960E-71E2CC3E9C61}" name="Tabela2" displayName="Tabela2" ref="A1:K79" totalsRowShown="0">
  <autoFilter ref="A1:K79" xr:uid="{5D17534F-0751-44AC-960E-71E2CC3E9C61}"/>
  <tableColumns count="11">
    <tableColumn id="1" xr3:uid="{C09535F7-F667-4854-AD2C-7E9EEA05CCCB}" name="Codigo PN"/>
    <tableColumn id="2" xr3:uid="{A761FC10-1196-4B82-895C-9126AD0EF4D8}" name="Razao Social"/>
    <tableColumn id="3" xr3:uid="{7E2AEC40-2FF4-4D4D-BB66-4EA51329C386}" name="No.Docto."/>
    <tableColumn id="4" xr3:uid="{6D210E5B-2B6E-495F-B58E-DB95117DBB88}" name="No. NF"/>
    <tableColumn id="5" xr3:uid="{16C62DDC-EC95-42DF-A76E-30548D085289}" name="Emissão" dataDxfId="12"/>
    <tableColumn id="6" xr3:uid="{D09E8203-9985-45EE-ABB7-3810CAF8AD09}" name="Vencimento" dataDxfId="11"/>
    <tableColumn id="7" xr3:uid="{572C3178-D793-4F63-8360-C487A6517878}" name="Valor R$"/>
    <tableColumn id="8" xr3:uid="{72771078-2A7F-4A76-8030-9E9D81957EBA}" name="Dias Atraso"/>
    <tableColumn id="9" xr3:uid="{173F0C9F-5CF3-4956-852E-9D1F37C006B2}" name="Observacoes"/>
    <tableColumn id="10" xr3:uid="{814FDD6F-97B8-4906-BAEF-49157C557BB3}" name="Vendedor"/>
    <tableColumn id="11" xr3:uid="{D97299D1-4421-4DE2-9026-E49584AC0746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E6CF-F6F7-43E3-B97F-E8A57327DD2E}">
  <sheetPr>
    <tabColor theme="9" tint="0.79998168889431442"/>
  </sheetPr>
  <dimension ref="A1:K1293"/>
  <sheetViews>
    <sheetView showGridLines="0" topLeftCell="A1280" workbookViewId="0">
      <selection activeCell="B1307" sqref="B1307"/>
    </sheetView>
  </sheetViews>
  <sheetFormatPr defaultRowHeight="14.4" x14ac:dyDescent="0.3"/>
  <cols>
    <col min="1" max="1" width="11.33203125" customWidth="1"/>
    <col min="2" max="2" width="78.21875" bestFit="1" customWidth="1"/>
    <col min="3" max="3" width="11.44140625" customWidth="1"/>
    <col min="4" max="4" width="8.5546875" customWidth="1"/>
    <col min="5" max="5" width="10.5546875" bestFit="1" customWidth="1"/>
    <col min="6" max="6" width="12.6640625" customWidth="1"/>
    <col min="7" max="7" width="10.6640625" bestFit="1" customWidth="1"/>
    <col min="8" max="8" width="12.109375" customWidth="1"/>
    <col min="9" max="9" width="47.88671875" bestFit="1" customWidth="1"/>
    <col min="10" max="10" width="36.33203125" bestFit="1" customWidth="1"/>
    <col min="11" max="11" width="13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22587</v>
      </c>
      <c r="D2">
        <v>31856</v>
      </c>
      <c r="E2" s="1">
        <v>45091</v>
      </c>
      <c r="F2" s="1">
        <v>45241</v>
      </c>
      <c r="G2" s="2">
        <v>5580.84</v>
      </c>
      <c r="H2">
        <v>0</v>
      </c>
      <c r="I2" t="s">
        <v>13</v>
      </c>
      <c r="J2" t="s">
        <v>14</v>
      </c>
      <c r="K2" t="s">
        <v>15</v>
      </c>
    </row>
    <row r="3" spans="1:11" x14ac:dyDescent="0.3">
      <c r="A3" t="s">
        <v>16</v>
      </c>
      <c r="B3" t="s">
        <v>17</v>
      </c>
      <c r="C3">
        <v>22676</v>
      </c>
      <c r="D3">
        <v>31951</v>
      </c>
      <c r="E3" s="1">
        <v>45105</v>
      </c>
      <c r="F3" s="1">
        <v>45255</v>
      </c>
      <c r="G3" s="2">
        <v>4815</v>
      </c>
      <c r="H3">
        <v>0</v>
      </c>
      <c r="I3" t="s">
        <v>18</v>
      </c>
      <c r="J3" t="s">
        <v>19</v>
      </c>
      <c r="K3" t="s">
        <v>15</v>
      </c>
    </row>
    <row r="4" spans="1:11" x14ac:dyDescent="0.3">
      <c r="A4" t="s">
        <v>20</v>
      </c>
      <c r="B4" t="s">
        <v>21</v>
      </c>
      <c r="C4">
        <v>22726</v>
      </c>
      <c r="D4">
        <v>32006</v>
      </c>
      <c r="E4" s="1">
        <v>45111</v>
      </c>
      <c r="F4" s="1">
        <v>45231</v>
      </c>
      <c r="G4" s="2">
        <v>2028.86</v>
      </c>
      <c r="H4">
        <v>0</v>
      </c>
      <c r="I4" t="s">
        <v>22</v>
      </c>
      <c r="J4" t="s">
        <v>23</v>
      </c>
      <c r="K4" t="s">
        <v>15</v>
      </c>
    </row>
    <row r="5" spans="1:11" x14ac:dyDescent="0.3">
      <c r="A5" t="s">
        <v>20</v>
      </c>
      <c r="B5" t="s">
        <v>21</v>
      </c>
      <c r="C5">
        <v>22726</v>
      </c>
      <c r="D5">
        <v>32006</v>
      </c>
      <c r="E5" s="1">
        <v>45111</v>
      </c>
      <c r="F5" s="1">
        <v>45246</v>
      </c>
      <c r="G5" s="2">
        <v>2028.86</v>
      </c>
      <c r="H5">
        <v>0</v>
      </c>
      <c r="I5" t="s">
        <v>22</v>
      </c>
      <c r="J5" t="s">
        <v>23</v>
      </c>
      <c r="K5" t="s">
        <v>15</v>
      </c>
    </row>
    <row r="6" spans="1:11" x14ac:dyDescent="0.3">
      <c r="A6" t="s">
        <v>20</v>
      </c>
      <c r="B6" t="s">
        <v>21</v>
      </c>
      <c r="C6">
        <v>22726</v>
      </c>
      <c r="D6">
        <v>32006</v>
      </c>
      <c r="E6" s="1">
        <v>45111</v>
      </c>
      <c r="F6" s="1">
        <v>45261</v>
      </c>
      <c r="G6" s="2">
        <v>2028.86</v>
      </c>
      <c r="H6">
        <v>0</v>
      </c>
      <c r="I6" t="s">
        <v>22</v>
      </c>
      <c r="J6" t="s">
        <v>23</v>
      </c>
      <c r="K6" t="s">
        <v>15</v>
      </c>
    </row>
    <row r="7" spans="1:11" x14ac:dyDescent="0.3">
      <c r="A7" t="s">
        <v>20</v>
      </c>
      <c r="B7" t="s">
        <v>21</v>
      </c>
      <c r="C7">
        <v>22726</v>
      </c>
      <c r="D7">
        <v>32006</v>
      </c>
      <c r="E7" s="1">
        <v>45111</v>
      </c>
      <c r="F7" s="1">
        <v>45276</v>
      </c>
      <c r="G7" s="2">
        <v>2028.86</v>
      </c>
      <c r="H7">
        <v>0</v>
      </c>
      <c r="I7" t="s">
        <v>22</v>
      </c>
      <c r="J7" t="s">
        <v>23</v>
      </c>
      <c r="K7" t="s">
        <v>15</v>
      </c>
    </row>
    <row r="8" spans="1:11" x14ac:dyDescent="0.3">
      <c r="A8" t="s">
        <v>20</v>
      </c>
      <c r="B8" t="s">
        <v>21</v>
      </c>
      <c r="C8">
        <v>22726</v>
      </c>
      <c r="D8">
        <v>32006</v>
      </c>
      <c r="E8" s="1">
        <v>45111</v>
      </c>
      <c r="F8" s="1">
        <v>45291</v>
      </c>
      <c r="G8" s="2">
        <v>2028.92</v>
      </c>
      <c r="H8">
        <v>0</v>
      </c>
      <c r="I8" t="s">
        <v>22</v>
      </c>
      <c r="J8" t="s">
        <v>23</v>
      </c>
      <c r="K8" t="s">
        <v>15</v>
      </c>
    </row>
    <row r="9" spans="1:11" x14ac:dyDescent="0.3">
      <c r="A9" t="s">
        <v>24</v>
      </c>
      <c r="B9" t="s">
        <v>25</v>
      </c>
      <c r="C9">
        <v>22737</v>
      </c>
      <c r="D9">
        <v>32017</v>
      </c>
      <c r="E9" s="1">
        <v>45111</v>
      </c>
      <c r="F9" s="1">
        <v>45291</v>
      </c>
      <c r="G9" s="2">
        <v>55856</v>
      </c>
      <c r="H9">
        <v>0</v>
      </c>
      <c r="I9" t="s">
        <v>26</v>
      </c>
      <c r="J9" t="s">
        <v>27</v>
      </c>
      <c r="K9" t="s">
        <v>15</v>
      </c>
    </row>
    <row r="10" spans="1:11" x14ac:dyDescent="0.3">
      <c r="A10" t="s">
        <v>28</v>
      </c>
      <c r="B10" t="s">
        <v>29</v>
      </c>
      <c r="C10">
        <v>22894</v>
      </c>
      <c r="D10">
        <v>32162</v>
      </c>
      <c r="E10" s="1">
        <v>45134</v>
      </c>
      <c r="F10" s="1">
        <v>45468</v>
      </c>
      <c r="G10" s="2">
        <v>58000</v>
      </c>
      <c r="H10">
        <v>0</v>
      </c>
      <c r="I10" t="s">
        <v>30</v>
      </c>
      <c r="J10" t="s">
        <v>19</v>
      </c>
      <c r="K10" t="s">
        <v>15</v>
      </c>
    </row>
    <row r="11" spans="1:11" x14ac:dyDescent="0.3">
      <c r="A11" t="s">
        <v>31</v>
      </c>
      <c r="B11" t="s">
        <v>32</v>
      </c>
      <c r="C11">
        <v>22969</v>
      </c>
      <c r="D11">
        <v>32258</v>
      </c>
      <c r="E11" s="1">
        <v>45149</v>
      </c>
      <c r="F11" s="1">
        <v>45269</v>
      </c>
      <c r="G11" s="2">
        <v>15299.98</v>
      </c>
      <c r="H11">
        <v>0</v>
      </c>
      <c r="I11" t="s">
        <v>33</v>
      </c>
      <c r="J11" t="s">
        <v>19</v>
      </c>
      <c r="K11" t="s">
        <v>15</v>
      </c>
    </row>
    <row r="12" spans="1:11" x14ac:dyDescent="0.3">
      <c r="A12" t="s">
        <v>31</v>
      </c>
      <c r="B12" t="s">
        <v>32</v>
      </c>
      <c r="C12">
        <v>22969</v>
      </c>
      <c r="D12">
        <v>32258</v>
      </c>
      <c r="E12" s="1">
        <v>45149</v>
      </c>
      <c r="F12" s="1">
        <v>45299</v>
      </c>
      <c r="G12" s="2">
        <v>15299.98</v>
      </c>
      <c r="H12">
        <v>0</v>
      </c>
      <c r="I12" t="s">
        <v>33</v>
      </c>
      <c r="J12" t="s">
        <v>19</v>
      </c>
      <c r="K12" t="s">
        <v>15</v>
      </c>
    </row>
    <row r="13" spans="1:11" x14ac:dyDescent="0.3">
      <c r="A13" t="s">
        <v>31</v>
      </c>
      <c r="B13" t="s">
        <v>32</v>
      </c>
      <c r="C13">
        <v>22969</v>
      </c>
      <c r="D13">
        <v>32258</v>
      </c>
      <c r="E13" s="1">
        <v>45149</v>
      </c>
      <c r="F13" s="1">
        <v>45329</v>
      </c>
      <c r="G13" s="2">
        <v>15300.04</v>
      </c>
      <c r="H13">
        <v>0</v>
      </c>
      <c r="I13" t="s">
        <v>33</v>
      </c>
      <c r="J13" t="s">
        <v>19</v>
      </c>
      <c r="K13" t="s">
        <v>15</v>
      </c>
    </row>
    <row r="14" spans="1:11" x14ac:dyDescent="0.3">
      <c r="A14" t="s">
        <v>61</v>
      </c>
      <c r="B14" t="s">
        <v>35</v>
      </c>
      <c r="C14">
        <v>22382</v>
      </c>
      <c r="D14">
        <v>31620</v>
      </c>
      <c r="E14" s="1">
        <v>45044</v>
      </c>
      <c r="F14" s="1">
        <v>45224</v>
      </c>
      <c r="G14" s="2">
        <v>133120</v>
      </c>
      <c r="H14">
        <v>0</v>
      </c>
      <c r="I14" t="s">
        <v>189</v>
      </c>
      <c r="J14" t="s">
        <v>19</v>
      </c>
      <c r="K14" t="s">
        <v>15</v>
      </c>
    </row>
    <row r="15" spans="1:11" x14ac:dyDescent="0.3">
      <c r="A15" t="s">
        <v>37</v>
      </c>
      <c r="B15" t="s">
        <v>29</v>
      </c>
      <c r="C15">
        <v>23019</v>
      </c>
      <c r="D15">
        <v>32314</v>
      </c>
      <c r="E15" s="1">
        <v>45155</v>
      </c>
      <c r="F15" s="1">
        <v>45275</v>
      </c>
      <c r="G15" s="2">
        <v>24000</v>
      </c>
      <c r="H15">
        <v>0</v>
      </c>
      <c r="I15" t="s">
        <v>38</v>
      </c>
      <c r="J15" t="s">
        <v>19</v>
      </c>
      <c r="K15" t="s">
        <v>15</v>
      </c>
    </row>
    <row r="16" spans="1:11" x14ac:dyDescent="0.3">
      <c r="A16" t="s">
        <v>39</v>
      </c>
      <c r="B16" t="s">
        <v>40</v>
      </c>
      <c r="C16">
        <v>23037</v>
      </c>
      <c r="D16">
        <v>32335</v>
      </c>
      <c r="E16" s="1">
        <v>45156</v>
      </c>
      <c r="F16" s="1">
        <v>45493</v>
      </c>
      <c r="G16" s="2">
        <v>96923.92</v>
      </c>
      <c r="H16">
        <v>0</v>
      </c>
      <c r="I16" t="s">
        <v>41</v>
      </c>
      <c r="J16" t="s">
        <v>42</v>
      </c>
      <c r="K16" t="s">
        <v>15</v>
      </c>
    </row>
    <row r="17" spans="1:11" x14ac:dyDescent="0.3">
      <c r="A17" t="s">
        <v>39</v>
      </c>
      <c r="B17" t="s">
        <v>40</v>
      </c>
      <c r="C17">
        <v>23037</v>
      </c>
      <c r="D17">
        <v>32335</v>
      </c>
      <c r="E17" s="1">
        <v>45156</v>
      </c>
      <c r="F17" s="1">
        <v>45524</v>
      </c>
      <c r="G17" s="2">
        <v>96923.92</v>
      </c>
      <c r="H17">
        <v>0</v>
      </c>
      <c r="I17" t="s">
        <v>41</v>
      </c>
      <c r="J17" t="s">
        <v>42</v>
      </c>
      <c r="K17" t="s">
        <v>15</v>
      </c>
    </row>
    <row r="18" spans="1:11" x14ac:dyDescent="0.3">
      <c r="A18" t="s">
        <v>39</v>
      </c>
      <c r="B18" t="s">
        <v>40</v>
      </c>
      <c r="C18">
        <v>23037</v>
      </c>
      <c r="D18">
        <v>32335</v>
      </c>
      <c r="E18" s="1">
        <v>45156</v>
      </c>
      <c r="F18" s="1">
        <v>45555</v>
      </c>
      <c r="G18" s="2">
        <v>96923.92</v>
      </c>
      <c r="H18">
        <v>0</v>
      </c>
      <c r="I18" t="s">
        <v>41</v>
      </c>
      <c r="J18" t="s">
        <v>42</v>
      </c>
      <c r="K18" t="s">
        <v>15</v>
      </c>
    </row>
    <row r="19" spans="1:11" x14ac:dyDescent="0.3">
      <c r="A19" t="s">
        <v>39</v>
      </c>
      <c r="B19" t="s">
        <v>40</v>
      </c>
      <c r="C19">
        <v>23037</v>
      </c>
      <c r="D19">
        <v>32335</v>
      </c>
      <c r="E19" s="1">
        <v>45156</v>
      </c>
      <c r="F19" s="1">
        <v>45585</v>
      </c>
      <c r="G19" s="2">
        <v>96923.92</v>
      </c>
      <c r="H19">
        <v>0</v>
      </c>
      <c r="I19" t="s">
        <v>41</v>
      </c>
      <c r="J19" t="s">
        <v>42</v>
      </c>
      <c r="K19" t="s">
        <v>15</v>
      </c>
    </row>
    <row r="20" spans="1:11" x14ac:dyDescent="0.3">
      <c r="A20" t="s">
        <v>39</v>
      </c>
      <c r="B20" t="s">
        <v>40</v>
      </c>
      <c r="C20">
        <v>23037</v>
      </c>
      <c r="D20">
        <v>32335</v>
      </c>
      <c r="E20" s="1">
        <v>45156</v>
      </c>
      <c r="F20" s="1">
        <v>45616</v>
      </c>
      <c r="G20" s="2">
        <v>96923.92</v>
      </c>
      <c r="H20">
        <v>0</v>
      </c>
      <c r="I20" t="s">
        <v>41</v>
      </c>
      <c r="J20" t="s">
        <v>42</v>
      </c>
      <c r="K20" t="s">
        <v>15</v>
      </c>
    </row>
    <row r="21" spans="1:11" x14ac:dyDescent="0.3">
      <c r="A21" t="s">
        <v>43</v>
      </c>
      <c r="B21" t="s">
        <v>44</v>
      </c>
      <c r="C21">
        <v>23069</v>
      </c>
      <c r="D21">
        <v>32369</v>
      </c>
      <c r="E21" s="1">
        <v>45161</v>
      </c>
      <c r="F21" s="1">
        <v>45473</v>
      </c>
      <c r="G21" s="2">
        <v>105000</v>
      </c>
      <c r="H21">
        <v>0</v>
      </c>
      <c r="I21" t="s">
        <v>45</v>
      </c>
      <c r="J21" t="s">
        <v>46</v>
      </c>
      <c r="K21" t="s">
        <v>15</v>
      </c>
    </row>
    <row r="22" spans="1:11" x14ac:dyDescent="0.3">
      <c r="A22" t="s">
        <v>47</v>
      </c>
      <c r="B22" t="s">
        <v>48</v>
      </c>
      <c r="C22">
        <v>23105</v>
      </c>
      <c r="D22">
        <v>32404</v>
      </c>
      <c r="E22" s="1">
        <v>45162</v>
      </c>
      <c r="F22" s="1">
        <v>45252</v>
      </c>
      <c r="G22">
        <v>165.3</v>
      </c>
      <c r="H22">
        <v>0</v>
      </c>
      <c r="I22" t="s">
        <v>49</v>
      </c>
      <c r="J22" t="s">
        <v>23</v>
      </c>
      <c r="K22" t="s">
        <v>15</v>
      </c>
    </row>
    <row r="23" spans="1:11" x14ac:dyDescent="0.3">
      <c r="A23" t="s">
        <v>47</v>
      </c>
      <c r="B23" t="s">
        <v>48</v>
      </c>
      <c r="C23">
        <v>23105</v>
      </c>
      <c r="D23">
        <v>32404</v>
      </c>
      <c r="E23" s="1">
        <v>45162</v>
      </c>
      <c r="F23" s="1">
        <v>45282</v>
      </c>
      <c r="G23">
        <v>165.3</v>
      </c>
      <c r="H23">
        <v>0</v>
      </c>
      <c r="I23" t="s">
        <v>49</v>
      </c>
      <c r="J23" t="s">
        <v>23</v>
      </c>
      <c r="K23" t="s">
        <v>15</v>
      </c>
    </row>
    <row r="24" spans="1:11" x14ac:dyDescent="0.3">
      <c r="A24" t="s">
        <v>47</v>
      </c>
      <c r="B24" t="s">
        <v>48</v>
      </c>
      <c r="C24">
        <v>23105</v>
      </c>
      <c r="D24">
        <v>32404</v>
      </c>
      <c r="E24" s="1">
        <v>45162</v>
      </c>
      <c r="F24" s="1">
        <v>45312</v>
      </c>
      <c r="G24">
        <v>165.3</v>
      </c>
      <c r="H24">
        <v>0</v>
      </c>
      <c r="I24" t="s">
        <v>49</v>
      </c>
      <c r="J24" t="s">
        <v>23</v>
      </c>
      <c r="K24" t="s">
        <v>15</v>
      </c>
    </row>
    <row r="25" spans="1:11" x14ac:dyDescent="0.3">
      <c r="A25" t="s">
        <v>31</v>
      </c>
      <c r="B25" t="s">
        <v>32</v>
      </c>
      <c r="C25">
        <v>22616</v>
      </c>
      <c r="D25">
        <v>31886</v>
      </c>
      <c r="E25" s="1">
        <v>45097</v>
      </c>
      <c r="F25" s="1">
        <v>45247</v>
      </c>
      <c r="G25" s="2">
        <v>34986.629999999997</v>
      </c>
      <c r="H25">
        <v>0</v>
      </c>
      <c r="I25" t="s">
        <v>50</v>
      </c>
      <c r="J25" t="s">
        <v>19</v>
      </c>
      <c r="K25" t="s">
        <v>15</v>
      </c>
    </row>
    <row r="26" spans="1:11" x14ac:dyDescent="0.3">
      <c r="A26" t="s">
        <v>31</v>
      </c>
      <c r="B26" t="s">
        <v>32</v>
      </c>
      <c r="C26">
        <v>22616</v>
      </c>
      <c r="D26">
        <v>31886</v>
      </c>
      <c r="E26" s="1">
        <v>45097</v>
      </c>
      <c r="F26" s="1">
        <v>45277</v>
      </c>
      <c r="G26" s="2">
        <v>34986.74</v>
      </c>
      <c r="H26">
        <v>0</v>
      </c>
      <c r="I26" t="s">
        <v>50</v>
      </c>
      <c r="J26" t="s">
        <v>19</v>
      </c>
      <c r="K26" t="s">
        <v>15</v>
      </c>
    </row>
    <row r="27" spans="1:11" x14ac:dyDescent="0.3">
      <c r="A27" t="s">
        <v>51</v>
      </c>
      <c r="B27" t="s">
        <v>52</v>
      </c>
      <c r="C27">
        <v>22697</v>
      </c>
      <c r="D27">
        <v>31972</v>
      </c>
      <c r="E27" s="1">
        <v>45105</v>
      </c>
      <c r="F27" s="1">
        <v>45285</v>
      </c>
      <c r="G27" s="2">
        <v>7067.11</v>
      </c>
      <c r="H27">
        <v>0</v>
      </c>
      <c r="I27" t="s">
        <v>53</v>
      </c>
      <c r="J27" t="s">
        <v>19</v>
      </c>
    </row>
    <row r="28" spans="1:11" x14ac:dyDescent="0.3">
      <c r="A28" t="s">
        <v>54</v>
      </c>
      <c r="B28" t="s">
        <v>55</v>
      </c>
      <c r="C28">
        <v>22916</v>
      </c>
      <c r="D28">
        <v>32183</v>
      </c>
      <c r="E28" s="1">
        <v>45138</v>
      </c>
      <c r="F28" s="1">
        <v>45258</v>
      </c>
      <c r="G28" s="2">
        <v>5720.75</v>
      </c>
      <c r="H28">
        <v>0</v>
      </c>
      <c r="I28" t="s">
        <v>56</v>
      </c>
      <c r="J28" t="s">
        <v>57</v>
      </c>
      <c r="K28" t="s">
        <v>15</v>
      </c>
    </row>
    <row r="29" spans="1:11" x14ac:dyDescent="0.3">
      <c r="A29" t="s">
        <v>58</v>
      </c>
      <c r="B29" t="s">
        <v>59</v>
      </c>
      <c r="C29">
        <v>23015</v>
      </c>
      <c r="D29">
        <v>32311</v>
      </c>
      <c r="E29" s="1">
        <v>45155</v>
      </c>
      <c r="F29" s="1">
        <v>45245</v>
      </c>
      <c r="G29" s="2">
        <v>54613.5</v>
      </c>
      <c r="H29">
        <v>0</v>
      </c>
      <c r="I29" t="s">
        <v>60</v>
      </c>
      <c r="J29" t="s">
        <v>57</v>
      </c>
      <c r="K29" t="s">
        <v>15</v>
      </c>
    </row>
    <row r="30" spans="1:11" x14ac:dyDescent="0.3">
      <c r="A30" t="s">
        <v>58</v>
      </c>
      <c r="B30" t="s">
        <v>59</v>
      </c>
      <c r="C30">
        <v>23015</v>
      </c>
      <c r="D30">
        <v>32311</v>
      </c>
      <c r="E30" s="1">
        <v>45155</v>
      </c>
      <c r="F30" s="1">
        <v>45275</v>
      </c>
      <c r="G30" s="2">
        <v>54613.5</v>
      </c>
      <c r="H30">
        <v>0</v>
      </c>
      <c r="I30" t="s">
        <v>60</v>
      </c>
      <c r="J30" t="s">
        <v>57</v>
      </c>
      <c r="K30" t="s">
        <v>15</v>
      </c>
    </row>
    <row r="31" spans="1:11" x14ac:dyDescent="0.3">
      <c r="A31" t="s">
        <v>34</v>
      </c>
      <c r="B31" t="s">
        <v>35</v>
      </c>
      <c r="C31">
        <v>22674</v>
      </c>
      <c r="D31">
        <v>31949</v>
      </c>
      <c r="E31" s="1">
        <v>45105</v>
      </c>
      <c r="F31" s="1">
        <v>45225</v>
      </c>
      <c r="G31" s="2">
        <v>66150</v>
      </c>
      <c r="H31">
        <v>0</v>
      </c>
      <c r="I31" t="s">
        <v>209</v>
      </c>
      <c r="J31" t="s">
        <v>19</v>
      </c>
      <c r="K31" t="s">
        <v>15</v>
      </c>
    </row>
    <row r="32" spans="1:11" x14ac:dyDescent="0.3">
      <c r="A32" t="s">
        <v>63</v>
      </c>
      <c r="B32" t="s">
        <v>64</v>
      </c>
      <c r="C32">
        <v>22869</v>
      </c>
      <c r="D32">
        <v>32138</v>
      </c>
      <c r="E32" s="1">
        <v>45132</v>
      </c>
      <c r="F32" s="1">
        <v>45252</v>
      </c>
      <c r="G32" s="2">
        <v>30947.75</v>
      </c>
      <c r="H32">
        <v>0</v>
      </c>
      <c r="I32" t="s">
        <v>123</v>
      </c>
      <c r="J32" t="s">
        <v>19</v>
      </c>
      <c r="K32" t="s">
        <v>15</v>
      </c>
    </row>
    <row r="33" spans="1:11" x14ac:dyDescent="0.3">
      <c r="A33" t="s">
        <v>31</v>
      </c>
      <c r="B33" t="s">
        <v>32</v>
      </c>
      <c r="C33">
        <v>23266</v>
      </c>
      <c r="D33">
        <v>32584</v>
      </c>
      <c r="E33" s="1">
        <v>45175</v>
      </c>
      <c r="F33" s="1">
        <v>45265</v>
      </c>
      <c r="G33" s="2">
        <v>2866.66</v>
      </c>
      <c r="H33">
        <v>0</v>
      </c>
      <c r="I33" t="s">
        <v>66</v>
      </c>
      <c r="J33" t="s">
        <v>19</v>
      </c>
      <c r="K33" t="s">
        <v>15</v>
      </c>
    </row>
    <row r="34" spans="1:11" x14ac:dyDescent="0.3">
      <c r="A34" t="s">
        <v>31</v>
      </c>
      <c r="B34" t="s">
        <v>32</v>
      </c>
      <c r="C34">
        <v>23266</v>
      </c>
      <c r="D34">
        <v>32584</v>
      </c>
      <c r="E34" s="1">
        <v>45175</v>
      </c>
      <c r="F34" s="1">
        <v>45295</v>
      </c>
      <c r="G34" s="2">
        <v>2866.66</v>
      </c>
      <c r="H34">
        <v>0</v>
      </c>
      <c r="I34" t="s">
        <v>66</v>
      </c>
      <c r="J34" t="s">
        <v>19</v>
      </c>
      <c r="K34" t="s">
        <v>15</v>
      </c>
    </row>
    <row r="35" spans="1:11" x14ac:dyDescent="0.3">
      <c r="A35" t="s">
        <v>31</v>
      </c>
      <c r="B35" t="s">
        <v>32</v>
      </c>
      <c r="C35">
        <v>23266</v>
      </c>
      <c r="D35">
        <v>32584</v>
      </c>
      <c r="E35" s="1">
        <v>45175</v>
      </c>
      <c r="F35" s="1">
        <v>45325</v>
      </c>
      <c r="G35" s="2">
        <v>2866.68</v>
      </c>
      <c r="H35">
        <v>0</v>
      </c>
      <c r="I35" t="s">
        <v>66</v>
      </c>
      <c r="J35" t="s">
        <v>19</v>
      </c>
      <c r="K35" t="s">
        <v>15</v>
      </c>
    </row>
    <row r="36" spans="1:11" x14ac:dyDescent="0.3">
      <c r="A36" t="s">
        <v>67</v>
      </c>
      <c r="B36" t="s">
        <v>68</v>
      </c>
      <c r="C36">
        <v>23298</v>
      </c>
      <c r="D36">
        <v>32609</v>
      </c>
      <c r="E36" s="1">
        <v>45177</v>
      </c>
      <c r="F36" s="1">
        <v>45297</v>
      </c>
      <c r="G36" s="2">
        <v>128000</v>
      </c>
      <c r="H36">
        <v>0</v>
      </c>
      <c r="I36" t="s">
        <v>69</v>
      </c>
      <c r="J36" t="s">
        <v>19</v>
      </c>
      <c r="K36" t="s">
        <v>15</v>
      </c>
    </row>
    <row r="37" spans="1:11" x14ac:dyDescent="0.3">
      <c r="A37" t="s">
        <v>70</v>
      </c>
      <c r="B37" t="s">
        <v>71</v>
      </c>
      <c r="C37">
        <v>23351</v>
      </c>
      <c r="D37">
        <v>32664</v>
      </c>
      <c r="E37" s="1">
        <v>45182</v>
      </c>
      <c r="F37" s="1">
        <v>45427</v>
      </c>
      <c r="G37" s="2">
        <v>57600</v>
      </c>
      <c r="H37">
        <v>0</v>
      </c>
      <c r="I37" t="s">
        <v>72</v>
      </c>
      <c r="J37" t="s">
        <v>73</v>
      </c>
      <c r="K37" t="s">
        <v>15</v>
      </c>
    </row>
    <row r="38" spans="1:11" x14ac:dyDescent="0.3">
      <c r="A38" t="s">
        <v>74</v>
      </c>
      <c r="B38" t="s">
        <v>75</v>
      </c>
      <c r="C38">
        <v>23384</v>
      </c>
      <c r="D38">
        <v>32697</v>
      </c>
      <c r="E38" s="1">
        <v>45183</v>
      </c>
      <c r="F38" s="1">
        <v>45453</v>
      </c>
      <c r="G38" s="2">
        <v>41480</v>
      </c>
      <c r="H38">
        <v>0</v>
      </c>
      <c r="I38" t="s">
        <v>76</v>
      </c>
      <c r="J38" t="s">
        <v>77</v>
      </c>
      <c r="K38" t="s">
        <v>15</v>
      </c>
    </row>
    <row r="39" spans="1:11" x14ac:dyDescent="0.3">
      <c r="A39" t="s">
        <v>20</v>
      </c>
      <c r="B39" t="s">
        <v>21</v>
      </c>
      <c r="C39">
        <v>23652</v>
      </c>
      <c r="D39">
        <v>32986</v>
      </c>
      <c r="E39" s="1">
        <v>45198</v>
      </c>
      <c r="F39" s="1">
        <v>45258</v>
      </c>
      <c r="G39" s="2">
        <v>25427.51</v>
      </c>
      <c r="H39">
        <v>0</v>
      </c>
      <c r="I39" t="s">
        <v>78</v>
      </c>
      <c r="J39" t="s">
        <v>23</v>
      </c>
      <c r="K39" t="s">
        <v>15</v>
      </c>
    </row>
    <row r="40" spans="1:11" x14ac:dyDescent="0.3">
      <c r="A40" t="s">
        <v>20</v>
      </c>
      <c r="B40" t="s">
        <v>21</v>
      </c>
      <c r="C40">
        <v>23652</v>
      </c>
      <c r="D40">
        <v>32986</v>
      </c>
      <c r="E40" s="1">
        <v>45198</v>
      </c>
      <c r="F40" s="1">
        <v>45273</v>
      </c>
      <c r="G40" s="2">
        <v>25427.51</v>
      </c>
      <c r="H40">
        <v>0</v>
      </c>
      <c r="I40" t="s">
        <v>78</v>
      </c>
      <c r="J40" t="s">
        <v>23</v>
      </c>
      <c r="K40" t="s">
        <v>15</v>
      </c>
    </row>
    <row r="41" spans="1:11" x14ac:dyDescent="0.3">
      <c r="A41" t="s">
        <v>20</v>
      </c>
      <c r="B41" t="s">
        <v>21</v>
      </c>
      <c r="C41">
        <v>23652</v>
      </c>
      <c r="D41">
        <v>32986</v>
      </c>
      <c r="E41" s="1">
        <v>45198</v>
      </c>
      <c r="F41" s="1">
        <v>45288</v>
      </c>
      <c r="G41" s="2">
        <v>25427.51</v>
      </c>
      <c r="H41">
        <v>0</v>
      </c>
      <c r="I41" t="s">
        <v>78</v>
      </c>
      <c r="J41" t="s">
        <v>23</v>
      </c>
      <c r="K41" t="s">
        <v>15</v>
      </c>
    </row>
    <row r="42" spans="1:11" x14ac:dyDescent="0.3">
      <c r="A42" t="s">
        <v>20</v>
      </c>
      <c r="B42" t="s">
        <v>21</v>
      </c>
      <c r="C42">
        <v>23652</v>
      </c>
      <c r="D42">
        <v>32986</v>
      </c>
      <c r="E42" s="1">
        <v>45198</v>
      </c>
      <c r="F42" s="1">
        <v>45303</v>
      </c>
      <c r="G42" s="2">
        <v>25427.51</v>
      </c>
      <c r="H42">
        <v>0</v>
      </c>
      <c r="I42" t="s">
        <v>78</v>
      </c>
      <c r="J42" t="s">
        <v>23</v>
      </c>
      <c r="K42" t="s">
        <v>15</v>
      </c>
    </row>
    <row r="43" spans="1:11" x14ac:dyDescent="0.3">
      <c r="A43" t="s">
        <v>20</v>
      </c>
      <c r="B43" t="s">
        <v>21</v>
      </c>
      <c r="C43">
        <v>23652</v>
      </c>
      <c r="D43">
        <v>32986</v>
      </c>
      <c r="E43" s="1">
        <v>45198</v>
      </c>
      <c r="F43" s="1">
        <v>45318</v>
      </c>
      <c r="G43" s="2">
        <v>25427.51</v>
      </c>
      <c r="H43">
        <v>0</v>
      </c>
      <c r="I43" t="s">
        <v>78</v>
      </c>
      <c r="J43" t="s">
        <v>23</v>
      </c>
      <c r="K43" t="s">
        <v>15</v>
      </c>
    </row>
    <row r="44" spans="1:11" x14ac:dyDescent="0.3">
      <c r="A44" t="s">
        <v>20</v>
      </c>
      <c r="B44" t="s">
        <v>21</v>
      </c>
      <c r="C44">
        <v>23652</v>
      </c>
      <c r="D44">
        <v>32986</v>
      </c>
      <c r="E44" s="1">
        <v>45198</v>
      </c>
      <c r="F44" s="1">
        <v>45333</v>
      </c>
      <c r="G44" s="2">
        <v>25427.51</v>
      </c>
      <c r="H44">
        <v>0</v>
      </c>
      <c r="I44" t="s">
        <v>78</v>
      </c>
      <c r="J44" t="s">
        <v>23</v>
      </c>
      <c r="K44" t="s">
        <v>15</v>
      </c>
    </row>
    <row r="45" spans="1:11" x14ac:dyDescent="0.3">
      <c r="A45" t="s">
        <v>20</v>
      </c>
      <c r="B45" t="s">
        <v>21</v>
      </c>
      <c r="C45">
        <v>23652</v>
      </c>
      <c r="D45">
        <v>32986</v>
      </c>
      <c r="E45" s="1">
        <v>45198</v>
      </c>
      <c r="F45" s="1">
        <v>45348</v>
      </c>
      <c r="G45" s="2">
        <v>25427.51</v>
      </c>
      <c r="H45">
        <v>0</v>
      </c>
      <c r="I45" t="s">
        <v>78</v>
      </c>
      <c r="J45" t="s">
        <v>23</v>
      </c>
      <c r="K45" t="s">
        <v>15</v>
      </c>
    </row>
    <row r="46" spans="1:11" x14ac:dyDescent="0.3">
      <c r="A46" t="s">
        <v>20</v>
      </c>
      <c r="B46" t="s">
        <v>21</v>
      </c>
      <c r="C46">
        <v>23652</v>
      </c>
      <c r="D46">
        <v>32986</v>
      </c>
      <c r="E46" s="1">
        <v>45198</v>
      </c>
      <c r="F46" s="1">
        <v>45363</v>
      </c>
      <c r="G46" s="2">
        <v>25427.51</v>
      </c>
      <c r="H46">
        <v>0</v>
      </c>
      <c r="I46" t="s">
        <v>78</v>
      </c>
      <c r="J46" t="s">
        <v>23</v>
      </c>
      <c r="K46" t="s">
        <v>15</v>
      </c>
    </row>
    <row r="47" spans="1:11" x14ac:dyDescent="0.3">
      <c r="A47" t="s">
        <v>79</v>
      </c>
      <c r="B47" t="s">
        <v>80</v>
      </c>
      <c r="C47">
        <v>20603</v>
      </c>
      <c r="D47">
        <v>29709</v>
      </c>
      <c r="E47" s="1">
        <v>44830</v>
      </c>
      <c r="F47" s="1">
        <v>45046</v>
      </c>
      <c r="G47" s="2">
        <v>14620</v>
      </c>
      <c r="H47">
        <v>176</v>
      </c>
      <c r="I47" t="s">
        <v>81</v>
      </c>
      <c r="J47" t="s">
        <v>82</v>
      </c>
      <c r="K47" t="s">
        <v>15</v>
      </c>
    </row>
    <row r="48" spans="1:11" x14ac:dyDescent="0.3">
      <c r="A48" t="s">
        <v>83</v>
      </c>
      <c r="B48" t="s">
        <v>84</v>
      </c>
      <c r="C48">
        <v>21707</v>
      </c>
      <c r="D48">
        <v>30862</v>
      </c>
      <c r="E48" s="1">
        <v>44959</v>
      </c>
      <c r="F48" s="1">
        <v>45199</v>
      </c>
      <c r="G48" s="2">
        <v>330000</v>
      </c>
      <c r="H48">
        <v>23</v>
      </c>
      <c r="I48" t="s">
        <v>85</v>
      </c>
      <c r="J48" t="s">
        <v>86</v>
      </c>
      <c r="K48" t="s">
        <v>15</v>
      </c>
    </row>
    <row r="49" spans="1:11" x14ac:dyDescent="0.3">
      <c r="A49" t="s">
        <v>43</v>
      </c>
      <c r="B49" t="s">
        <v>44</v>
      </c>
      <c r="C49">
        <v>22420</v>
      </c>
      <c r="D49">
        <v>31666</v>
      </c>
      <c r="E49" s="1">
        <v>45050</v>
      </c>
      <c r="F49" s="1">
        <v>45412</v>
      </c>
      <c r="G49" s="2">
        <v>100380</v>
      </c>
      <c r="H49">
        <v>0</v>
      </c>
      <c r="I49" t="s">
        <v>87</v>
      </c>
      <c r="J49" t="s">
        <v>46</v>
      </c>
      <c r="K49" t="s">
        <v>15</v>
      </c>
    </row>
    <row r="50" spans="1:11" x14ac:dyDescent="0.3">
      <c r="A50" t="s">
        <v>88</v>
      </c>
      <c r="B50" t="s">
        <v>89</v>
      </c>
      <c r="C50">
        <v>22518</v>
      </c>
      <c r="D50">
        <v>31775</v>
      </c>
      <c r="E50" s="1">
        <v>45072</v>
      </c>
      <c r="F50" s="1">
        <v>45222</v>
      </c>
      <c r="G50" s="2">
        <v>30000</v>
      </c>
      <c r="H50">
        <v>0</v>
      </c>
      <c r="I50" t="s">
        <v>90</v>
      </c>
      <c r="J50" t="s">
        <v>27</v>
      </c>
      <c r="K50" t="s">
        <v>15</v>
      </c>
    </row>
    <row r="51" spans="1:11" x14ac:dyDescent="0.3">
      <c r="A51" t="s">
        <v>91</v>
      </c>
      <c r="B51" t="s">
        <v>92</v>
      </c>
      <c r="C51">
        <v>22720</v>
      </c>
      <c r="D51">
        <v>31999</v>
      </c>
      <c r="E51" s="1">
        <v>45110</v>
      </c>
      <c r="F51" s="1">
        <v>45230</v>
      </c>
      <c r="G51" s="2">
        <v>9950</v>
      </c>
      <c r="H51">
        <v>0</v>
      </c>
      <c r="I51" t="s">
        <v>93</v>
      </c>
      <c r="J51" t="s">
        <v>94</v>
      </c>
      <c r="K51" t="s">
        <v>15</v>
      </c>
    </row>
    <row r="52" spans="1:11" x14ac:dyDescent="0.3">
      <c r="A52" t="s">
        <v>34</v>
      </c>
      <c r="B52" t="s">
        <v>35</v>
      </c>
      <c r="C52">
        <v>22673</v>
      </c>
      <c r="D52">
        <v>31948</v>
      </c>
      <c r="E52" s="1">
        <v>45105</v>
      </c>
      <c r="F52" s="1">
        <v>45225</v>
      </c>
      <c r="G52" s="2">
        <v>57082.5</v>
      </c>
      <c r="H52">
        <v>0</v>
      </c>
      <c r="I52" t="s">
        <v>421</v>
      </c>
      <c r="J52" t="s">
        <v>19</v>
      </c>
      <c r="K52" t="s">
        <v>15</v>
      </c>
    </row>
    <row r="53" spans="1:11" x14ac:dyDescent="0.3">
      <c r="A53" t="s">
        <v>96</v>
      </c>
      <c r="B53" t="s">
        <v>97</v>
      </c>
      <c r="C53">
        <v>22777</v>
      </c>
      <c r="D53">
        <v>32065</v>
      </c>
      <c r="E53" s="1">
        <v>45119</v>
      </c>
      <c r="F53" s="1">
        <v>45379</v>
      </c>
      <c r="G53" s="2">
        <v>590832</v>
      </c>
      <c r="H53">
        <v>0</v>
      </c>
      <c r="I53" t="s">
        <v>98</v>
      </c>
      <c r="J53" t="s">
        <v>99</v>
      </c>
      <c r="K53" t="s">
        <v>15</v>
      </c>
    </row>
    <row r="54" spans="1:11" x14ac:dyDescent="0.3">
      <c r="A54" t="s">
        <v>100</v>
      </c>
      <c r="B54" t="s">
        <v>101</v>
      </c>
      <c r="C54">
        <v>22977</v>
      </c>
      <c r="D54">
        <v>32266</v>
      </c>
      <c r="E54" s="1">
        <v>45152</v>
      </c>
      <c r="F54" s="1">
        <v>45242</v>
      </c>
      <c r="G54" s="2">
        <v>10633.5</v>
      </c>
      <c r="H54">
        <v>0</v>
      </c>
      <c r="I54" t="s">
        <v>102</v>
      </c>
      <c r="J54" t="s">
        <v>14</v>
      </c>
      <c r="K54" t="s">
        <v>15</v>
      </c>
    </row>
    <row r="55" spans="1:11" x14ac:dyDescent="0.3">
      <c r="A55" t="s">
        <v>100</v>
      </c>
      <c r="B55" t="s">
        <v>101</v>
      </c>
      <c r="C55">
        <v>22977</v>
      </c>
      <c r="D55">
        <v>32266</v>
      </c>
      <c r="E55" s="1">
        <v>45152</v>
      </c>
      <c r="F55" s="1">
        <v>45272</v>
      </c>
      <c r="G55" s="2">
        <v>10633.5</v>
      </c>
      <c r="H55">
        <v>0</v>
      </c>
      <c r="I55" t="s">
        <v>102</v>
      </c>
      <c r="J55" t="s">
        <v>14</v>
      </c>
      <c r="K55" t="s">
        <v>15</v>
      </c>
    </row>
    <row r="56" spans="1:11" x14ac:dyDescent="0.3">
      <c r="A56" t="s">
        <v>20</v>
      </c>
      <c r="B56" t="s">
        <v>21</v>
      </c>
      <c r="C56">
        <v>23111</v>
      </c>
      <c r="D56">
        <v>32409</v>
      </c>
      <c r="E56" s="1">
        <v>45163</v>
      </c>
      <c r="F56" s="1">
        <v>45238</v>
      </c>
      <c r="G56" s="2">
        <v>11282.65</v>
      </c>
      <c r="H56">
        <v>0</v>
      </c>
      <c r="I56" t="s">
        <v>103</v>
      </c>
      <c r="J56" t="s">
        <v>23</v>
      </c>
      <c r="K56" t="s">
        <v>15</v>
      </c>
    </row>
    <row r="57" spans="1:11" x14ac:dyDescent="0.3">
      <c r="A57" t="s">
        <v>20</v>
      </c>
      <c r="B57" t="s">
        <v>21</v>
      </c>
      <c r="C57">
        <v>23111</v>
      </c>
      <c r="D57">
        <v>32409</v>
      </c>
      <c r="E57" s="1">
        <v>45163</v>
      </c>
      <c r="F57" s="1">
        <v>45253</v>
      </c>
      <c r="G57" s="2">
        <v>11282.65</v>
      </c>
      <c r="H57">
        <v>0</v>
      </c>
      <c r="I57" t="s">
        <v>103</v>
      </c>
      <c r="J57" t="s">
        <v>23</v>
      </c>
      <c r="K57" t="s">
        <v>15</v>
      </c>
    </row>
    <row r="58" spans="1:11" x14ac:dyDescent="0.3">
      <c r="A58" t="s">
        <v>20</v>
      </c>
      <c r="B58" t="s">
        <v>21</v>
      </c>
      <c r="C58">
        <v>23111</v>
      </c>
      <c r="D58">
        <v>32409</v>
      </c>
      <c r="E58" s="1">
        <v>45163</v>
      </c>
      <c r="F58" s="1">
        <v>45268</v>
      </c>
      <c r="G58" s="2">
        <v>11282.65</v>
      </c>
      <c r="H58">
        <v>0</v>
      </c>
      <c r="I58" t="s">
        <v>103</v>
      </c>
      <c r="J58" t="s">
        <v>23</v>
      </c>
      <c r="K58" t="s">
        <v>15</v>
      </c>
    </row>
    <row r="59" spans="1:11" x14ac:dyDescent="0.3">
      <c r="A59" t="s">
        <v>20</v>
      </c>
      <c r="B59" t="s">
        <v>21</v>
      </c>
      <c r="C59">
        <v>23111</v>
      </c>
      <c r="D59">
        <v>32409</v>
      </c>
      <c r="E59" s="1">
        <v>45163</v>
      </c>
      <c r="F59" s="1">
        <v>45283</v>
      </c>
      <c r="G59" s="2">
        <v>11282.65</v>
      </c>
      <c r="H59">
        <v>0</v>
      </c>
      <c r="I59" t="s">
        <v>103</v>
      </c>
      <c r="J59" t="s">
        <v>23</v>
      </c>
      <c r="K59" t="s">
        <v>15</v>
      </c>
    </row>
    <row r="60" spans="1:11" x14ac:dyDescent="0.3">
      <c r="A60" t="s">
        <v>20</v>
      </c>
      <c r="B60" t="s">
        <v>21</v>
      </c>
      <c r="C60">
        <v>23111</v>
      </c>
      <c r="D60">
        <v>32409</v>
      </c>
      <c r="E60" s="1">
        <v>45163</v>
      </c>
      <c r="F60" s="1">
        <v>45298</v>
      </c>
      <c r="G60" s="2">
        <v>11282.65</v>
      </c>
      <c r="H60">
        <v>0</v>
      </c>
      <c r="I60" t="s">
        <v>103</v>
      </c>
      <c r="J60" t="s">
        <v>23</v>
      </c>
      <c r="K60" t="s">
        <v>15</v>
      </c>
    </row>
    <row r="61" spans="1:11" x14ac:dyDescent="0.3">
      <c r="A61" t="s">
        <v>20</v>
      </c>
      <c r="B61" t="s">
        <v>21</v>
      </c>
      <c r="C61">
        <v>23111</v>
      </c>
      <c r="D61">
        <v>32409</v>
      </c>
      <c r="E61" s="1">
        <v>45163</v>
      </c>
      <c r="F61" s="1">
        <v>45313</v>
      </c>
      <c r="G61" s="2">
        <v>11282.65</v>
      </c>
      <c r="H61">
        <v>0</v>
      </c>
      <c r="I61" t="s">
        <v>103</v>
      </c>
      <c r="J61" t="s">
        <v>23</v>
      </c>
      <c r="K61" t="s">
        <v>15</v>
      </c>
    </row>
    <row r="62" spans="1:11" x14ac:dyDescent="0.3">
      <c r="A62" t="s">
        <v>20</v>
      </c>
      <c r="B62" t="s">
        <v>21</v>
      </c>
      <c r="C62">
        <v>23111</v>
      </c>
      <c r="D62">
        <v>32409</v>
      </c>
      <c r="E62" s="1">
        <v>45163</v>
      </c>
      <c r="F62" s="1">
        <v>45328</v>
      </c>
      <c r="G62" s="2">
        <v>11282.65</v>
      </c>
      <c r="H62">
        <v>0</v>
      </c>
      <c r="I62" t="s">
        <v>103</v>
      </c>
      <c r="J62" t="s">
        <v>23</v>
      </c>
      <c r="K62" t="s">
        <v>15</v>
      </c>
    </row>
    <row r="63" spans="1:11" x14ac:dyDescent="0.3">
      <c r="A63" t="s">
        <v>20</v>
      </c>
      <c r="B63" t="s">
        <v>21</v>
      </c>
      <c r="C63">
        <v>23111</v>
      </c>
      <c r="D63">
        <v>32409</v>
      </c>
      <c r="E63" s="1">
        <v>45163</v>
      </c>
      <c r="F63" s="1">
        <v>45343</v>
      </c>
      <c r="G63" s="2">
        <v>11282.72</v>
      </c>
      <c r="H63">
        <v>0</v>
      </c>
      <c r="I63" t="s">
        <v>103</v>
      </c>
      <c r="J63" t="s">
        <v>23</v>
      </c>
      <c r="K63" t="s">
        <v>15</v>
      </c>
    </row>
    <row r="64" spans="1:11" x14ac:dyDescent="0.3">
      <c r="A64" t="s">
        <v>104</v>
      </c>
      <c r="B64" t="s">
        <v>105</v>
      </c>
      <c r="C64">
        <v>23245</v>
      </c>
      <c r="D64">
        <v>32561</v>
      </c>
      <c r="E64" s="1">
        <v>45174</v>
      </c>
      <c r="F64" s="1">
        <v>45294</v>
      </c>
      <c r="G64" s="2">
        <v>1400.5</v>
      </c>
      <c r="H64">
        <v>0</v>
      </c>
      <c r="I64" t="s">
        <v>106</v>
      </c>
      <c r="J64" t="s">
        <v>19</v>
      </c>
      <c r="K64" t="s">
        <v>15</v>
      </c>
    </row>
    <row r="65" spans="1:11" x14ac:dyDescent="0.3">
      <c r="A65" t="s">
        <v>31</v>
      </c>
      <c r="B65" t="s">
        <v>32</v>
      </c>
      <c r="C65">
        <v>23254</v>
      </c>
      <c r="D65">
        <v>32571</v>
      </c>
      <c r="E65" s="1">
        <v>45175</v>
      </c>
      <c r="F65" s="1">
        <v>45295</v>
      </c>
      <c r="G65" s="2">
        <v>43946.62</v>
      </c>
      <c r="H65">
        <v>0</v>
      </c>
      <c r="I65" t="s">
        <v>107</v>
      </c>
      <c r="J65" t="s">
        <v>19</v>
      </c>
      <c r="K65" t="s">
        <v>15</v>
      </c>
    </row>
    <row r="66" spans="1:11" x14ac:dyDescent="0.3">
      <c r="A66" t="s">
        <v>31</v>
      </c>
      <c r="B66" t="s">
        <v>32</v>
      </c>
      <c r="C66">
        <v>23254</v>
      </c>
      <c r="D66">
        <v>32571</v>
      </c>
      <c r="E66" s="1">
        <v>45175</v>
      </c>
      <c r="F66" s="1">
        <v>45325</v>
      </c>
      <c r="G66" s="2">
        <v>43946.62</v>
      </c>
      <c r="H66">
        <v>0</v>
      </c>
      <c r="I66" t="s">
        <v>107</v>
      </c>
      <c r="J66" t="s">
        <v>19</v>
      </c>
      <c r="K66" t="s">
        <v>15</v>
      </c>
    </row>
    <row r="67" spans="1:11" x14ac:dyDescent="0.3">
      <c r="A67" t="s">
        <v>31</v>
      </c>
      <c r="B67" t="s">
        <v>32</v>
      </c>
      <c r="C67">
        <v>23254</v>
      </c>
      <c r="D67">
        <v>32571</v>
      </c>
      <c r="E67" s="1">
        <v>45175</v>
      </c>
      <c r="F67" s="1">
        <v>45355</v>
      </c>
      <c r="G67" s="2">
        <v>43946.76</v>
      </c>
      <c r="H67">
        <v>0</v>
      </c>
      <c r="I67" t="s">
        <v>107</v>
      </c>
      <c r="J67" t="s">
        <v>19</v>
      </c>
      <c r="K67" t="s">
        <v>15</v>
      </c>
    </row>
    <row r="68" spans="1:11" x14ac:dyDescent="0.3">
      <c r="A68" t="s">
        <v>34</v>
      </c>
      <c r="B68" t="s">
        <v>35</v>
      </c>
      <c r="C68">
        <v>22685</v>
      </c>
      <c r="D68">
        <v>31960</v>
      </c>
      <c r="E68" s="1">
        <v>45105</v>
      </c>
      <c r="F68" s="1">
        <v>45225</v>
      </c>
      <c r="G68" s="2">
        <v>19572</v>
      </c>
      <c r="H68">
        <v>0</v>
      </c>
      <c r="I68" t="s">
        <v>611</v>
      </c>
      <c r="J68" t="s">
        <v>19</v>
      </c>
      <c r="K68" t="s">
        <v>15</v>
      </c>
    </row>
    <row r="69" spans="1:11" x14ac:dyDescent="0.3">
      <c r="A69" t="s">
        <v>109</v>
      </c>
      <c r="B69" t="s">
        <v>110</v>
      </c>
      <c r="C69">
        <v>20704</v>
      </c>
      <c r="D69">
        <v>29813</v>
      </c>
      <c r="E69" s="1">
        <v>44839</v>
      </c>
      <c r="F69" s="1">
        <v>45076</v>
      </c>
      <c r="G69" s="2">
        <v>13240</v>
      </c>
      <c r="H69">
        <v>146</v>
      </c>
      <c r="I69" t="s">
        <v>111</v>
      </c>
      <c r="J69" t="s">
        <v>112</v>
      </c>
      <c r="K69" t="s">
        <v>15</v>
      </c>
    </row>
    <row r="70" spans="1:11" x14ac:dyDescent="0.3">
      <c r="A70" t="s">
        <v>109</v>
      </c>
      <c r="B70" t="s">
        <v>110</v>
      </c>
      <c r="C70">
        <v>21297</v>
      </c>
      <c r="D70">
        <v>30457</v>
      </c>
      <c r="E70" s="1">
        <v>44911</v>
      </c>
      <c r="F70" s="1">
        <v>45076</v>
      </c>
      <c r="G70" s="2">
        <v>76800</v>
      </c>
      <c r="H70">
        <v>146</v>
      </c>
      <c r="I70" t="s">
        <v>113</v>
      </c>
      <c r="J70" t="s">
        <v>112</v>
      </c>
      <c r="K70" t="s">
        <v>15</v>
      </c>
    </row>
    <row r="71" spans="1:11" x14ac:dyDescent="0.3">
      <c r="A71" t="s">
        <v>114</v>
      </c>
      <c r="B71" t="s">
        <v>115</v>
      </c>
      <c r="C71">
        <v>22551</v>
      </c>
      <c r="D71">
        <v>31813</v>
      </c>
      <c r="E71" s="1">
        <v>45077</v>
      </c>
      <c r="F71" s="1">
        <v>45229</v>
      </c>
      <c r="G71" s="2">
        <v>200200</v>
      </c>
      <c r="H71">
        <v>0</v>
      </c>
      <c r="I71" t="s">
        <v>116</v>
      </c>
      <c r="J71" t="s">
        <v>82</v>
      </c>
      <c r="K71" t="s">
        <v>15</v>
      </c>
    </row>
    <row r="72" spans="1:11" x14ac:dyDescent="0.3">
      <c r="A72" t="s">
        <v>47</v>
      </c>
      <c r="B72" t="s">
        <v>48</v>
      </c>
      <c r="C72">
        <v>22601</v>
      </c>
      <c r="D72">
        <v>31872</v>
      </c>
      <c r="E72" s="1">
        <v>45092</v>
      </c>
      <c r="F72" s="1">
        <v>45242</v>
      </c>
      <c r="G72" s="2">
        <v>52275.79</v>
      </c>
      <c r="H72">
        <v>0</v>
      </c>
      <c r="I72" t="s">
        <v>117</v>
      </c>
      <c r="J72" t="s">
        <v>23</v>
      </c>
      <c r="K72" t="s">
        <v>15</v>
      </c>
    </row>
    <row r="73" spans="1:11" x14ac:dyDescent="0.3">
      <c r="A73" t="s">
        <v>47</v>
      </c>
      <c r="B73" t="s">
        <v>48</v>
      </c>
      <c r="C73">
        <v>22601</v>
      </c>
      <c r="D73">
        <v>31872</v>
      </c>
      <c r="E73" s="1">
        <v>45092</v>
      </c>
      <c r="F73" s="1">
        <v>45272</v>
      </c>
      <c r="G73" s="2">
        <v>52275.15</v>
      </c>
      <c r="H73">
        <v>0</v>
      </c>
      <c r="I73" t="s">
        <v>117</v>
      </c>
      <c r="J73" t="s">
        <v>23</v>
      </c>
      <c r="K73" t="s">
        <v>15</v>
      </c>
    </row>
    <row r="74" spans="1:11" x14ac:dyDescent="0.3">
      <c r="A74" t="s">
        <v>16</v>
      </c>
      <c r="B74" t="s">
        <v>17</v>
      </c>
      <c r="C74">
        <v>22687</v>
      </c>
      <c r="D74">
        <v>31962</v>
      </c>
      <c r="E74" s="1">
        <v>45105</v>
      </c>
      <c r="F74" s="1">
        <v>45225</v>
      </c>
      <c r="G74" s="2">
        <v>95700</v>
      </c>
      <c r="H74">
        <v>0</v>
      </c>
      <c r="I74" t="s">
        <v>118</v>
      </c>
      <c r="J74" t="s">
        <v>19</v>
      </c>
      <c r="K74" t="s">
        <v>15</v>
      </c>
    </row>
    <row r="75" spans="1:11" x14ac:dyDescent="0.3">
      <c r="A75" t="s">
        <v>119</v>
      </c>
      <c r="B75" t="s">
        <v>120</v>
      </c>
      <c r="C75">
        <v>22812</v>
      </c>
      <c r="D75">
        <v>32098</v>
      </c>
      <c r="E75" s="1">
        <v>45127</v>
      </c>
      <c r="F75" s="1">
        <v>45307</v>
      </c>
      <c r="G75" s="2">
        <v>20640.21</v>
      </c>
      <c r="H75">
        <v>0</v>
      </c>
      <c r="I75" t="s">
        <v>121</v>
      </c>
      <c r="J75" t="s">
        <v>122</v>
      </c>
      <c r="K75" t="s">
        <v>15</v>
      </c>
    </row>
    <row r="76" spans="1:11" x14ac:dyDescent="0.3">
      <c r="A76" t="s">
        <v>63</v>
      </c>
      <c r="B76" t="s">
        <v>64</v>
      </c>
      <c r="C76">
        <v>22870</v>
      </c>
      <c r="D76">
        <v>32139</v>
      </c>
      <c r="E76" s="1">
        <v>45132</v>
      </c>
      <c r="F76" s="1">
        <v>45252</v>
      </c>
      <c r="G76" s="2">
        <v>15025</v>
      </c>
      <c r="H76">
        <v>0</v>
      </c>
      <c r="I76" t="s">
        <v>555</v>
      </c>
      <c r="J76" t="s">
        <v>19</v>
      </c>
      <c r="K76" t="s">
        <v>15</v>
      </c>
    </row>
    <row r="77" spans="1:11" x14ac:dyDescent="0.3">
      <c r="A77" t="s">
        <v>39</v>
      </c>
      <c r="B77" t="s">
        <v>40</v>
      </c>
      <c r="C77">
        <v>22955</v>
      </c>
      <c r="D77">
        <v>32234</v>
      </c>
      <c r="E77" s="1">
        <v>45145</v>
      </c>
      <c r="F77" s="1">
        <v>45406</v>
      </c>
      <c r="G77" s="2">
        <v>510781.8</v>
      </c>
      <c r="H77">
        <v>0</v>
      </c>
      <c r="I77" t="s">
        <v>124</v>
      </c>
      <c r="J77" t="s">
        <v>42</v>
      </c>
      <c r="K77" t="s">
        <v>15</v>
      </c>
    </row>
    <row r="78" spans="1:11" x14ac:dyDescent="0.3">
      <c r="A78" t="s">
        <v>31</v>
      </c>
      <c r="B78" t="s">
        <v>32</v>
      </c>
      <c r="C78">
        <v>22987</v>
      </c>
      <c r="D78">
        <v>32283</v>
      </c>
      <c r="E78" s="1">
        <v>45153</v>
      </c>
      <c r="F78" s="1">
        <v>45273</v>
      </c>
      <c r="G78" s="2">
        <v>5666.66</v>
      </c>
      <c r="H78">
        <v>0</v>
      </c>
      <c r="I78" t="s">
        <v>125</v>
      </c>
      <c r="J78" t="s">
        <v>19</v>
      </c>
      <c r="K78" t="s">
        <v>15</v>
      </c>
    </row>
    <row r="79" spans="1:11" x14ac:dyDescent="0.3">
      <c r="A79" t="s">
        <v>31</v>
      </c>
      <c r="B79" t="s">
        <v>32</v>
      </c>
      <c r="C79">
        <v>22987</v>
      </c>
      <c r="D79">
        <v>32283</v>
      </c>
      <c r="E79" s="1">
        <v>45153</v>
      </c>
      <c r="F79" s="1">
        <v>45303</v>
      </c>
      <c r="G79" s="2">
        <v>5666.66</v>
      </c>
      <c r="H79">
        <v>0</v>
      </c>
      <c r="I79" t="s">
        <v>125</v>
      </c>
      <c r="J79" t="s">
        <v>19</v>
      </c>
      <c r="K79" t="s">
        <v>15</v>
      </c>
    </row>
    <row r="80" spans="1:11" x14ac:dyDescent="0.3">
      <c r="A80" t="s">
        <v>31</v>
      </c>
      <c r="B80" t="s">
        <v>32</v>
      </c>
      <c r="C80">
        <v>22987</v>
      </c>
      <c r="D80">
        <v>32283</v>
      </c>
      <c r="E80" s="1">
        <v>45153</v>
      </c>
      <c r="F80" s="1">
        <v>45333</v>
      </c>
      <c r="G80" s="2">
        <v>5666.68</v>
      </c>
      <c r="H80">
        <v>0</v>
      </c>
      <c r="I80" t="s">
        <v>125</v>
      </c>
      <c r="J80" t="s">
        <v>19</v>
      </c>
      <c r="K80" t="s">
        <v>15</v>
      </c>
    </row>
    <row r="81" spans="1:11" x14ac:dyDescent="0.3">
      <c r="A81" t="s">
        <v>61</v>
      </c>
      <c r="B81" t="s">
        <v>35</v>
      </c>
      <c r="C81">
        <v>22686</v>
      </c>
      <c r="D81">
        <v>31961</v>
      </c>
      <c r="E81" s="1">
        <v>45105</v>
      </c>
      <c r="F81" s="1">
        <v>45225</v>
      </c>
      <c r="G81" s="2">
        <v>9320</v>
      </c>
      <c r="H81">
        <v>0</v>
      </c>
      <c r="I81" t="s">
        <v>1149</v>
      </c>
      <c r="J81" t="s">
        <v>19</v>
      </c>
      <c r="K81" t="s">
        <v>15</v>
      </c>
    </row>
    <row r="82" spans="1:11" x14ac:dyDescent="0.3">
      <c r="A82" t="s">
        <v>20</v>
      </c>
      <c r="B82" t="s">
        <v>21</v>
      </c>
      <c r="C82">
        <v>23112</v>
      </c>
      <c r="D82">
        <v>32410</v>
      </c>
      <c r="E82" s="1">
        <v>45163</v>
      </c>
      <c r="F82" s="1">
        <v>45223</v>
      </c>
      <c r="G82">
        <v>62.6</v>
      </c>
      <c r="H82">
        <v>0</v>
      </c>
      <c r="I82" t="s">
        <v>127</v>
      </c>
      <c r="J82" t="s">
        <v>23</v>
      </c>
      <c r="K82" t="s">
        <v>15</v>
      </c>
    </row>
    <row r="83" spans="1:11" x14ac:dyDescent="0.3">
      <c r="A83" t="s">
        <v>20</v>
      </c>
      <c r="B83" t="s">
        <v>21</v>
      </c>
      <c r="C83">
        <v>23112</v>
      </c>
      <c r="D83">
        <v>32410</v>
      </c>
      <c r="E83" s="1">
        <v>45163</v>
      </c>
      <c r="F83" s="1">
        <v>45238</v>
      </c>
      <c r="G83" s="2">
        <v>2242.9499999999998</v>
      </c>
      <c r="H83">
        <v>0</v>
      </c>
      <c r="I83" t="s">
        <v>127</v>
      </c>
      <c r="J83" t="s">
        <v>23</v>
      </c>
      <c r="K83" t="s">
        <v>15</v>
      </c>
    </row>
    <row r="84" spans="1:11" x14ac:dyDescent="0.3">
      <c r="A84" t="s">
        <v>20</v>
      </c>
      <c r="B84" t="s">
        <v>21</v>
      </c>
      <c r="C84">
        <v>23112</v>
      </c>
      <c r="D84">
        <v>32410</v>
      </c>
      <c r="E84" s="1">
        <v>45163</v>
      </c>
      <c r="F84" s="1">
        <v>45253</v>
      </c>
      <c r="G84" s="2">
        <v>2242.9499999999998</v>
      </c>
      <c r="H84">
        <v>0</v>
      </c>
      <c r="I84" t="s">
        <v>127</v>
      </c>
      <c r="J84" t="s">
        <v>23</v>
      </c>
      <c r="K84" t="s">
        <v>15</v>
      </c>
    </row>
    <row r="85" spans="1:11" x14ac:dyDescent="0.3">
      <c r="A85" t="s">
        <v>20</v>
      </c>
      <c r="B85" t="s">
        <v>21</v>
      </c>
      <c r="C85">
        <v>23112</v>
      </c>
      <c r="D85">
        <v>32410</v>
      </c>
      <c r="E85" s="1">
        <v>45163</v>
      </c>
      <c r="F85" s="1">
        <v>45268</v>
      </c>
      <c r="G85" s="2">
        <v>2242.9499999999998</v>
      </c>
      <c r="H85">
        <v>0</v>
      </c>
      <c r="I85" t="s">
        <v>127</v>
      </c>
      <c r="J85" t="s">
        <v>23</v>
      </c>
      <c r="K85" t="s">
        <v>15</v>
      </c>
    </row>
    <row r="86" spans="1:11" x14ac:dyDescent="0.3">
      <c r="A86" t="s">
        <v>20</v>
      </c>
      <c r="B86" t="s">
        <v>21</v>
      </c>
      <c r="C86">
        <v>23112</v>
      </c>
      <c r="D86">
        <v>32410</v>
      </c>
      <c r="E86" s="1">
        <v>45163</v>
      </c>
      <c r="F86" s="1">
        <v>45283</v>
      </c>
      <c r="G86" s="2">
        <v>2242.9499999999998</v>
      </c>
      <c r="H86">
        <v>0</v>
      </c>
      <c r="I86" t="s">
        <v>127</v>
      </c>
      <c r="J86" t="s">
        <v>23</v>
      </c>
      <c r="K86" t="s">
        <v>15</v>
      </c>
    </row>
    <row r="87" spans="1:11" x14ac:dyDescent="0.3">
      <c r="A87" t="s">
        <v>20</v>
      </c>
      <c r="B87" t="s">
        <v>21</v>
      </c>
      <c r="C87">
        <v>23112</v>
      </c>
      <c r="D87">
        <v>32410</v>
      </c>
      <c r="E87" s="1">
        <v>45163</v>
      </c>
      <c r="F87" s="1">
        <v>45298</v>
      </c>
      <c r="G87" s="2">
        <v>2242.9499999999998</v>
      </c>
      <c r="H87">
        <v>0</v>
      </c>
      <c r="I87" t="s">
        <v>127</v>
      </c>
      <c r="J87" t="s">
        <v>23</v>
      </c>
      <c r="K87" t="s">
        <v>15</v>
      </c>
    </row>
    <row r="88" spans="1:11" x14ac:dyDescent="0.3">
      <c r="A88" t="s">
        <v>20</v>
      </c>
      <c r="B88" t="s">
        <v>21</v>
      </c>
      <c r="C88">
        <v>23112</v>
      </c>
      <c r="D88">
        <v>32410</v>
      </c>
      <c r="E88" s="1">
        <v>45163</v>
      </c>
      <c r="F88" s="1">
        <v>45313</v>
      </c>
      <c r="G88" s="2">
        <v>2242.9499999999998</v>
      </c>
      <c r="H88">
        <v>0</v>
      </c>
      <c r="I88" t="s">
        <v>127</v>
      </c>
      <c r="J88" t="s">
        <v>23</v>
      </c>
      <c r="K88" t="s">
        <v>15</v>
      </c>
    </row>
    <row r="89" spans="1:11" x14ac:dyDescent="0.3">
      <c r="A89" t="s">
        <v>20</v>
      </c>
      <c r="B89" t="s">
        <v>21</v>
      </c>
      <c r="C89">
        <v>23112</v>
      </c>
      <c r="D89">
        <v>32410</v>
      </c>
      <c r="E89" s="1">
        <v>45163</v>
      </c>
      <c r="F89" s="1">
        <v>45328</v>
      </c>
      <c r="G89" s="2">
        <v>2242.9499999999998</v>
      </c>
      <c r="H89">
        <v>0</v>
      </c>
      <c r="I89" t="s">
        <v>127</v>
      </c>
      <c r="J89" t="s">
        <v>23</v>
      </c>
      <c r="K89" t="s">
        <v>15</v>
      </c>
    </row>
    <row r="90" spans="1:11" x14ac:dyDescent="0.3">
      <c r="A90" t="s">
        <v>20</v>
      </c>
      <c r="B90" t="s">
        <v>21</v>
      </c>
      <c r="C90">
        <v>23112</v>
      </c>
      <c r="D90">
        <v>32410</v>
      </c>
      <c r="E90" s="1">
        <v>45163</v>
      </c>
      <c r="F90" s="1">
        <v>45343</v>
      </c>
      <c r="G90" s="2">
        <v>2243</v>
      </c>
      <c r="H90">
        <v>0</v>
      </c>
      <c r="I90" t="s">
        <v>127</v>
      </c>
      <c r="J90" t="s">
        <v>23</v>
      </c>
      <c r="K90" t="s">
        <v>15</v>
      </c>
    </row>
    <row r="91" spans="1:11" x14ac:dyDescent="0.3">
      <c r="A91" t="s">
        <v>128</v>
      </c>
      <c r="B91" t="s">
        <v>129</v>
      </c>
      <c r="C91">
        <v>23119</v>
      </c>
      <c r="D91">
        <v>32420</v>
      </c>
      <c r="E91" s="1">
        <v>45163</v>
      </c>
      <c r="F91" s="1">
        <v>45283</v>
      </c>
      <c r="G91" s="2">
        <v>135315.75</v>
      </c>
      <c r="H91">
        <v>0</v>
      </c>
      <c r="I91" t="s">
        <v>130</v>
      </c>
      <c r="J91" t="s">
        <v>131</v>
      </c>
      <c r="K91" t="s">
        <v>15</v>
      </c>
    </row>
    <row r="92" spans="1:11" x14ac:dyDescent="0.3">
      <c r="A92" t="s">
        <v>132</v>
      </c>
      <c r="B92" t="s">
        <v>133</v>
      </c>
      <c r="C92">
        <v>22388</v>
      </c>
      <c r="D92">
        <v>31630</v>
      </c>
      <c r="E92" s="1">
        <v>45044</v>
      </c>
      <c r="F92" s="1">
        <v>45229</v>
      </c>
      <c r="G92" s="2">
        <v>119840</v>
      </c>
      <c r="H92">
        <v>0</v>
      </c>
      <c r="I92" t="s">
        <v>134</v>
      </c>
      <c r="J92" t="s">
        <v>135</v>
      </c>
      <c r="K92" t="s">
        <v>15</v>
      </c>
    </row>
    <row r="93" spans="1:11" x14ac:dyDescent="0.3">
      <c r="A93" t="s">
        <v>136</v>
      </c>
      <c r="B93" t="s">
        <v>137</v>
      </c>
      <c r="C93">
        <v>22705</v>
      </c>
      <c r="D93">
        <v>31982</v>
      </c>
      <c r="E93" s="1">
        <v>45106</v>
      </c>
      <c r="F93" s="1">
        <v>45256</v>
      </c>
      <c r="G93" s="2">
        <v>4075</v>
      </c>
      <c r="H93">
        <v>0</v>
      </c>
      <c r="I93" t="s">
        <v>138</v>
      </c>
      <c r="J93" t="s">
        <v>122</v>
      </c>
      <c r="K93" t="s">
        <v>15</v>
      </c>
    </row>
    <row r="94" spans="1:11" x14ac:dyDescent="0.3">
      <c r="A94" t="s">
        <v>139</v>
      </c>
      <c r="B94" t="s">
        <v>140</v>
      </c>
      <c r="C94">
        <v>22707</v>
      </c>
      <c r="D94">
        <v>31983</v>
      </c>
      <c r="E94" s="1">
        <v>45106</v>
      </c>
      <c r="F94" s="1">
        <v>45226</v>
      </c>
      <c r="G94" s="2">
        <v>5964.86</v>
      </c>
      <c r="H94">
        <v>0</v>
      </c>
      <c r="I94" t="s">
        <v>141</v>
      </c>
      <c r="J94" t="s">
        <v>135</v>
      </c>
      <c r="K94" t="s">
        <v>15</v>
      </c>
    </row>
    <row r="95" spans="1:11" x14ac:dyDescent="0.3">
      <c r="A95" t="s">
        <v>20</v>
      </c>
      <c r="B95" t="s">
        <v>21</v>
      </c>
      <c r="C95">
        <v>22724</v>
      </c>
      <c r="D95">
        <v>32004</v>
      </c>
      <c r="E95" s="1">
        <v>45111</v>
      </c>
      <c r="F95" s="1">
        <v>45231</v>
      </c>
      <c r="G95" s="2">
        <v>1062.31</v>
      </c>
      <c r="H95">
        <v>0</v>
      </c>
      <c r="I95" t="s">
        <v>142</v>
      </c>
      <c r="J95" t="s">
        <v>23</v>
      </c>
      <c r="K95" t="s">
        <v>15</v>
      </c>
    </row>
    <row r="96" spans="1:11" x14ac:dyDescent="0.3">
      <c r="A96" t="s">
        <v>20</v>
      </c>
      <c r="B96" t="s">
        <v>21</v>
      </c>
      <c r="C96">
        <v>22724</v>
      </c>
      <c r="D96">
        <v>32004</v>
      </c>
      <c r="E96" s="1">
        <v>45111</v>
      </c>
      <c r="F96" s="1">
        <v>45246</v>
      </c>
      <c r="G96" s="2">
        <v>1062.31</v>
      </c>
      <c r="H96">
        <v>0</v>
      </c>
      <c r="I96" t="s">
        <v>142</v>
      </c>
      <c r="J96" t="s">
        <v>23</v>
      </c>
      <c r="K96" t="s">
        <v>15</v>
      </c>
    </row>
    <row r="97" spans="1:11" x14ac:dyDescent="0.3">
      <c r="A97" t="s">
        <v>20</v>
      </c>
      <c r="B97" t="s">
        <v>21</v>
      </c>
      <c r="C97">
        <v>22724</v>
      </c>
      <c r="D97">
        <v>32004</v>
      </c>
      <c r="E97" s="1">
        <v>45111</v>
      </c>
      <c r="F97" s="1">
        <v>45261</v>
      </c>
      <c r="G97" s="2">
        <v>1062.31</v>
      </c>
      <c r="H97">
        <v>0</v>
      </c>
      <c r="I97" t="s">
        <v>142</v>
      </c>
      <c r="J97" t="s">
        <v>23</v>
      </c>
      <c r="K97" t="s">
        <v>15</v>
      </c>
    </row>
    <row r="98" spans="1:11" x14ac:dyDescent="0.3">
      <c r="A98" t="s">
        <v>20</v>
      </c>
      <c r="B98" t="s">
        <v>21</v>
      </c>
      <c r="C98">
        <v>22724</v>
      </c>
      <c r="D98">
        <v>32004</v>
      </c>
      <c r="E98" s="1">
        <v>45111</v>
      </c>
      <c r="F98" s="1">
        <v>45276</v>
      </c>
      <c r="G98" s="2">
        <v>1062.31</v>
      </c>
      <c r="H98">
        <v>0</v>
      </c>
      <c r="I98" t="s">
        <v>142</v>
      </c>
      <c r="J98" t="s">
        <v>23</v>
      </c>
      <c r="K98" t="s">
        <v>15</v>
      </c>
    </row>
    <row r="99" spans="1:11" x14ac:dyDescent="0.3">
      <c r="A99" t="s">
        <v>20</v>
      </c>
      <c r="B99" t="s">
        <v>21</v>
      </c>
      <c r="C99">
        <v>22724</v>
      </c>
      <c r="D99">
        <v>32004</v>
      </c>
      <c r="E99" s="1">
        <v>45111</v>
      </c>
      <c r="F99" s="1">
        <v>45291</v>
      </c>
      <c r="G99" s="2">
        <v>1062.32</v>
      </c>
      <c r="H99">
        <v>0</v>
      </c>
      <c r="I99" t="s">
        <v>142</v>
      </c>
      <c r="J99" t="s">
        <v>23</v>
      </c>
      <c r="K99" t="s">
        <v>15</v>
      </c>
    </row>
    <row r="100" spans="1:11" x14ac:dyDescent="0.3">
      <c r="A100" t="s">
        <v>54</v>
      </c>
      <c r="B100" t="s">
        <v>55</v>
      </c>
      <c r="C100">
        <v>22775</v>
      </c>
      <c r="D100">
        <v>32063</v>
      </c>
      <c r="E100" s="1">
        <v>45119</v>
      </c>
      <c r="F100" s="1">
        <v>45239</v>
      </c>
      <c r="G100" s="2">
        <v>18492.88</v>
      </c>
      <c r="H100">
        <v>0</v>
      </c>
      <c r="I100" t="s">
        <v>143</v>
      </c>
      <c r="J100" t="s">
        <v>57</v>
      </c>
      <c r="K100" t="s">
        <v>15</v>
      </c>
    </row>
    <row r="101" spans="1:11" x14ac:dyDescent="0.3">
      <c r="A101" t="s">
        <v>54</v>
      </c>
      <c r="B101" t="s">
        <v>55</v>
      </c>
      <c r="C101">
        <v>22775</v>
      </c>
      <c r="D101">
        <v>32063</v>
      </c>
      <c r="E101" s="1">
        <v>45119</v>
      </c>
      <c r="F101" s="1">
        <v>45269</v>
      </c>
      <c r="G101" s="2">
        <v>18492.88</v>
      </c>
      <c r="H101">
        <v>0</v>
      </c>
      <c r="I101" t="s">
        <v>143</v>
      </c>
      <c r="J101" t="s">
        <v>57</v>
      </c>
      <c r="K101" t="s">
        <v>15</v>
      </c>
    </row>
    <row r="102" spans="1:11" x14ac:dyDescent="0.3">
      <c r="A102" t="s">
        <v>34</v>
      </c>
      <c r="B102" t="s">
        <v>35</v>
      </c>
      <c r="C102">
        <v>22536</v>
      </c>
      <c r="D102">
        <v>31796</v>
      </c>
      <c r="E102" s="1">
        <v>45077</v>
      </c>
      <c r="F102" s="1">
        <v>45227</v>
      </c>
      <c r="G102" s="2">
        <v>60600</v>
      </c>
      <c r="H102">
        <v>0</v>
      </c>
      <c r="I102" t="s">
        <v>648</v>
      </c>
      <c r="J102" t="s">
        <v>19</v>
      </c>
      <c r="K102" t="s">
        <v>15</v>
      </c>
    </row>
    <row r="103" spans="1:11" x14ac:dyDescent="0.3">
      <c r="A103" t="s">
        <v>145</v>
      </c>
      <c r="B103" t="s">
        <v>146</v>
      </c>
      <c r="C103">
        <v>23075</v>
      </c>
      <c r="D103">
        <v>32374</v>
      </c>
      <c r="E103" s="1">
        <v>45161</v>
      </c>
      <c r="F103" s="1">
        <v>45412</v>
      </c>
      <c r="G103" s="2">
        <v>132373</v>
      </c>
      <c r="H103">
        <v>0</v>
      </c>
      <c r="I103" t="s">
        <v>147</v>
      </c>
      <c r="J103" t="s">
        <v>82</v>
      </c>
      <c r="K103" t="s">
        <v>15</v>
      </c>
    </row>
    <row r="104" spans="1:11" x14ac:dyDescent="0.3">
      <c r="A104" t="s">
        <v>31</v>
      </c>
      <c r="B104" t="s">
        <v>32</v>
      </c>
      <c r="C104">
        <v>23139</v>
      </c>
      <c r="D104">
        <v>32445</v>
      </c>
      <c r="E104" s="1">
        <v>45166</v>
      </c>
      <c r="F104" s="1">
        <v>45316</v>
      </c>
      <c r="G104" s="2">
        <v>1133.33</v>
      </c>
      <c r="H104">
        <v>0</v>
      </c>
      <c r="I104" t="s">
        <v>148</v>
      </c>
      <c r="J104" t="s">
        <v>19</v>
      </c>
      <c r="K104" t="s">
        <v>15</v>
      </c>
    </row>
    <row r="105" spans="1:11" x14ac:dyDescent="0.3">
      <c r="A105" t="s">
        <v>31</v>
      </c>
      <c r="B105" t="s">
        <v>32</v>
      </c>
      <c r="C105">
        <v>23139</v>
      </c>
      <c r="D105">
        <v>32445</v>
      </c>
      <c r="E105" s="1">
        <v>45166</v>
      </c>
      <c r="F105" s="1">
        <v>45346</v>
      </c>
      <c r="G105" s="2">
        <v>1133.33</v>
      </c>
      <c r="H105">
        <v>0</v>
      </c>
      <c r="I105" t="s">
        <v>148</v>
      </c>
      <c r="J105" t="s">
        <v>19</v>
      </c>
      <c r="K105" t="s">
        <v>15</v>
      </c>
    </row>
    <row r="106" spans="1:11" x14ac:dyDescent="0.3">
      <c r="A106" t="s">
        <v>31</v>
      </c>
      <c r="B106" t="s">
        <v>32</v>
      </c>
      <c r="C106">
        <v>23139</v>
      </c>
      <c r="D106">
        <v>32445</v>
      </c>
      <c r="E106" s="1">
        <v>45166</v>
      </c>
      <c r="F106" s="1">
        <v>45376</v>
      </c>
      <c r="G106" s="2">
        <v>1133.3399999999999</v>
      </c>
      <c r="H106">
        <v>0</v>
      </c>
      <c r="I106" t="s">
        <v>148</v>
      </c>
      <c r="J106" t="s">
        <v>19</v>
      </c>
      <c r="K106" t="s">
        <v>15</v>
      </c>
    </row>
    <row r="107" spans="1:11" x14ac:dyDescent="0.3">
      <c r="A107" t="s">
        <v>152</v>
      </c>
      <c r="B107" t="s">
        <v>153</v>
      </c>
      <c r="C107">
        <v>23209</v>
      </c>
      <c r="D107">
        <v>32522</v>
      </c>
      <c r="E107" s="1">
        <v>45173</v>
      </c>
      <c r="F107" s="1">
        <v>45293</v>
      </c>
      <c r="G107" s="2">
        <v>4340</v>
      </c>
      <c r="H107">
        <v>0</v>
      </c>
      <c r="I107" t="s">
        <v>154</v>
      </c>
      <c r="J107" t="s">
        <v>27</v>
      </c>
      <c r="K107" t="s">
        <v>15</v>
      </c>
    </row>
    <row r="108" spans="1:11" x14ac:dyDescent="0.3">
      <c r="A108" t="s">
        <v>155</v>
      </c>
      <c r="B108" t="s">
        <v>156</v>
      </c>
      <c r="C108">
        <v>23226</v>
      </c>
      <c r="D108">
        <v>32542</v>
      </c>
      <c r="E108" s="1">
        <v>45173</v>
      </c>
      <c r="F108" s="1">
        <v>45402</v>
      </c>
      <c r="G108" s="2">
        <v>86311.34</v>
      </c>
      <c r="H108">
        <v>0</v>
      </c>
      <c r="I108" t="s">
        <v>157</v>
      </c>
      <c r="J108" t="s">
        <v>42</v>
      </c>
      <c r="K108" t="s">
        <v>15</v>
      </c>
    </row>
    <row r="109" spans="1:11" x14ac:dyDescent="0.3">
      <c r="A109" t="s">
        <v>158</v>
      </c>
      <c r="B109" t="s">
        <v>159</v>
      </c>
      <c r="C109">
        <v>23324</v>
      </c>
      <c r="D109">
        <v>32636</v>
      </c>
      <c r="E109" s="1">
        <v>45181</v>
      </c>
      <c r="F109" s="1">
        <v>45278</v>
      </c>
      <c r="G109" s="2">
        <v>24833.5</v>
      </c>
      <c r="H109">
        <v>0</v>
      </c>
      <c r="I109" t="s">
        <v>160</v>
      </c>
      <c r="J109" t="s">
        <v>161</v>
      </c>
      <c r="K109" t="s">
        <v>15</v>
      </c>
    </row>
    <row r="110" spans="1:11" x14ac:dyDescent="0.3">
      <c r="A110" t="s">
        <v>34</v>
      </c>
      <c r="B110" t="s">
        <v>35</v>
      </c>
      <c r="C110">
        <v>22754</v>
      </c>
      <c r="D110">
        <v>32039</v>
      </c>
      <c r="E110" s="1">
        <v>45113</v>
      </c>
      <c r="F110" s="1">
        <v>45233</v>
      </c>
      <c r="G110" s="2">
        <v>12775.5</v>
      </c>
      <c r="H110">
        <v>0</v>
      </c>
      <c r="I110" t="s">
        <v>95</v>
      </c>
      <c r="J110" t="s">
        <v>19</v>
      </c>
      <c r="K110" t="s">
        <v>15</v>
      </c>
    </row>
    <row r="111" spans="1:11" x14ac:dyDescent="0.3">
      <c r="A111" t="s">
        <v>163</v>
      </c>
      <c r="B111" t="s">
        <v>164</v>
      </c>
      <c r="C111">
        <v>23526</v>
      </c>
      <c r="D111">
        <v>32848</v>
      </c>
      <c r="E111" s="1">
        <v>45191</v>
      </c>
      <c r="F111" s="1">
        <v>45281</v>
      </c>
      <c r="G111" s="2">
        <v>19199.98</v>
      </c>
      <c r="H111">
        <v>0</v>
      </c>
      <c r="I111" t="s">
        <v>165</v>
      </c>
      <c r="J111" t="s">
        <v>23</v>
      </c>
      <c r="K111" t="s">
        <v>15</v>
      </c>
    </row>
    <row r="112" spans="1:11" x14ac:dyDescent="0.3">
      <c r="A112" t="s">
        <v>163</v>
      </c>
      <c r="B112" t="s">
        <v>164</v>
      </c>
      <c r="C112">
        <v>23526</v>
      </c>
      <c r="D112">
        <v>32848</v>
      </c>
      <c r="E112" s="1">
        <v>45191</v>
      </c>
      <c r="F112" s="1">
        <v>45311</v>
      </c>
      <c r="G112" s="2">
        <v>19199.98</v>
      </c>
      <c r="H112">
        <v>0</v>
      </c>
      <c r="I112" t="s">
        <v>165</v>
      </c>
      <c r="J112" t="s">
        <v>23</v>
      </c>
      <c r="K112" t="s">
        <v>15</v>
      </c>
    </row>
    <row r="113" spans="1:11" x14ac:dyDescent="0.3">
      <c r="A113" t="s">
        <v>163</v>
      </c>
      <c r="B113" t="s">
        <v>164</v>
      </c>
      <c r="C113">
        <v>23526</v>
      </c>
      <c r="D113">
        <v>32848</v>
      </c>
      <c r="E113" s="1">
        <v>45191</v>
      </c>
      <c r="F113" s="1">
        <v>45341</v>
      </c>
      <c r="G113" s="2">
        <v>19200.04</v>
      </c>
      <c r="H113">
        <v>0</v>
      </c>
      <c r="I113" t="s">
        <v>165</v>
      </c>
      <c r="J113" t="s">
        <v>23</v>
      </c>
      <c r="K113" t="s">
        <v>15</v>
      </c>
    </row>
    <row r="114" spans="1:11" x14ac:dyDescent="0.3">
      <c r="A114" t="s">
        <v>54</v>
      </c>
      <c r="B114" t="s">
        <v>55</v>
      </c>
      <c r="C114">
        <v>23826</v>
      </c>
      <c r="D114">
        <v>33179</v>
      </c>
      <c r="E114" s="1">
        <v>45219</v>
      </c>
      <c r="F114" s="1">
        <v>45309</v>
      </c>
      <c r="G114" s="2">
        <v>28599.439999999999</v>
      </c>
      <c r="H114">
        <v>0</v>
      </c>
      <c r="I114" t="s">
        <v>166</v>
      </c>
      <c r="J114" t="s">
        <v>57</v>
      </c>
      <c r="K114" t="s">
        <v>15</v>
      </c>
    </row>
    <row r="115" spans="1:11" x14ac:dyDescent="0.3">
      <c r="A115" t="s">
        <v>20</v>
      </c>
      <c r="B115" t="s">
        <v>21</v>
      </c>
      <c r="C115">
        <v>22495</v>
      </c>
      <c r="D115">
        <v>31754</v>
      </c>
      <c r="E115" s="1">
        <v>45070</v>
      </c>
      <c r="F115" s="1">
        <v>45235</v>
      </c>
      <c r="G115" s="2">
        <v>26032.93</v>
      </c>
      <c r="H115">
        <v>0</v>
      </c>
      <c r="I115" t="s">
        <v>168</v>
      </c>
      <c r="J115" t="s">
        <v>23</v>
      </c>
      <c r="K115" t="s">
        <v>15</v>
      </c>
    </row>
    <row r="116" spans="1:11" x14ac:dyDescent="0.3">
      <c r="A116" t="s">
        <v>20</v>
      </c>
      <c r="B116" t="s">
        <v>21</v>
      </c>
      <c r="C116">
        <v>22495</v>
      </c>
      <c r="D116">
        <v>31754</v>
      </c>
      <c r="E116" s="1">
        <v>45070</v>
      </c>
      <c r="F116" s="1">
        <v>45250</v>
      </c>
      <c r="G116" s="2">
        <v>26033.16</v>
      </c>
      <c r="H116">
        <v>0</v>
      </c>
      <c r="I116" t="s">
        <v>168</v>
      </c>
      <c r="J116" t="s">
        <v>23</v>
      </c>
      <c r="K116" t="s">
        <v>15</v>
      </c>
    </row>
    <row r="117" spans="1:11" x14ac:dyDescent="0.3">
      <c r="A117" t="s">
        <v>24</v>
      </c>
      <c r="B117" t="s">
        <v>25</v>
      </c>
      <c r="C117">
        <v>22736</v>
      </c>
      <c r="D117">
        <v>32016</v>
      </c>
      <c r="E117" s="1">
        <v>45111</v>
      </c>
      <c r="F117" s="1">
        <v>45231</v>
      </c>
      <c r="G117" s="2">
        <v>42750</v>
      </c>
      <c r="H117">
        <v>0</v>
      </c>
      <c r="I117" t="s">
        <v>169</v>
      </c>
      <c r="J117" t="s">
        <v>27</v>
      </c>
      <c r="K117" t="s">
        <v>15</v>
      </c>
    </row>
    <row r="118" spans="1:11" x14ac:dyDescent="0.3">
      <c r="A118" t="s">
        <v>170</v>
      </c>
      <c r="B118" t="s">
        <v>171</v>
      </c>
      <c r="C118">
        <v>22904</v>
      </c>
      <c r="D118">
        <v>32173</v>
      </c>
      <c r="E118" s="1">
        <v>45138</v>
      </c>
      <c r="F118" s="1">
        <v>45288</v>
      </c>
      <c r="G118" s="2">
        <v>33286</v>
      </c>
      <c r="H118">
        <v>0</v>
      </c>
      <c r="I118" t="s">
        <v>172</v>
      </c>
      <c r="J118" t="s">
        <v>167</v>
      </c>
      <c r="K118" t="s">
        <v>15</v>
      </c>
    </row>
    <row r="119" spans="1:11" x14ac:dyDescent="0.3">
      <c r="A119" t="s">
        <v>20</v>
      </c>
      <c r="B119" t="s">
        <v>21</v>
      </c>
      <c r="C119">
        <v>23095</v>
      </c>
      <c r="D119">
        <v>32394</v>
      </c>
      <c r="E119" s="1">
        <v>45162</v>
      </c>
      <c r="F119" s="1">
        <v>45237</v>
      </c>
      <c r="G119" s="2">
        <v>4781.1099999999997</v>
      </c>
      <c r="H119">
        <v>0</v>
      </c>
      <c r="I119" t="s">
        <v>173</v>
      </c>
      <c r="J119" t="s">
        <v>23</v>
      </c>
      <c r="K119" t="s">
        <v>15</v>
      </c>
    </row>
    <row r="120" spans="1:11" x14ac:dyDescent="0.3">
      <c r="A120" t="s">
        <v>20</v>
      </c>
      <c r="B120" t="s">
        <v>21</v>
      </c>
      <c r="C120">
        <v>23095</v>
      </c>
      <c r="D120">
        <v>32394</v>
      </c>
      <c r="E120" s="1">
        <v>45162</v>
      </c>
      <c r="F120" s="1">
        <v>45252</v>
      </c>
      <c r="G120" s="2">
        <v>4781.1099999999997</v>
      </c>
      <c r="H120">
        <v>0</v>
      </c>
      <c r="I120" t="s">
        <v>173</v>
      </c>
      <c r="J120" t="s">
        <v>23</v>
      </c>
      <c r="K120" t="s">
        <v>15</v>
      </c>
    </row>
    <row r="121" spans="1:11" x14ac:dyDescent="0.3">
      <c r="A121" t="s">
        <v>20</v>
      </c>
      <c r="B121" t="s">
        <v>21</v>
      </c>
      <c r="C121">
        <v>23095</v>
      </c>
      <c r="D121">
        <v>32394</v>
      </c>
      <c r="E121" s="1">
        <v>45162</v>
      </c>
      <c r="F121" s="1">
        <v>45267</v>
      </c>
      <c r="G121" s="2">
        <v>4781.1099999999997</v>
      </c>
      <c r="H121">
        <v>0</v>
      </c>
      <c r="I121" t="s">
        <v>173</v>
      </c>
      <c r="J121" t="s">
        <v>23</v>
      </c>
      <c r="K121" t="s">
        <v>15</v>
      </c>
    </row>
    <row r="122" spans="1:11" x14ac:dyDescent="0.3">
      <c r="A122" t="s">
        <v>20</v>
      </c>
      <c r="B122" t="s">
        <v>21</v>
      </c>
      <c r="C122">
        <v>23095</v>
      </c>
      <c r="D122">
        <v>32394</v>
      </c>
      <c r="E122" s="1">
        <v>45162</v>
      </c>
      <c r="F122" s="1">
        <v>45282</v>
      </c>
      <c r="G122" s="2">
        <v>4781.1099999999997</v>
      </c>
      <c r="H122">
        <v>0</v>
      </c>
      <c r="I122" t="s">
        <v>173</v>
      </c>
      <c r="J122" t="s">
        <v>23</v>
      </c>
      <c r="K122" t="s">
        <v>15</v>
      </c>
    </row>
    <row r="123" spans="1:11" x14ac:dyDescent="0.3">
      <c r="A123" t="s">
        <v>20</v>
      </c>
      <c r="B123" t="s">
        <v>21</v>
      </c>
      <c r="C123">
        <v>23095</v>
      </c>
      <c r="D123">
        <v>32394</v>
      </c>
      <c r="E123" s="1">
        <v>45162</v>
      </c>
      <c r="F123" s="1">
        <v>45297</v>
      </c>
      <c r="G123" s="2">
        <v>4781.1099999999997</v>
      </c>
      <c r="H123">
        <v>0</v>
      </c>
      <c r="I123" t="s">
        <v>173</v>
      </c>
      <c r="J123" t="s">
        <v>23</v>
      </c>
      <c r="K123" t="s">
        <v>15</v>
      </c>
    </row>
    <row r="124" spans="1:11" x14ac:dyDescent="0.3">
      <c r="A124" t="s">
        <v>20</v>
      </c>
      <c r="B124" t="s">
        <v>21</v>
      </c>
      <c r="C124">
        <v>23095</v>
      </c>
      <c r="D124">
        <v>32394</v>
      </c>
      <c r="E124" s="1">
        <v>45162</v>
      </c>
      <c r="F124" s="1">
        <v>45312</v>
      </c>
      <c r="G124" s="2">
        <v>4781.1099999999997</v>
      </c>
      <c r="H124">
        <v>0</v>
      </c>
      <c r="I124" t="s">
        <v>173</v>
      </c>
      <c r="J124" t="s">
        <v>23</v>
      </c>
      <c r="K124" t="s">
        <v>15</v>
      </c>
    </row>
    <row r="125" spans="1:11" x14ac:dyDescent="0.3">
      <c r="A125" t="s">
        <v>20</v>
      </c>
      <c r="B125" t="s">
        <v>21</v>
      </c>
      <c r="C125">
        <v>23095</v>
      </c>
      <c r="D125">
        <v>32394</v>
      </c>
      <c r="E125" s="1">
        <v>45162</v>
      </c>
      <c r="F125" s="1">
        <v>45327</v>
      </c>
      <c r="G125" s="2">
        <v>4781.1099999999997</v>
      </c>
      <c r="H125">
        <v>0</v>
      </c>
      <c r="I125" t="s">
        <v>173</v>
      </c>
      <c r="J125" t="s">
        <v>23</v>
      </c>
      <c r="K125" t="s">
        <v>15</v>
      </c>
    </row>
    <row r="126" spans="1:11" x14ac:dyDescent="0.3">
      <c r="A126" t="s">
        <v>20</v>
      </c>
      <c r="B126" t="s">
        <v>21</v>
      </c>
      <c r="C126">
        <v>23095</v>
      </c>
      <c r="D126">
        <v>32394</v>
      </c>
      <c r="E126" s="1">
        <v>45162</v>
      </c>
      <c r="F126" s="1">
        <v>45342</v>
      </c>
      <c r="G126" s="2">
        <v>4781.12</v>
      </c>
      <c r="H126">
        <v>0</v>
      </c>
      <c r="I126" t="s">
        <v>173</v>
      </c>
      <c r="J126" t="s">
        <v>23</v>
      </c>
      <c r="K126" t="s">
        <v>15</v>
      </c>
    </row>
    <row r="127" spans="1:11" x14ac:dyDescent="0.3">
      <c r="A127" t="s">
        <v>174</v>
      </c>
      <c r="B127" t="s">
        <v>175</v>
      </c>
      <c r="C127">
        <v>23172</v>
      </c>
      <c r="D127">
        <v>32480</v>
      </c>
      <c r="E127" s="1">
        <v>45168</v>
      </c>
      <c r="F127" s="1">
        <v>45228</v>
      </c>
      <c r="G127" s="2">
        <v>3008.5</v>
      </c>
      <c r="H127">
        <v>0</v>
      </c>
      <c r="I127" t="s">
        <v>176</v>
      </c>
      <c r="J127" t="s">
        <v>131</v>
      </c>
      <c r="K127" t="s">
        <v>15</v>
      </c>
    </row>
    <row r="128" spans="1:11" x14ac:dyDescent="0.3">
      <c r="A128" t="s">
        <v>177</v>
      </c>
      <c r="B128" t="s">
        <v>178</v>
      </c>
      <c r="C128">
        <v>23470</v>
      </c>
      <c r="D128">
        <v>32787</v>
      </c>
      <c r="E128" s="1">
        <v>45188</v>
      </c>
      <c r="F128" s="1">
        <v>45381</v>
      </c>
      <c r="G128" s="2">
        <v>64720</v>
      </c>
      <c r="H128">
        <v>0</v>
      </c>
      <c r="I128" t="s">
        <v>179</v>
      </c>
      <c r="J128" t="s">
        <v>82</v>
      </c>
      <c r="K128" t="s">
        <v>15</v>
      </c>
    </row>
    <row r="129" spans="1:11" x14ac:dyDescent="0.3">
      <c r="A129" t="s">
        <v>128</v>
      </c>
      <c r="B129" t="s">
        <v>129</v>
      </c>
      <c r="C129">
        <v>23570</v>
      </c>
      <c r="D129">
        <v>32903</v>
      </c>
      <c r="E129" s="1">
        <v>45195</v>
      </c>
      <c r="F129" s="1">
        <v>45315</v>
      </c>
      <c r="G129" s="2">
        <v>8231.9</v>
      </c>
      <c r="H129">
        <v>0</v>
      </c>
      <c r="I129" t="s">
        <v>180</v>
      </c>
      <c r="J129" t="s">
        <v>131</v>
      </c>
      <c r="K129" t="s">
        <v>15</v>
      </c>
    </row>
    <row r="130" spans="1:11" x14ac:dyDescent="0.3">
      <c r="A130" t="s">
        <v>181</v>
      </c>
      <c r="B130" t="s">
        <v>182</v>
      </c>
      <c r="C130">
        <v>23606</v>
      </c>
      <c r="D130">
        <v>32942</v>
      </c>
      <c r="E130" s="1">
        <v>45197</v>
      </c>
      <c r="F130" s="1">
        <v>45442</v>
      </c>
      <c r="G130" s="2">
        <v>56170</v>
      </c>
      <c r="H130">
        <v>0</v>
      </c>
      <c r="I130" t="s">
        <v>183</v>
      </c>
      <c r="J130" t="s">
        <v>112</v>
      </c>
      <c r="K130" t="s">
        <v>15</v>
      </c>
    </row>
    <row r="131" spans="1:11" x14ac:dyDescent="0.3">
      <c r="A131" t="s">
        <v>184</v>
      </c>
      <c r="B131" t="s">
        <v>140</v>
      </c>
      <c r="C131">
        <v>23640</v>
      </c>
      <c r="D131">
        <v>32974</v>
      </c>
      <c r="E131" s="1">
        <v>45198</v>
      </c>
      <c r="F131" s="1">
        <v>45228</v>
      </c>
      <c r="G131" s="2">
        <v>3083.33</v>
      </c>
      <c r="H131">
        <v>0</v>
      </c>
      <c r="I131" t="s">
        <v>185</v>
      </c>
      <c r="J131" t="s">
        <v>135</v>
      </c>
      <c r="K131" t="s">
        <v>15</v>
      </c>
    </row>
    <row r="132" spans="1:11" x14ac:dyDescent="0.3">
      <c r="A132" t="s">
        <v>184</v>
      </c>
      <c r="B132" t="s">
        <v>140</v>
      </c>
      <c r="C132">
        <v>23640</v>
      </c>
      <c r="D132">
        <v>32974</v>
      </c>
      <c r="E132" s="1">
        <v>45198</v>
      </c>
      <c r="F132" s="1">
        <v>45258</v>
      </c>
      <c r="G132" s="2">
        <v>3083.33</v>
      </c>
      <c r="H132">
        <v>0</v>
      </c>
      <c r="I132" t="s">
        <v>185</v>
      </c>
      <c r="J132" t="s">
        <v>135</v>
      </c>
      <c r="K132" t="s">
        <v>15</v>
      </c>
    </row>
    <row r="133" spans="1:11" x14ac:dyDescent="0.3">
      <c r="A133" t="s">
        <v>184</v>
      </c>
      <c r="B133" t="s">
        <v>140</v>
      </c>
      <c r="C133">
        <v>23640</v>
      </c>
      <c r="D133">
        <v>32974</v>
      </c>
      <c r="E133" s="1">
        <v>45198</v>
      </c>
      <c r="F133" s="1">
        <v>45288</v>
      </c>
      <c r="G133" s="2">
        <v>3083.34</v>
      </c>
      <c r="H133">
        <v>0</v>
      </c>
      <c r="I133" t="s">
        <v>185</v>
      </c>
      <c r="J133" t="s">
        <v>135</v>
      </c>
      <c r="K133" t="s">
        <v>15</v>
      </c>
    </row>
    <row r="134" spans="1:11" x14ac:dyDescent="0.3">
      <c r="A134" t="s">
        <v>186</v>
      </c>
      <c r="B134" t="s">
        <v>187</v>
      </c>
      <c r="C134">
        <v>23731</v>
      </c>
      <c r="D134">
        <v>33073</v>
      </c>
      <c r="E134" s="1">
        <v>45209</v>
      </c>
      <c r="F134" s="1">
        <v>45442</v>
      </c>
      <c r="G134" s="2">
        <v>118000</v>
      </c>
      <c r="H134">
        <v>0</v>
      </c>
      <c r="I134" t="s">
        <v>188</v>
      </c>
      <c r="J134" t="s">
        <v>86</v>
      </c>
      <c r="K134" t="s">
        <v>15</v>
      </c>
    </row>
    <row r="135" spans="1:11" x14ac:dyDescent="0.3">
      <c r="A135" t="s">
        <v>34</v>
      </c>
      <c r="B135" t="s">
        <v>35</v>
      </c>
      <c r="C135">
        <v>22756</v>
      </c>
      <c r="D135">
        <v>32041</v>
      </c>
      <c r="E135" s="1">
        <v>45113</v>
      </c>
      <c r="F135" s="1">
        <v>45233</v>
      </c>
      <c r="G135" s="2">
        <v>6895</v>
      </c>
      <c r="H135">
        <v>0</v>
      </c>
      <c r="I135" t="s">
        <v>772</v>
      </c>
      <c r="J135" t="s">
        <v>19</v>
      </c>
      <c r="K135" t="s">
        <v>15</v>
      </c>
    </row>
    <row r="136" spans="1:11" x14ac:dyDescent="0.3">
      <c r="A136" t="s">
        <v>37</v>
      </c>
      <c r="B136" t="s">
        <v>29</v>
      </c>
      <c r="C136">
        <v>22749</v>
      </c>
      <c r="D136">
        <v>32033</v>
      </c>
      <c r="E136" s="1">
        <v>45112</v>
      </c>
      <c r="F136" s="1">
        <v>45232</v>
      </c>
      <c r="G136" s="2">
        <v>6150</v>
      </c>
      <c r="H136">
        <v>0</v>
      </c>
      <c r="I136" t="s">
        <v>191</v>
      </c>
      <c r="J136" t="s">
        <v>19</v>
      </c>
      <c r="K136" t="s">
        <v>15</v>
      </c>
    </row>
    <row r="137" spans="1:11" x14ac:dyDescent="0.3">
      <c r="A137" t="s">
        <v>37</v>
      </c>
      <c r="B137" t="s">
        <v>29</v>
      </c>
      <c r="C137">
        <v>22750</v>
      </c>
      <c r="D137">
        <v>32034</v>
      </c>
      <c r="E137" s="1">
        <v>45112</v>
      </c>
      <c r="F137" s="1">
        <v>45468</v>
      </c>
      <c r="G137" s="2">
        <v>14800</v>
      </c>
      <c r="H137">
        <v>0</v>
      </c>
      <c r="I137" t="s">
        <v>192</v>
      </c>
      <c r="J137" t="s">
        <v>19</v>
      </c>
      <c r="K137" t="s">
        <v>15</v>
      </c>
    </row>
    <row r="138" spans="1:11" x14ac:dyDescent="0.3">
      <c r="A138" t="s">
        <v>28</v>
      </c>
      <c r="B138" t="s">
        <v>29</v>
      </c>
      <c r="C138">
        <v>22900</v>
      </c>
      <c r="D138">
        <v>32168</v>
      </c>
      <c r="E138" s="1">
        <v>45135</v>
      </c>
      <c r="F138" s="1">
        <v>45468</v>
      </c>
      <c r="G138" s="2">
        <v>44500</v>
      </c>
      <c r="H138">
        <v>0</v>
      </c>
      <c r="I138" t="s">
        <v>193</v>
      </c>
      <c r="J138" t="s">
        <v>19</v>
      </c>
      <c r="K138" t="s">
        <v>15</v>
      </c>
    </row>
    <row r="139" spans="1:11" x14ac:dyDescent="0.3">
      <c r="A139" t="s">
        <v>194</v>
      </c>
      <c r="B139" t="s">
        <v>195</v>
      </c>
      <c r="C139">
        <v>23081</v>
      </c>
      <c r="D139">
        <v>32380</v>
      </c>
      <c r="E139" s="1">
        <v>45162</v>
      </c>
      <c r="F139" s="1">
        <v>45442</v>
      </c>
      <c r="G139" s="2">
        <v>486500</v>
      </c>
      <c r="H139">
        <v>0</v>
      </c>
      <c r="I139" t="s">
        <v>196</v>
      </c>
      <c r="J139" t="s">
        <v>46</v>
      </c>
      <c r="K139" t="s">
        <v>15</v>
      </c>
    </row>
    <row r="140" spans="1:11" x14ac:dyDescent="0.3">
      <c r="A140" t="s">
        <v>100</v>
      </c>
      <c r="B140" t="s">
        <v>101</v>
      </c>
      <c r="C140">
        <v>23099</v>
      </c>
      <c r="D140">
        <v>32399</v>
      </c>
      <c r="E140" s="1">
        <v>45162</v>
      </c>
      <c r="F140" s="1">
        <v>45252</v>
      </c>
      <c r="G140" s="2">
        <v>30678.799999999999</v>
      </c>
      <c r="H140">
        <v>0</v>
      </c>
      <c r="I140" t="s">
        <v>197</v>
      </c>
      <c r="J140" t="s">
        <v>14</v>
      </c>
      <c r="K140" t="s">
        <v>15</v>
      </c>
    </row>
    <row r="141" spans="1:11" x14ac:dyDescent="0.3">
      <c r="A141" t="s">
        <v>61</v>
      </c>
      <c r="B141" t="s">
        <v>35</v>
      </c>
      <c r="C141">
        <v>22434</v>
      </c>
      <c r="D141">
        <v>31686</v>
      </c>
      <c r="E141" s="1">
        <v>45056</v>
      </c>
      <c r="F141" s="1">
        <v>45236</v>
      </c>
      <c r="G141" s="2">
        <v>133120</v>
      </c>
      <c r="H141">
        <v>0</v>
      </c>
      <c r="I141" t="s">
        <v>856</v>
      </c>
      <c r="J141" t="s">
        <v>19</v>
      </c>
      <c r="K141" t="s">
        <v>15</v>
      </c>
    </row>
    <row r="142" spans="1:11" x14ac:dyDescent="0.3">
      <c r="A142" t="s">
        <v>199</v>
      </c>
      <c r="B142" t="s">
        <v>200</v>
      </c>
      <c r="C142">
        <v>23399</v>
      </c>
      <c r="D142">
        <v>32710</v>
      </c>
      <c r="E142" s="1">
        <v>45184</v>
      </c>
      <c r="F142" s="1">
        <v>45381</v>
      </c>
      <c r="G142" s="2">
        <v>11600</v>
      </c>
      <c r="H142">
        <v>0</v>
      </c>
      <c r="I142" t="s">
        <v>201</v>
      </c>
      <c r="J142" t="s">
        <v>99</v>
      </c>
      <c r="K142" t="s">
        <v>15</v>
      </c>
    </row>
    <row r="143" spans="1:11" x14ac:dyDescent="0.3">
      <c r="A143" t="s">
        <v>31</v>
      </c>
      <c r="B143" t="s">
        <v>32</v>
      </c>
      <c r="C143">
        <v>23432</v>
      </c>
      <c r="D143">
        <v>32744</v>
      </c>
      <c r="E143" s="1">
        <v>45187</v>
      </c>
      <c r="F143" s="1">
        <v>45307</v>
      </c>
      <c r="G143" s="2">
        <v>7649.99</v>
      </c>
      <c r="H143">
        <v>0</v>
      </c>
      <c r="I143" t="s">
        <v>202</v>
      </c>
      <c r="J143" t="s">
        <v>19</v>
      </c>
      <c r="K143" t="s">
        <v>15</v>
      </c>
    </row>
    <row r="144" spans="1:11" x14ac:dyDescent="0.3">
      <c r="A144" t="s">
        <v>31</v>
      </c>
      <c r="B144" t="s">
        <v>32</v>
      </c>
      <c r="C144">
        <v>23432</v>
      </c>
      <c r="D144">
        <v>32744</v>
      </c>
      <c r="E144" s="1">
        <v>45187</v>
      </c>
      <c r="F144" s="1">
        <v>45337</v>
      </c>
      <c r="G144" s="2">
        <v>7649.99</v>
      </c>
      <c r="H144">
        <v>0</v>
      </c>
      <c r="I144" t="s">
        <v>202</v>
      </c>
      <c r="J144" t="s">
        <v>19</v>
      </c>
      <c r="K144" t="s">
        <v>15</v>
      </c>
    </row>
    <row r="145" spans="1:11" x14ac:dyDescent="0.3">
      <c r="A145" t="s">
        <v>31</v>
      </c>
      <c r="B145" t="s">
        <v>32</v>
      </c>
      <c r="C145">
        <v>23432</v>
      </c>
      <c r="D145">
        <v>32744</v>
      </c>
      <c r="E145" s="1">
        <v>45187</v>
      </c>
      <c r="F145" s="1">
        <v>45367</v>
      </c>
      <c r="G145" s="2">
        <v>7650.02</v>
      </c>
      <c r="H145">
        <v>0</v>
      </c>
      <c r="I145" t="s">
        <v>202</v>
      </c>
      <c r="J145" t="s">
        <v>19</v>
      </c>
      <c r="K145" t="s">
        <v>15</v>
      </c>
    </row>
    <row r="146" spans="1:11" x14ac:dyDescent="0.3">
      <c r="A146" t="s">
        <v>203</v>
      </c>
      <c r="B146" t="s">
        <v>204</v>
      </c>
      <c r="C146">
        <v>23468</v>
      </c>
      <c r="D146">
        <v>32785</v>
      </c>
      <c r="E146" s="1">
        <v>45188</v>
      </c>
      <c r="F146" s="1">
        <v>45442</v>
      </c>
      <c r="G146" s="2">
        <v>427750</v>
      </c>
      <c r="H146">
        <v>0</v>
      </c>
      <c r="I146" t="s">
        <v>205</v>
      </c>
      <c r="J146" t="s">
        <v>206</v>
      </c>
      <c r="K146" t="s">
        <v>15</v>
      </c>
    </row>
    <row r="147" spans="1:11" x14ac:dyDescent="0.3">
      <c r="A147" t="s">
        <v>31</v>
      </c>
      <c r="B147" t="s">
        <v>32</v>
      </c>
      <c r="C147">
        <v>23599</v>
      </c>
      <c r="D147">
        <v>32935</v>
      </c>
      <c r="E147" s="1">
        <v>45197</v>
      </c>
      <c r="F147" s="1">
        <v>45317</v>
      </c>
      <c r="G147" s="2">
        <v>35359.96</v>
      </c>
      <c r="H147">
        <v>0</v>
      </c>
      <c r="I147" t="s">
        <v>207</v>
      </c>
      <c r="J147" t="s">
        <v>19</v>
      </c>
      <c r="K147" t="s">
        <v>15</v>
      </c>
    </row>
    <row r="148" spans="1:11" x14ac:dyDescent="0.3">
      <c r="A148" t="s">
        <v>31</v>
      </c>
      <c r="B148" t="s">
        <v>32</v>
      </c>
      <c r="C148">
        <v>23599</v>
      </c>
      <c r="D148">
        <v>32935</v>
      </c>
      <c r="E148" s="1">
        <v>45197</v>
      </c>
      <c r="F148" s="1">
        <v>45347</v>
      </c>
      <c r="G148" s="2">
        <v>35359.96</v>
      </c>
      <c r="H148">
        <v>0</v>
      </c>
      <c r="I148" t="s">
        <v>207</v>
      </c>
      <c r="J148" t="s">
        <v>19</v>
      </c>
      <c r="K148" t="s">
        <v>15</v>
      </c>
    </row>
    <row r="149" spans="1:11" x14ac:dyDescent="0.3">
      <c r="A149" t="s">
        <v>31</v>
      </c>
      <c r="B149" t="s">
        <v>32</v>
      </c>
      <c r="C149">
        <v>23599</v>
      </c>
      <c r="D149">
        <v>32935</v>
      </c>
      <c r="E149" s="1">
        <v>45197</v>
      </c>
      <c r="F149" s="1">
        <v>45377</v>
      </c>
      <c r="G149" s="2">
        <v>35360.080000000002</v>
      </c>
      <c r="H149">
        <v>0</v>
      </c>
      <c r="I149" t="s">
        <v>207</v>
      </c>
      <c r="J149" t="s">
        <v>19</v>
      </c>
      <c r="K149" t="s">
        <v>15</v>
      </c>
    </row>
    <row r="150" spans="1:11" x14ac:dyDescent="0.3">
      <c r="A150" t="s">
        <v>20</v>
      </c>
      <c r="B150" t="s">
        <v>21</v>
      </c>
      <c r="C150">
        <v>23650</v>
      </c>
      <c r="D150">
        <v>32984</v>
      </c>
      <c r="E150" s="1">
        <v>45198</v>
      </c>
      <c r="F150" s="1">
        <v>45258</v>
      </c>
      <c r="G150">
        <v>704.44</v>
      </c>
      <c r="H150">
        <v>0</v>
      </c>
      <c r="I150" t="s">
        <v>208</v>
      </c>
      <c r="J150" t="s">
        <v>23</v>
      </c>
      <c r="K150" t="s">
        <v>15</v>
      </c>
    </row>
    <row r="151" spans="1:11" x14ac:dyDescent="0.3">
      <c r="A151" t="s">
        <v>20</v>
      </c>
      <c r="B151" t="s">
        <v>21</v>
      </c>
      <c r="C151">
        <v>23650</v>
      </c>
      <c r="D151">
        <v>32984</v>
      </c>
      <c r="E151" s="1">
        <v>45198</v>
      </c>
      <c r="F151" s="1">
        <v>45273</v>
      </c>
      <c r="G151">
        <v>704.44</v>
      </c>
      <c r="H151">
        <v>0</v>
      </c>
      <c r="I151" t="s">
        <v>208</v>
      </c>
      <c r="J151" t="s">
        <v>23</v>
      </c>
      <c r="K151" t="s">
        <v>15</v>
      </c>
    </row>
    <row r="152" spans="1:11" x14ac:dyDescent="0.3">
      <c r="A152" t="s">
        <v>20</v>
      </c>
      <c r="B152" t="s">
        <v>21</v>
      </c>
      <c r="C152">
        <v>23650</v>
      </c>
      <c r="D152">
        <v>32984</v>
      </c>
      <c r="E152" s="1">
        <v>45198</v>
      </c>
      <c r="F152" s="1">
        <v>45288</v>
      </c>
      <c r="G152">
        <v>704.44</v>
      </c>
      <c r="H152">
        <v>0</v>
      </c>
      <c r="I152" t="s">
        <v>208</v>
      </c>
      <c r="J152" t="s">
        <v>23</v>
      </c>
      <c r="K152" t="s">
        <v>15</v>
      </c>
    </row>
    <row r="153" spans="1:11" x14ac:dyDescent="0.3">
      <c r="A153" t="s">
        <v>20</v>
      </c>
      <c r="B153" t="s">
        <v>21</v>
      </c>
      <c r="C153">
        <v>23652</v>
      </c>
      <c r="D153">
        <v>32986</v>
      </c>
      <c r="E153" s="1">
        <v>45198</v>
      </c>
      <c r="F153" s="1">
        <v>45378</v>
      </c>
      <c r="G153" s="2">
        <v>25427.77</v>
      </c>
      <c r="H153">
        <v>0</v>
      </c>
      <c r="I153" t="s">
        <v>78</v>
      </c>
      <c r="J153" t="s">
        <v>23</v>
      </c>
      <c r="K153" t="s">
        <v>15</v>
      </c>
    </row>
    <row r="154" spans="1:11" x14ac:dyDescent="0.3">
      <c r="A154" t="s">
        <v>61</v>
      </c>
      <c r="B154" t="s">
        <v>35</v>
      </c>
      <c r="C154">
        <v>22448</v>
      </c>
      <c r="D154">
        <v>31700</v>
      </c>
      <c r="E154" s="1">
        <v>45057</v>
      </c>
      <c r="F154" s="1">
        <v>45237</v>
      </c>
      <c r="G154" s="2">
        <v>119616</v>
      </c>
      <c r="H154">
        <v>0</v>
      </c>
      <c r="I154" t="s">
        <v>62</v>
      </c>
      <c r="J154" t="s">
        <v>19</v>
      </c>
      <c r="K154" t="s">
        <v>15</v>
      </c>
    </row>
    <row r="155" spans="1:11" x14ac:dyDescent="0.3">
      <c r="A155" t="s">
        <v>210</v>
      </c>
      <c r="B155" t="s">
        <v>211</v>
      </c>
      <c r="C155">
        <v>22891</v>
      </c>
      <c r="D155">
        <v>32159</v>
      </c>
      <c r="E155" s="1">
        <v>45134</v>
      </c>
      <c r="F155" s="1">
        <v>45254</v>
      </c>
      <c r="G155" s="2">
        <v>55275.6</v>
      </c>
      <c r="H155">
        <v>0</v>
      </c>
      <c r="I155" t="s">
        <v>212</v>
      </c>
      <c r="J155" t="s">
        <v>213</v>
      </c>
      <c r="K155" t="s">
        <v>15</v>
      </c>
    </row>
    <row r="156" spans="1:11" x14ac:dyDescent="0.3">
      <c r="A156" t="s">
        <v>20</v>
      </c>
      <c r="B156" t="s">
        <v>21</v>
      </c>
      <c r="C156">
        <v>23089</v>
      </c>
      <c r="D156">
        <v>32389</v>
      </c>
      <c r="E156" s="1">
        <v>45162</v>
      </c>
      <c r="F156" s="1">
        <v>45237</v>
      </c>
      <c r="G156" s="2">
        <v>18564.77</v>
      </c>
      <c r="H156">
        <v>0</v>
      </c>
      <c r="I156" t="s">
        <v>214</v>
      </c>
      <c r="J156" t="s">
        <v>23</v>
      </c>
      <c r="K156" t="s">
        <v>15</v>
      </c>
    </row>
    <row r="157" spans="1:11" x14ac:dyDescent="0.3">
      <c r="A157" t="s">
        <v>20</v>
      </c>
      <c r="B157" t="s">
        <v>21</v>
      </c>
      <c r="C157">
        <v>23089</v>
      </c>
      <c r="D157">
        <v>32389</v>
      </c>
      <c r="E157" s="1">
        <v>45162</v>
      </c>
      <c r="F157" s="1">
        <v>45252</v>
      </c>
      <c r="G157" s="2">
        <v>18564.77</v>
      </c>
      <c r="H157">
        <v>0</v>
      </c>
      <c r="I157" t="s">
        <v>214</v>
      </c>
      <c r="J157" t="s">
        <v>23</v>
      </c>
      <c r="K157" t="s">
        <v>15</v>
      </c>
    </row>
    <row r="158" spans="1:11" x14ac:dyDescent="0.3">
      <c r="A158" t="s">
        <v>20</v>
      </c>
      <c r="B158" t="s">
        <v>21</v>
      </c>
      <c r="C158">
        <v>23089</v>
      </c>
      <c r="D158">
        <v>32389</v>
      </c>
      <c r="E158" s="1">
        <v>45162</v>
      </c>
      <c r="F158" s="1">
        <v>45267</v>
      </c>
      <c r="G158" s="2">
        <v>18564.77</v>
      </c>
      <c r="H158">
        <v>0</v>
      </c>
      <c r="I158" t="s">
        <v>214</v>
      </c>
      <c r="J158" t="s">
        <v>23</v>
      </c>
      <c r="K158" t="s">
        <v>15</v>
      </c>
    </row>
    <row r="159" spans="1:11" x14ac:dyDescent="0.3">
      <c r="A159" t="s">
        <v>20</v>
      </c>
      <c r="B159" t="s">
        <v>21</v>
      </c>
      <c r="C159">
        <v>23089</v>
      </c>
      <c r="D159">
        <v>32389</v>
      </c>
      <c r="E159" s="1">
        <v>45162</v>
      </c>
      <c r="F159" s="1">
        <v>45282</v>
      </c>
      <c r="G159" s="2">
        <v>18564.77</v>
      </c>
      <c r="H159">
        <v>0</v>
      </c>
      <c r="I159" t="s">
        <v>214</v>
      </c>
      <c r="J159" t="s">
        <v>23</v>
      </c>
      <c r="K159" t="s">
        <v>15</v>
      </c>
    </row>
    <row r="160" spans="1:11" x14ac:dyDescent="0.3">
      <c r="A160" t="s">
        <v>20</v>
      </c>
      <c r="B160" t="s">
        <v>21</v>
      </c>
      <c r="C160">
        <v>23089</v>
      </c>
      <c r="D160">
        <v>32389</v>
      </c>
      <c r="E160" s="1">
        <v>45162</v>
      </c>
      <c r="F160" s="1">
        <v>45297</v>
      </c>
      <c r="G160" s="2">
        <v>18564.77</v>
      </c>
      <c r="H160">
        <v>0</v>
      </c>
      <c r="I160" t="s">
        <v>214</v>
      </c>
      <c r="J160" t="s">
        <v>23</v>
      </c>
      <c r="K160" t="s">
        <v>15</v>
      </c>
    </row>
    <row r="161" spans="1:11" x14ac:dyDescent="0.3">
      <c r="A161" t="s">
        <v>20</v>
      </c>
      <c r="B161" t="s">
        <v>21</v>
      </c>
      <c r="C161">
        <v>23089</v>
      </c>
      <c r="D161">
        <v>32389</v>
      </c>
      <c r="E161" s="1">
        <v>45162</v>
      </c>
      <c r="F161" s="1">
        <v>45312</v>
      </c>
      <c r="G161" s="2">
        <v>18564.77</v>
      </c>
      <c r="H161">
        <v>0</v>
      </c>
      <c r="I161" t="s">
        <v>214</v>
      </c>
      <c r="J161" t="s">
        <v>23</v>
      </c>
      <c r="K161" t="s">
        <v>15</v>
      </c>
    </row>
    <row r="162" spans="1:11" x14ac:dyDescent="0.3">
      <c r="A162" t="s">
        <v>20</v>
      </c>
      <c r="B162" t="s">
        <v>21</v>
      </c>
      <c r="C162">
        <v>23089</v>
      </c>
      <c r="D162">
        <v>32389</v>
      </c>
      <c r="E162" s="1">
        <v>45162</v>
      </c>
      <c r="F162" s="1">
        <v>45327</v>
      </c>
      <c r="G162" s="2">
        <v>18564.77</v>
      </c>
      <c r="H162">
        <v>0</v>
      </c>
      <c r="I162" t="s">
        <v>214</v>
      </c>
      <c r="J162" t="s">
        <v>23</v>
      </c>
      <c r="K162" t="s">
        <v>15</v>
      </c>
    </row>
    <row r="163" spans="1:11" x14ac:dyDescent="0.3">
      <c r="A163" t="s">
        <v>20</v>
      </c>
      <c r="B163" t="s">
        <v>21</v>
      </c>
      <c r="C163">
        <v>23089</v>
      </c>
      <c r="D163">
        <v>32389</v>
      </c>
      <c r="E163" s="1">
        <v>45162</v>
      </c>
      <c r="F163" s="1">
        <v>45342</v>
      </c>
      <c r="G163" s="2">
        <v>18564.96</v>
      </c>
      <c r="H163">
        <v>0</v>
      </c>
      <c r="I163" t="s">
        <v>214</v>
      </c>
      <c r="J163" t="s">
        <v>23</v>
      </c>
      <c r="K163" t="s">
        <v>15</v>
      </c>
    </row>
    <row r="164" spans="1:11" x14ac:dyDescent="0.3">
      <c r="A164" t="s">
        <v>186</v>
      </c>
      <c r="B164" t="s">
        <v>187</v>
      </c>
      <c r="C164">
        <v>23325</v>
      </c>
      <c r="D164">
        <v>32637</v>
      </c>
      <c r="E164" s="1">
        <v>45181</v>
      </c>
      <c r="F164" s="1">
        <v>45442</v>
      </c>
      <c r="G164" s="2">
        <v>198000</v>
      </c>
      <c r="H164">
        <v>0</v>
      </c>
      <c r="I164" t="s">
        <v>215</v>
      </c>
      <c r="J164" t="s">
        <v>86</v>
      </c>
      <c r="K164" t="s">
        <v>15</v>
      </c>
    </row>
    <row r="165" spans="1:11" x14ac:dyDescent="0.3">
      <c r="A165" t="s">
        <v>216</v>
      </c>
      <c r="B165" t="s">
        <v>217</v>
      </c>
      <c r="C165">
        <v>23576</v>
      </c>
      <c r="D165">
        <v>32908</v>
      </c>
      <c r="E165" s="1">
        <v>45195</v>
      </c>
      <c r="F165" s="1">
        <v>45225</v>
      </c>
      <c r="G165" s="2">
        <v>12727.64</v>
      </c>
      <c r="H165">
        <v>0</v>
      </c>
      <c r="I165" t="s">
        <v>218</v>
      </c>
      <c r="J165" t="s">
        <v>213</v>
      </c>
      <c r="K165" t="s">
        <v>15</v>
      </c>
    </row>
    <row r="166" spans="1:11" x14ac:dyDescent="0.3">
      <c r="A166" t="s">
        <v>216</v>
      </c>
      <c r="B166" t="s">
        <v>217</v>
      </c>
      <c r="C166">
        <v>23576</v>
      </c>
      <c r="D166">
        <v>32908</v>
      </c>
      <c r="E166" s="1">
        <v>45195</v>
      </c>
      <c r="F166" s="1">
        <v>45255</v>
      </c>
      <c r="G166" s="2">
        <v>12727.64</v>
      </c>
      <c r="H166">
        <v>0</v>
      </c>
      <c r="I166" t="s">
        <v>218</v>
      </c>
      <c r="J166" t="s">
        <v>213</v>
      </c>
      <c r="K166" t="s">
        <v>15</v>
      </c>
    </row>
    <row r="167" spans="1:11" x14ac:dyDescent="0.3">
      <c r="A167" t="s">
        <v>216</v>
      </c>
      <c r="B167" t="s">
        <v>217</v>
      </c>
      <c r="C167">
        <v>23576</v>
      </c>
      <c r="D167">
        <v>32908</v>
      </c>
      <c r="E167" s="1">
        <v>45195</v>
      </c>
      <c r="F167" s="1">
        <v>45285</v>
      </c>
      <c r="G167" s="2">
        <v>12727.67</v>
      </c>
      <c r="H167">
        <v>0</v>
      </c>
      <c r="I167" t="s">
        <v>218</v>
      </c>
      <c r="J167" t="s">
        <v>213</v>
      </c>
      <c r="K167" t="s">
        <v>15</v>
      </c>
    </row>
    <row r="168" spans="1:11" x14ac:dyDescent="0.3">
      <c r="A168" t="s">
        <v>139</v>
      </c>
      <c r="B168" t="s">
        <v>140</v>
      </c>
      <c r="C168">
        <v>23625</v>
      </c>
      <c r="D168">
        <v>32958</v>
      </c>
      <c r="E168" s="1">
        <v>45197</v>
      </c>
      <c r="F168" s="1">
        <v>45227</v>
      </c>
      <c r="G168">
        <v>594.55999999999995</v>
      </c>
      <c r="H168">
        <v>0</v>
      </c>
      <c r="I168" t="s">
        <v>219</v>
      </c>
      <c r="J168" t="s">
        <v>135</v>
      </c>
      <c r="K168" t="s">
        <v>15</v>
      </c>
    </row>
    <row r="169" spans="1:11" x14ac:dyDescent="0.3">
      <c r="A169" t="s">
        <v>139</v>
      </c>
      <c r="B169" t="s">
        <v>140</v>
      </c>
      <c r="C169">
        <v>23625</v>
      </c>
      <c r="D169">
        <v>32958</v>
      </c>
      <c r="E169" s="1">
        <v>45197</v>
      </c>
      <c r="F169" s="1">
        <v>45257</v>
      </c>
      <c r="G169">
        <v>594.55999999999995</v>
      </c>
      <c r="H169">
        <v>0</v>
      </c>
      <c r="I169" t="s">
        <v>219</v>
      </c>
      <c r="J169" t="s">
        <v>135</v>
      </c>
      <c r="K169" t="s">
        <v>15</v>
      </c>
    </row>
    <row r="170" spans="1:11" x14ac:dyDescent="0.3">
      <c r="A170" t="s">
        <v>139</v>
      </c>
      <c r="B170" t="s">
        <v>140</v>
      </c>
      <c r="C170">
        <v>23625</v>
      </c>
      <c r="D170">
        <v>32958</v>
      </c>
      <c r="E170" s="1">
        <v>45197</v>
      </c>
      <c r="F170" s="1">
        <v>45287</v>
      </c>
      <c r="G170">
        <v>594.55999999999995</v>
      </c>
      <c r="H170">
        <v>0</v>
      </c>
      <c r="I170" t="s">
        <v>219</v>
      </c>
      <c r="J170" t="s">
        <v>135</v>
      </c>
      <c r="K170" t="s">
        <v>15</v>
      </c>
    </row>
    <row r="171" spans="1:11" x14ac:dyDescent="0.3">
      <c r="A171" t="s">
        <v>139</v>
      </c>
      <c r="B171" t="s">
        <v>140</v>
      </c>
      <c r="C171">
        <v>23625</v>
      </c>
      <c r="D171">
        <v>32958</v>
      </c>
      <c r="E171" s="1">
        <v>45197</v>
      </c>
      <c r="F171" s="1">
        <v>45317</v>
      </c>
      <c r="G171">
        <v>594.57000000000005</v>
      </c>
      <c r="H171">
        <v>0</v>
      </c>
      <c r="I171" t="s">
        <v>219</v>
      </c>
      <c r="J171" t="s">
        <v>135</v>
      </c>
      <c r="K171" t="s">
        <v>15</v>
      </c>
    </row>
    <row r="172" spans="1:11" x14ac:dyDescent="0.3">
      <c r="A172" t="s">
        <v>220</v>
      </c>
      <c r="B172" t="s">
        <v>221</v>
      </c>
      <c r="C172">
        <v>23644</v>
      </c>
      <c r="D172">
        <v>32978</v>
      </c>
      <c r="E172" s="1">
        <v>45198</v>
      </c>
      <c r="F172" s="1">
        <v>45442</v>
      </c>
      <c r="G172" s="2">
        <v>144000</v>
      </c>
      <c r="H172">
        <v>0</v>
      </c>
      <c r="I172" t="s">
        <v>222</v>
      </c>
      <c r="J172" t="s">
        <v>46</v>
      </c>
      <c r="K172" t="s">
        <v>15</v>
      </c>
    </row>
    <row r="173" spans="1:11" x14ac:dyDescent="0.3">
      <c r="A173" t="s">
        <v>223</v>
      </c>
      <c r="B173" t="s">
        <v>224</v>
      </c>
      <c r="C173">
        <v>23778</v>
      </c>
      <c r="D173">
        <v>33123</v>
      </c>
      <c r="E173" s="1">
        <v>45215</v>
      </c>
      <c r="F173" s="1">
        <v>45402</v>
      </c>
      <c r="G173" s="2">
        <v>2520</v>
      </c>
      <c r="H173">
        <v>0</v>
      </c>
      <c r="I173" t="s">
        <v>225</v>
      </c>
      <c r="J173" t="s">
        <v>42</v>
      </c>
      <c r="K173" t="s">
        <v>15</v>
      </c>
    </row>
    <row r="174" spans="1:11" x14ac:dyDescent="0.3">
      <c r="A174" t="s">
        <v>109</v>
      </c>
      <c r="B174" t="s">
        <v>110</v>
      </c>
      <c r="C174">
        <v>20909</v>
      </c>
      <c r="D174">
        <v>30052</v>
      </c>
      <c r="E174" s="1">
        <v>44866</v>
      </c>
      <c r="F174" s="1">
        <v>45076</v>
      </c>
      <c r="G174" s="2">
        <v>383760</v>
      </c>
      <c r="H174">
        <v>146</v>
      </c>
      <c r="I174" t="s">
        <v>226</v>
      </c>
      <c r="J174" t="s">
        <v>112</v>
      </c>
      <c r="K174" t="s">
        <v>15</v>
      </c>
    </row>
    <row r="175" spans="1:11" x14ac:dyDescent="0.3">
      <c r="A175" t="s">
        <v>145</v>
      </c>
      <c r="B175" t="s">
        <v>146</v>
      </c>
      <c r="C175">
        <v>21510</v>
      </c>
      <c r="D175">
        <v>30674</v>
      </c>
      <c r="E175" s="1">
        <v>44939</v>
      </c>
      <c r="F175" s="1">
        <v>45199</v>
      </c>
      <c r="G175" s="2">
        <v>483600</v>
      </c>
      <c r="H175">
        <v>23</v>
      </c>
      <c r="I175" t="s">
        <v>227</v>
      </c>
      <c r="J175" t="s">
        <v>82</v>
      </c>
      <c r="K175" t="s">
        <v>15</v>
      </c>
    </row>
    <row r="176" spans="1:11" x14ac:dyDescent="0.3">
      <c r="A176" t="s">
        <v>228</v>
      </c>
      <c r="B176" t="s">
        <v>229</v>
      </c>
      <c r="C176">
        <v>22314</v>
      </c>
      <c r="D176">
        <v>31529</v>
      </c>
      <c r="E176" s="1">
        <v>45035</v>
      </c>
      <c r="F176" s="1">
        <v>45290</v>
      </c>
      <c r="G176" s="2">
        <v>531900</v>
      </c>
      <c r="H176">
        <v>0</v>
      </c>
      <c r="I176" t="s">
        <v>230</v>
      </c>
      <c r="J176" t="s">
        <v>206</v>
      </c>
      <c r="K176" t="s">
        <v>15</v>
      </c>
    </row>
    <row r="177" spans="1:11" x14ac:dyDescent="0.3">
      <c r="A177" t="s">
        <v>132</v>
      </c>
      <c r="B177" t="s">
        <v>133</v>
      </c>
      <c r="C177">
        <v>22331</v>
      </c>
      <c r="D177">
        <v>31551</v>
      </c>
      <c r="E177" s="1">
        <v>45040</v>
      </c>
      <c r="F177" s="1">
        <v>45229</v>
      </c>
      <c r="G177" s="2">
        <v>235800</v>
      </c>
      <c r="H177">
        <v>0</v>
      </c>
      <c r="I177" t="s">
        <v>231</v>
      </c>
      <c r="J177" t="s">
        <v>135</v>
      </c>
      <c r="K177" t="s">
        <v>15</v>
      </c>
    </row>
    <row r="178" spans="1:11" x14ac:dyDescent="0.3">
      <c r="A178" t="s">
        <v>232</v>
      </c>
      <c r="B178" t="s">
        <v>233</v>
      </c>
      <c r="C178">
        <v>22582</v>
      </c>
      <c r="D178">
        <v>31849</v>
      </c>
      <c r="E178" s="1">
        <v>45090</v>
      </c>
      <c r="F178" s="1">
        <v>45240</v>
      </c>
      <c r="G178" s="2">
        <v>21326.7</v>
      </c>
      <c r="H178">
        <v>0</v>
      </c>
      <c r="I178" t="s">
        <v>234</v>
      </c>
      <c r="J178" t="s">
        <v>122</v>
      </c>
      <c r="K178" t="s">
        <v>15</v>
      </c>
    </row>
    <row r="179" spans="1:11" x14ac:dyDescent="0.3">
      <c r="A179" t="s">
        <v>184</v>
      </c>
      <c r="B179" t="s">
        <v>140</v>
      </c>
      <c r="C179">
        <v>22700</v>
      </c>
      <c r="D179">
        <v>31977</v>
      </c>
      <c r="E179" s="1">
        <v>45106</v>
      </c>
      <c r="F179" s="1">
        <v>45226</v>
      </c>
      <c r="G179" s="2">
        <v>9750</v>
      </c>
      <c r="H179">
        <v>0</v>
      </c>
      <c r="I179" t="s">
        <v>235</v>
      </c>
      <c r="J179" t="s">
        <v>135</v>
      </c>
      <c r="K179" t="s">
        <v>15</v>
      </c>
    </row>
    <row r="180" spans="1:11" x14ac:dyDescent="0.3">
      <c r="A180" t="s">
        <v>236</v>
      </c>
      <c r="B180" t="s">
        <v>237</v>
      </c>
      <c r="C180">
        <v>22817</v>
      </c>
      <c r="D180">
        <v>32103</v>
      </c>
      <c r="E180" s="1">
        <v>45127</v>
      </c>
      <c r="F180" s="1">
        <v>45247</v>
      </c>
      <c r="G180" s="2">
        <v>23599.69</v>
      </c>
      <c r="H180">
        <v>0</v>
      </c>
      <c r="I180" t="s">
        <v>238</v>
      </c>
      <c r="J180" t="s">
        <v>19</v>
      </c>
      <c r="K180" t="s">
        <v>15</v>
      </c>
    </row>
    <row r="181" spans="1:11" x14ac:dyDescent="0.3">
      <c r="A181" t="s">
        <v>239</v>
      </c>
      <c r="B181" t="s">
        <v>240</v>
      </c>
      <c r="C181">
        <v>22867</v>
      </c>
      <c r="D181">
        <v>32136</v>
      </c>
      <c r="E181" s="1">
        <v>45132</v>
      </c>
      <c r="F181" s="1">
        <v>45252</v>
      </c>
      <c r="G181">
        <v>787.5</v>
      </c>
      <c r="H181">
        <v>0</v>
      </c>
      <c r="I181" t="s">
        <v>241</v>
      </c>
      <c r="J181" t="s">
        <v>19</v>
      </c>
      <c r="K181" t="s">
        <v>15</v>
      </c>
    </row>
    <row r="182" spans="1:11" x14ac:dyDescent="0.3">
      <c r="A182" t="s">
        <v>91</v>
      </c>
      <c r="B182" t="s">
        <v>92</v>
      </c>
      <c r="C182">
        <v>22914</v>
      </c>
      <c r="D182">
        <v>32181</v>
      </c>
      <c r="E182" s="1">
        <v>45138</v>
      </c>
      <c r="F182" s="1">
        <v>45258</v>
      </c>
      <c r="G182" s="2">
        <v>23806.799999999999</v>
      </c>
      <c r="H182">
        <v>0</v>
      </c>
      <c r="I182" t="s">
        <v>242</v>
      </c>
      <c r="J182" t="s">
        <v>94</v>
      </c>
      <c r="K182" t="s">
        <v>15</v>
      </c>
    </row>
    <row r="183" spans="1:11" x14ac:dyDescent="0.3">
      <c r="A183" t="s">
        <v>31</v>
      </c>
      <c r="B183" t="s">
        <v>32</v>
      </c>
      <c r="C183">
        <v>22967</v>
      </c>
      <c r="D183">
        <v>32256</v>
      </c>
      <c r="E183" s="1">
        <v>45149</v>
      </c>
      <c r="F183" s="1">
        <v>45269</v>
      </c>
      <c r="G183" s="2">
        <v>5370.73</v>
      </c>
      <c r="H183">
        <v>0</v>
      </c>
      <c r="I183" t="s">
        <v>243</v>
      </c>
      <c r="J183" t="s">
        <v>19</v>
      </c>
      <c r="K183" t="s">
        <v>15</v>
      </c>
    </row>
    <row r="184" spans="1:11" x14ac:dyDescent="0.3">
      <c r="A184" t="s">
        <v>31</v>
      </c>
      <c r="B184" t="s">
        <v>32</v>
      </c>
      <c r="C184">
        <v>22967</v>
      </c>
      <c r="D184">
        <v>32256</v>
      </c>
      <c r="E184" s="1">
        <v>45149</v>
      </c>
      <c r="F184" s="1">
        <v>45299</v>
      </c>
      <c r="G184" s="2">
        <v>5370.73</v>
      </c>
      <c r="H184">
        <v>0</v>
      </c>
      <c r="I184" t="s">
        <v>243</v>
      </c>
      <c r="J184" t="s">
        <v>19</v>
      </c>
      <c r="K184" t="s">
        <v>15</v>
      </c>
    </row>
    <row r="185" spans="1:11" x14ac:dyDescent="0.3">
      <c r="A185" t="s">
        <v>31</v>
      </c>
      <c r="B185" t="s">
        <v>32</v>
      </c>
      <c r="C185">
        <v>22967</v>
      </c>
      <c r="D185">
        <v>32256</v>
      </c>
      <c r="E185" s="1">
        <v>45149</v>
      </c>
      <c r="F185" s="1">
        <v>45329</v>
      </c>
      <c r="G185" s="2">
        <v>5370.74</v>
      </c>
      <c r="H185">
        <v>0</v>
      </c>
      <c r="I185" t="s">
        <v>243</v>
      </c>
      <c r="J185" t="s">
        <v>19</v>
      </c>
      <c r="K185" t="s">
        <v>15</v>
      </c>
    </row>
    <row r="186" spans="1:11" x14ac:dyDescent="0.3">
      <c r="A186" t="s">
        <v>31</v>
      </c>
      <c r="B186" t="s">
        <v>32</v>
      </c>
      <c r="C186">
        <v>22999</v>
      </c>
      <c r="D186">
        <v>32293</v>
      </c>
      <c r="E186" s="1">
        <v>45153</v>
      </c>
      <c r="F186" s="1">
        <v>45273</v>
      </c>
      <c r="G186" s="2">
        <v>42666.62</v>
      </c>
      <c r="H186">
        <v>0</v>
      </c>
      <c r="I186" t="s">
        <v>244</v>
      </c>
      <c r="J186" t="s">
        <v>19</v>
      </c>
      <c r="K186" t="s">
        <v>15</v>
      </c>
    </row>
    <row r="187" spans="1:11" x14ac:dyDescent="0.3">
      <c r="A187" t="s">
        <v>31</v>
      </c>
      <c r="B187" t="s">
        <v>32</v>
      </c>
      <c r="C187">
        <v>22999</v>
      </c>
      <c r="D187">
        <v>32293</v>
      </c>
      <c r="E187" s="1">
        <v>45153</v>
      </c>
      <c r="F187" s="1">
        <v>45303</v>
      </c>
      <c r="G187" s="2">
        <v>42666.62</v>
      </c>
      <c r="H187">
        <v>0</v>
      </c>
      <c r="I187" t="s">
        <v>244</v>
      </c>
      <c r="J187" t="s">
        <v>19</v>
      </c>
      <c r="K187" t="s">
        <v>15</v>
      </c>
    </row>
    <row r="188" spans="1:11" x14ac:dyDescent="0.3">
      <c r="A188" t="s">
        <v>31</v>
      </c>
      <c r="B188" t="s">
        <v>32</v>
      </c>
      <c r="C188">
        <v>22999</v>
      </c>
      <c r="D188">
        <v>32293</v>
      </c>
      <c r="E188" s="1">
        <v>45153</v>
      </c>
      <c r="F188" s="1">
        <v>45333</v>
      </c>
      <c r="G188" s="2">
        <v>42666.76</v>
      </c>
      <c r="H188">
        <v>0</v>
      </c>
      <c r="I188" t="s">
        <v>244</v>
      </c>
      <c r="J188" t="s">
        <v>19</v>
      </c>
      <c r="K188" t="s">
        <v>15</v>
      </c>
    </row>
    <row r="189" spans="1:11" x14ac:dyDescent="0.3">
      <c r="A189" t="s">
        <v>194</v>
      </c>
      <c r="B189" t="s">
        <v>195</v>
      </c>
      <c r="C189">
        <v>23082</v>
      </c>
      <c r="D189">
        <v>32382</v>
      </c>
      <c r="E189" s="1">
        <v>45162</v>
      </c>
      <c r="F189" s="1">
        <v>45442</v>
      </c>
      <c r="G189" s="2">
        <v>290050</v>
      </c>
      <c r="H189">
        <v>0</v>
      </c>
      <c r="I189" t="s">
        <v>245</v>
      </c>
      <c r="J189" t="s">
        <v>46</v>
      </c>
      <c r="K189" t="s">
        <v>15</v>
      </c>
    </row>
    <row r="190" spans="1:11" x14ac:dyDescent="0.3">
      <c r="A190" t="s">
        <v>246</v>
      </c>
      <c r="B190" t="s">
        <v>247</v>
      </c>
      <c r="C190">
        <v>23150</v>
      </c>
      <c r="D190">
        <v>32454</v>
      </c>
      <c r="E190" s="1">
        <v>45167</v>
      </c>
      <c r="F190" s="1">
        <v>45287</v>
      </c>
      <c r="G190" s="2">
        <v>135000</v>
      </c>
      <c r="H190">
        <v>0</v>
      </c>
      <c r="I190" t="s">
        <v>248</v>
      </c>
      <c r="J190" t="s">
        <v>94</v>
      </c>
      <c r="K190" t="s">
        <v>15</v>
      </c>
    </row>
    <row r="191" spans="1:11" x14ac:dyDescent="0.3">
      <c r="A191" t="s">
        <v>136</v>
      </c>
      <c r="B191" t="s">
        <v>137</v>
      </c>
      <c r="C191">
        <v>23167</v>
      </c>
      <c r="D191">
        <v>32475</v>
      </c>
      <c r="E191" s="1">
        <v>45168</v>
      </c>
      <c r="F191" s="1">
        <v>45258</v>
      </c>
      <c r="G191" s="2">
        <v>3010</v>
      </c>
      <c r="H191">
        <v>0</v>
      </c>
      <c r="I191" t="s">
        <v>249</v>
      </c>
      <c r="J191" t="s">
        <v>122</v>
      </c>
      <c r="K191" t="s">
        <v>15</v>
      </c>
    </row>
    <row r="192" spans="1:11" x14ac:dyDescent="0.3">
      <c r="A192" t="s">
        <v>136</v>
      </c>
      <c r="B192" t="s">
        <v>137</v>
      </c>
      <c r="C192">
        <v>23167</v>
      </c>
      <c r="D192">
        <v>32475</v>
      </c>
      <c r="E192" s="1">
        <v>45168</v>
      </c>
      <c r="F192" s="1">
        <v>45288</v>
      </c>
      <c r="G192" s="2">
        <v>3010</v>
      </c>
      <c r="H192">
        <v>0</v>
      </c>
      <c r="I192" t="s">
        <v>249</v>
      </c>
      <c r="J192" t="s">
        <v>122</v>
      </c>
      <c r="K192" t="s">
        <v>15</v>
      </c>
    </row>
    <row r="193" spans="1:11" x14ac:dyDescent="0.3">
      <c r="A193" t="s">
        <v>136</v>
      </c>
      <c r="B193" t="s">
        <v>137</v>
      </c>
      <c r="C193">
        <v>23167</v>
      </c>
      <c r="D193">
        <v>32475</v>
      </c>
      <c r="E193" s="1">
        <v>45168</v>
      </c>
      <c r="F193" s="1">
        <v>45318</v>
      </c>
      <c r="G193" s="2">
        <v>3010</v>
      </c>
      <c r="H193">
        <v>0</v>
      </c>
      <c r="I193" t="s">
        <v>249</v>
      </c>
      <c r="J193" t="s">
        <v>122</v>
      </c>
      <c r="K193" t="s">
        <v>15</v>
      </c>
    </row>
    <row r="194" spans="1:11" x14ac:dyDescent="0.3">
      <c r="A194" t="s">
        <v>136</v>
      </c>
      <c r="B194" t="s">
        <v>137</v>
      </c>
      <c r="C194">
        <v>23218</v>
      </c>
      <c r="D194">
        <v>32534</v>
      </c>
      <c r="E194" s="1">
        <v>45173</v>
      </c>
      <c r="F194" s="1">
        <v>45263</v>
      </c>
      <c r="G194" s="2">
        <v>15749.98</v>
      </c>
      <c r="H194">
        <v>0</v>
      </c>
      <c r="I194" t="s">
        <v>250</v>
      </c>
      <c r="J194" t="s">
        <v>122</v>
      </c>
      <c r="K194" t="s">
        <v>15</v>
      </c>
    </row>
    <row r="195" spans="1:11" x14ac:dyDescent="0.3">
      <c r="A195" t="s">
        <v>136</v>
      </c>
      <c r="B195" t="s">
        <v>137</v>
      </c>
      <c r="C195">
        <v>23218</v>
      </c>
      <c r="D195">
        <v>32534</v>
      </c>
      <c r="E195" s="1">
        <v>45173</v>
      </c>
      <c r="F195" s="1">
        <v>45293</v>
      </c>
      <c r="G195" s="2">
        <v>15749.98</v>
      </c>
      <c r="H195">
        <v>0</v>
      </c>
      <c r="I195" t="s">
        <v>250</v>
      </c>
      <c r="J195" t="s">
        <v>122</v>
      </c>
      <c r="K195" t="s">
        <v>15</v>
      </c>
    </row>
    <row r="196" spans="1:11" x14ac:dyDescent="0.3">
      <c r="A196" t="s">
        <v>136</v>
      </c>
      <c r="B196" t="s">
        <v>137</v>
      </c>
      <c r="C196">
        <v>23218</v>
      </c>
      <c r="D196">
        <v>32534</v>
      </c>
      <c r="E196" s="1">
        <v>45173</v>
      </c>
      <c r="F196" s="1">
        <v>45323</v>
      </c>
      <c r="G196" s="2">
        <v>15750.04</v>
      </c>
      <c r="H196">
        <v>0</v>
      </c>
      <c r="I196" t="s">
        <v>250</v>
      </c>
      <c r="J196" t="s">
        <v>122</v>
      </c>
      <c r="K196" t="s">
        <v>15</v>
      </c>
    </row>
    <row r="197" spans="1:11" x14ac:dyDescent="0.3">
      <c r="A197" t="s">
        <v>37</v>
      </c>
      <c r="B197" t="s">
        <v>29</v>
      </c>
      <c r="C197">
        <v>23268</v>
      </c>
      <c r="D197">
        <v>32586</v>
      </c>
      <c r="E197" s="1">
        <v>45175</v>
      </c>
      <c r="F197" s="1">
        <v>45355</v>
      </c>
      <c r="G197" s="2">
        <v>27210</v>
      </c>
      <c r="H197">
        <v>0</v>
      </c>
      <c r="I197" t="s">
        <v>251</v>
      </c>
      <c r="J197" t="s">
        <v>19</v>
      </c>
      <c r="K197" t="s">
        <v>15</v>
      </c>
    </row>
    <row r="198" spans="1:11" x14ac:dyDescent="0.3">
      <c r="A198" t="s">
        <v>252</v>
      </c>
      <c r="B198" t="s">
        <v>253</v>
      </c>
      <c r="C198">
        <v>23350</v>
      </c>
      <c r="D198">
        <v>32663</v>
      </c>
      <c r="E198" s="1">
        <v>45182</v>
      </c>
      <c r="F198" s="1">
        <v>45442</v>
      </c>
      <c r="G198" s="2">
        <v>366400</v>
      </c>
      <c r="H198">
        <v>0</v>
      </c>
      <c r="I198" t="s">
        <v>254</v>
      </c>
      <c r="J198" t="s">
        <v>206</v>
      </c>
      <c r="K198" t="s">
        <v>15</v>
      </c>
    </row>
    <row r="199" spans="1:11" x14ac:dyDescent="0.3">
      <c r="A199" t="s">
        <v>255</v>
      </c>
      <c r="B199" t="s">
        <v>256</v>
      </c>
      <c r="C199">
        <v>20626</v>
      </c>
      <c r="D199">
        <v>29735</v>
      </c>
      <c r="E199" s="1">
        <v>44832</v>
      </c>
      <c r="F199" s="1">
        <v>45076</v>
      </c>
      <c r="G199" s="2">
        <v>489000</v>
      </c>
      <c r="H199">
        <v>146</v>
      </c>
      <c r="I199" t="s">
        <v>257</v>
      </c>
      <c r="J199" t="s">
        <v>122</v>
      </c>
      <c r="K199" t="s">
        <v>15</v>
      </c>
    </row>
    <row r="200" spans="1:11" x14ac:dyDescent="0.3">
      <c r="A200" t="s">
        <v>61</v>
      </c>
      <c r="B200" t="s">
        <v>35</v>
      </c>
      <c r="C200">
        <v>22597</v>
      </c>
      <c r="D200">
        <v>31867</v>
      </c>
      <c r="E200" s="1">
        <v>45092</v>
      </c>
      <c r="F200" s="1">
        <v>45242</v>
      </c>
      <c r="G200" s="2">
        <v>46360</v>
      </c>
      <c r="H200">
        <v>0</v>
      </c>
      <c r="I200" t="s">
        <v>494</v>
      </c>
      <c r="J200" t="s">
        <v>19</v>
      </c>
      <c r="K200" t="s">
        <v>15</v>
      </c>
    </row>
    <row r="201" spans="1:11" x14ac:dyDescent="0.3">
      <c r="A201" t="s">
        <v>259</v>
      </c>
      <c r="B201" t="s">
        <v>260</v>
      </c>
      <c r="C201">
        <v>22466</v>
      </c>
      <c r="D201">
        <v>31724</v>
      </c>
      <c r="E201" s="1">
        <v>45065</v>
      </c>
      <c r="F201" s="1">
        <v>45229</v>
      </c>
      <c r="G201" s="2">
        <v>7820</v>
      </c>
      <c r="H201">
        <v>0</v>
      </c>
      <c r="I201" t="s">
        <v>261</v>
      </c>
      <c r="J201" t="s">
        <v>77</v>
      </c>
      <c r="K201" t="s">
        <v>15</v>
      </c>
    </row>
    <row r="202" spans="1:11" x14ac:dyDescent="0.3">
      <c r="A202" t="s">
        <v>136</v>
      </c>
      <c r="B202" t="s">
        <v>137</v>
      </c>
      <c r="C202">
        <v>22565</v>
      </c>
      <c r="D202">
        <v>31834</v>
      </c>
      <c r="E202" s="1">
        <v>45084</v>
      </c>
      <c r="F202" s="1">
        <v>45234</v>
      </c>
      <c r="G202" s="2">
        <v>19850.04</v>
      </c>
      <c r="H202">
        <v>0</v>
      </c>
      <c r="I202" t="s">
        <v>262</v>
      </c>
      <c r="J202" t="s">
        <v>122</v>
      </c>
      <c r="K202" t="s">
        <v>15</v>
      </c>
    </row>
    <row r="203" spans="1:11" x14ac:dyDescent="0.3">
      <c r="A203" t="s">
        <v>31</v>
      </c>
      <c r="B203" t="s">
        <v>32</v>
      </c>
      <c r="C203">
        <v>22598</v>
      </c>
      <c r="D203">
        <v>31868</v>
      </c>
      <c r="E203" s="1">
        <v>45092</v>
      </c>
      <c r="F203" s="1">
        <v>45242</v>
      </c>
      <c r="G203" s="2">
        <v>9249.99</v>
      </c>
      <c r="H203">
        <v>0</v>
      </c>
      <c r="I203" t="s">
        <v>263</v>
      </c>
      <c r="J203" t="s">
        <v>19</v>
      </c>
      <c r="K203" t="s">
        <v>15</v>
      </c>
    </row>
    <row r="204" spans="1:11" x14ac:dyDescent="0.3">
      <c r="A204" t="s">
        <v>31</v>
      </c>
      <c r="B204" t="s">
        <v>32</v>
      </c>
      <c r="C204">
        <v>22598</v>
      </c>
      <c r="D204">
        <v>31868</v>
      </c>
      <c r="E204" s="1">
        <v>45092</v>
      </c>
      <c r="F204" s="1">
        <v>45272</v>
      </c>
      <c r="G204" s="2">
        <v>13536.02</v>
      </c>
      <c r="H204">
        <v>0</v>
      </c>
      <c r="I204" t="s">
        <v>263</v>
      </c>
      <c r="J204" t="s">
        <v>19</v>
      </c>
      <c r="K204" t="s">
        <v>15</v>
      </c>
    </row>
    <row r="205" spans="1:11" x14ac:dyDescent="0.3">
      <c r="A205" t="s">
        <v>136</v>
      </c>
      <c r="B205" t="s">
        <v>137</v>
      </c>
      <c r="C205">
        <v>22630</v>
      </c>
      <c r="D205">
        <v>31906</v>
      </c>
      <c r="E205" s="1">
        <v>45100</v>
      </c>
      <c r="F205" s="1">
        <v>45250</v>
      </c>
      <c r="G205" s="2">
        <v>18340.04</v>
      </c>
      <c r="H205">
        <v>0</v>
      </c>
      <c r="I205" t="s">
        <v>264</v>
      </c>
      <c r="J205" t="s">
        <v>122</v>
      </c>
      <c r="K205" t="s">
        <v>15</v>
      </c>
    </row>
    <row r="206" spans="1:11" x14ac:dyDescent="0.3">
      <c r="A206" t="s">
        <v>265</v>
      </c>
      <c r="B206" t="s">
        <v>195</v>
      </c>
      <c r="C206">
        <v>22665</v>
      </c>
      <c r="D206">
        <v>31940</v>
      </c>
      <c r="E206" s="1">
        <v>45104</v>
      </c>
      <c r="F206" s="1">
        <v>45224</v>
      </c>
      <c r="G206" s="2">
        <v>36222</v>
      </c>
      <c r="H206">
        <v>0</v>
      </c>
      <c r="I206" t="s">
        <v>266</v>
      </c>
      <c r="J206" t="s">
        <v>46</v>
      </c>
      <c r="K206" t="s">
        <v>15</v>
      </c>
    </row>
    <row r="207" spans="1:11" x14ac:dyDescent="0.3">
      <c r="A207" t="s">
        <v>43</v>
      </c>
      <c r="B207" t="s">
        <v>44</v>
      </c>
      <c r="C207">
        <v>22683</v>
      </c>
      <c r="D207">
        <v>31958</v>
      </c>
      <c r="E207" s="1">
        <v>45105</v>
      </c>
      <c r="F207" s="1">
        <v>45225</v>
      </c>
      <c r="G207" s="2">
        <v>9365.4</v>
      </c>
      <c r="H207">
        <v>0</v>
      </c>
      <c r="I207" t="s">
        <v>267</v>
      </c>
      <c r="J207" t="s">
        <v>46</v>
      </c>
      <c r="K207" t="s">
        <v>15</v>
      </c>
    </row>
    <row r="208" spans="1:11" x14ac:dyDescent="0.3">
      <c r="A208" t="s">
        <v>139</v>
      </c>
      <c r="B208" t="s">
        <v>140</v>
      </c>
      <c r="C208">
        <v>22716</v>
      </c>
      <c r="D208">
        <v>31989</v>
      </c>
      <c r="E208" s="1">
        <v>45106</v>
      </c>
      <c r="F208" s="1">
        <v>45226</v>
      </c>
      <c r="G208">
        <v>656.25</v>
      </c>
      <c r="H208">
        <v>0</v>
      </c>
      <c r="I208" t="s">
        <v>268</v>
      </c>
      <c r="J208" t="s">
        <v>135</v>
      </c>
      <c r="K208" t="s">
        <v>15</v>
      </c>
    </row>
    <row r="209" spans="1:11" x14ac:dyDescent="0.3">
      <c r="A209" t="s">
        <v>31</v>
      </c>
      <c r="B209" t="s">
        <v>32</v>
      </c>
      <c r="C209">
        <v>22748</v>
      </c>
      <c r="D209">
        <v>32032</v>
      </c>
      <c r="E209" s="1">
        <v>45112</v>
      </c>
      <c r="F209" s="1">
        <v>45232</v>
      </c>
      <c r="G209" s="2">
        <v>16649.98</v>
      </c>
      <c r="H209">
        <v>0</v>
      </c>
      <c r="I209" t="s">
        <v>269</v>
      </c>
      <c r="J209" t="s">
        <v>19</v>
      </c>
      <c r="K209" t="s">
        <v>15</v>
      </c>
    </row>
    <row r="210" spans="1:11" x14ac:dyDescent="0.3">
      <c r="A210" t="s">
        <v>31</v>
      </c>
      <c r="B210" t="s">
        <v>32</v>
      </c>
      <c r="C210">
        <v>22748</v>
      </c>
      <c r="D210">
        <v>32032</v>
      </c>
      <c r="E210" s="1">
        <v>45112</v>
      </c>
      <c r="F210" s="1">
        <v>45262</v>
      </c>
      <c r="G210" s="2">
        <v>16649.98</v>
      </c>
      <c r="H210">
        <v>0</v>
      </c>
      <c r="I210" t="s">
        <v>269</v>
      </c>
      <c r="J210" t="s">
        <v>19</v>
      </c>
      <c r="K210" t="s">
        <v>15</v>
      </c>
    </row>
    <row r="211" spans="1:11" x14ac:dyDescent="0.3">
      <c r="A211" t="s">
        <v>31</v>
      </c>
      <c r="B211" t="s">
        <v>32</v>
      </c>
      <c r="C211">
        <v>22748</v>
      </c>
      <c r="D211">
        <v>32032</v>
      </c>
      <c r="E211" s="1">
        <v>45112</v>
      </c>
      <c r="F211" s="1">
        <v>45292</v>
      </c>
      <c r="G211" s="2">
        <v>16650.04</v>
      </c>
      <c r="H211">
        <v>0</v>
      </c>
      <c r="I211" t="s">
        <v>269</v>
      </c>
      <c r="J211" t="s">
        <v>19</v>
      </c>
      <c r="K211" t="s">
        <v>15</v>
      </c>
    </row>
    <row r="212" spans="1:11" x14ac:dyDescent="0.3">
      <c r="A212" t="s">
        <v>31</v>
      </c>
      <c r="B212" t="s">
        <v>32</v>
      </c>
      <c r="C212">
        <v>22880</v>
      </c>
      <c r="D212">
        <v>32147</v>
      </c>
      <c r="E212" s="1">
        <v>45132</v>
      </c>
      <c r="F212" s="1">
        <v>45402</v>
      </c>
      <c r="G212" s="2">
        <v>6995.2</v>
      </c>
      <c r="H212">
        <v>0</v>
      </c>
      <c r="I212" t="s">
        <v>270</v>
      </c>
      <c r="J212" t="s">
        <v>19</v>
      </c>
      <c r="K212" t="s">
        <v>15</v>
      </c>
    </row>
    <row r="213" spans="1:11" x14ac:dyDescent="0.3">
      <c r="A213" t="s">
        <v>34</v>
      </c>
      <c r="B213" t="s">
        <v>35</v>
      </c>
      <c r="C213">
        <v>22471</v>
      </c>
      <c r="D213">
        <v>31727</v>
      </c>
      <c r="E213" s="1">
        <v>45065</v>
      </c>
      <c r="F213" s="1">
        <v>45245</v>
      </c>
      <c r="G213" s="2">
        <v>21840</v>
      </c>
      <c r="H213">
        <v>0</v>
      </c>
      <c r="I213" t="s">
        <v>770</v>
      </c>
      <c r="J213" t="s">
        <v>19</v>
      </c>
      <c r="K213" t="s">
        <v>15</v>
      </c>
    </row>
    <row r="214" spans="1:11" x14ac:dyDescent="0.3">
      <c r="A214" t="s">
        <v>63</v>
      </c>
      <c r="B214" t="s">
        <v>64</v>
      </c>
      <c r="C214">
        <v>22941</v>
      </c>
      <c r="D214">
        <v>32217</v>
      </c>
      <c r="E214" s="1">
        <v>45142</v>
      </c>
      <c r="F214" s="1">
        <v>45262</v>
      </c>
      <c r="G214" s="2">
        <v>20880</v>
      </c>
      <c r="H214">
        <v>0</v>
      </c>
      <c r="I214" t="s">
        <v>785</v>
      </c>
      <c r="J214" t="s">
        <v>19</v>
      </c>
      <c r="K214" t="s">
        <v>15</v>
      </c>
    </row>
    <row r="215" spans="1:11" x14ac:dyDescent="0.3">
      <c r="A215" t="s">
        <v>273</v>
      </c>
      <c r="B215" t="s">
        <v>274</v>
      </c>
      <c r="C215">
        <v>23333</v>
      </c>
      <c r="D215">
        <v>32645</v>
      </c>
      <c r="E215" s="1">
        <v>45181</v>
      </c>
      <c r="F215" s="1">
        <v>45442</v>
      </c>
      <c r="G215" s="2">
        <v>171000</v>
      </c>
      <c r="H215">
        <v>0</v>
      </c>
      <c r="I215" t="s">
        <v>275</v>
      </c>
      <c r="J215" t="s">
        <v>206</v>
      </c>
      <c r="K215" t="s">
        <v>15</v>
      </c>
    </row>
    <row r="216" spans="1:11" x14ac:dyDescent="0.3">
      <c r="A216" t="s">
        <v>54</v>
      </c>
      <c r="B216" t="s">
        <v>55</v>
      </c>
      <c r="C216">
        <v>23501</v>
      </c>
      <c r="D216">
        <v>32820</v>
      </c>
      <c r="E216" s="1">
        <v>45189</v>
      </c>
      <c r="F216" s="1">
        <v>45309</v>
      </c>
      <c r="G216" s="2">
        <v>10022.5</v>
      </c>
      <c r="H216">
        <v>0</v>
      </c>
      <c r="I216" t="s">
        <v>276</v>
      </c>
      <c r="J216" t="s">
        <v>57</v>
      </c>
      <c r="K216" t="s">
        <v>15</v>
      </c>
    </row>
    <row r="217" spans="1:11" x14ac:dyDescent="0.3">
      <c r="A217" t="s">
        <v>58</v>
      </c>
      <c r="B217" t="s">
        <v>59</v>
      </c>
      <c r="C217">
        <v>23515</v>
      </c>
      <c r="D217">
        <v>32833</v>
      </c>
      <c r="E217" s="1">
        <v>45189</v>
      </c>
      <c r="F217" s="1">
        <v>45279</v>
      </c>
      <c r="G217" s="2">
        <v>2155</v>
      </c>
      <c r="H217">
        <v>0</v>
      </c>
      <c r="I217" t="s">
        <v>277</v>
      </c>
      <c r="J217" t="s">
        <v>57</v>
      </c>
      <c r="K217" t="s">
        <v>15</v>
      </c>
    </row>
    <row r="218" spans="1:11" x14ac:dyDescent="0.3">
      <c r="A218" t="s">
        <v>11</v>
      </c>
      <c r="B218" t="s">
        <v>12</v>
      </c>
      <c r="C218">
        <v>23551</v>
      </c>
      <c r="D218">
        <v>32873</v>
      </c>
      <c r="E218" s="1">
        <v>45194</v>
      </c>
      <c r="F218" s="1">
        <v>45224</v>
      </c>
      <c r="G218" s="2">
        <v>4542</v>
      </c>
      <c r="H218">
        <v>0</v>
      </c>
      <c r="I218" t="s">
        <v>278</v>
      </c>
      <c r="J218" t="s">
        <v>14</v>
      </c>
      <c r="K218" t="s">
        <v>15</v>
      </c>
    </row>
    <row r="219" spans="1:11" x14ac:dyDescent="0.3">
      <c r="A219" t="s">
        <v>11</v>
      </c>
      <c r="B219" t="s">
        <v>12</v>
      </c>
      <c r="C219">
        <v>23551</v>
      </c>
      <c r="D219">
        <v>32873</v>
      </c>
      <c r="E219" s="1">
        <v>45194</v>
      </c>
      <c r="F219" s="1">
        <v>45254</v>
      </c>
      <c r="G219" s="2">
        <v>4542</v>
      </c>
      <c r="H219">
        <v>0</v>
      </c>
      <c r="I219" t="s">
        <v>278</v>
      </c>
      <c r="J219" t="s">
        <v>14</v>
      </c>
      <c r="K219" t="s">
        <v>15</v>
      </c>
    </row>
    <row r="220" spans="1:11" x14ac:dyDescent="0.3">
      <c r="A220" t="s">
        <v>11</v>
      </c>
      <c r="B220" t="s">
        <v>12</v>
      </c>
      <c r="C220">
        <v>23551</v>
      </c>
      <c r="D220">
        <v>32873</v>
      </c>
      <c r="E220" s="1">
        <v>45194</v>
      </c>
      <c r="F220" s="1">
        <v>45284</v>
      </c>
      <c r="G220" s="2">
        <v>4542</v>
      </c>
      <c r="H220">
        <v>0</v>
      </c>
      <c r="I220" t="s">
        <v>278</v>
      </c>
      <c r="J220" t="s">
        <v>14</v>
      </c>
      <c r="K220" t="s">
        <v>15</v>
      </c>
    </row>
    <row r="221" spans="1:11" x14ac:dyDescent="0.3">
      <c r="A221" t="s">
        <v>16</v>
      </c>
      <c r="B221" t="s">
        <v>17</v>
      </c>
      <c r="C221">
        <v>22153</v>
      </c>
      <c r="D221">
        <v>31340</v>
      </c>
      <c r="E221" s="1">
        <v>45007</v>
      </c>
      <c r="F221" s="1">
        <v>45247</v>
      </c>
      <c r="G221" s="2">
        <v>9466.68</v>
      </c>
      <c r="H221">
        <v>0</v>
      </c>
      <c r="I221" t="s">
        <v>279</v>
      </c>
      <c r="J221" t="s">
        <v>19</v>
      </c>
      <c r="K221" t="s">
        <v>15</v>
      </c>
    </row>
    <row r="222" spans="1:11" x14ac:dyDescent="0.3">
      <c r="A222" t="s">
        <v>20</v>
      </c>
      <c r="B222" t="s">
        <v>21</v>
      </c>
      <c r="C222">
        <v>22725</v>
      </c>
      <c r="D222">
        <v>32005</v>
      </c>
      <c r="E222" s="1">
        <v>45111</v>
      </c>
      <c r="F222" s="1">
        <v>45231</v>
      </c>
      <c r="G222" s="2">
        <v>19057.849999999999</v>
      </c>
      <c r="H222">
        <v>0</v>
      </c>
      <c r="I222" t="s">
        <v>280</v>
      </c>
      <c r="J222" t="s">
        <v>23</v>
      </c>
      <c r="K222" t="s">
        <v>15</v>
      </c>
    </row>
    <row r="223" spans="1:11" x14ac:dyDescent="0.3">
      <c r="A223" t="s">
        <v>20</v>
      </c>
      <c r="B223" t="s">
        <v>21</v>
      </c>
      <c r="C223">
        <v>22725</v>
      </c>
      <c r="D223">
        <v>32005</v>
      </c>
      <c r="E223" s="1">
        <v>45111</v>
      </c>
      <c r="F223" s="1">
        <v>45246</v>
      </c>
      <c r="G223" s="2">
        <v>19057.849999999999</v>
      </c>
      <c r="H223">
        <v>0</v>
      </c>
      <c r="I223" t="s">
        <v>280</v>
      </c>
      <c r="J223" t="s">
        <v>23</v>
      </c>
      <c r="K223" t="s">
        <v>15</v>
      </c>
    </row>
    <row r="224" spans="1:11" x14ac:dyDescent="0.3">
      <c r="A224" t="s">
        <v>20</v>
      </c>
      <c r="B224" t="s">
        <v>21</v>
      </c>
      <c r="C224">
        <v>22725</v>
      </c>
      <c r="D224">
        <v>32005</v>
      </c>
      <c r="E224" s="1">
        <v>45111</v>
      </c>
      <c r="F224" s="1">
        <v>45261</v>
      </c>
      <c r="G224" s="2">
        <v>19057.849999999999</v>
      </c>
      <c r="H224">
        <v>0</v>
      </c>
      <c r="I224" t="s">
        <v>280</v>
      </c>
      <c r="J224" t="s">
        <v>23</v>
      </c>
      <c r="K224" t="s">
        <v>15</v>
      </c>
    </row>
    <row r="225" spans="1:11" x14ac:dyDescent="0.3">
      <c r="A225" t="s">
        <v>20</v>
      </c>
      <c r="B225" t="s">
        <v>21</v>
      </c>
      <c r="C225">
        <v>22725</v>
      </c>
      <c r="D225">
        <v>32005</v>
      </c>
      <c r="E225" s="1">
        <v>45111</v>
      </c>
      <c r="F225" s="1">
        <v>45276</v>
      </c>
      <c r="G225" s="2">
        <v>19057.849999999999</v>
      </c>
      <c r="H225">
        <v>0</v>
      </c>
      <c r="I225" t="s">
        <v>280</v>
      </c>
      <c r="J225" t="s">
        <v>23</v>
      </c>
      <c r="K225" t="s">
        <v>15</v>
      </c>
    </row>
    <row r="226" spans="1:11" x14ac:dyDescent="0.3">
      <c r="A226" t="s">
        <v>20</v>
      </c>
      <c r="B226" t="s">
        <v>21</v>
      </c>
      <c r="C226">
        <v>22725</v>
      </c>
      <c r="D226">
        <v>32005</v>
      </c>
      <c r="E226" s="1">
        <v>45111</v>
      </c>
      <c r="F226" s="1">
        <v>45291</v>
      </c>
      <c r="G226" s="2">
        <v>19058</v>
      </c>
      <c r="H226">
        <v>0</v>
      </c>
      <c r="I226" t="s">
        <v>280</v>
      </c>
      <c r="J226" t="s">
        <v>23</v>
      </c>
      <c r="K226" t="s">
        <v>15</v>
      </c>
    </row>
    <row r="227" spans="1:11" x14ac:dyDescent="0.3">
      <c r="A227" t="s">
        <v>24</v>
      </c>
      <c r="B227" t="s">
        <v>25</v>
      </c>
      <c r="C227">
        <v>22738</v>
      </c>
      <c r="D227">
        <v>32018</v>
      </c>
      <c r="E227" s="1">
        <v>45111</v>
      </c>
      <c r="F227" s="1">
        <v>45261</v>
      </c>
      <c r="G227" s="2">
        <v>33150</v>
      </c>
      <c r="H227">
        <v>0</v>
      </c>
      <c r="I227" t="s">
        <v>281</v>
      </c>
      <c r="J227" t="s">
        <v>27</v>
      </c>
      <c r="K227" t="s">
        <v>15</v>
      </c>
    </row>
    <row r="228" spans="1:11" x14ac:dyDescent="0.3">
      <c r="A228" t="s">
        <v>152</v>
      </c>
      <c r="B228" t="s">
        <v>153</v>
      </c>
      <c r="C228">
        <v>22740</v>
      </c>
      <c r="D228">
        <v>32020</v>
      </c>
      <c r="E228" s="1">
        <v>45111</v>
      </c>
      <c r="F228" s="1">
        <v>45231</v>
      </c>
      <c r="G228" s="2">
        <v>25538.75</v>
      </c>
      <c r="H228">
        <v>0</v>
      </c>
      <c r="I228" t="s">
        <v>282</v>
      </c>
      <c r="J228" t="s">
        <v>27</v>
      </c>
      <c r="K228" t="s">
        <v>15</v>
      </c>
    </row>
    <row r="229" spans="1:11" x14ac:dyDescent="0.3">
      <c r="A229" t="s">
        <v>96</v>
      </c>
      <c r="B229" t="s">
        <v>97</v>
      </c>
      <c r="C229">
        <v>22789</v>
      </c>
      <c r="D229">
        <v>32077</v>
      </c>
      <c r="E229" s="1">
        <v>45121</v>
      </c>
      <c r="F229" s="1">
        <v>45379</v>
      </c>
      <c r="G229" s="2">
        <v>398250</v>
      </c>
      <c r="H229">
        <v>0</v>
      </c>
      <c r="I229" t="s">
        <v>283</v>
      </c>
      <c r="J229" t="s">
        <v>99</v>
      </c>
      <c r="K229" t="s">
        <v>15</v>
      </c>
    </row>
    <row r="230" spans="1:11" x14ac:dyDescent="0.3">
      <c r="A230" t="s">
        <v>67</v>
      </c>
      <c r="B230" t="s">
        <v>68</v>
      </c>
      <c r="C230">
        <v>22925</v>
      </c>
      <c r="D230">
        <v>32196</v>
      </c>
      <c r="E230" s="1">
        <v>45140</v>
      </c>
      <c r="F230" s="1">
        <v>45260</v>
      </c>
      <c r="G230" s="2">
        <v>31498</v>
      </c>
      <c r="H230">
        <v>0</v>
      </c>
      <c r="I230" t="s">
        <v>284</v>
      </c>
      <c r="J230" t="s">
        <v>19</v>
      </c>
      <c r="K230" t="s">
        <v>15</v>
      </c>
    </row>
    <row r="231" spans="1:11" x14ac:dyDescent="0.3">
      <c r="A231" t="s">
        <v>136</v>
      </c>
      <c r="B231" t="s">
        <v>137</v>
      </c>
      <c r="C231">
        <v>23123</v>
      </c>
      <c r="D231">
        <v>32424</v>
      </c>
      <c r="E231" s="1">
        <v>45163</v>
      </c>
      <c r="F231" s="1">
        <v>45313</v>
      </c>
      <c r="G231">
        <v>672.92</v>
      </c>
      <c r="H231">
        <v>0</v>
      </c>
      <c r="I231" t="s">
        <v>285</v>
      </c>
      <c r="J231" t="s">
        <v>122</v>
      </c>
      <c r="K231" t="s">
        <v>15</v>
      </c>
    </row>
    <row r="232" spans="1:11" x14ac:dyDescent="0.3">
      <c r="A232" t="s">
        <v>136</v>
      </c>
      <c r="B232" t="s">
        <v>137</v>
      </c>
      <c r="C232">
        <v>23123</v>
      </c>
      <c r="D232">
        <v>32424</v>
      </c>
      <c r="E232" s="1">
        <v>45163</v>
      </c>
      <c r="F232" s="1">
        <v>45343</v>
      </c>
      <c r="G232">
        <v>672.92</v>
      </c>
      <c r="H232">
        <v>0</v>
      </c>
      <c r="I232" t="s">
        <v>285</v>
      </c>
      <c r="J232" t="s">
        <v>122</v>
      </c>
      <c r="K232" t="s">
        <v>15</v>
      </c>
    </row>
    <row r="233" spans="1:11" x14ac:dyDescent="0.3">
      <c r="A233" t="s">
        <v>136</v>
      </c>
      <c r="B233" t="s">
        <v>137</v>
      </c>
      <c r="C233">
        <v>23123</v>
      </c>
      <c r="D233">
        <v>32424</v>
      </c>
      <c r="E233" s="1">
        <v>45163</v>
      </c>
      <c r="F233" s="1">
        <v>45373</v>
      </c>
      <c r="G233">
        <v>672.91</v>
      </c>
      <c r="H233">
        <v>0</v>
      </c>
      <c r="I233" t="s">
        <v>285</v>
      </c>
      <c r="J233" t="s">
        <v>122</v>
      </c>
      <c r="K233" t="s">
        <v>15</v>
      </c>
    </row>
    <row r="234" spans="1:11" x14ac:dyDescent="0.3">
      <c r="A234" t="s">
        <v>39</v>
      </c>
      <c r="B234" t="s">
        <v>40</v>
      </c>
      <c r="C234">
        <v>23206</v>
      </c>
      <c r="D234">
        <v>32519</v>
      </c>
      <c r="E234" s="1">
        <v>45173</v>
      </c>
      <c r="F234" s="1">
        <v>45402</v>
      </c>
      <c r="G234" s="2">
        <v>253980</v>
      </c>
      <c r="H234">
        <v>0</v>
      </c>
      <c r="I234" t="s">
        <v>286</v>
      </c>
      <c r="J234" t="s">
        <v>42</v>
      </c>
      <c r="K234" t="s">
        <v>15</v>
      </c>
    </row>
    <row r="235" spans="1:11" x14ac:dyDescent="0.3">
      <c r="A235" t="s">
        <v>34</v>
      </c>
      <c r="B235" t="s">
        <v>35</v>
      </c>
      <c r="C235">
        <v>22472</v>
      </c>
      <c r="D235">
        <v>31728</v>
      </c>
      <c r="E235" s="1">
        <v>45065</v>
      </c>
      <c r="F235" s="1">
        <v>45245</v>
      </c>
      <c r="G235" s="2">
        <v>66352</v>
      </c>
      <c r="H235">
        <v>0</v>
      </c>
      <c r="I235" t="s">
        <v>840</v>
      </c>
      <c r="J235" t="s">
        <v>19</v>
      </c>
      <c r="K235" t="s">
        <v>15</v>
      </c>
    </row>
    <row r="236" spans="1:11" x14ac:dyDescent="0.3">
      <c r="A236" t="s">
        <v>181</v>
      </c>
      <c r="B236" t="s">
        <v>182</v>
      </c>
      <c r="C236">
        <v>23308</v>
      </c>
      <c r="D236">
        <v>32621</v>
      </c>
      <c r="E236" s="1">
        <v>45180</v>
      </c>
      <c r="F236" s="1">
        <v>45442</v>
      </c>
      <c r="G236" s="2">
        <v>146488</v>
      </c>
      <c r="H236">
        <v>0</v>
      </c>
      <c r="I236" t="s">
        <v>288</v>
      </c>
      <c r="J236" t="s">
        <v>112</v>
      </c>
      <c r="K236" t="s">
        <v>15</v>
      </c>
    </row>
    <row r="237" spans="1:11" x14ac:dyDescent="0.3">
      <c r="A237" t="s">
        <v>289</v>
      </c>
      <c r="B237" t="s">
        <v>290</v>
      </c>
      <c r="C237">
        <v>23527</v>
      </c>
      <c r="D237">
        <v>32849</v>
      </c>
      <c r="E237" s="1">
        <v>45191</v>
      </c>
      <c r="F237" s="1">
        <v>45402</v>
      </c>
      <c r="G237" s="2">
        <v>238115.8</v>
      </c>
      <c r="H237">
        <v>0</v>
      </c>
      <c r="I237" t="s">
        <v>291</v>
      </c>
      <c r="J237" t="s">
        <v>73</v>
      </c>
      <c r="K237" t="s">
        <v>15</v>
      </c>
    </row>
    <row r="238" spans="1:11" x14ac:dyDescent="0.3">
      <c r="A238" t="s">
        <v>292</v>
      </c>
      <c r="B238" t="s">
        <v>293</v>
      </c>
      <c r="C238">
        <v>23542</v>
      </c>
      <c r="D238">
        <v>32863</v>
      </c>
      <c r="E238" s="1">
        <v>45191</v>
      </c>
      <c r="F238" s="1">
        <v>45442</v>
      </c>
      <c r="G238" s="2">
        <v>78991.199999999997</v>
      </c>
      <c r="H238">
        <v>0</v>
      </c>
      <c r="I238" t="s">
        <v>294</v>
      </c>
      <c r="J238" t="s">
        <v>77</v>
      </c>
      <c r="K238" t="s">
        <v>15</v>
      </c>
    </row>
    <row r="239" spans="1:11" x14ac:dyDescent="0.3">
      <c r="A239" t="s">
        <v>88</v>
      </c>
      <c r="B239" t="s">
        <v>89</v>
      </c>
      <c r="C239">
        <v>23559</v>
      </c>
      <c r="D239">
        <v>32887</v>
      </c>
      <c r="E239" s="1">
        <v>45194</v>
      </c>
      <c r="F239" s="1">
        <v>45404</v>
      </c>
      <c r="G239" s="2">
        <v>39000</v>
      </c>
      <c r="H239">
        <v>0</v>
      </c>
      <c r="I239" t="s">
        <v>295</v>
      </c>
      <c r="J239" t="s">
        <v>27</v>
      </c>
      <c r="K239" t="s">
        <v>15</v>
      </c>
    </row>
    <row r="240" spans="1:11" x14ac:dyDescent="0.3">
      <c r="A240" t="s">
        <v>67</v>
      </c>
      <c r="B240" t="s">
        <v>68</v>
      </c>
      <c r="C240">
        <v>23574</v>
      </c>
      <c r="D240">
        <v>32906</v>
      </c>
      <c r="E240" s="1">
        <v>45195</v>
      </c>
      <c r="F240" s="1">
        <v>45315</v>
      </c>
      <c r="G240" s="2">
        <v>115200</v>
      </c>
      <c r="H240">
        <v>0</v>
      </c>
      <c r="I240" t="s">
        <v>296</v>
      </c>
      <c r="J240" t="s">
        <v>19</v>
      </c>
      <c r="K240" t="s">
        <v>15</v>
      </c>
    </row>
    <row r="241" spans="1:11" x14ac:dyDescent="0.3">
      <c r="A241" t="s">
        <v>184</v>
      </c>
      <c r="B241" t="s">
        <v>140</v>
      </c>
      <c r="C241">
        <v>23627</v>
      </c>
      <c r="D241">
        <v>32960</v>
      </c>
      <c r="E241" s="1">
        <v>45197</v>
      </c>
      <c r="F241" s="1">
        <v>45227</v>
      </c>
      <c r="G241">
        <v>740.83</v>
      </c>
      <c r="H241">
        <v>0</v>
      </c>
      <c r="I241" t="s">
        <v>297</v>
      </c>
      <c r="J241" t="s">
        <v>135</v>
      </c>
      <c r="K241" t="s">
        <v>15</v>
      </c>
    </row>
    <row r="242" spans="1:11" x14ac:dyDescent="0.3">
      <c r="A242" t="s">
        <v>184</v>
      </c>
      <c r="B242" t="s">
        <v>140</v>
      </c>
      <c r="C242">
        <v>23627</v>
      </c>
      <c r="D242">
        <v>32960</v>
      </c>
      <c r="E242" s="1">
        <v>45197</v>
      </c>
      <c r="F242" s="1">
        <v>45257</v>
      </c>
      <c r="G242">
        <v>419.17</v>
      </c>
      <c r="H242">
        <v>0</v>
      </c>
      <c r="I242" t="s">
        <v>297</v>
      </c>
      <c r="J242" t="s">
        <v>135</v>
      </c>
      <c r="K242" t="s">
        <v>15</v>
      </c>
    </row>
    <row r="243" spans="1:11" x14ac:dyDescent="0.3">
      <c r="A243" t="s">
        <v>109</v>
      </c>
      <c r="B243" t="s">
        <v>110</v>
      </c>
      <c r="C243">
        <v>20376</v>
      </c>
      <c r="D243">
        <v>29467</v>
      </c>
      <c r="E243" s="1">
        <v>44812</v>
      </c>
      <c r="F243" s="1">
        <v>45076</v>
      </c>
      <c r="G243" s="2">
        <v>12874</v>
      </c>
      <c r="H243">
        <v>146</v>
      </c>
      <c r="I243" t="s">
        <v>298</v>
      </c>
      <c r="J243" t="s">
        <v>112</v>
      </c>
      <c r="K243" t="s">
        <v>15</v>
      </c>
    </row>
    <row r="244" spans="1:11" x14ac:dyDescent="0.3">
      <c r="A244" t="s">
        <v>132</v>
      </c>
      <c r="B244" t="s">
        <v>133</v>
      </c>
      <c r="C244">
        <v>22330</v>
      </c>
      <c r="D244">
        <v>31550</v>
      </c>
      <c r="E244" s="1">
        <v>45040</v>
      </c>
      <c r="F244" s="1">
        <v>45229</v>
      </c>
      <c r="G244" s="2">
        <v>248900</v>
      </c>
      <c r="H244">
        <v>0</v>
      </c>
      <c r="I244" t="s">
        <v>299</v>
      </c>
      <c r="J244" t="s">
        <v>135</v>
      </c>
      <c r="K244" t="s">
        <v>15</v>
      </c>
    </row>
    <row r="245" spans="1:11" x14ac:dyDescent="0.3">
      <c r="A245" t="s">
        <v>114</v>
      </c>
      <c r="B245" t="s">
        <v>115</v>
      </c>
      <c r="C245">
        <v>22416</v>
      </c>
      <c r="D245">
        <v>31660</v>
      </c>
      <c r="E245" s="1">
        <v>45050</v>
      </c>
      <c r="F245" s="1">
        <v>45240</v>
      </c>
      <c r="G245" s="2">
        <v>484647.6</v>
      </c>
      <c r="H245">
        <v>0</v>
      </c>
      <c r="I245" t="s">
        <v>300</v>
      </c>
      <c r="J245" t="s">
        <v>82</v>
      </c>
      <c r="K245" t="s">
        <v>15</v>
      </c>
    </row>
    <row r="246" spans="1:11" x14ac:dyDescent="0.3">
      <c r="A246" t="s">
        <v>301</v>
      </c>
      <c r="B246" t="s">
        <v>302</v>
      </c>
      <c r="C246">
        <v>22680</v>
      </c>
      <c r="D246">
        <v>31955</v>
      </c>
      <c r="E246" s="1">
        <v>45105</v>
      </c>
      <c r="F246" s="1">
        <v>45225</v>
      </c>
      <c r="G246" s="2">
        <v>125100</v>
      </c>
      <c r="H246">
        <v>0</v>
      </c>
      <c r="I246" t="s">
        <v>303</v>
      </c>
      <c r="J246" t="s">
        <v>57</v>
      </c>
      <c r="K246" t="s">
        <v>15</v>
      </c>
    </row>
    <row r="247" spans="1:11" x14ac:dyDescent="0.3">
      <c r="A247" t="s">
        <v>54</v>
      </c>
      <c r="B247" t="s">
        <v>55</v>
      </c>
      <c r="C247">
        <v>22898</v>
      </c>
      <c r="D247">
        <v>32166</v>
      </c>
      <c r="E247" s="1">
        <v>45135</v>
      </c>
      <c r="F247" s="1">
        <v>45255</v>
      </c>
      <c r="G247" s="2">
        <v>17923.98</v>
      </c>
      <c r="H247">
        <v>0</v>
      </c>
      <c r="I247" t="s">
        <v>304</v>
      </c>
      <c r="J247" t="s">
        <v>57</v>
      </c>
      <c r="K247" t="s">
        <v>15</v>
      </c>
    </row>
    <row r="248" spans="1:11" x14ac:dyDescent="0.3">
      <c r="A248" t="s">
        <v>54</v>
      </c>
      <c r="B248" t="s">
        <v>55</v>
      </c>
      <c r="C248">
        <v>22898</v>
      </c>
      <c r="D248">
        <v>32166</v>
      </c>
      <c r="E248" s="1">
        <v>45135</v>
      </c>
      <c r="F248" s="1">
        <v>45285</v>
      </c>
      <c r="G248" s="2">
        <v>17924.04</v>
      </c>
      <c r="H248">
        <v>0</v>
      </c>
      <c r="I248" t="s">
        <v>304</v>
      </c>
      <c r="J248" t="s">
        <v>57</v>
      </c>
      <c r="K248" t="s">
        <v>15</v>
      </c>
    </row>
    <row r="249" spans="1:11" x14ac:dyDescent="0.3">
      <c r="A249" t="s">
        <v>239</v>
      </c>
      <c r="B249" t="s">
        <v>240</v>
      </c>
      <c r="C249">
        <v>22997</v>
      </c>
      <c r="D249">
        <v>32291</v>
      </c>
      <c r="E249" s="1">
        <v>45153</v>
      </c>
      <c r="F249" s="1">
        <v>45243</v>
      </c>
      <c r="G249" s="2">
        <v>1539.45</v>
      </c>
      <c r="H249">
        <v>0</v>
      </c>
      <c r="I249" t="s">
        <v>305</v>
      </c>
      <c r="J249" t="s">
        <v>19</v>
      </c>
      <c r="K249" t="s">
        <v>15</v>
      </c>
    </row>
    <row r="250" spans="1:11" x14ac:dyDescent="0.3">
      <c r="A250" t="s">
        <v>239</v>
      </c>
      <c r="B250" t="s">
        <v>240</v>
      </c>
      <c r="C250">
        <v>22997</v>
      </c>
      <c r="D250">
        <v>32291</v>
      </c>
      <c r="E250" s="1">
        <v>45153</v>
      </c>
      <c r="F250" s="1">
        <v>45273</v>
      </c>
      <c r="G250" s="2">
        <v>1539.45</v>
      </c>
      <c r="H250">
        <v>0</v>
      </c>
      <c r="I250" t="s">
        <v>305</v>
      </c>
      <c r="J250" t="s">
        <v>19</v>
      </c>
      <c r="K250" t="s">
        <v>15</v>
      </c>
    </row>
    <row r="251" spans="1:11" x14ac:dyDescent="0.3">
      <c r="A251" t="s">
        <v>100</v>
      </c>
      <c r="B251" t="s">
        <v>101</v>
      </c>
      <c r="C251">
        <v>23098</v>
      </c>
      <c r="D251">
        <v>32398</v>
      </c>
      <c r="E251" s="1">
        <v>45162</v>
      </c>
      <c r="F251" s="1">
        <v>45252</v>
      </c>
      <c r="G251" s="2">
        <v>4736.25</v>
      </c>
      <c r="H251">
        <v>0</v>
      </c>
      <c r="I251" t="s">
        <v>306</v>
      </c>
      <c r="J251" t="s">
        <v>14</v>
      </c>
      <c r="K251" t="s">
        <v>15</v>
      </c>
    </row>
    <row r="252" spans="1:11" x14ac:dyDescent="0.3">
      <c r="A252" t="s">
        <v>100</v>
      </c>
      <c r="B252" t="s">
        <v>101</v>
      </c>
      <c r="C252">
        <v>23098</v>
      </c>
      <c r="D252">
        <v>32398</v>
      </c>
      <c r="E252" s="1">
        <v>45162</v>
      </c>
      <c r="F252" s="1">
        <v>45282</v>
      </c>
      <c r="G252" s="2">
        <v>4736.25</v>
      </c>
      <c r="H252">
        <v>0</v>
      </c>
      <c r="I252" t="s">
        <v>306</v>
      </c>
      <c r="J252" t="s">
        <v>14</v>
      </c>
      <c r="K252" t="s">
        <v>15</v>
      </c>
    </row>
    <row r="253" spans="1:11" x14ac:dyDescent="0.3">
      <c r="A253" t="s">
        <v>128</v>
      </c>
      <c r="B253" t="s">
        <v>129</v>
      </c>
      <c r="C253">
        <v>23116</v>
      </c>
      <c r="D253">
        <v>32418</v>
      </c>
      <c r="E253" s="1">
        <v>45163</v>
      </c>
      <c r="F253" s="1">
        <v>45313</v>
      </c>
      <c r="G253" s="2">
        <v>26771</v>
      </c>
      <c r="H253">
        <v>0</v>
      </c>
      <c r="I253" t="s">
        <v>307</v>
      </c>
      <c r="J253" t="s">
        <v>131</v>
      </c>
      <c r="K253" t="s">
        <v>15</v>
      </c>
    </row>
    <row r="254" spans="1:11" x14ac:dyDescent="0.3">
      <c r="A254" t="s">
        <v>186</v>
      </c>
      <c r="B254" t="s">
        <v>187</v>
      </c>
      <c r="C254">
        <v>23198</v>
      </c>
      <c r="D254">
        <v>32511</v>
      </c>
      <c r="E254" s="1">
        <v>45170</v>
      </c>
      <c r="F254" s="1">
        <v>45442</v>
      </c>
      <c r="G254" s="2">
        <v>453412</v>
      </c>
      <c r="H254">
        <v>0</v>
      </c>
      <c r="I254" t="s">
        <v>308</v>
      </c>
      <c r="J254" t="s">
        <v>86</v>
      </c>
      <c r="K254" t="s">
        <v>15</v>
      </c>
    </row>
    <row r="255" spans="1:11" x14ac:dyDescent="0.3">
      <c r="A255" t="s">
        <v>228</v>
      </c>
      <c r="B255" t="s">
        <v>229</v>
      </c>
      <c r="C255">
        <v>23251</v>
      </c>
      <c r="D255">
        <v>32567</v>
      </c>
      <c r="E255" s="1">
        <v>45174</v>
      </c>
      <c r="F255" s="1">
        <v>45442</v>
      </c>
      <c r="G255" s="2">
        <v>50928</v>
      </c>
      <c r="H255">
        <v>0</v>
      </c>
      <c r="I255" t="s">
        <v>309</v>
      </c>
      <c r="J255" t="s">
        <v>206</v>
      </c>
      <c r="K255" t="s">
        <v>15</v>
      </c>
    </row>
    <row r="256" spans="1:11" x14ac:dyDescent="0.3">
      <c r="A256" t="s">
        <v>54</v>
      </c>
      <c r="B256" t="s">
        <v>55</v>
      </c>
      <c r="C256">
        <v>23502</v>
      </c>
      <c r="D256">
        <v>32821</v>
      </c>
      <c r="E256" s="1">
        <v>45189</v>
      </c>
      <c r="F256" s="1">
        <v>45309</v>
      </c>
      <c r="G256" s="2">
        <v>2393.75</v>
      </c>
      <c r="H256">
        <v>0</v>
      </c>
      <c r="I256" t="s">
        <v>310</v>
      </c>
      <c r="J256" t="s">
        <v>57</v>
      </c>
      <c r="K256" t="s">
        <v>15</v>
      </c>
    </row>
    <row r="257" spans="1:11" x14ac:dyDescent="0.3">
      <c r="A257" t="s">
        <v>88</v>
      </c>
      <c r="B257" t="s">
        <v>89</v>
      </c>
      <c r="C257">
        <v>23519</v>
      </c>
      <c r="D257">
        <v>32841</v>
      </c>
      <c r="E257" s="1">
        <v>45190</v>
      </c>
      <c r="F257" s="1">
        <v>45340</v>
      </c>
      <c r="G257" s="2">
        <v>105000</v>
      </c>
      <c r="H257">
        <v>0</v>
      </c>
      <c r="I257" t="s">
        <v>311</v>
      </c>
      <c r="J257" t="s">
        <v>27</v>
      </c>
      <c r="K257" t="s">
        <v>15</v>
      </c>
    </row>
    <row r="258" spans="1:11" x14ac:dyDescent="0.3">
      <c r="A258" t="s">
        <v>88</v>
      </c>
      <c r="B258" t="s">
        <v>89</v>
      </c>
      <c r="C258">
        <v>23519</v>
      </c>
      <c r="D258">
        <v>32841</v>
      </c>
      <c r="E258" s="1">
        <v>45190</v>
      </c>
      <c r="F258" s="1">
        <v>45370</v>
      </c>
      <c r="G258" s="2">
        <v>105000</v>
      </c>
      <c r="H258">
        <v>0</v>
      </c>
      <c r="I258" t="s">
        <v>311</v>
      </c>
      <c r="J258" t="s">
        <v>27</v>
      </c>
      <c r="K258" t="s">
        <v>15</v>
      </c>
    </row>
    <row r="259" spans="1:11" x14ac:dyDescent="0.3">
      <c r="A259" t="s">
        <v>39</v>
      </c>
      <c r="B259" t="s">
        <v>40</v>
      </c>
      <c r="C259">
        <v>23534</v>
      </c>
      <c r="D259">
        <v>32855</v>
      </c>
      <c r="E259" s="1">
        <v>45191</v>
      </c>
      <c r="F259" s="1">
        <v>45493</v>
      </c>
      <c r="G259" s="2">
        <v>167200</v>
      </c>
      <c r="H259">
        <v>0</v>
      </c>
      <c r="I259" t="s">
        <v>312</v>
      </c>
      <c r="J259" t="s">
        <v>42</v>
      </c>
      <c r="K259" t="s">
        <v>15</v>
      </c>
    </row>
    <row r="260" spans="1:11" x14ac:dyDescent="0.3">
      <c r="A260" t="s">
        <v>259</v>
      </c>
      <c r="B260" t="s">
        <v>260</v>
      </c>
      <c r="C260">
        <v>23616</v>
      </c>
      <c r="D260">
        <v>32951</v>
      </c>
      <c r="E260" s="1">
        <v>45197</v>
      </c>
      <c r="F260" s="1">
        <v>45442</v>
      </c>
      <c r="G260" s="2">
        <v>47550</v>
      </c>
      <c r="H260">
        <v>0</v>
      </c>
      <c r="I260" t="s">
        <v>313</v>
      </c>
      <c r="J260" t="s">
        <v>77</v>
      </c>
    </row>
    <row r="261" spans="1:11" x14ac:dyDescent="0.3">
      <c r="A261" t="s">
        <v>314</v>
      </c>
      <c r="B261" t="s">
        <v>315</v>
      </c>
      <c r="C261">
        <v>23619</v>
      </c>
      <c r="D261">
        <v>32954</v>
      </c>
      <c r="E261" s="1">
        <v>45197</v>
      </c>
      <c r="F261" s="1">
        <v>45442</v>
      </c>
      <c r="G261" s="2">
        <v>79200</v>
      </c>
      <c r="H261">
        <v>0</v>
      </c>
      <c r="I261" t="s">
        <v>316</v>
      </c>
      <c r="J261" t="s">
        <v>206</v>
      </c>
      <c r="K261" t="s">
        <v>15</v>
      </c>
    </row>
    <row r="262" spans="1:11" x14ac:dyDescent="0.3">
      <c r="A262" t="s">
        <v>39</v>
      </c>
      <c r="B262" t="s">
        <v>40</v>
      </c>
      <c r="C262">
        <v>23634</v>
      </c>
      <c r="D262">
        <v>32967</v>
      </c>
      <c r="E262" s="1">
        <v>45198</v>
      </c>
      <c r="F262" s="1">
        <v>45381</v>
      </c>
      <c r="G262" s="2">
        <v>17498.400000000001</v>
      </c>
      <c r="H262">
        <v>0</v>
      </c>
      <c r="I262" t="s">
        <v>317</v>
      </c>
      <c r="J262" t="s">
        <v>42</v>
      </c>
      <c r="K262" t="s">
        <v>15</v>
      </c>
    </row>
    <row r="263" spans="1:11" x14ac:dyDescent="0.3">
      <c r="A263" t="s">
        <v>20</v>
      </c>
      <c r="B263" t="s">
        <v>21</v>
      </c>
      <c r="C263">
        <v>23651</v>
      </c>
      <c r="D263">
        <v>32985</v>
      </c>
      <c r="E263" s="1">
        <v>45198</v>
      </c>
      <c r="F263" s="1">
        <v>45258</v>
      </c>
      <c r="G263" s="2">
        <v>15631.1</v>
      </c>
      <c r="H263">
        <v>0</v>
      </c>
      <c r="I263" t="s">
        <v>318</v>
      </c>
      <c r="J263" t="s">
        <v>23</v>
      </c>
      <c r="K263" t="s">
        <v>15</v>
      </c>
    </row>
    <row r="264" spans="1:11" x14ac:dyDescent="0.3">
      <c r="A264" t="s">
        <v>20</v>
      </c>
      <c r="B264" t="s">
        <v>21</v>
      </c>
      <c r="C264">
        <v>23651</v>
      </c>
      <c r="D264">
        <v>32985</v>
      </c>
      <c r="E264" s="1">
        <v>45198</v>
      </c>
      <c r="F264" s="1">
        <v>45273</v>
      </c>
      <c r="G264" s="2">
        <v>15631.1</v>
      </c>
      <c r="H264">
        <v>0</v>
      </c>
      <c r="I264" t="s">
        <v>318</v>
      </c>
      <c r="J264" t="s">
        <v>23</v>
      </c>
      <c r="K264" t="s">
        <v>15</v>
      </c>
    </row>
    <row r="265" spans="1:11" x14ac:dyDescent="0.3">
      <c r="A265" t="s">
        <v>20</v>
      </c>
      <c r="B265" t="s">
        <v>21</v>
      </c>
      <c r="C265">
        <v>23651</v>
      </c>
      <c r="D265">
        <v>32985</v>
      </c>
      <c r="E265" s="1">
        <v>45198</v>
      </c>
      <c r="F265" s="1">
        <v>45288</v>
      </c>
      <c r="G265" s="2">
        <v>15631.1</v>
      </c>
      <c r="H265">
        <v>0</v>
      </c>
      <c r="I265" t="s">
        <v>318</v>
      </c>
      <c r="J265" t="s">
        <v>23</v>
      </c>
      <c r="K265" t="s">
        <v>15</v>
      </c>
    </row>
    <row r="266" spans="1:11" x14ac:dyDescent="0.3">
      <c r="A266" t="s">
        <v>152</v>
      </c>
      <c r="B266" t="s">
        <v>153</v>
      </c>
      <c r="C266">
        <v>23825</v>
      </c>
      <c r="D266">
        <v>33178</v>
      </c>
      <c r="E266" s="1">
        <v>45219</v>
      </c>
      <c r="F266" s="1">
        <v>45369</v>
      </c>
      <c r="G266" s="2">
        <v>113610</v>
      </c>
      <c r="H266">
        <v>0</v>
      </c>
      <c r="I266" t="s">
        <v>319</v>
      </c>
      <c r="J266" t="s">
        <v>27</v>
      </c>
      <c r="K266" t="s">
        <v>15</v>
      </c>
    </row>
    <row r="267" spans="1:11" x14ac:dyDescent="0.3">
      <c r="A267" t="s">
        <v>320</v>
      </c>
      <c r="B267" t="s">
        <v>321</v>
      </c>
      <c r="C267">
        <v>23844</v>
      </c>
      <c r="D267">
        <v>33199</v>
      </c>
      <c r="E267" s="1">
        <v>45222</v>
      </c>
      <c r="F267" s="1">
        <v>45252</v>
      </c>
      <c r="G267" s="2">
        <v>55720</v>
      </c>
      <c r="H267">
        <v>0</v>
      </c>
      <c r="I267" t="s">
        <v>322</v>
      </c>
      <c r="J267" t="s">
        <v>27</v>
      </c>
      <c r="K267" t="s">
        <v>15</v>
      </c>
    </row>
    <row r="268" spans="1:11" x14ac:dyDescent="0.3">
      <c r="A268" t="s">
        <v>323</v>
      </c>
      <c r="B268" t="s">
        <v>324</v>
      </c>
      <c r="C268">
        <v>22293</v>
      </c>
      <c r="D268">
        <v>31505</v>
      </c>
      <c r="E268" s="1">
        <v>45034</v>
      </c>
      <c r="F268" s="1">
        <v>45229</v>
      </c>
      <c r="G268" s="2">
        <v>30558.02</v>
      </c>
      <c r="H268">
        <v>0</v>
      </c>
      <c r="I268" t="s">
        <v>325</v>
      </c>
      <c r="J268" t="s">
        <v>94</v>
      </c>
      <c r="K268" t="s">
        <v>15</v>
      </c>
    </row>
    <row r="269" spans="1:11" x14ac:dyDescent="0.3">
      <c r="A269" t="s">
        <v>326</v>
      </c>
      <c r="B269" t="s">
        <v>327</v>
      </c>
      <c r="C269">
        <v>22436</v>
      </c>
      <c r="D269">
        <v>31688</v>
      </c>
      <c r="E269" s="1">
        <v>45056</v>
      </c>
      <c r="F269" s="1">
        <v>45229</v>
      </c>
      <c r="G269" s="2">
        <v>28235</v>
      </c>
      <c r="H269">
        <v>0</v>
      </c>
      <c r="I269" t="s">
        <v>328</v>
      </c>
      <c r="J269" t="s">
        <v>99</v>
      </c>
      <c r="K269" t="s">
        <v>15</v>
      </c>
    </row>
    <row r="270" spans="1:11" x14ac:dyDescent="0.3">
      <c r="A270" t="s">
        <v>329</v>
      </c>
      <c r="B270" t="s">
        <v>330</v>
      </c>
      <c r="C270">
        <v>22634</v>
      </c>
      <c r="D270">
        <v>31910</v>
      </c>
      <c r="E270" s="1">
        <v>45100</v>
      </c>
      <c r="F270" s="1">
        <v>45250</v>
      </c>
      <c r="G270" s="2">
        <v>208000</v>
      </c>
      <c r="H270">
        <v>0</v>
      </c>
      <c r="I270" t="s">
        <v>331</v>
      </c>
      <c r="J270" t="s">
        <v>19</v>
      </c>
      <c r="K270" t="s">
        <v>15</v>
      </c>
    </row>
    <row r="271" spans="1:11" x14ac:dyDescent="0.3">
      <c r="A271" t="s">
        <v>34</v>
      </c>
      <c r="B271" t="s">
        <v>35</v>
      </c>
      <c r="C271">
        <v>22473</v>
      </c>
      <c r="D271">
        <v>31729</v>
      </c>
      <c r="E271" s="1">
        <v>45065</v>
      </c>
      <c r="F271" s="1">
        <v>45245</v>
      </c>
      <c r="G271" s="2">
        <v>44720</v>
      </c>
      <c r="H271">
        <v>0</v>
      </c>
      <c r="I271" t="s">
        <v>1302</v>
      </c>
      <c r="J271" t="s">
        <v>19</v>
      </c>
      <c r="K271" t="s">
        <v>15</v>
      </c>
    </row>
    <row r="272" spans="1:11" x14ac:dyDescent="0.3">
      <c r="A272" t="s">
        <v>34</v>
      </c>
      <c r="B272" t="s">
        <v>35</v>
      </c>
      <c r="C272">
        <v>22147</v>
      </c>
      <c r="D272">
        <v>31334</v>
      </c>
      <c r="E272" s="1">
        <v>45007</v>
      </c>
      <c r="F272" s="1">
        <v>45247</v>
      </c>
      <c r="G272" s="2">
        <v>9466.68</v>
      </c>
      <c r="H272">
        <v>0</v>
      </c>
      <c r="I272" t="s">
        <v>258</v>
      </c>
      <c r="J272" t="s">
        <v>19</v>
      </c>
      <c r="K272" t="s">
        <v>15</v>
      </c>
    </row>
    <row r="273" spans="1:11" x14ac:dyDescent="0.3">
      <c r="A273" t="s">
        <v>61</v>
      </c>
      <c r="B273" t="s">
        <v>35</v>
      </c>
      <c r="C273">
        <v>22148</v>
      </c>
      <c r="D273">
        <v>31335</v>
      </c>
      <c r="E273" s="1">
        <v>45007</v>
      </c>
      <c r="F273" s="1">
        <v>45247</v>
      </c>
      <c r="G273" s="2">
        <v>4733.34</v>
      </c>
      <c r="H273">
        <v>0</v>
      </c>
      <c r="I273" t="s">
        <v>361</v>
      </c>
      <c r="J273" t="s">
        <v>19</v>
      </c>
      <c r="K273" t="s">
        <v>15</v>
      </c>
    </row>
    <row r="274" spans="1:11" x14ac:dyDescent="0.3">
      <c r="A274" t="s">
        <v>228</v>
      </c>
      <c r="B274" t="s">
        <v>229</v>
      </c>
      <c r="C274">
        <v>22902</v>
      </c>
      <c r="D274">
        <v>32170</v>
      </c>
      <c r="E274" s="1">
        <v>45135</v>
      </c>
      <c r="F274" s="1">
        <v>45350</v>
      </c>
      <c r="G274" s="2">
        <v>156000</v>
      </c>
      <c r="H274">
        <v>0</v>
      </c>
      <c r="I274" t="s">
        <v>333</v>
      </c>
      <c r="J274" t="s">
        <v>206</v>
      </c>
      <c r="K274" t="s">
        <v>15</v>
      </c>
    </row>
    <row r="275" spans="1:11" x14ac:dyDescent="0.3">
      <c r="A275" t="s">
        <v>34</v>
      </c>
      <c r="B275" t="s">
        <v>35</v>
      </c>
      <c r="C275">
        <v>22758</v>
      </c>
      <c r="D275">
        <v>32043</v>
      </c>
      <c r="E275" s="1">
        <v>45113</v>
      </c>
      <c r="F275" s="1">
        <v>45263</v>
      </c>
      <c r="G275" s="2">
        <v>52320</v>
      </c>
      <c r="H275">
        <v>0</v>
      </c>
      <c r="I275" t="s">
        <v>423</v>
      </c>
      <c r="J275" t="s">
        <v>19</v>
      </c>
      <c r="K275" t="s">
        <v>15</v>
      </c>
    </row>
    <row r="276" spans="1:11" x14ac:dyDescent="0.3">
      <c r="A276" t="s">
        <v>67</v>
      </c>
      <c r="B276" t="s">
        <v>68</v>
      </c>
      <c r="C276">
        <v>22963</v>
      </c>
      <c r="D276">
        <v>32249</v>
      </c>
      <c r="E276" s="1">
        <v>45148</v>
      </c>
      <c r="F276" s="1">
        <v>45268</v>
      </c>
      <c r="G276" s="2">
        <v>93120</v>
      </c>
      <c r="H276">
        <v>0</v>
      </c>
      <c r="I276" t="s">
        <v>335</v>
      </c>
      <c r="J276" t="s">
        <v>19</v>
      </c>
      <c r="K276" t="s">
        <v>15</v>
      </c>
    </row>
    <row r="277" spans="1:11" x14ac:dyDescent="0.3">
      <c r="A277" t="s">
        <v>43</v>
      </c>
      <c r="B277" t="s">
        <v>44</v>
      </c>
      <c r="C277">
        <v>23070</v>
      </c>
      <c r="D277">
        <v>32370</v>
      </c>
      <c r="E277" s="1">
        <v>45161</v>
      </c>
      <c r="F277" s="1">
        <v>45473</v>
      </c>
      <c r="G277" s="2">
        <v>91304.960000000006</v>
      </c>
      <c r="H277">
        <v>0</v>
      </c>
      <c r="I277" t="s">
        <v>336</v>
      </c>
      <c r="J277" t="s">
        <v>46</v>
      </c>
      <c r="K277" t="s">
        <v>15</v>
      </c>
    </row>
    <row r="278" spans="1:11" x14ac:dyDescent="0.3">
      <c r="A278" t="s">
        <v>337</v>
      </c>
      <c r="B278" t="s">
        <v>338</v>
      </c>
      <c r="C278">
        <v>23102</v>
      </c>
      <c r="D278">
        <v>32401</v>
      </c>
      <c r="E278" s="1">
        <v>45162</v>
      </c>
      <c r="F278" s="1">
        <v>45412</v>
      </c>
      <c r="G278" s="2">
        <v>112925</v>
      </c>
      <c r="H278">
        <v>0</v>
      </c>
      <c r="I278" t="s">
        <v>339</v>
      </c>
      <c r="J278" t="s">
        <v>99</v>
      </c>
      <c r="K278" t="s">
        <v>15</v>
      </c>
    </row>
    <row r="279" spans="1:11" x14ac:dyDescent="0.3">
      <c r="A279" t="s">
        <v>340</v>
      </c>
      <c r="B279" t="s">
        <v>341</v>
      </c>
      <c r="C279">
        <v>23127</v>
      </c>
      <c r="D279">
        <v>32432</v>
      </c>
      <c r="E279" s="1">
        <v>45166</v>
      </c>
      <c r="F279" s="1">
        <v>45256</v>
      </c>
      <c r="G279" s="2">
        <v>5487.75</v>
      </c>
      <c r="H279">
        <v>0</v>
      </c>
      <c r="I279" t="s">
        <v>342</v>
      </c>
      <c r="J279" t="s">
        <v>161</v>
      </c>
      <c r="K279" t="s">
        <v>15</v>
      </c>
    </row>
    <row r="280" spans="1:11" x14ac:dyDescent="0.3">
      <c r="A280" t="s">
        <v>236</v>
      </c>
      <c r="B280" t="s">
        <v>237</v>
      </c>
      <c r="C280">
        <v>23204</v>
      </c>
      <c r="D280">
        <v>32517</v>
      </c>
      <c r="E280" s="1">
        <v>45172</v>
      </c>
      <c r="F280" s="1">
        <v>45292</v>
      </c>
      <c r="G280" s="2">
        <v>25416</v>
      </c>
      <c r="H280">
        <v>0</v>
      </c>
      <c r="I280" t="s">
        <v>343</v>
      </c>
      <c r="J280" t="s">
        <v>19</v>
      </c>
      <c r="K280" t="s">
        <v>15</v>
      </c>
    </row>
    <row r="281" spans="1:11" x14ac:dyDescent="0.3">
      <c r="A281" t="s">
        <v>16</v>
      </c>
      <c r="B281" t="s">
        <v>17</v>
      </c>
      <c r="C281">
        <v>23261</v>
      </c>
      <c r="D281">
        <v>32578</v>
      </c>
      <c r="E281" s="1">
        <v>45175</v>
      </c>
      <c r="F281" s="1">
        <v>45355</v>
      </c>
      <c r="G281" s="2">
        <v>16950</v>
      </c>
      <c r="H281">
        <v>0</v>
      </c>
      <c r="I281" t="s">
        <v>344</v>
      </c>
      <c r="J281" t="s">
        <v>19</v>
      </c>
      <c r="K281" t="s">
        <v>15</v>
      </c>
    </row>
    <row r="282" spans="1:11" x14ac:dyDescent="0.3">
      <c r="A282" t="s">
        <v>152</v>
      </c>
      <c r="B282" t="s">
        <v>153</v>
      </c>
      <c r="C282">
        <v>23361</v>
      </c>
      <c r="D282">
        <v>32675</v>
      </c>
      <c r="E282" s="1">
        <v>45182</v>
      </c>
      <c r="F282" s="1">
        <v>45332</v>
      </c>
      <c r="G282" s="2">
        <v>24067.5</v>
      </c>
      <c r="H282">
        <v>0</v>
      </c>
      <c r="I282" t="s">
        <v>345</v>
      </c>
      <c r="J282" t="s">
        <v>27</v>
      </c>
      <c r="K282" t="s">
        <v>15</v>
      </c>
    </row>
    <row r="283" spans="1:11" x14ac:dyDescent="0.3">
      <c r="A283" t="s">
        <v>346</v>
      </c>
      <c r="B283" t="s">
        <v>347</v>
      </c>
      <c r="C283">
        <v>23395</v>
      </c>
      <c r="D283">
        <v>32706</v>
      </c>
      <c r="E283" s="1">
        <v>45184</v>
      </c>
      <c r="F283" s="1">
        <v>45442</v>
      </c>
      <c r="G283" s="2">
        <v>25000</v>
      </c>
      <c r="H283">
        <v>0</v>
      </c>
      <c r="I283" t="s">
        <v>348</v>
      </c>
      <c r="J283" t="s">
        <v>112</v>
      </c>
      <c r="K283" t="s">
        <v>15</v>
      </c>
    </row>
    <row r="284" spans="1:11" x14ac:dyDescent="0.3">
      <c r="A284" t="s">
        <v>31</v>
      </c>
      <c r="B284" t="s">
        <v>32</v>
      </c>
      <c r="C284">
        <v>23431</v>
      </c>
      <c r="D284">
        <v>32743</v>
      </c>
      <c r="E284" s="1">
        <v>45187</v>
      </c>
      <c r="F284" s="1">
        <v>45307</v>
      </c>
      <c r="G284" s="2">
        <v>19383.98</v>
      </c>
      <c r="H284">
        <v>0</v>
      </c>
      <c r="I284" t="s">
        <v>349</v>
      </c>
      <c r="J284" t="s">
        <v>19</v>
      </c>
      <c r="K284" t="s">
        <v>15</v>
      </c>
    </row>
    <row r="285" spans="1:11" x14ac:dyDescent="0.3">
      <c r="A285" t="s">
        <v>31</v>
      </c>
      <c r="B285" t="s">
        <v>32</v>
      </c>
      <c r="C285">
        <v>23431</v>
      </c>
      <c r="D285">
        <v>32743</v>
      </c>
      <c r="E285" s="1">
        <v>45187</v>
      </c>
      <c r="F285" s="1">
        <v>45337</v>
      </c>
      <c r="G285" s="2">
        <v>19383.98</v>
      </c>
      <c r="H285">
        <v>0</v>
      </c>
      <c r="I285" t="s">
        <v>349</v>
      </c>
      <c r="J285" t="s">
        <v>19</v>
      </c>
      <c r="K285" t="s">
        <v>15</v>
      </c>
    </row>
    <row r="286" spans="1:11" x14ac:dyDescent="0.3">
      <c r="A286" t="s">
        <v>31</v>
      </c>
      <c r="B286" t="s">
        <v>32</v>
      </c>
      <c r="C286">
        <v>23431</v>
      </c>
      <c r="D286">
        <v>32743</v>
      </c>
      <c r="E286" s="1">
        <v>45187</v>
      </c>
      <c r="F286" s="1">
        <v>45367</v>
      </c>
      <c r="G286" s="2">
        <v>19384.04</v>
      </c>
      <c r="H286">
        <v>0</v>
      </c>
      <c r="I286" t="s">
        <v>349</v>
      </c>
      <c r="J286" t="s">
        <v>19</v>
      </c>
      <c r="K286" t="s">
        <v>15</v>
      </c>
    </row>
    <row r="287" spans="1:11" x14ac:dyDescent="0.3">
      <c r="A287" t="s">
        <v>39</v>
      </c>
      <c r="B287" t="s">
        <v>40</v>
      </c>
      <c r="C287">
        <v>23472</v>
      </c>
      <c r="D287">
        <v>32792</v>
      </c>
      <c r="E287" s="1">
        <v>45188</v>
      </c>
      <c r="F287" s="1">
        <v>45412</v>
      </c>
      <c r="G287" s="2">
        <v>345600</v>
      </c>
      <c r="H287">
        <v>0</v>
      </c>
      <c r="I287" t="s">
        <v>350</v>
      </c>
      <c r="J287" t="s">
        <v>42</v>
      </c>
      <c r="K287" t="s">
        <v>15</v>
      </c>
    </row>
    <row r="288" spans="1:11" x14ac:dyDescent="0.3">
      <c r="A288" t="s">
        <v>351</v>
      </c>
      <c r="B288" t="s">
        <v>352</v>
      </c>
      <c r="C288">
        <v>23497</v>
      </c>
      <c r="D288">
        <v>32813</v>
      </c>
      <c r="E288" s="1">
        <v>45189</v>
      </c>
      <c r="F288" s="1">
        <v>45249</v>
      </c>
      <c r="G288" s="2">
        <v>67818</v>
      </c>
      <c r="H288">
        <v>0</v>
      </c>
      <c r="I288" t="s">
        <v>353</v>
      </c>
      <c r="J288" t="s">
        <v>151</v>
      </c>
      <c r="K288" t="s">
        <v>15</v>
      </c>
    </row>
    <row r="289" spans="1:11" x14ac:dyDescent="0.3">
      <c r="A289" t="s">
        <v>223</v>
      </c>
      <c r="B289" t="s">
        <v>224</v>
      </c>
      <c r="C289">
        <v>23704</v>
      </c>
      <c r="D289">
        <v>33041</v>
      </c>
      <c r="E289" s="1">
        <v>45204</v>
      </c>
      <c r="F289" s="1">
        <v>45402</v>
      </c>
      <c r="G289" s="2">
        <v>23650</v>
      </c>
      <c r="H289">
        <v>0</v>
      </c>
      <c r="I289" t="s">
        <v>354</v>
      </c>
      <c r="J289" t="s">
        <v>42</v>
      </c>
      <c r="K289" t="s">
        <v>15</v>
      </c>
    </row>
    <row r="290" spans="1:11" x14ac:dyDescent="0.3">
      <c r="A290" t="s">
        <v>181</v>
      </c>
      <c r="B290" t="s">
        <v>182</v>
      </c>
      <c r="C290">
        <v>23759</v>
      </c>
      <c r="D290">
        <v>33102</v>
      </c>
      <c r="E290" s="1">
        <v>45210</v>
      </c>
      <c r="F290" s="1">
        <v>45595</v>
      </c>
      <c r="G290" s="2">
        <v>240750</v>
      </c>
      <c r="H290">
        <v>0</v>
      </c>
      <c r="I290" t="s">
        <v>355</v>
      </c>
      <c r="J290" t="s">
        <v>112</v>
      </c>
      <c r="K290" t="s">
        <v>15</v>
      </c>
    </row>
    <row r="291" spans="1:11" x14ac:dyDescent="0.3">
      <c r="A291" t="s">
        <v>356</v>
      </c>
      <c r="B291" t="s">
        <v>357</v>
      </c>
      <c r="C291">
        <v>20575</v>
      </c>
      <c r="D291">
        <v>29680</v>
      </c>
      <c r="E291" s="1">
        <v>44827</v>
      </c>
      <c r="F291" s="1">
        <v>45187</v>
      </c>
      <c r="G291" s="2">
        <v>40116.639999999999</v>
      </c>
      <c r="H291">
        <v>35</v>
      </c>
      <c r="I291" t="s">
        <v>358</v>
      </c>
      <c r="J291" t="s">
        <v>94</v>
      </c>
      <c r="K291" t="s">
        <v>15</v>
      </c>
    </row>
    <row r="292" spans="1:11" x14ac:dyDescent="0.3">
      <c r="A292" t="s">
        <v>109</v>
      </c>
      <c r="B292" t="s">
        <v>110</v>
      </c>
      <c r="C292">
        <v>20726</v>
      </c>
      <c r="D292">
        <v>29836</v>
      </c>
      <c r="E292" s="1">
        <v>44841</v>
      </c>
      <c r="F292" s="1">
        <v>45076</v>
      </c>
      <c r="G292" s="2">
        <v>109449.53</v>
      </c>
      <c r="H292">
        <v>146</v>
      </c>
      <c r="I292" t="s">
        <v>359</v>
      </c>
      <c r="J292" t="s">
        <v>112</v>
      </c>
      <c r="K292" t="s">
        <v>15</v>
      </c>
    </row>
    <row r="293" spans="1:11" x14ac:dyDescent="0.3">
      <c r="A293" t="s">
        <v>83</v>
      </c>
      <c r="B293" t="s">
        <v>84</v>
      </c>
      <c r="C293">
        <v>21379</v>
      </c>
      <c r="D293">
        <v>30540</v>
      </c>
      <c r="E293" s="1">
        <v>44921</v>
      </c>
      <c r="F293" s="1">
        <v>45168</v>
      </c>
      <c r="G293" s="2">
        <v>248695</v>
      </c>
      <c r="H293">
        <v>54</v>
      </c>
      <c r="I293" t="s">
        <v>360</v>
      </c>
      <c r="J293" t="s">
        <v>86</v>
      </c>
      <c r="K293" t="s">
        <v>15</v>
      </c>
    </row>
    <row r="294" spans="1:11" x14ac:dyDescent="0.3">
      <c r="A294" t="s">
        <v>61</v>
      </c>
      <c r="B294" t="s">
        <v>35</v>
      </c>
      <c r="C294">
        <v>22596</v>
      </c>
      <c r="D294">
        <v>31866</v>
      </c>
      <c r="E294" s="1">
        <v>45092</v>
      </c>
      <c r="F294" s="1">
        <v>45272</v>
      </c>
      <c r="G294" s="2">
        <v>18584</v>
      </c>
      <c r="H294">
        <v>0</v>
      </c>
      <c r="I294" t="s">
        <v>393</v>
      </c>
      <c r="J294" t="s">
        <v>19</v>
      </c>
      <c r="K294" t="s">
        <v>15</v>
      </c>
    </row>
    <row r="295" spans="1:11" x14ac:dyDescent="0.3">
      <c r="A295" t="s">
        <v>362</v>
      </c>
      <c r="B295" t="s">
        <v>363</v>
      </c>
      <c r="C295">
        <v>22465</v>
      </c>
      <c r="D295">
        <v>31723</v>
      </c>
      <c r="E295" s="1">
        <v>45065</v>
      </c>
      <c r="F295" s="1">
        <v>45305</v>
      </c>
      <c r="G295" s="2">
        <v>100900</v>
      </c>
      <c r="H295">
        <v>0</v>
      </c>
      <c r="I295" t="s">
        <v>364</v>
      </c>
      <c r="J295" t="s">
        <v>77</v>
      </c>
      <c r="K295" t="s">
        <v>15</v>
      </c>
    </row>
    <row r="296" spans="1:11" x14ac:dyDescent="0.3">
      <c r="A296" t="s">
        <v>88</v>
      </c>
      <c r="B296" t="s">
        <v>89</v>
      </c>
      <c r="C296">
        <v>22497</v>
      </c>
      <c r="D296">
        <v>31756</v>
      </c>
      <c r="E296" s="1">
        <v>45070</v>
      </c>
      <c r="F296" s="1">
        <v>45220</v>
      </c>
      <c r="G296" s="2">
        <v>155910.81</v>
      </c>
      <c r="H296">
        <v>2</v>
      </c>
      <c r="I296" t="s">
        <v>365</v>
      </c>
      <c r="J296" t="s">
        <v>27</v>
      </c>
      <c r="K296" t="s">
        <v>15</v>
      </c>
    </row>
    <row r="297" spans="1:11" x14ac:dyDescent="0.3">
      <c r="A297" t="s">
        <v>88</v>
      </c>
      <c r="B297" t="s">
        <v>89</v>
      </c>
      <c r="C297">
        <v>22498</v>
      </c>
      <c r="D297">
        <v>31757</v>
      </c>
      <c r="E297" s="1">
        <v>45070</v>
      </c>
      <c r="F297" s="1">
        <v>45220</v>
      </c>
      <c r="G297" s="2">
        <v>156000</v>
      </c>
      <c r="H297">
        <v>2</v>
      </c>
      <c r="I297" t="s">
        <v>366</v>
      </c>
      <c r="J297" t="s">
        <v>27</v>
      </c>
      <c r="K297" t="s">
        <v>15</v>
      </c>
    </row>
    <row r="298" spans="1:11" x14ac:dyDescent="0.3">
      <c r="A298" t="s">
        <v>16</v>
      </c>
      <c r="B298" t="s">
        <v>17</v>
      </c>
      <c r="C298">
        <v>22583</v>
      </c>
      <c r="D298">
        <v>31850</v>
      </c>
      <c r="E298" s="1">
        <v>45091</v>
      </c>
      <c r="F298" s="1">
        <v>45271</v>
      </c>
      <c r="G298" s="2">
        <v>62640</v>
      </c>
      <c r="H298">
        <v>0</v>
      </c>
      <c r="I298" t="s">
        <v>367</v>
      </c>
      <c r="J298" t="s">
        <v>19</v>
      </c>
      <c r="K298" t="s">
        <v>15</v>
      </c>
    </row>
    <row r="299" spans="1:11" x14ac:dyDescent="0.3">
      <c r="A299" t="s">
        <v>51</v>
      </c>
      <c r="B299" t="s">
        <v>52</v>
      </c>
      <c r="C299">
        <v>22698</v>
      </c>
      <c r="D299">
        <v>31973</v>
      </c>
      <c r="E299" s="1">
        <v>45105</v>
      </c>
      <c r="F299" s="1">
        <v>45255</v>
      </c>
      <c r="G299" s="2">
        <v>9900.5</v>
      </c>
      <c r="H299">
        <v>0</v>
      </c>
      <c r="I299" t="s">
        <v>368</v>
      </c>
      <c r="J299" t="s">
        <v>19</v>
      </c>
    </row>
    <row r="300" spans="1:11" x14ac:dyDescent="0.3">
      <c r="A300" t="s">
        <v>369</v>
      </c>
      <c r="B300" t="s">
        <v>370</v>
      </c>
      <c r="C300">
        <v>22766</v>
      </c>
      <c r="D300">
        <v>32053</v>
      </c>
      <c r="E300" s="1">
        <v>45114</v>
      </c>
      <c r="F300" s="1">
        <v>45174</v>
      </c>
      <c r="G300" s="2">
        <v>4821.72</v>
      </c>
      <c r="H300">
        <v>48</v>
      </c>
      <c r="I300" t="s">
        <v>371</v>
      </c>
      <c r="J300" t="s">
        <v>122</v>
      </c>
      <c r="K300" t="s">
        <v>15</v>
      </c>
    </row>
    <row r="301" spans="1:11" x14ac:dyDescent="0.3">
      <c r="A301" t="s">
        <v>34</v>
      </c>
      <c r="B301" t="s">
        <v>35</v>
      </c>
      <c r="C301">
        <v>22988</v>
      </c>
      <c r="D301">
        <v>32284</v>
      </c>
      <c r="E301" s="1">
        <v>45153</v>
      </c>
      <c r="F301" s="1">
        <v>45273</v>
      </c>
      <c r="G301" s="2">
        <v>80507</v>
      </c>
      <c r="H301">
        <v>0</v>
      </c>
      <c r="I301" t="s">
        <v>1191</v>
      </c>
      <c r="J301" t="s">
        <v>19</v>
      </c>
      <c r="K301" t="s">
        <v>15</v>
      </c>
    </row>
    <row r="302" spans="1:11" x14ac:dyDescent="0.3">
      <c r="A302" t="s">
        <v>228</v>
      </c>
      <c r="B302" t="s">
        <v>229</v>
      </c>
      <c r="C302">
        <v>23166</v>
      </c>
      <c r="D302">
        <v>32470</v>
      </c>
      <c r="E302" s="1">
        <v>45168</v>
      </c>
      <c r="F302" s="1">
        <v>45412</v>
      </c>
      <c r="G302" s="2">
        <v>148560.04999999999</v>
      </c>
      <c r="H302">
        <v>0</v>
      </c>
      <c r="I302" t="s">
        <v>373</v>
      </c>
      <c r="J302" t="s">
        <v>206</v>
      </c>
      <c r="K302" t="s">
        <v>15</v>
      </c>
    </row>
    <row r="303" spans="1:11" x14ac:dyDescent="0.3">
      <c r="A303" t="s">
        <v>337</v>
      </c>
      <c r="B303" t="s">
        <v>338</v>
      </c>
      <c r="C303">
        <v>23184</v>
      </c>
      <c r="D303">
        <v>32494</v>
      </c>
      <c r="E303" s="1">
        <v>45169</v>
      </c>
      <c r="F303" s="1">
        <v>45412</v>
      </c>
      <c r="G303" s="2">
        <v>4980</v>
      </c>
      <c r="H303">
        <v>0</v>
      </c>
      <c r="I303" t="s">
        <v>374</v>
      </c>
      <c r="J303" t="s">
        <v>99</v>
      </c>
      <c r="K303" t="s">
        <v>15</v>
      </c>
    </row>
    <row r="304" spans="1:11" x14ac:dyDescent="0.3">
      <c r="A304" t="s">
        <v>31</v>
      </c>
      <c r="B304" t="s">
        <v>32</v>
      </c>
      <c r="C304">
        <v>23201</v>
      </c>
      <c r="D304">
        <v>32514</v>
      </c>
      <c r="E304" s="1">
        <v>45170</v>
      </c>
      <c r="F304" s="1">
        <v>45290</v>
      </c>
      <c r="G304" s="2">
        <v>1933.33</v>
      </c>
      <c r="H304">
        <v>0</v>
      </c>
      <c r="I304" t="s">
        <v>375</v>
      </c>
      <c r="J304" t="s">
        <v>19</v>
      </c>
      <c r="K304" t="s">
        <v>15</v>
      </c>
    </row>
    <row r="305" spans="1:11" x14ac:dyDescent="0.3">
      <c r="A305" t="s">
        <v>31</v>
      </c>
      <c r="B305" t="s">
        <v>32</v>
      </c>
      <c r="C305">
        <v>23201</v>
      </c>
      <c r="D305">
        <v>32514</v>
      </c>
      <c r="E305" s="1">
        <v>45170</v>
      </c>
      <c r="F305" s="1">
        <v>45320</v>
      </c>
      <c r="G305" s="2">
        <v>1933.33</v>
      </c>
      <c r="H305">
        <v>0</v>
      </c>
      <c r="I305" t="s">
        <v>375</v>
      </c>
      <c r="J305" t="s">
        <v>19</v>
      </c>
      <c r="K305" t="s">
        <v>15</v>
      </c>
    </row>
    <row r="306" spans="1:11" x14ac:dyDescent="0.3">
      <c r="A306" t="s">
        <v>31</v>
      </c>
      <c r="B306" t="s">
        <v>32</v>
      </c>
      <c r="C306">
        <v>23201</v>
      </c>
      <c r="D306">
        <v>32514</v>
      </c>
      <c r="E306" s="1">
        <v>45170</v>
      </c>
      <c r="F306" s="1">
        <v>45350</v>
      </c>
      <c r="G306" s="2">
        <v>1933.34</v>
      </c>
      <c r="H306">
        <v>0</v>
      </c>
      <c r="I306" t="s">
        <v>375</v>
      </c>
      <c r="J306" t="s">
        <v>19</v>
      </c>
      <c r="K306" t="s">
        <v>15</v>
      </c>
    </row>
    <row r="307" spans="1:11" x14ac:dyDescent="0.3">
      <c r="A307" t="s">
        <v>323</v>
      </c>
      <c r="B307" t="s">
        <v>324</v>
      </c>
      <c r="C307">
        <v>23215</v>
      </c>
      <c r="D307">
        <v>32530</v>
      </c>
      <c r="E307" s="1">
        <v>45173</v>
      </c>
      <c r="F307" s="1">
        <v>45442</v>
      </c>
      <c r="G307" s="2">
        <v>72260</v>
      </c>
      <c r="H307">
        <v>0</v>
      </c>
      <c r="I307" t="s">
        <v>376</v>
      </c>
      <c r="J307" t="s">
        <v>94</v>
      </c>
      <c r="K307" t="s">
        <v>15</v>
      </c>
    </row>
    <row r="308" spans="1:11" x14ac:dyDescent="0.3">
      <c r="A308" t="s">
        <v>228</v>
      </c>
      <c r="B308" t="s">
        <v>229</v>
      </c>
      <c r="C308">
        <v>23283</v>
      </c>
      <c r="D308">
        <v>32597</v>
      </c>
      <c r="E308" s="1">
        <v>45175</v>
      </c>
      <c r="F308" s="1">
        <v>45442</v>
      </c>
      <c r="G308" s="2">
        <v>283068</v>
      </c>
      <c r="H308">
        <v>0</v>
      </c>
      <c r="I308" t="s">
        <v>377</v>
      </c>
      <c r="J308" t="s">
        <v>206</v>
      </c>
      <c r="K308" t="s">
        <v>15</v>
      </c>
    </row>
    <row r="309" spans="1:11" x14ac:dyDescent="0.3">
      <c r="A309" t="s">
        <v>323</v>
      </c>
      <c r="B309" t="s">
        <v>324</v>
      </c>
      <c r="C309">
        <v>23348</v>
      </c>
      <c r="D309">
        <v>32661</v>
      </c>
      <c r="E309" s="1">
        <v>45182</v>
      </c>
      <c r="F309" s="1">
        <v>45542</v>
      </c>
      <c r="G309" s="2">
        <v>24974</v>
      </c>
      <c r="H309">
        <v>0</v>
      </c>
      <c r="I309" t="s">
        <v>378</v>
      </c>
      <c r="J309" t="s">
        <v>94</v>
      </c>
      <c r="K309" t="s">
        <v>15</v>
      </c>
    </row>
    <row r="310" spans="1:11" x14ac:dyDescent="0.3">
      <c r="A310" t="s">
        <v>379</v>
      </c>
      <c r="B310" t="s">
        <v>380</v>
      </c>
      <c r="C310">
        <v>23383</v>
      </c>
      <c r="D310">
        <v>32696</v>
      </c>
      <c r="E310" s="1">
        <v>45183</v>
      </c>
      <c r="F310" s="1">
        <v>45442</v>
      </c>
      <c r="G310" s="2">
        <v>133600</v>
      </c>
      <c r="H310">
        <v>0</v>
      </c>
      <c r="I310" t="s">
        <v>381</v>
      </c>
      <c r="J310" t="s">
        <v>77</v>
      </c>
      <c r="K310" t="s">
        <v>15</v>
      </c>
    </row>
    <row r="311" spans="1:11" x14ac:dyDescent="0.3">
      <c r="A311" t="s">
        <v>228</v>
      </c>
      <c r="B311" t="s">
        <v>229</v>
      </c>
      <c r="C311">
        <v>23569</v>
      </c>
      <c r="D311">
        <v>32902</v>
      </c>
      <c r="E311" s="1">
        <v>45195</v>
      </c>
      <c r="F311" s="1">
        <v>45442</v>
      </c>
      <c r="G311" s="2">
        <v>434488</v>
      </c>
      <c r="H311">
        <v>0</v>
      </c>
      <c r="I311" t="s">
        <v>382</v>
      </c>
      <c r="J311" t="s">
        <v>206</v>
      </c>
      <c r="K311" t="s">
        <v>15</v>
      </c>
    </row>
    <row r="312" spans="1:11" x14ac:dyDescent="0.3">
      <c r="A312" t="s">
        <v>181</v>
      </c>
      <c r="B312" t="s">
        <v>182</v>
      </c>
      <c r="C312">
        <v>23601</v>
      </c>
      <c r="D312">
        <v>32937</v>
      </c>
      <c r="E312" s="1">
        <v>45197</v>
      </c>
      <c r="F312" s="1">
        <v>45595</v>
      </c>
      <c r="G312" s="2">
        <v>73500</v>
      </c>
      <c r="H312">
        <v>0</v>
      </c>
      <c r="I312" t="s">
        <v>383</v>
      </c>
      <c r="J312" t="s">
        <v>112</v>
      </c>
      <c r="K312" t="s">
        <v>15</v>
      </c>
    </row>
    <row r="313" spans="1:11" x14ac:dyDescent="0.3">
      <c r="A313" t="s">
        <v>384</v>
      </c>
      <c r="B313" t="s">
        <v>385</v>
      </c>
      <c r="C313">
        <v>23633</v>
      </c>
      <c r="D313">
        <v>32966</v>
      </c>
      <c r="E313" s="1">
        <v>45198</v>
      </c>
      <c r="F313" s="1">
        <v>45318</v>
      </c>
      <c r="G313" s="2">
        <v>19250</v>
      </c>
      <c r="H313">
        <v>0</v>
      </c>
      <c r="I313" t="s">
        <v>386</v>
      </c>
      <c r="J313" t="s">
        <v>23</v>
      </c>
      <c r="K313" t="s">
        <v>15</v>
      </c>
    </row>
    <row r="314" spans="1:11" x14ac:dyDescent="0.3">
      <c r="A314" t="s">
        <v>292</v>
      </c>
      <c r="B314" t="s">
        <v>293</v>
      </c>
      <c r="C314">
        <v>23733</v>
      </c>
      <c r="D314">
        <v>33075</v>
      </c>
      <c r="E314" s="1">
        <v>45209</v>
      </c>
      <c r="F314" s="1">
        <v>45359</v>
      </c>
      <c r="G314" s="2">
        <v>108000</v>
      </c>
      <c r="H314">
        <v>0</v>
      </c>
      <c r="I314" t="s">
        <v>387</v>
      </c>
      <c r="J314" t="s">
        <v>77</v>
      </c>
      <c r="K314" t="s">
        <v>15</v>
      </c>
    </row>
    <row r="315" spans="1:11" x14ac:dyDescent="0.3">
      <c r="A315" t="s">
        <v>83</v>
      </c>
      <c r="B315" t="s">
        <v>84</v>
      </c>
      <c r="C315">
        <v>21546</v>
      </c>
      <c r="D315">
        <v>30701</v>
      </c>
      <c r="E315" s="1">
        <v>44944</v>
      </c>
      <c r="F315" s="1">
        <v>45168</v>
      </c>
      <c r="G315" s="2">
        <v>15600</v>
      </c>
      <c r="H315">
        <v>54</v>
      </c>
      <c r="I315" t="s">
        <v>388</v>
      </c>
      <c r="J315" t="s">
        <v>86</v>
      </c>
      <c r="K315" t="s">
        <v>15</v>
      </c>
    </row>
    <row r="316" spans="1:11" x14ac:dyDescent="0.3">
      <c r="A316" t="s">
        <v>31</v>
      </c>
      <c r="B316" t="s">
        <v>32</v>
      </c>
      <c r="C316">
        <v>22381</v>
      </c>
      <c r="D316">
        <v>31618</v>
      </c>
      <c r="E316" s="1">
        <v>45044</v>
      </c>
      <c r="F316" s="1">
        <v>45254</v>
      </c>
      <c r="G316" s="2">
        <v>14155.75</v>
      </c>
      <c r="H316">
        <v>0</v>
      </c>
      <c r="I316" t="s">
        <v>389</v>
      </c>
      <c r="J316" t="s">
        <v>19</v>
      </c>
      <c r="K316" t="s">
        <v>15</v>
      </c>
    </row>
    <row r="317" spans="1:11" x14ac:dyDescent="0.3">
      <c r="A317" t="s">
        <v>390</v>
      </c>
      <c r="B317" t="s">
        <v>391</v>
      </c>
      <c r="C317">
        <v>22463</v>
      </c>
      <c r="D317">
        <v>53</v>
      </c>
      <c r="E317" s="1">
        <v>45064</v>
      </c>
      <c r="F317" s="1">
        <v>45094</v>
      </c>
      <c r="G317" s="2">
        <v>9451.2900000000009</v>
      </c>
      <c r="H317">
        <v>128</v>
      </c>
      <c r="I317" t="s">
        <v>392</v>
      </c>
      <c r="J317" t="s">
        <v>46</v>
      </c>
      <c r="K317" t="s">
        <v>15</v>
      </c>
    </row>
    <row r="318" spans="1:11" x14ac:dyDescent="0.3">
      <c r="A318" t="s">
        <v>61</v>
      </c>
      <c r="B318" t="s">
        <v>35</v>
      </c>
      <c r="C318">
        <v>23033</v>
      </c>
      <c r="D318">
        <v>32329</v>
      </c>
      <c r="E318" s="1">
        <v>45156</v>
      </c>
      <c r="F318" s="1">
        <v>45276</v>
      </c>
      <c r="G318" s="2">
        <v>43818</v>
      </c>
      <c r="H318">
        <v>0</v>
      </c>
      <c r="I318" t="s">
        <v>62</v>
      </c>
      <c r="J318" t="s">
        <v>19</v>
      </c>
      <c r="K318" t="s">
        <v>15</v>
      </c>
    </row>
    <row r="319" spans="1:11" x14ac:dyDescent="0.3">
      <c r="A319" t="s">
        <v>43</v>
      </c>
      <c r="B319" t="s">
        <v>44</v>
      </c>
      <c r="C319">
        <v>22663</v>
      </c>
      <c r="D319">
        <v>31938</v>
      </c>
      <c r="E319" s="1">
        <v>45104</v>
      </c>
      <c r="F319" s="1">
        <v>45473</v>
      </c>
      <c r="G319" s="2">
        <v>106183.2</v>
      </c>
      <c r="H319">
        <v>0</v>
      </c>
      <c r="I319" t="s">
        <v>394</v>
      </c>
      <c r="J319" t="s">
        <v>46</v>
      </c>
      <c r="K319" t="s">
        <v>15</v>
      </c>
    </row>
    <row r="320" spans="1:11" x14ac:dyDescent="0.3">
      <c r="A320" t="s">
        <v>43</v>
      </c>
      <c r="B320" t="s">
        <v>44</v>
      </c>
      <c r="C320">
        <v>22664</v>
      </c>
      <c r="D320">
        <v>31939</v>
      </c>
      <c r="E320" s="1">
        <v>45104</v>
      </c>
      <c r="F320" s="1">
        <v>45254</v>
      </c>
      <c r="G320" s="2">
        <v>194600</v>
      </c>
      <c r="H320">
        <v>0</v>
      </c>
      <c r="I320" t="s">
        <v>395</v>
      </c>
      <c r="J320" t="s">
        <v>46</v>
      </c>
      <c r="K320" t="s">
        <v>15</v>
      </c>
    </row>
    <row r="321" spans="1:11" x14ac:dyDescent="0.3">
      <c r="A321" t="s">
        <v>184</v>
      </c>
      <c r="B321" t="s">
        <v>140</v>
      </c>
      <c r="C321">
        <v>23149</v>
      </c>
      <c r="D321">
        <v>32453</v>
      </c>
      <c r="E321" s="1">
        <v>45167</v>
      </c>
      <c r="F321" s="1">
        <v>45227</v>
      </c>
      <c r="G321" s="2">
        <v>3587.5</v>
      </c>
      <c r="H321">
        <v>0</v>
      </c>
      <c r="I321" t="s">
        <v>396</v>
      </c>
      <c r="J321" t="s">
        <v>135</v>
      </c>
      <c r="K321" t="s">
        <v>15</v>
      </c>
    </row>
    <row r="322" spans="1:11" x14ac:dyDescent="0.3">
      <c r="A322" t="s">
        <v>184</v>
      </c>
      <c r="B322" t="s">
        <v>140</v>
      </c>
      <c r="C322">
        <v>23149</v>
      </c>
      <c r="D322">
        <v>32453</v>
      </c>
      <c r="E322" s="1">
        <v>45167</v>
      </c>
      <c r="F322" s="1">
        <v>45257</v>
      </c>
      <c r="G322" s="2">
        <v>3587.5</v>
      </c>
      <c r="H322">
        <v>0</v>
      </c>
      <c r="I322" t="s">
        <v>396</v>
      </c>
      <c r="J322" t="s">
        <v>135</v>
      </c>
      <c r="K322" t="s">
        <v>15</v>
      </c>
    </row>
    <row r="323" spans="1:11" x14ac:dyDescent="0.3">
      <c r="A323" t="s">
        <v>184</v>
      </c>
      <c r="B323" t="s">
        <v>140</v>
      </c>
      <c r="C323">
        <v>23149</v>
      </c>
      <c r="D323">
        <v>32453</v>
      </c>
      <c r="E323" s="1">
        <v>45167</v>
      </c>
      <c r="F323" s="1">
        <v>45287</v>
      </c>
      <c r="G323" s="2">
        <v>3587.5</v>
      </c>
      <c r="H323">
        <v>0</v>
      </c>
      <c r="I323" t="s">
        <v>396</v>
      </c>
      <c r="J323" t="s">
        <v>135</v>
      </c>
      <c r="K323" t="s">
        <v>15</v>
      </c>
    </row>
    <row r="324" spans="1:11" x14ac:dyDescent="0.3">
      <c r="A324" t="s">
        <v>199</v>
      </c>
      <c r="B324" t="s">
        <v>200</v>
      </c>
      <c r="C324">
        <v>23182</v>
      </c>
      <c r="D324">
        <v>32491</v>
      </c>
      <c r="E324" s="1">
        <v>45169</v>
      </c>
      <c r="F324" s="1">
        <v>45412</v>
      </c>
      <c r="G324" s="2">
        <v>11600</v>
      </c>
      <c r="H324">
        <v>0</v>
      </c>
      <c r="I324" t="s">
        <v>397</v>
      </c>
      <c r="J324" t="s">
        <v>99</v>
      </c>
      <c r="K324" t="s">
        <v>15</v>
      </c>
    </row>
    <row r="325" spans="1:11" x14ac:dyDescent="0.3">
      <c r="A325" t="s">
        <v>398</v>
      </c>
      <c r="B325" t="s">
        <v>399</v>
      </c>
      <c r="C325">
        <v>23199</v>
      </c>
      <c r="D325">
        <v>32512</v>
      </c>
      <c r="E325" s="1">
        <v>45170</v>
      </c>
      <c r="F325" s="1">
        <v>45412</v>
      </c>
      <c r="G325" s="2">
        <v>415063.2</v>
      </c>
      <c r="H325">
        <v>0</v>
      </c>
      <c r="I325" t="s">
        <v>400</v>
      </c>
      <c r="J325" t="s">
        <v>401</v>
      </c>
      <c r="K325" t="s">
        <v>15</v>
      </c>
    </row>
    <row r="326" spans="1:11" x14ac:dyDescent="0.3">
      <c r="A326" t="s">
        <v>323</v>
      </c>
      <c r="B326" t="s">
        <v>324</v>
      </c>
      <c r="C326">
        <v>23217</v>
      </c>
      <c r="D326">
        <v>32532</v>
      </c>
      <c r="E326" s="1">
        <v>45173</v>
      </c>
      <c r="F326" s="1">
        <v>45533</v>
      </c>
      <c r="G326" s="2">
        <v>72500</v>
      </c>
      <c r="H326">
        <v>0</v>
      </c>
      <c r="I326" t="s">
        <v>402</v>
      </c>
      <c r="J326" t="s">
        <v>94</v>
      </c>
      <c r="K326" t="s">
        <v>15</v>
      </c>
    </row>
    <row r="327" spans="1:11" x14ac:dyDescent="0.3">
      <c r="A327" t="s">
        <v>323</v>
      </c>
      <c r="B327" t="s">
        <v>324</v>
      </c>
      <c r="C327">
        <v>23349</v>
      </c>
      <c r="D327">
        <v>32662</v>
      </c>
      <c r="E327" s="1">
        <v>45182</v>
      </c>
      <c r="F327" s="1">
        <v>45442</v>
      </c>
      <c r="G327" s="2">
        <v>17340</v>
      </c>
      <c r="H327">
        <v>0</v>
      </c>
      <c r="I327" t="s">
        <v>403</v>
      </c>
      <c r="J327" t="s">
        <v>94</v>
      </c>
      <c r="K327" t="s">
        <v>15</v>
      </c>
    </row>
    <row r="328" spans="1:11" x14ac:dyDescent="0.3">
      <c r="A328" t="s">
        <v>54</v>
      </c>
      <c r="B328" t="s">
        <v>55</v>
      </c>
      <c r="C328">
        <v>23500</v>
      </c>
      <c r="D328">
        <v>32819</v>
      </c>
      <c r="E328" s="1">
        <v>45189</v>
      </c>
      <c r="F328" s="1">
        <v>45309</v>
      </c>
      <c r="G328" s="2">
        <v>17940</v>
      </c>
      <c r="H328">
        <v>0</v>
      </c>
      <c r="I328" t="s">
        <v>404</v>
      </c>
      <c r="J328" t="s">
        <v>57</v>
      </c>
      <c r="K328" t="s">
        <v>15</v>
      </c>
    </row>
    <row r="329" spans="1:11" x14ac:dyDescent="0.3">
      <c r="A329" t="s">
        <v>405</v>
      </c>
      <c r="B329" t="s">
        <v>406</v>
      </c>
      <c r="C329">
        <v>23532</v>
      </c>
      <c r="D329">
        <v>32853</v>
      </c>
      <c r="E329" s="1">
        <v>45191</v>
      </c>
      <c r="F329" s="1">
        <v>45402</v>
      </c>
      <c r="G329" s="2">
        <v>150177.9</v>
      </c>
      <c r="H329">
        <v>0</v>
      </c>
      <c r="I329" t="s">
        <v>407</v>
      </c>
      <c r="J329" t="s">
        <v>42</v>
      </c>
      <c r="K329" t="s">
        <v>15</v>
      </c>
    </row>
    <row r="330" spans="1:11" x14ac:dyDescent="0.3">
      <c r="A330" t="s">
        <v>39</v>
      </c>
      <c r="B330" t="s">
        <v>40</v>
      </c>
      <c r="C330">
        <v>23635</v>
      </c>
      <c r="D330">
        <v>32968</v>
      </c>
      <c r="E330" s="1">
        <v>45198</v>
      </c>
      <c r="F330" s="1">
        <v>45493</v>
      </c>
      <c r="G330" s="2">
        <v>30272</v>
      </c>
      <c r="H330">
        <v>0</v>
      </c>
      <c r="I330" t="s">
        <v>408</v>
      </c>
      <c r="J330" t="s">
        <v>42</v>
      </c>
      <c r="K330" t="s">
        <v>15</v>
      </c>
    </row>
    <row r="331" spans="1:11" x14ac:dyDescent="0.3">
      <c r="A331" t="s">
        <v>39</v>
      </c>
      <c r="B331" t="s">
        <v>40</v>
      </c>
      <c r="C331">
        <v>23635</v>
      </c>
      <c r="D331">
        <v>32968</v>
      </c>
      <c r="E331" s="1">
        <v>45198</v>
      </c>
      <c r="F331" s="1">
        <v>45524</v>
      </c>
      <c r="G331" s="2">
        <v>30272</v>
      </c>
      <c r="H331">
        <v>0</v>
      </c>
      <c r="I331" t="s">
        <v>408</v>
      </c>
      <c r="J331" t="s">
        <v>42</v>
      </c>
      <c r="K331" t="s">
        <v>15</v>
      </c>
    </row>
    <row r="332" spans="1:11" x14ac:dyDescent="0.3">
      <c r="A332" t="s">
        <v>39</v>
      </c>
      <c r="B332" t="s">
        <v>40</v>
      </c>
      <c r="C332">
        <v>23635</v>
      </c>
      <c r="D332">
        <v>32968</v>
      </c>
      <c r="E332" s="1">
        <v>45198</v>
      </c>
      <c r="F332" s="1">
        <v>45555</v>
      </c>
      <c r="G332" s="2">
        <v>30272</v>
      </c>
      <c r="H332">
        <v>0</v>
      </c>
      <c r="I332" t="s">
        <v>408</v>
      </c>
      <c r="J332" t="s">
        <v>42</v>
      </c>
      <c r="K332" t="s">
        <v>15</v>
      </c>
    </row>
    <row r="333" spans="1:11" x14ac:dyDescent="0.3">
      <c r="A333" t="s">
        <v>39</v>
      </c>
      <c r="B333" t="s">
        <v>40</v>
      </c>
      <c r="C333">
        <v>23635</v>
      </c>
      <c r="D333">
        <v>32968</v>
      </c>
      <c r="E333" s="1">
        <v>45198</v>
      </c>
      <c r="F333" s="1">
        <v>45585</v>
      </c>
      <c r="G333" s="2">
        <v>30272</v>
      </c>
      <c r="H333">
        <v>0</v>
      </c>
      <c r="I333" t="s">
        <v>408</v>
      </c>
      <c r="J333" t="s">
        <v>42</v>
      </c>
      <c r="K333" t="s">
        <v>15</v>
      </c>
    </row>
    <row r="334" spans="1:11" x14ac:dyDescent="0.3">
      <c r="A334" t="s">
        <v>39</v>
      </c>
      <c r="B334" t="s">
        <v>40</v>
      </c>
      <c r="C334">
        <v>23635</v>
      </c>
      <c r="D334">
        <v>32968</v>
      </c>
      <c r="E334" s="1">
        <v>45198</v>
      </c>
      <c r="F334" s="1">
        <v>45616</v>
      </c>
      <c r="G334" s="2">
        <v>30272</v>
      </c>
      <c r="H334">
        <v>0</v>
      </c>
      <c r="I334" t="s">
        <v>408</v>
      </c>
      <c r="J334" t="s">
        <v>42</v>
      </c>
      <c r="K334" t="s">
        <v>15</v>
      </c>
    </row>
    <row r="335" spans="1:11" x14ac:dyDescent="0.3">
      <c r="A335" t="s">
        <v>409</v>
      </c>
      <c r="B335" t="s">
        <v>410</v>
      </c>
      <c r="C335">
        <v>23700</v>
      </c>
      <c r="D335">
        <v>33037</v>
      </c>
      <c r="E335" s="1">
        <v>45204</v>
      </c>
      <c r="F335" s="1">
        <v>45402</v>
      </c>
      <c r="G335" s="2">
        <v>97170</v>
      </c>
      <c r="H335">
        <v>0</v>
      </c>
      <c r="I335" t="s">
        <v>411</v>
      </c>
      <c r="J335" t="s">
        <v>42</v>
      </c>
      <c r="K335" t="s">
        <v>15</v>
      </c>
    </row>
    <row r="336" spans="1:11" x14ac:dyDescent="0.3">
      <c r="A336" t="s">
        <v>412</v>
      </c>
      <c r="B336" t="s">
        <v>413</v>
      </c>
      <c r="C336">
        <v>23718</v>
      </c>
      <c r="D336">
        <v>33059</v>
      </c>
      <c r="E336" s="1">
        <v>45208</v>
      </c>
      <c r="F336" s="1">
        <v>45238</v>
      </c>
      <c r="G336" s="2">
        <v>82950</v>
      </c>
      <c r="H336">
        <v>0</v>
      </c>
      <c r="I336" t="s">
        <v>414</v>
      </c>
      <c r="J336" t="s">
        <v>57</v>
      </c>
      <c r="K336" t="s">
        <v>15</v>
      </c>
    </row>
    <row r="337" spans="1:11" x14ac:dyDescent="0.3">
      <c r="A337" t="s">
        <v>415</v>
      </c>
      <c r="B337" t="s">
        <v>416</v>
      </c>
      <c r="C337">
        <v>23701</v>
      </c>
      <c r="D337">
        <v>33038</v>
      </c>
      <c r="E337" s="1">
        <v>45204</v>
      </c>
      <c r="F337" s="1">
        <v>45402</v>
      </c>
      <c r="G337" s="2">
        <v>27120</v>
      </c>
      <c r="H337">
        <v>0</v>
      </c>
      <c r="I337" t="s">
        <v>417</v>
      </c>
      <c r="J337" t="s">
        <v>42</v>
      </c>
      <c r="K337" t="s">
        <v>15</v>
      </c>
    </row>
    <row r="338" spans="1:11" x14ac:dyDescent="0.3">
      <c r="A338" t="s">
        <v>418</v>
      </c>
      <c r="B338" t="s">
        <v>419</v>
      </c>
      <c r="C338">
        <v>23766</v>
      </c>
      <c r="D338">
        <v>33111</v>
      </c>
      <c r="E338" s="1">
        <v>45215</v>
      </c>
      <c r="F338" s="1">
        <v>45245</v>
      </c>
      <c r="G338" s="2">
        <v>38000</v>
      </c>
      <c r="H338">
        <v>0</v>
      </c>
      <c r="I338" t="s">
        <v>420</v>
      </c>
      <c r="J338" t="s">
        <v>94</v>
      </c>
      <c r="K338" t="s">
        <v>15</v>
      </c>
    </row>
    <row r="339" spans="1:11" x14ac:dyDescent="0.3">
      <c r="A339" t="s">
        <v>34</v>
      </c>
      <c r="B339" t="s">
        <v>35</v>
      </c>
      <c r="C339">
        <v>23030</v>
      </c>
      <c r="D339">
        <v>32326</v>
      </c>
      <c r="E339" s="1">
        <v>45156</v>
      </c>
      <c r="F339" s="1">
        <v>45276</v>
      </c>
      <c r="G339" s="2">
        <v>39915</v>
      </c>
      <c r="H339">
        <v>0</v>
      </c>
      <c r="I339" t="s">
        <v>126</v>
      </c>
      <c r="J339" t="s">
        <v>19</v>
      </c>
      <c r="K339" t="s">
        <v>15</v>
      </c>
    </row>
    <row r="340" spans="1:11" x14ac:dyDescent="0.3">
      <c r="A340" t="s">
        <v>16</v>
      </c>
      <c r="B340" t="s">
        <v>17</v>
      </c>
      <c r="C340">
        <v>22688</v>
      </c>
      <c r="D340">
        <v>31963</v>
      </c>
      <c r="E340" s="1">
        <v>45105</v>
      </c>
      <c r="F340" s="1">
        <v>45255</v>
      </c>
      <c r="G340" s="2">
        <v>15773.4</v>
      </c>
      <c r="H340">
        <v>0</v>
      </c>
      <c r="I340" t="s">
        <v>422</v>
      </c>
      <c r="J340" t="s">
        <v>19</v>
      </c>
      <c r="K340" t="s">
        <v>15</v>
      </c>
    </row>
    <row r="341" spans="1:11" x14ac:dyDescent="0.3">
      <c r="A341" t="s">
        <v>61</v>
      </c>
      <c r="B341" t="s">
        <v>35</v>
      </c>
      <c r="C341">
        <v>23032</v>
      </c>
      <c r="D341">
        <v>32328</v>
      </c>
      <c r="E341" s="1">
        <v>45156</v>
      </c>
      <c r="F341" s="1">
        <v>45276</v>
      </c>
      <c r="G341" s="2">
        <v>18000</v>
      </c>
      <c r="H341">
        <v>0</v>
      </c>
      <c r="I341" t="s">
        <v>827</v>
      </c>
      <c r="J341" t="s">
        <v>19</v>
      </c>
      <c r="K341" t="s">
        <v>15</v>
      </c>
    </row>
    <row r="342" spans="1:11" x14ac:dyDescent="0.3">
      <c r="A342" t="s">
        <v>67</v>
      </c>
      <c r="B342" t="s">
        <v>68</v>
      </c>
      <c r="C342">
        <v>22892</v>
      </c>
      <c r="D342">
        <v>32160</v>
      </c>
      <c r="E342" s="1">
        <v>45134</v>
      </c>
      <c r="F342" s="1">
        <v>45284</v>
      </c>
      <c r="G342" s="2">
        <v>34560</v>
      </c>
      <c r="H342">
        <v>0</v>
      </c>
      <c r="I342" t="s">
        <v>424</v>
      </c>
      <c r="J342" t="s">
        <v>19</v>
      </c>
      <c r="K342" t="s">
        <v>15</v>
      </c>
    </row>
    <row r="343" spans="1:11" x14ac:dyDescent="0.3">
      <c r="A343" t="s">
        <v>427</v>
      </c>
      <c r="B343" t="s">
        <v>428</v>
      </c>
      <c r="C343">
        <v>23041</v>
      </c>
      <c r="D343">
        <v>32338</v>
      </c>
      <c r="E343" s="1">
        <v>45156</v>
      </c>
      <c r="F343" s="1">
        <v>45276</v>
      </c>
      <c r="G343" s="2">
        <v>117875</v>
      </c>
      <c r="H343">
        <v>0</v>
      </c>
      <c r="I343" t="s">
        <v>429</v>
      </c>
      <c r="J343" t="s">
        <v>27</v>
      </c>
      <c r="K343" t="s">
        <v>15</v>
      </c>
    </row>
    <row r="344" spans="1:11" x14ac:dyDescent="0.3">
      <c r="A344" t="s">
        <v>136</v>
      </c>
      <c r="B344" t="s">
        <v>137</v>
      </c>
      <c r="C344">
        <v>23124</v>
      </c>
      <c r="D344">
        <v>32425</v>
      </c>
      <c r="E344" s="1">
        <v>45163</v>
      </c>
      <c r="F344" s="1">
        <v>45313</v>
      </c>
      <c r="G344" s="2">
        <v>2283.75</v>
      </c>
      <c r="H344">
        <v>0</v>
      </c>
      <c r="I344" t="s">
        <v>430</v>
      </c>
      <c r="J344" t="s">
        <v>122</v>
      </c>
      <c r="K344" t="s">
        <v>15</v>
      </c>
    </row>
    <row r="345" spans="1:11" x14ac:dyDescent="0.3">
      <c r="A345" t="s">
        <v>136</v>
      </c>
      <c r="B345" t="s">
        <v>137</v>
      </c>
      <c r="C345">
        <v>23124</v>
      </c>
      <c r="D345">
        <v>32425</v>
      </c>
      <c r="E345" s="1">
        <v>45163</v>
      </c>
      <c r="F345" s="1">
        <v>45343</v>
      </c>
      <c r="G345" s="2">
        <v>1218.75</v>
      </c>
      <c r="H345">
        <v>0</v>
      </c>
      <c r="I345" t="s">
        <v>430</v>
      </c>
      <c r="J345" t="s">
        <v>122</v>
      </c>
      <c r="K345" t="s">
        <v>15</v>
      </c>
    </row>
    <row r="346" spans="1:11" x14ac:dyDescent="0.3">
      <c r="A346" t="s">
        <v>136</v>
      </c>
      <c r="B346" t="s">
        <v>137</v>
      </c>
      <c r="C346">
        <v>23124</v>
      </c>
      <c r="D346">
        <v>32425</v>
      </c>
      <c r="E346" s="1">
        <v>45163</v>
      </c>
      <c r="F346" s="1">
        <v>45373</v>
      </c>
      <c r="G346" s="2">
        <v>2283.75</v>
      </c>
      <c r="H346">
        <v>0</v>
      </c>
      <c r="I346" t="s">
        <v>430</v>
      </c>
      <c r="J346" t="s">
        <v>122</v>
      </c>
      <c r="K346" t="s">
        <v>15</v>
      </c>
    </row>
    <row r="347" spans="1:11" x14ac:dyDescent="0.3">
      <c r="A347" t="s">
        <v>39</v>
      </c>
      <c r="B347" t="s">
        <v>40</v>
      </c>
      <c r="C347">
        <v>23158</v>
      </c>
      <c r="D347">
        <v>32462</v>
      </c>
      <c r="E347" s="1">
        <v>45167</v>
      </c>
      <c r="F347" s="1">
        <v>45493</v>
      </c>
      <c r="G347" s="2">
        <v>55056.4</v>
      </c>
      <c r="H347">
        <v>0</v>
      </c>
      <c r="I347" t="s">
        <v>431</v>
      </c>
      <c r="J347" t="s">
        <v>42</v>
      </c>
      <c r="K347" t="s">
        <v>15</v>
      </c>
    </row>
    <row r="348" spans="1:11" x14ac:dyDescent="0.3">
      <c r="A348" t="s">
        <v>39</v>
      </c>
      <c r="B348" t="s">
        <v>40</v>
      </c>
      <c r="C348">
        <v>23158</v>
      </c>
      <c r="D348">
        <v>32462</v>
      </c>
      <c r="E348" s="1">
        <v>45167</v>
      </c>
      <c r="F348" s="1">
        <v>45524</v>
      </c>
      <c r="G348" s="2">
        <v>55056.4</v>
      </c>
      <c r="H348">
        <v>0</v>
      </c>
      <c r="I348" t="s">
        <v>431</v>
      </c>
      <c r="J348" t="s">
        <v>42</v>
      </c>
      <c r="K348" t="s">
        <v>15</v>
      </c>
    </row>
    <row r="349" spans="1:11" x14ac:dyDescent="0.3">
      <c r="A349" t="s">
        <v>39</v>
      </c>
      <c r="B349" t="s">
        <v>40</v>
      </c>
      <c r="C349">
        <v>23158</v>
      </c>
      <c r="D349">
        <v>32462</v>
      </c>
      <c r="E349" s="1">
        <v>45167</v>
      </c>
      <c r="F349" s="1">
        <v>45555</v>
      </c>
      <c r="G349" s="2">
        <v>55056.4</v>
      </c>
      <c r="H349">
        <v>0</v>
      </c>
      <c r="I349" t="s">
        <v>431</v>
      </c>
      <c r="J349" t="s">
        <v>42</v>
      </c>
      <c r="K349" t="s">
        <v>15</v>
      </c>
    </row>
    <row r="350" spans="1:11" x14ac:dyDescent="0.3">
      <c r="A350" t="s">
        <v>39</v>
      </c>
      <c r="B350" t="s">
        <v>40</v>
      </c>
      <c r="C350">
        <v>23158</v>
      </c>
      <c r="D350">
        <v>32462</v>
      </c>
      <c r="E350" s="1">
        <v>45167</v>
      </c>
      <c r="F350" s="1">
        <v>45585</v>
      </c>
      <c r="G350" s="2">
        <v>55056.4</v>
      </c>
      <c r="H350">
        <v>0</v>
      </c>
      <c r="I350" t="s">
        <v>431</v>
      </c>
      <c r="J350" t="s">
        <v>42</v>
      </c>
      <c r="K350" t="s">
        <v>15</v>
      </c>
    </row>
    <row r="351" spans="1:11" x14ac:dyDescent="0.3">
      <c r="A351" t="s">
        <v>39</v>
      </c>
      <c r="B351" t="s">
        <v>40</v>
      </c>
      <c r="C351">
        <v>23158</v>
      </c>
      <c r="D351">
        <v>32462</v>
      </c>
      <c r="E351" s="1">
        <v>45167</v>
      </c>
      <c r="F351" s="1">
        <v>45616</v>
      </c>
      <c r="G351" s="2">
        <v>55056.4</v>
      </c>
      <c r="H351">
        <v>0</v>
      </c>
      <c r="I351" t="s">
        <v>431</v>
      </c>
      <c r="J351" t="s">
        <v>42</v>
      </c>
      <c r="K351" t="s">
        <v>15</v>
      </c>
    </row>
    <row r="352" spans="1:11" x14ac:dyDescent="0.3">
      <c r="A352" t="s">
        <v>323</v>
      </c>
      <c r="B352" t="s">
        <v>324</v>
      </c>
      <c r="C352">
        <v>23309</v>
      </c>
      <c r="D352">
        <v>32622</v>
      </c>
      <c r="E352" s="1">
        <v>45180</v>
      </c>
      <c r="F352" s="1">
        <v>45540</v>
      </c>
      <c r="G352" s="2">
        <v>6670</v>
      </c>
      <c r="H352">
        <v>0</v>
      </c>
      <c r="I352" t="s">
        <v>432</v>
      </c>
      <c r="J352" t="s">
        <v>94</v>
      </c>
      <c r="K352" t="s">
        <v>15</v>
      </c>
    </row>
    <row r="353" spans="1:11" x14ac:dyDescent="0.3">
      <c r="A353" t="s">
        <v>34</v>
      </c>
      <c r="B353" t="s">
        <v>35</v>
      </c>
      <c r="C353">
        <v>23036</v>
      </c>
      <c r="D353">
        <v>32332</v>
      </c>
      <c r="E353" s="1">
        <v>45156</v>
      </c>
      <c r="F353" s="1">
        <v>45276</v>
      </c>
      <c r="G353" s="2">
        <v>30900</v>
      </c>
      <c r="H353">
        <v>0</v>
      </c>
      <c r="I353" t="s">
        <v>858</v>
      </c>
      <c r="J353" t="s">
        <v>19</v>
      </c>
      <c r="K353" t="s">
        <v>15</v>
      </c>
    </row>
    <row r="354" spans="1:11" x14ac:dyDescent="0.3">
      <c r="A354" t="s">
        <v>39</v>
      </c>
      <c r="B354" t="s">
        <v>40</v>
      </c>
      <c r="C354">
        <v>23475</v>
      </c>
      <c r="D354">
        <v>32795</v>
      </c>
      <c r="E354" s="1">
        <v>45188</v>
      </c>
      <c r="F354" s="1">
        <v>45402</v>
      </c>
      <c r="G354" s="2">
        <v>21645.599999999999</v>
      </c>
      <c r="H354">
        <v>0</v>
      </c>
      <c r="I354" t="s">
        <v>434</v>
      </c>
      <c r="J354" t="s">
        <v>42</v>
      </c>
      <c r="K354" t="s">
        <v>15</v>
      </c>
    </row>
    <row r="355" spans="1:11" x14ac:dyDescent="0.3">
      <c r="A355" t="s">
        <v>398</v>
      </c>
      <c r="B355" t="s">
        <v>399</v>
      </c>
      <c r="C355">
        <v>23524</v>
      </c>
      <c r="D355">
        <v>32846</v>
      </c>
      <c r="E355" s="1">
        <v>45191</v>
      </c>
      <c r="F355" s="1">
        <v>45412</v>
      </c>
      <c r="G355" s="2">
        <v>47190</v>
      </c>
      <c r="H355">
        <v>0</v>
      </c>
      <c r="I355" t="s">
        <v>435</v>
      </c>
      <c r="J355" t="s">
        <v>401</v>
      </c>
      <c r="K355" t="s">
        <v>15</v>
      </c>
    </row>
    <row r="356" spans="1:11" x14ac:dyDescent="0.3">
      <c r="A356" t="s">
        <v>326</v>
      </c>
      <c r="B356" t="s">
        <v>327</v>
      </c>
      <c r="C356">
        <v>23592</v>
      </c>
      <c r="D356">
        <v>32927</v>
      </c>
      <c r="E356" s="1">
        <v>45196</v>
      </c>
      <c r="F356" s="1">
        <v>45290</v>
      </c>
      <c r="G356" s="2">
        <v>40000</v>
      </c>
      <c r="H356">
        <v>0</v>
      </c>
      <c r="I356" t="s">
        <v>436</v>
      </c>
      <c r="J356" t="s">
        <v>99</v>
      </c>
    </row>
    <row r="357" spans="1:11" x14ac:dyDescent="0.3">
      <c r="A357" t="s">
        <v>340</v>
      </c>
      <c r="B357" t="s">
        <v>341</v>
      </c>
      <c r="C357">
        <v>23743</v>
      </c>
      <c r="D357">
        <v>33084</v>
      </c>
      <c r="E357" s="1">
        <v>45209</v>
      </c>
      <c r="F357" s="1">
        <v>45299</v>
      </c>
      <c r="G357" s="2">
        <v>2910</v>
      </c>
      <c r="H357">
        <v>0</v>
      </c>
      <c r="I357" t="s">
        <v>437</v>
      </c>
      <c r="J357" t="s">
        <v>161</v>
      </c>
      <c r="K357" t="s">
        <v>15</v>
      </c>
    </row>
    <row r="358" spans="1:11" x14ac:dyDescent="0.3">
      <c r="A358" t="s">
        <v>438</v>
      </c>
      <c r="B358" t="s">
        <v>439</v>
      </c>
      <c r="C358">
        <v>23752</v>
      </c>
      <c r="D358">
        <v>33092</v>
      </c>
      <c r="E358" s="1">
        <v>45210</v>
      </c>
      <c r="F358" s="1">
        <v>45240</v>
      </c>
      <c r="G358" s="2">
        <v>57255</v>
      </c>
      <c r="H358">
        <v>0</v>
      </c>
      <c r="I358" t="s">
        <v>440</v>
      </c>
      <c r="J358" t="s">
        <v>122</v>
      </c>
      <c r="K358" t="s">
        <v>15</v>
      </c>
    </row>
    <row r="359" spans="1:11" x14ac:dyDescent="0.3">
      <c r="A359" t="s">
        <v>438</v>
      </c>
      <c r="B359" t="s">
        <v>439</v>
      </c>
      <c r="C359">
        <v>23752</v>
      </c>
      <c r="D359">
        <v>33092</v>
      </c>
      <c r="E359" s="1">
        <v>45210</v>
      </c>
      <c r="F359" s="1">
        <v>45270</v>
      </c>
      <c r="G359" s="2">
        <v>57255</v>
      </c>
      <c r="H359">
        <v>0</v>
      </c>
      <c r="I359" t="s">
        <v>440</v>
      </c>
      <c r="J359" t="s">
        <v>122</v>
      </c>
      <c r="K359" t="s">
        <v>15</v>
      </c>
    </row>
    <row r="360" spans="1:11" x14ac:dyDescent="0.3">
      <c r="A360" t="s">
        <v>441</v>
      </c>
      <c r="B360" t="s">
        <v>442</v>
      </c>
      <c r="D360">
        <v>215455</v>
      </c>
      <c r="E360" s="1">
        <v>45077</v>
      </c>
      <c r="F360" s="1">
        <v>45442</v>
      </c>
      <c r="G360" s="2">
        <v>394175.19</v>
      </c>
      <c r="H360">
        <v>0</v>
      </c>
      <c r="I360" t="s">
        <v>443</v>
      </c>
      <c r="J360" t="s">
        <v>112</v>
      </c>
    </row>
    <row r="361" spans="1:11" x14ac:dyDescent="0.3">
      <c r="A361" t="s">
        <v>114</v>
      </c>
      <c r="B361" t="s">
        <v>115</v>
      </c>
      <c r="C361">
        <v>22554</v>
      </c>
      <c r="D361">
        <v>31816</v>
      </c>
      <c r="E361" s="1">
        <v>45077</v>
      </c>
      <c r="F361" s="1">
        <v>45229</v>
      </c>
      <c r="G361" s="2">
        <v>143800</v>
      </c>
      <c r="H361">
        <v>0</v>
      </c>
      <c r="I361" t="s">
        <v>444</v>
      </c>
      <c r="J361" t="s">
        <v>82</v>
      </c>
      <c r="K361" t="s">
        <v>15</v>
      </c>
    </row>
    <row r="362" spans="1:11" x14ac:dyDescent="0.3">
      <c r="A362" t="s">
        <v>16</v>
      </c>
      <c r="B362" t="s">
        <v>17</v>
      </c>
      <c r="C362">
        <v>22641</v>
      </c>
      <c r="D362">
        <v>31918</v>
      </c>
      <c r="E362" s="1">
        <v>45103</v>
      </c>
      <c r="F362" s="1">
        <v>45283</v>
      </c>
      <c r="G362" s="2">
        <v>10440</v>
      </c>
      <c r="H362">
        <v>0</v>
      </c>
      <c r="I362" t="s">
        <v>445</v>
      </c>
      <c r="J362" t="s">
        <v>19</v>
      </c>
      <c r="K362" t="s">
        <v>15</v>
      </c>
    </row>
    <row r="363" spans="1:11" x14ac:dyDescent="0.3">
      <c r="A363" t="s">
        <v>16</v>
      </c>
      <c r="B363" t="s">
        <v>17</v>
      </c>
      <c r="C363">
        <v>22675</v>
      </c>
      <c r="D363">
        <v>31950</v>
      </c>
      <c r="E363" s="1">
        <v>45105</v>
      </c>
      <c r="F363" s="1">
        <v>45285</v>
      </c>
      <c r="G363" s="2">
        <v>15795.2</v>
      </c>
      <c r="H363">
        <v>0</v>
      </c>
      <c r="I363" t="s">
        <v>446</v>
      </c>
      <c r="J363" t="s">
        <v>19</v>
      </c>
      <c r="K363" t="s">
        <v>15</v>
      </c>
    </row>
    <row r="364" spans="1:11" x14ac:dyDescent="0.3">
      <c r="A364" t="s">
        <v>34</v>
      </c>
      <c r="B364" t="s">
        <v>35</v>
      </c>
      <c r="C364">
        <v>22879</v>
      </c>
      <c r="D364">
        <v>32146</v>
      </c>
      <c r="E364" s="1">
        <v>45132</v>
      </c>
      <c r="F364" s="1">
        <v>45282</v>
      </c>
      <c r="G364" s="2">
        <v>12542.6</v>
      </c>
      <c r="H364">
        <v>0</v>
      </c>
      <c r="I364" t="s">
        <v>1151</v>
      </c>
      <c r="J364" t="s">
        <v>19</v>
      </c>
      <c r="K364" t="s">
        <v>15</v>
      </c>
    </row>
    <row r="365" spans="1:11" x14ac:dyDescent="0.3">
      <c r="A365" t="s">
        <v>20</v>
      </c>
      <c r="B365" t="s">
        <v>21</v>
      </c>
      <c r="C365">
        <v>23090</v>
      </c>
      <c r="D365">
        <v>32390</v>
      </c>
      <c r="E365" s="1">
        <v>45162</v>
      </c>
      <c r="F365" s="1">
        <v>45237</v>
      </c>
      <c r="G365" s="2">
        <v>20676.47</v>
      </c>
      <c r="H365">
        <v>0</v>
      </c>
      <c r="I365" t="s">
        <v>448</v>
      </c>
      <c r="J365" t="s">
        <v>23</v>
      </c>
      <c r="K365" t="s">
        <v>15</v>
      </c>
    </row>
    <row r="366" spans="1:11" x14ac:dyDescent="0.3">
      <c r="A366" t="s">
        <v>20</v>
      </c>
      <c r="B366" t="s">
        <v>21</v>
      </c>
      <c r="C366">
        <v>23090</v>
      </c>
      <c r="D366">
        <v>32390</v>
      </c>
      <c r="E366" s="1">
        <v>45162</v>
      </c>
      <c r="F366" s="1">
        <v>45252</v>
      </c>
      <c r="G366" s="2">
        <v>20676.47</v>
      </c>
      <c r="H366">
        <v>0</v>
      </c>
      <c r="I366" t="s">
        <v>448</v>
      </c>
      <c r="J366" t="s">
        <v>23</v>
      </c>
      <c r="K366" t="s">
        <v>15</v>
      </c>
    </row>
    <row r="367" spans="1:11" x14ac:dyDescent="0.3">
      <c r="A367" t="s">
        <v>20</v>
      </c>
      <c r="B367" t="s">
        <v>21</v>
      </c>
      <c r="C367">
        <v>23090</v>
      </c>
      <c r="D367">
        <v>32390</v>
      </c>
      <c r="E367" s="1">
        <v>45162</v>
      </c>
      <c r="F367" s="1">
        <v>45267</v>
      </c>
      <c r="G367" s="2">
        <v>20676.47</v>
      </c>
      <c r="H367">
        <v>0</v>
      </c>
      <c r="I367" t="s">
        <v>448</v>
      </c>
      <c r="J367" t="s">
        <v>23</v>
      </c>
      <c r="K367" t="s">
        <v>15</v>
      </c>
    </row>
    <row r="368" spans="1:11" x14ac:dyDescent="0.3">
      <c r="A368" t="s">
        <v>20</v>
      </c>
      <c r="B368" t="s">
        <v>21</v>
      </c>
      <c r="C368">
        <v>23090</v>
      </c>
      <c r="D368">
        <v>32390</v>
      </c>
      <c r="E368" s="1">
        <v>45162</v>
      </c>
      <c r="F368" s="1">
        <v>45282</v>
      </c>
      <c r="G368" s="2">
        <v>20676.47</v>
      </c>
      <c r="H368">
        <v>0</v>
      </c>
      <c r="I368" t="s">
        <v>448</v>
      </c>
      <c r="J368" t="s">
        <v>23</v>
      </c>
      <c r="K368" t="s">
        <v>15</v>
      </c>
    </row>
    <row r="369" spans="1:11" x14ac:dyDescent="0.3">
      <c r="A369" t="s">
        <v>20</v>
      </c>
      <c r="B369" t="s">
        <v>21</v>
      </c>
      <c r="C369">
        <v>23090</v>
      </c>
      <c r="D369">
        <v>32390</v>
      </c>
      <c r="E369" s="1">
        <v>45162</v>
      </c>
      <c r="F369" s="1">
        <v>45297</v>
      </c>
      <c r="G369" s="2">
        <v>20676.47</v>
      </c>
      <c r="H369">
        <v>0</v>
      </c>
      <c r="I369" t="s">
        <v>448</v>
      </c>
      <c r="J369" t="s">
        <v>23</v>
      </c>
      <c r="K369" t="s">
        <v>15</v>
      </c>
    </row>
    <row r="370" spans="1:11" x14ac:dyDescent="0.3">
      <c r="A370" t="s">
        <v>20</v>
      </c>
      <c r="B370" t="s">
        <v>21</v>
      </c>
      <c r="C370">
        <v>23090</v>
      </c>
      <c r="D370">
        <v>32390</v>
      </c>
      <c r="E370" s="1">
        <v>45162</v>
      </c>
      <c r="F370" s="1">
        <v>45312</v>
      </c>
      <c r="G370" s="2">
        <v>20676.47</v>
      </c>
      <c r="H370">
        <v>0</v>
      </c>
      <c r="I370" t="s">
        <v>448</v>
      </c>
      <c r="J370" t="s">
        <v>23</v>
      </c>
      <c r="K370" t="s">
        <v>15</v>
      </c>
    </row>
    <row r="371" spans="1:11" x14ac:dyDescent="0.3">
      <c r="A371" t="s">
        <v>20</v>
      </c>
      <c r="B371" t="s">
        <v>21</v>
      </c>
      <c r="C371">
        <v>23090</v>
      </c>
      <c r="D371">
        <v>32390</v>
      </c>
      <c r="E371" s="1">
        <v>45162</v>
      </c>
      <c r="F371" s="1">
        <v>45327</v>
      </c>
      <c r="G371" s="2">
        <v>20676.47</v>
      </c>
      <c r="H371">
        <v>0</v>
      </c>
      <c r="I371" t="s">
        <v>448</v>
      </c>
      <c r="J371" t="s">
        <v>23</v>
      </c>
      <c r="K371" t="s">
        <v>15</v>
      </c>
    </row>
    <row r="372" spans="1:11" x14ac:dyDescent="0.3">
      <c r="A372" t="s">
        <v>20</v>
      </c>
      <c r="B372" t="s">
        <v>21</v>
      </c>
      <c r="C372">
        <v>23090</v>
      </c>
      <c r="D372">
        <v>32390</v>
      </c>
      <c r="E372" s="1">
        <v>45162</v>
      </c>
      <c r="F372" s="1">
        <v>45342</v>
      </c>
      <c r="G372" s="2">
        <v>20676.64</v>
      </c>
      <c r="H372">
        <v>0</v>
      </c>
      <c r="I372" t="s">
        <v>448</v>
      </c>
      <c r="J372" t="s">
        <v>23</v>
      </c>
      <c r="K372" t="s">
        <v>15</v>
      </c>
    </row>
    <row r="373" spans="1:11" x14ac:dyDescent="0.3">
      <c r="A373" t="s">
        <v>24</v>
      </c>
      <c r="B373" t="s">
        <v>25</v>
      </c>
      <c r="C373">
        <v>23156</v>
      </c>
      <c r="D373">
        <v>32460</v>
      </c>
      <c r="E373" s="1">
        <v>45167</v>
      </c>
      <c r="F373" s="1">
        <v>45377</v>
      </c>
      <c r="G373" s="2">
        <v>17480</v>
      </c>
      <c r="H373">
        <v>0</v>
      </c>
      <c r="I373" t="s">
        <v>449</v>
      </c>
      <c r="J373" t="s">
        <v>27</v>
      </c>
      <c r="K373" t="s">
        <v>15</v>
      </c>
    </row>
    <row r="374" spans="1:11" x14ac:dyDescent="0.3">
      <c r="A374" t="s">
        <v>88</v>
      </c>
      <c r="B374" t="s">
        <v>89</v>
      </c>
      <c r="C374">
        <v>23560</v>
      </c>
      <c r="D374">
        <v>32888</v>
      </c>
      <c r="E374" s="1">
        <v>45194</v>
      </c>
      <c r="F374" s="1">
        <v>45404</v>
      </c>
      <c r="G374" s="2">
        <v>123872</v>
      </c>
      <c r="H374">
        <v>0</v>
      </c>
      <c r="I374" t="s">
        <v>450</v>
      </c>
      <c r="J374" t="s">
        <v>27</v>
      </c>
      <c r="K374" t="s">
        <v>15</v>
      </c>
    </row>
    <row r="375" spans="1:11" x14ac:dyDescent="0.3">
      <c r="A375" t="s">
        <v>451</v>
      </c>
      <c r="B375" t="s">
        <v>229</v>
      </c>
      <c r="C375">
        <v>23577</v>
      </c>
      <c r="D375">
        <v>32909</v>
      </c>
      <c r="E375" s="1">
        <v>45195</v>
      </c>
      <c r="F375" s="1">
        <v>45442</v>
      </c>
      <c r="G375" s="2">
        <v>156000</v>
      </c>
      <c r="H375">
        <v>0</v>
      </c>
      <c r="I375" t="s">
        <v>452</v>
      </c>
      <c r="J375" t="s">
        <v>206</v>
      </c>
      <c r="K375" t="s">
        <v>15</v>
      </c>
    </row>
    <row r="376" spans="1:11" x14ac:dyDescent="0.3">
      <c r="A376" t="s">
        <v>184</v>
      </c>
      <c r="B376" t="s">
        <v>140</v>
      </c>
      <c r="C376">
        <v>23626</v>
      </c>
      <c r="D376">
        <v>32959</v>
      </c>
      <c r="E376" s="1">
        <v>45197</v>
      </c>
      <c r="F376" s="1">
        <v>45227</v>
      </c>
      <c r="G376">
        <v>336.88</v>
      </c>
      <c r="H376">
        <v>0</v>
      </c>
      <c r="I376" t="s">
        <v>453</v>
      </c>
      <c r="J376" t="s">
        <v>135</v>
      </c>
      <c r="K376" t="s">
        <v>15</v>
      </c>
    </row>
    <row r="377" spans="1:11" x14ac:dyDescent="0.3">
      <c r="A377" t="s">
        <v>184</v>
      </c>
      <c r="B377" t="s">
        <v>140</v>
      </c>
      <c r="C377">
        <v>23626</v>
      </c>
      <c r="D377">
        <v>32959</v>
      </c>
      <c r="E377" s="1">
        <v>45197</v>
      </c>
      <c r="F377" s="1">
        <v>45257</v>
      </c>
      <c r="G377">
        <v>160.62</v>
      </c>
      <c r="H377">
        <v>0</v>
      </c>
      <c r="I377" t="s">
        <v>453</v>
      </c>
      <c r="J377" t="s">
        <v>135</v>
      </c>
      <c r="K377" t="s">
        <v>15</v>
      </c>
    </row>
    <row r="378" spans="1:11" x14ac:dyDescent="0.3">
      <c r="A378" t="s">
        <v>239</v>
      </c>
      <c r="B378" t="s">
        <v>240</v>
      </c>
      <c r="C378">
        <v>23692</v>
      </c>
      <c r="D378">
        <v>33031</v>
      </c>
      <c r="E378" s="1">
        <v>45204</v>
      </c>
      <c r="F378" s="1">
        <v>45324</v>
      </c>
      <c r="G378" s="2">
        <v>11112</v>
      </c>
      <c r="H378">
        <v>0</v>
      </c>
      <c r="I378" t="s">
        <v>454</v>
      </c>
      <c r="J378" t="s">
        <v>19</v>
      </c>
      <c r="K378" t="s">
        <v>15</v>
      </c>
    </row>
    <row r="379" spans="1:11" x14ac:dyDescent="0.3">
      <c r="A379" t="s">
        <v>91</v>
      </c>
      <c r="B379" t="s">
        <v>92</v>
      </c>
      <c r="C379">
        <v>23724</v>
      </c>
      <c r="D379">
        <v>33067</v>
      </c>
      <c r="E379" s="1">
        <v>45209</v>
      </c>
      <c r="F379" s="1">
        <v>45329</v>
      </c>
      <c r="G379" s="2">
        <v>27739.759999999998</v>
      </c>
      <c r="H379">
        <v>0</v>
      </c>
      <c r="I379" t="s">
        <v>455</v>
      </c>
      <c r="J379" t="s">
        <v>94</v>
      </c>
      <c r="K379" t="s">
        <v>15</v>
      </c>
    </row>
    <row r="380" spans="1:11" x14ac:dyDescent="0.3">
      <c r="A380" t="s">
        <v>255</v>
      </c>
      <c r="B380" t="s">
        <v>256</v>
      </c>
      <c r="C380">
        <v>20497</v>
      </c>
      <c r="D380">
        <v>29597</v>
      </c>
      <c r="E380" s="1">
        <v>44823</v>
      </c>
      <c r="F380" s="1">
        <v>45076</v>
      </c>
      <c r="G380" s="2">
        <v>460000</v>
      </c>
      <c r="H380">
        <v>146</v>
      </c>
      <c r="I380" t="s">
        <v>456</v>
      </c>
      <c r="J380" t="s">
        <v>122</v>
      </c>
      <c r="K380" t="s">
        <v>15</v>
      </c>
    </row>
    <row r="381" spans="1:11" x14ac:dyDescent="0.3">
      <c r="A381" t="s">
        <v>83</v>
      </c>
      <c r="B381" t="s">
        <v>84</v>
      </c>
      <c r="C381">
        <v>21740</v>
      </c>
      <c r="D381">
        <v>30891</v>
      </c>
      <c r="E381" s="1">
        <v>44961</v>
      </c>
      <c r="F381" s="1">
        <v>45199</v>
      </c>
      <c r="G381" s="2">
        <v>168960</v>
      </c>
      <c r="H381">
        <v>23</v>
      </c>
      <c r="I381" t="s">
        <v>457</v>
      </c>
      <c r="J381" t="s">
        <v>86</v>
      </c>
      <c r="K381" t="s">
        <v>15</v>
      </c>
    </row>
    <row r="382" spans="1:11" x14ac:dyDescent="0.3">
      <c r="A382" t="s">
        <v>28</v>
      </c>
      <c r="B382" t="s">
        <v>29</v>
      </c>
      <c r="C382">
        <v>22444</v>
      </c>
      <c r="D382">
        <v>31696</v>
      </c>
      <c r="E382" s="1">
        <v>45056</v>
      </c>
      <c r="F382" s="1">
        <v>45296</v>
      </c>
      <c r="G382" s="2">
        <v>38880</v>
      </c>
      <c r="H382">
        <v>0</v>
      </c>
      <c r="I382" t="s">
        <v>458</v>
      </c>
      <c r="J382" t="s">
        <v>19</v>
      </c>
      <c r="K382" t="s">
        <v>15</v>
      </c>
    </row>
    <row r="383" spans="1:11" x14ac:dyDescent="0.3">
      <c r="A383" t="s">
        <v>228</v>
      </c>
      <c r="B383" t="s">
        <v>229</v>
      </c>
      <c r="C383">
        <v>22458</v>
      </c>
      <c r="D383">
        <v>31714</v>
      </c>
      <c r="E383" s="1">
        <v>45062</v>
      </c>
      <c r="F383" s="1">
        <v>45280</v>
      </c>
      <c r="G383" s="2">
        <v>221080</v>
      </c>
      <c r="H383">
        <v>0</v>
      </c>
      <c r="I383" t="s">
        <v>459</v>
      </c>
      <c r="J383" t="s">
        <v>206</v>
      </c>
      <c r="K383" t="s">
        <v>15</v>
      </c>
    </row>
    <row r="384" spans="1:11" x14ac:dyDescent="0.3">
      <c r="A384" t="s">
        <v>384</v>
      </c>
      <c r="B384" t="s">
        <v>385</v>
      </c>
      <c r="C384">
        <v>22501</v>
      </c>
      <c r="D384">
        <v>31760</v>
      </c>
      <c r="E384" s="1">
        <v>45070</v>
      </c>
      <c r="F384" s="1">
        <v>45250</v>
      </c>
      <c r="G384" s="2">
        <v>9462</v>
      </c>
      <c r="H384">
        <v>0</v>
      </c>
      <c r="I384" t="s">
        <v>460</v>
      </c>
      <c r="J384" t="s">
        <v>23</v>
      </c>
      <c r="K384" t="s">
        <v>15</v>
      </c>
    </row>
    <row r="385" spans="1:11" x14ac:dyDescent="0.3">
      <c r="A385" t="s">
        <v>314</v>
      </c>
      <c r="B385" t="s">
        <v>315</v>
      </c>
      <c r="C385">
        <v>22619</v>
      </c>
      <c r="D385">
        <v>31890</v>
      </c>
      <c r="E385" s="1">
        <v>45097</v>
      </c>
      <c r="F385" s="1">
        <v>45247</v>
      </c>
      <c r="G385" s="2">
        <v>229900</v>
      </c>
      <c r="H385">
        <v>0</v>
      </c>
      <c r="I385" t="s">
        <v>461</v>
      </c>
      <c r="J385" t="s">
        <v>206</v>
      </c>
      <c r="K385" t="s">
        <v>15</v>
      </c>
    </row>
    <row r="386" spans="1:11" x14ac:dyDescent="0.3">
      <c r="A386" t="s">
        <v>16</v>
      </c>
      <c r="B386" t="s">
        <v>17</v>
      </c>
      <c r="C386">
        <v>22662</v>
      </c>
      <c r="D386">
        <v>31937</v>
      </c>
      <c r="E386" s="1">
        <v>45104</v>
      </c>
      <c r="F386" s="1">
        <v>45224</v>
      </c>
      <c r="G386" s="2">
        <v>116480</v>
      </c>
      <c r="H386">
        <v>0</v>
      </c>
      <c r="I386" t="s">
        <v>462</v>
      </c>
      <c r="J386" t="s">
        <v>19</v>
      </c>
      <c r="K386" t="s">
        <v>15</v>
      </c>
    </row>
    <row r="387" spans="1:11" x14ac:dyDescent="0.3">
      <c r="A387" t="s">
        <v>34</v>
      </c>
      <c r="B387" t="s">
        <v>35</v>
      </c>
      <c r="C387">
        <v>22881</v>
      </c>
      <c r="D387">
        <v>32148</v>
      </c>
      <c r="E387" s="1">
        <v>45132</v>
      </c>
      <c r="F387" s="1">
        <v>45282</v>
      </c>
      <c r="G387" s="2">
        <v>8000</v>
      </c>
      <c r="H387">
        <v>0</v>
      </c>
      <c r="I387" t="s">
        <v>1316</v>
      </c>
      <c r="J387" t="s">
        <v>19</v>
      </c>
      <c r="K387" t="s">
        <v>15</v>
      </c>
    </row>
    <row r="388" spans="1:11" x14ac:dyDescent="0.3">
      <c r="A388" t="s">
        <v>31</v>
      </c>
      <c r="B388" t="s">
        <v>32</v>
      </c>
      <c r="C388">
        <v>22762</v>
      </c>
      <c r="D388">
        <v>32047</v>
      </c>
      <c r="E388" s="1">
        <v>45113</v>
      </c>
      <c r="F388" s="1">
        <v>45233</v>
      </c>
      <c r="G388" s="2">
        <v>15587.48</v>
      </c>
      <c r="H388">
        <v>0</v>
      </c>
      <c r="I388" t="s">
        <v>464</v>
      </c>
      <c r="J388" t="s">
        <v>19</v>
      </c>
      <c r="K388" t="s">
        <v>15</v>
      </c>
    </row>
    <row r="389" spans="1:11" x14ac:dyDescent="0.3">
      <c r="A389" t="s">
        <v>31</v>
      </c>
      <c r="B389" t="s">
        <v>32</v>
      </c>
      <c r="C389">
        <v>22762</v>
      </c>
      <c r="D389">
        <v>32047</v>
      </c>
      <c r="E389" s="1">
        <v>45113</v>
      </c>
      <c r="F389" s="1">
        <v>45263</v>
      </c>
      <c r="G389" s="2">
        <v>15587.54</v>
      </c>
      <c r="H389">
        <v>0</v>
      </c>
      <c r="I389" t="s">
        <v>464</v>
      </c>
      <c r="J389" t="s">
        <v>19</v>
      </c>
      <c r="K389" t="s">
        <v>15</v>
      </c>
    </row>
    <row r="390" spans="1:11" x14ac:dyDescent="0.3">
      <c r="A390" t="s">
        <v>37</v>
      </c>
      <c r="B390" t="s">
        <v>29</v>
      </c>
      <c r="C390">
        <v>22901</v>
      </c>
      <c r="D390">
        <v>32169</v>
      </c>
      <c r="E390" s="1">
        <v>45135</v>
      </c>
      <c r="F390" s="1">
        <v>45468</v>
      </c>
      <c r="G390" s="2">
        <v>44500</v>
      </c>
      <c r="H390">
        <v>0</v>
      </c>
      <c r="I390" t="s">
        <v>465</v>
      </c>
      <c r="J390" t="s">
        <v>19</v>
      </c>
      <c r="K390" t="s">
        <v>15</v>
      </c>
    </row>
    <row r="391" spans="1:11" x14ac:dyDescent="0.3">
      <c r="A391" t="s">
        <v>466</v>
      </c>
      <c r="B391" t="s">
        <v>467</v>
      </c>
      <c r="C391">
        <v>22912</v>
      </c>
      <c r="D391">
        <v>32180</v>
      </c>
      <c r="E391" s="1">
        <v>45138</v>
      </c>
      <c r="F391" s="1">
        <v>45228</v>
      </c>
      <c r="G391" s="2">
        <v>47954</v>
      </c>
      <c r="H391">
        <v>0</v>
      </c>
      <c r="I391" t="s">
        <v>468</v>
      </c>
      <c r="J391" t="s">
        <v>94</v>
      </c>
      <c r="K391" t="s">
        <v>15</v>
      </c>
    </row>
    <row r="392" spans="1:11" x14ac:dyDescent="0.3">
      <c r="A392" t="s">
        <v>232</v>
      </c>
      <c r="B392" t="s">
        <v>233</v>
      </c>
      <c r="C392">
        <v>22919</v>
      </c>
      <c r="D392">
        <v>32190</v>
      </c>
      <c r="E392" s="1">
        <v>45139</v>
      </c>
      <c r="F392" s="1">
        <v>45259</v>
      </c>
      <c r="G392" s="2">
        <v>53340</v>
      </c>
      <c r="H392">
        <v>0</v>
      </c>
      <c r="I392" t="s">
        <v>469</v>
      </c>
      <c r="J392" t="s">
        <v>122</v>
      </c>
      <c r="K392" t="s">
        <v>15</v>
      </c>
    </row>
    <row r="393" spans="1:11" x14ac:dyDescent="0.3">
      <c r="A393" t="s">
        <v>239</v>
      </c>
      <c r="B393" t="s">
        <v>240</v>
      </c>
      <c r="C393">
        <v>23137</v>
      </c>
      <c r="D393">
        <v>32443</v>
      </c>
      <c r="E393" s="1">
        <v>45166</v>
      </c>
      <c r="F393" s="1">
        <v>45226</v>
      </c>
      <c r="G393" s="2">
        <v>2026.66</v>
      </c>
      <c r="H393">
        <v>0</v>
      </c>
      <c r="I393" t="s">
        <v>470</v>
      </c>
      <c r="J393" t="s">
        <v>19</v>
      </c>
      <c r="K393" t="s">
        <v>15</v>
      </c>
    </row>
    <row r="394" spans="1:11" x14ac:dyDescent="0.3">
      <c r="A394" t="s">
        <v>239</v>
      </c>
      <c r="B394" t="s">
        <v>240</v>
      </c>
      <c r="C394">
        <v>23137</v>
      </c>
      <c r="D394">
        <v>32443</v>
      </c>
      <c r="E394" s="1">
        <v>45166</v>
      </c>
      <c r="F394" s="1">
        <v>45256</v>
      </c>
      <c r="G394" s="2">
        <v>2026.66</v>
      </c>
      <c r="H394">
        <v>0</v>
      </c>
      <c r="I394" t="s">
        <v>470</v>
      </c>
      <c r="J394" t="s">
        <v>19</v>
      </c>
      <c r="K394" t="s">
        <v>15</v>
      </c>
    </row>
    <row r="395" spans="1:11" x14ac:dyDescent="0.3">
      <c r="A395" t="s">
        <v>239</v>
      </c>
      <c r="B395" t="s">
        <v>240</v>
      </c>
      <c r="C395">
        <v>23137</v>
      </c>
      <c r="D395">
        <v>32443</v>
      </c>
      <c r="E395" s="1">
        <v>45166</v>
      </c>
      <c r="F395" s="1">
        <v>45286</v>
      </c>
      <c r="G395" s="2">
        <v>2026.68</v>
      </c>
      <c r="H395">
        <v>0</v>
      </c>
      <c r="I395" t="s">
        <v>470</v>
      </c>
      <c r="J395" t="s">
        <v>19</v>
      </c>
      <c r="K395" t="s">
        <v>15</v>
      </c>
    </row>
    <row r="396" spans="1:11" x14ac:dyDescent="0.3">
      <c r="A396" t="s">
        <v>362</v>
      </c>
      <c r="B396" t="s">
        <v>363</v>
      </c>
      <c r="C396">
        <v>23144</v>
      </c>
      <c r="D396">
        <v>32449</v>
      </c>
      <c r="E396" s="1">
        <v>45166</v>
      </c>
      <c r="F396" s="1">
        <v>45442</v>
      </c>
      <c r="G396" s="2">
        <v>29400</v>
      </c>
      <c r="H396">
        <v>0</v>
      </c>
      <c r="I396" t="s">
        <v>471</v>
      </c>
      <c r="J396" t="s">
        <v>77</v>
      </c>
      <c r="K396" t="s">
        <v>15</v>
      </c>
    </row>
    <row r="397" spans="1:11" x14ac:dyDescent="0.3">
      <c r="A397" t="s">
        <v>314</v>
      </c>
      <c r="B397" t="s">
        <v>315</v>
      </c>
      <c r="D397">
        <v>221865</v>
      </c>
      <c r="E397" s="1">
        <v>45169</v>
      </c>
      <c r="F397" s="1">
        <v>45229</v>
      </c>
      <c r="G397" s="2">
        <v>37497.9</v>
      </c>
      <c r="H397">
        <v>0</v>
      </c>
      <c r="I397" t="s">
        <v>472</v>
      </c>
      <c r="J397" t="s">
        <v>206</v>
      </c>
    </row>
    <row r="398" spans="1:11" x14ac:dyDescent="0.3">
      <c r="A398" t="s">
        <v>128</v>
      </c>
      <c r="B398" t="s">
        <v>129</v>
      </c>
      <c r="C398">
        <v>23237</v>
      </c>
      <c r="D398">
        <v>32553</v>
      </c>
      <c r="E398" s="1">
        <v>45174</v>
      </c>
      <c r="F398" s="1">
        <v>45294</v>
      </c>
      <c r="G398" s="2">
        <v>5941.5</v>
      </c>
      <c r="H398">
        <v>0</v>
      </c>
      <c r="I398" t="s">
        <v>473</v>
      </c>
      <c r="J398" t="s">
        <v>131</v>
      </c>
      <c r="K398" t="s">
        <v>15</v>
      </c>
    </row>
    <row r="399" spans="1:11" x14ac:dyDescent="0.3">
      <c r="A399" t="s">
        <v>96</v>
      </c>
      <c r="B399" t="s">
        <v>97</v>
      </c>
      <c r="C399">
        <v>23337</v>
      </c>
      <c r="D399">
        <v>32650</v>
      </c>
      <c r="E399" s="1">
        <v>45181</v>
      </c>
      <c r="F399" s="1">
        <v>45379</v>
      </c>
      <c r="G399" s="2">
        <v>246392</v>
      </c>
      <c r="H399">
        <v>0</v>
      </c>
      <c r="I399" t="s">
        <v>474</v>
      </c>
      <c r="J399" t="s">
        <v>99</v>
      </c>
      <c r="K399" t="s">
        <v>15</v>
      </c>
    </row>
    <row r="400" spans="1:11" x14ac:dyDescent="0.3">
      <c r="A400" t="s">
        <v>58</v>
      </c>
      <c r="B400" t="s">
        <v>59</v>
      </c>
      <c r="C400">
        <v>23512</v>
      </c>
      <c r="D400">
        <v>32830</v>
      </c>
      <c r="E400" s="1">
        <v>45189</v>
      </c>
      <c r="F400" s="1">
        <v>45279</v>
      </c>
      <c r="G400" s="2">
        <v>9375</v>
      </c>
      <c r="H400">
        <v>0</v>
      </c>
      <c r="I400" t="s">
        <v>475</v>
      </c>
      <c r="J400" t="s">
        <v>57</v>
      </c>
      <c r="K400" t="s">
        <v>15</v>
      </c>
    </row>
    <row r="401" spans="1:11" x14ac:dyDescent="0.3">
      <c r="A401" t="s">
        <v>58</v>
      </c>
      <c r="B401" t="s">
        <v>59</v>
      </c>
      <c r="C401">
        <v>23512</v>
      </c>
      <c r="D401">
        <v>32830</v>
      </c>
      <c r="E401" s="1">
        <v>45189</v>
      </c>
      <c r="F401" s="1">
        <v>45309</v>
      </c>
      <c r="G401" s="2">
        <v>9375</v>
      </c>
      <c r="H401">
        <v>0</v>
      </c>
      <c r="I401" t="s">
        <v>475</v>
      </c>
      <c r="J401" t="s">
        <v>57</v>
      </c>
      <c r="K401" t="s">
        <v>15</v>
      </c>
    </row>
    <row r="402" spans="1:11" x14ac:dyDescent="0.3">
      <c r="A402" t="s">
        <v>301</v>
      </c>
      <c r="B402" t="s">
        <v>302</v>
      </c>
      <c r="C402">
        <v>23673</v>
      </c>
      <c r="D402">
        <v>33009</v>
      </c>
      <c r="E402" s="1">
        <v>45203</v>
      </c>
      <c r="F402" s="1">
        <v>45323</v>
      </c>
      <c r="G402" s="2">
        <v>30750</v>
      </c>
      <c r="H402">
        <v>0</v>
      </c>
      <c r="I402" t="s">
        <v>476</v>
      </c>
      <c r="J402" t="s">
        <v>57</v>
      </c>
      <c r="K402" t="s">
        <v>15</v>
      </c>
    </row>
    <row r="403" spans="1:11" x14ac:dyDescent="0.3">
      <c r="A403" t="s">
        <v>20</v>
      </c>
      <c r="B403" t="s">
        <v>21</v>
      </c>
      <c r="C403">
        <v>23651</v>
      </c>
      <c r="D403">
        <v>32985</v>
      </c>
      <c r="E403" s="1">
        <v>45198</v>
      </c>
      <c r="F403" s="1">
        <v>45303</v>
      </c>
      <c r="G403" s="2">
        <v>15631.1</v>
      </c>
      <c r="H403">
        <v>0</v>
      </c>
      <c r="I403" t="s">
        <v>318</v>
      </c>
      <c r="J403" t="s">
        <v>23</v>
      </c>
      <c r="K403" t="s">
        <v>15</v>
      </c>
    </row>
    <row r="404" spans="1:11" x14ac:dyDescent="0.3">
      <c r="A404" t="s">
        <v>43</v>
      </c>
      <c r="B404" t="s">
        <v>44</v>
      </c>
      <c r="C404">
        <v>22457</v>
      </c>
      <c r="D404">
        <v>31713</v>
      </c>
      <c r="E404" s="1">
        <v>45062</v>
      </c>
      <c r="F404" s="1">
        <v>45412</v>
      </c>
      <c r="G404" s="2">
        <v>164075</v>
      </c>
      <c r="H404">
        <v>0</v>
      </c>
      <c r="I404" t="s">
        <v>477</v>
      </c>
      <c r="J404" t="s">
        <v>46</v>
      </c>
      <c r="K404" t="s">
        <v>15</v>
      </c>
    </row>
    <row r="405" spans="1:11" x14ac:dyDescent="0.3">
      <c r="A405" t="s">
        <v>20</v>
      </c>
      <c r="B405" t="s">
        <v>21</v>
      </c>
      <c r="C405">
        <v>22889</v>
      </c>
      <c r="D405">
        <v>32157</v>
      </c>
      <c r="E405" s="1">
        <v>45134</v>
      </c>
      <c r="F405" s="1">
        <v>45239</v>
      </c>
      <c r="G405" s="2">
        <v>19057.849999999999</v>
      </c>
      <c r="H405">
        <v>0</v>
      </c>
      <c r="I405" t="s">
        <v>478</v>
      </c>
      <c r="J405" t="s">
        <v>23</v>
      </c>
      <c r="K405" t="s">
        <v>15</v>
      </c>
    </row>
    <row r="406" spans="1:11" x14ac:dyDescent="0.3">
      <c r="A406" t="s">
        <v>20</v>
      </c>
      <c r="B406" t="s">
        <v>21</v>
      </c>
      <c r="C406">
        <v>22889</v>
      </c>
      <c r="D406">
        <v>32157</v>
      </c>
      <c r="E406" s="1">
        <v>45134</v>
      </c>
      <c r="F406" s="1">
        <v>45254</v>
      </c>
      <c r="G406" s="2">
        <v>19057.849999999999</v>
      </c>
      <c r="H406">
        <v>0</v>
      </c>
      <c r="I406" t="s">
        <v>478</v>
      </c>
      <c r="J406" t="s">
        <v>23</v>
      </c>
      <c r="K406" t="s">
        <v>15</v>
      </c>
    </row>
    <row r="407" spans="1:11" x14ac:dyDescent="0.3">
      <c r="A407" t="s">
        <v>20</v>
      </c>
      <c r="B407" t="s">
        <v>21</v>
      </c>
      <c r="C407">
        <v>22889</v>
      </c>
      <c r="D407">
        <v>32157</v>
      </c>
      <c r="E407" s="1">
        <v>45134</v>
      </c>
      <c r="F407" s="1">
        <v>45269</v>
      </c>
      <c r="G407" s="2">
        <v>19057.849999999999</v>
      </c>
      <c r="H407">
        <v>0</v>
      </c>
      <c r="I407" t="s">
        <v>478</v>
      </c>
      <c r="J407" t="s">
        <v>23</v>
      </c>
      <c r="K407" t="s">
        <v>15</v>
      </c>
    </row>
    <row r="408" spans="1:11" x14ac:dyDescent="0.3">
      <c r="A408" t="s">
        <v>20</v>
      </c>
      <c r="B408" t="s">
        <v>21</v>
      </c>
      <c r="C408">
        <v>22889</v>
      </c>
      <c r="D408">
        <v>32157</v>
      </c>
      <c r="E408" s="1">
        <v>45134</v>
      </c>
      <c r="F408" s="1">
        <v>45284</v>
      </c>
      <c r="G408" s="2">
        <v>19057.849999999999</v>
      </c>
      <c r="H408">
        <v>0</v>
      </c>
      <c r="I408" t="s">
        <v>478</v>
      </c>
      <c r="J408" t="s">
        <v>23</v>
      </c>
      <c r="K408" t="s">
        <v>15</v>
      </c>
    </row>
    <row r="409" spans="1:11" x14ac:dyDescent="0.3">
      <c r="A409" t="s">
        <v>20</v>
      </c>
      <c r="B409" t="s">
        <v>21</v>
      </c>
      <c r="C409">
        <v>22889</v>
      </c>
      <c r="D409">
        <v>32157</v>
      </c>
      <c r="E409" s="1">
        <v>45134</v>
      </c>
      <c r="F409" s="1">
        <v>45299</v>
      </c>
      <c r="G409" s="2">
        <v>19057.849999999999</v>
      </c>
      <c r="H409">
        <v>0</v>
      </c>
      <c r="I409" t="s">
        <v>478</v>
      </c>
      <c r="J409" t="s">
        <v>23</v>
      </c>
      <c r="K409" t="s">
        <v>15</v>
      </c>
    </row>
    <row r="410" spans="1:11" x14ac:dyDescent="0.3">
      <c r="A410" t="s">
        <v>20</v>
      </c>
      <c r="B410" t="s">
        <v>21</v>
      </c>
      <c r="C410">
        <v>22889</v>
      </c>
      <c r="D410">
        <v>32157</v>
      </c>
      <c r="E410" s="1">
        <v>45134</v>
      </c>
      <c r="F410" s="1">
        <v>45314</v>
      </c>
      <c r="G410" s="2">
        <v>19058</v>
      </c>
      <c r="H410">
        <v>0</v>
      </c>
      <c r="I410" t="s">
        <v>478</v>
      </c>
      <c r="J410" t="s">
        <v>23</v>
      </c>
      <c r="K410" t="s">
        <v>15</v>
      </c>
    </row>
    <row r="411" spans="1:11" x14ac:dyDescent="0.3">
      <c r="A411" t="s">
        <v>479</v>
      </c>
      <c r="B411" t="s">
        <v>480</v>
      </c>
      <c r="C411">
        <v>22923</v>
      </c>
      <c r="D411">
        <v>32194</v>
      </c>
      <c r="E411" s="1">
        <v>45140</v>
      </c>
      <c r="F411" s="1">
        <v>45412</v>
      </c>
      <c r="G411" s="2">
        <v>48739.75</v>
      </c>
      <c r="H411">
        <v>0</v>
      </c>
      <c r="I411" t="s">
        <v>481</v>
      </c>
      <c r="J411" t="s">
        <v>99</v>
      </c>
      <c r="K411" t="s">
        <v>15</v>
      </c>
    </row>
    <row r="412" spans="1:11" x14ac:dyDescent="0.3">
      <c r="A412" t="s">
        <v>96</v>
      </c>
      <c r="B412" t="s">
        <v>97</v>
      </c>
      <c r="C412">
        <v>22959</v>
      </c>
      <c r="D412">
        <v>32243</v>
      </c>
      <c r="E412" s="1">
        <v>45147</v>
      </c>
      <c r="F412" s="1">
        <v>45379</v>
      </c>
      <c r="G412" s="2">
        <v>306547.59999999998</v>
      </c>
      <c r="H412">
        <v>0</v>
      </c>
      <c r="I412" t="s">
        <v>482</v>
      </c>
      <c r="J412" t="s">
        <v>99</v>
      </c>
      <c r="K412" t="s">
        <v>15</v>
      </c>
    </row>
    <row r="413" spans="1:11" x14ac:dyDescent="0.3">
      <c r="A413" t="s">
        <v>301</v>
      </c>
      <c r="B413" t="s">
        <v>302</v>
      </c>
      <c r="C413">
        <v>23025</v>
      </c>
      <c r="D413">
        <v>32319</v>
      </c>
      <c r="E413" s="1">
        <v>45155</v>
      </c>
      <c r="F413" s="1">
        <v>45245</v>
      </c>
      <c r="G413" s="2">
        <v>19193.3</v>
      </c>
      <c r="H413">
        <v>0</v>
      </c>
      <c r="I413" t="s">
        <v>483</v>
      </c>
      <c r="J413" t="s">
        <v>57</v>
      </c>
      <c r="K413" t="s">
        <v>15</v>
      </c>
    </row>
    <row r="414" spans="1:11" x14ac:dyDescent="0.3">
      <c r="A414" t="s">
        <v>39</v>
      </c>
      <c r="B414" t="s">
        <v>40</v>
      </c>
      <c r="C414">
        <v>23042</v>
      </c>
      <c r="D414">
        <v>32340</v>
      </c>
      <c r="E414" s="1">
        <v>45156</v>
      </c>
      <c r="F414" s="1">
        <v>45493</v>
      </c>
      <c r="G414" s="2">
        <v>59416.54</v>
      </c>
      <c r="H414">
        <v>0</v>
      </c>
      <c r="I414" t="s">
        <v>484</v>
      </c>
      <c r="J414" t="s">
        <v>42</v>
      </c>
      <c r="K414" t="s">
        <v>15</v>
      </c>
    </row>
    <row r="415" spans="1:11" x14ac:dyDescent="0.3">
      <c r="A415" t="s">
        <v>39</v>
      </c>
      <c r="B415" t="s">
        <v>40</v>
      </c>
      <c r="C415">
        <v>23042</v>
      </c>
      <c r="D415">
        <v>32340</v>
      </c>
      <c r="E415" s="1">
        <v>45156</v>
      </c>
      <c r="F415" s="1">
        <v>45524</v>
      </c>
      <c r="G415" s="2">
        <v>59416.54</v>
      </c>
      <c r="H415">
        <v>0</v>
      </c>
      <c r="I415" t="s">
        <v>484</v>
      </c>
      <c r="J415" t="s">
        <v>42</v>
      </c>
      <c r="K415" t="s">
        <v>15</v>
      </c>
    </row>
    <row r="416" spans="1:11" x14ac:dyDescent="0.3">
      <c r="A416" t="s">
        <v>39</v>
      </c>
      <c r="B416" t="s">
        <v>40</v>
      </c>
      <c r="C416">
        <v>23042</v>
      </c>
      <c r="D416">
        <v>32340</v>
      </c>
      <c r="E416" s="1">
        <v>45156</v>
      </c>
      <c r="F416" s="1">
        <v>45555</v>
      </c>
      <c r="G416" s="2">
        <v>59416.54</v>
      </c>
      <c r="H416">
        <v>0</v>
      </c>
      <c r="I416" t="s">
        <v>484</v>
      </c>
      <c r="J416" t="s">
        <v>42</v>
      </c>
      <c r="K416" t="s">
        <v>15</v>
      </c>
    </row>
    <row r="417" spans="1:11" x14ac:dyDescent="0.3">
      <c r="A417" t="s">
        <v>39</v>
      </c>
      <c r="B417" t="s">
        <v>40</v>
      </c>
      <c r="C417">
        <v>23042</v>
      </c>
      <c r="D417">
        <v>32340</v>
      </c>
      <c r="E417" s="1">
        <v>45156</v>
      </c>
      <c r="F417" s="1">
        <v>45585</v>
      </c>
      <c r="G417" s="2">
        <v>59416.54</v>
      </c>
      <c r="H417">
        <v>0</v>
      </c>
      <c r="I417" t="s">
        <v>484</v>
      </c>
      <c r="J417" t="s">
        <v>42</v>
      </c>
      <c r="K417" t="s">
        <v>15</v>
      </c>
    </row>
    <row r="418" spans="1:11" x14ac:dyDescent="0.3">
      <c r="A418" t="s">
        <v>39</v>
      </c>
      <c r="B418" t="s">
        <v>40</v>
      </c>
      <c r="C418">
        <v>23042</v>
      </c>
      <c r="D418">
        <v>32340</v>
      </c>
      <c r="E418" s="1">
        <v>45156</v>
      </c>
      <c r="F418" s="1">
        <v>45616</v>
      </c>
      <c r="G418" s="2">
        <v>59416.54</v>
      </c>
      <c r="H418">
        <v>0</v>
      </c>
      <c r="I418" t="s">
        <v>484</v>
      </c>
      <c r="J418" t="s">
        <v>42</v>
      </c>
      <c r="K418" t="s">
        <v>15</v>
      </c>
    </row>
    <row r="419" spans="1:11" x14ac:dyDescent="0.3">
      <c r="A419" t="s">
        <v>236</v>
      </c>
      <c r="B419" t="s">
        <v>237</v>
      </c>
      <c r="C419">
        <v>23057</v>
      </c>
      <c r="D419">
        <v>32357</v>
      </c>
      <c r="E419" s="1">
        <v>45161</v>
      </c>
      <c r="F419" s="1">
        <v>45281</v>
      </c>
      <c r="G419" s="2">
        <v>15885</v>
      </c>
      <c r="H419">
        <v>0</v>
      </c>
      <c r="I419" t="s">
        <v>485</v>
      </c>
      <c r="J419" t="s">
        <v>19</v>
      </c>
      <c r="K419" t="s">
        <v>15</v>
      </c>
    </row>
    <row r="420" spans="1:11" x14ac:dyDescent="0.3">
      <c r="A420" t="s">
        <v>145</v>
      </c>
      <c r="B420" t="s">
        <v>146</v>
      </c>
      <c r="C420">
        <v>23076</v>
      </c>
      <c r="D420">
        <v>32375</v>
      </c>
      <c r="E420" s="1">
        <v>45161</v>
      </c>
      <c r="F420" s="1">
        <v>45412</v>
      </c>
      <c r="G420" s="2">
        <v>94268</v>
      </c>
      <c r="H420">
        <v>0</v>
      </c>
      <c r="I420" t="s">
        <v>486</v>
      </c>
      <c r="J420" t="s">
        <v>82</v>
      </c>
      <c r="K420" t="s">
        <v>15</v>
      </c>
    </row>
    <row r="421" spans="1:11" x14ac:dyDescent="0.3">
      <c r="A421" t="s">
        <v>158</v>
      </c>
      <c r="B421" t="s">
        <v>159</v>
      </c>
      <c r="C421">
        <v>23323</v>
      </c>
      <c r="D421">
        <v>32635</v>
      </c>
      <c r="E421" s="1">
        <v>45181</v>
      </c>
      <c r="F421" s="1">
        <v>45246</v>
      </c>
      <c r="G421" s="2">
        <v>5130</v>
      </c>
      <c r="H421">
        <v>0</v>
      </c>
      <c r="I421" t="s">
        <v>487</v>
      </c>
      <c r="J421" t="s">
        <v>161</v>
      </c>
      <c r="K421" t="s">
        <v>15</v>
      </c>
    </row>
    <row r="422" spans="1:11" x14ac:dyDescent="0.3">
      <c r="A422" t="s">
        <v>488</v>
      </c>
      <c r="B422" t="s">
        <v>489</v>
      </c>
      <c r="C422">
        <v>23340</v>
      </c>
      <c r="D422">
        <v>32652</v>
      </c>
      <c r="E422" s="1">
        <v>45181</v>
      </c>
      <c r="F422" s="1">
        <v>45241</v>
      </c>
      <c r="G422" s="2">
        <v>3449.4</v>
      </c>
      <c r="H422">
        <v>0</v>
      </c>
      <c r="I422" t="s">
        <v>490</v>
      </c>
      <c r="J422" t="s">
        <v>131</v>
      </c>
      <c r="K422" t="s">
        <v>15</v>
      </c>
    </row>
    <row r="423" spans="1:11" x14ac:dyDescent="0.3">
      <c r="A423" t="s">
        <v>488</v>
      </c>
      <c r="B423" t="s">
        <v>489</v>
      </c>
      <c r="C423">
        <v>23340</v>
      </c>
      <c r="D423">
        <v>32652</v>
      </c>
      <c r="E423" s="1">
        <v>45181</v>
      </c>
      <c r="F423" s="1">
        <v>45271</v>
      </c>
      <c r="G423" s="2">
        <v>3449.4</v>
      </c>
      <c r="H423">
        <v>0</v>
      </c>
      <c r="I423" t="s">
        <v>490</v>
      </c>
      <c r="J423" t="s">
        <v>131</v>
      </c>
      <c r="K423" t="s">
        <v>15</v>
      </c>
    </row>
    <row r="424" spans="1:11" x14ac:dyDescent="0.3">
      <c r="A424" t="s">
        <v>491</v>
      </c>
      <c r="B424" t="s">
        <v>492</v>
      </c>
      <c r="C424">
        <v>21729</v>
      </c>
      <c r="D424">
        <v>30880</v>
      </c>
      <c r="E424" s="1">
        <v>44960</v>
      </c>
      <c r="F424" s="1">
        <v>45199</v>
      </c>
      <c r="G424" s="2">
        <v>25218</v>
      </c>
      <c r="H424">
        <v>23</v>
      </c>
      <c r="I424" t="s">
        <v>493</v>
      </c>
      <c r="J424" t="s">
        <v>82</v>
      </c>
      <c r="K424" t="s">
        <v>15</v>
      </c>
    </row>
    <row r="425" spans="1:11" x14ac:dyDescent="0.3">
      <c r="A425" t="s">
        <v>34</v>
      </c>
      <c r="B425" t="s">
        <v>35</v>
      </c>
      <c r="C425">
        <v>23131</v>
      </c>
      <c r="D425">
        <v>32437</v>
      </c>
      <c r="E425" s="1">
        <v>45166</v>
      </c>
      <c r="F425" s="1">
        <v>45286</v>
      </c>
      <c r="G425" s="2">
        <v>39960</v>
      </c>
      <c r="H425">
        <v>0</v>
      </c>
      <c r="I425" t="s">
        <v>929</v>
      </c>
      <c r="J425" t="s">
        <v>19</v>
      </c>
      <c r="K425" t="s">
        <v>15</v>
      </c>
    </row>
    <row r="426" spans="1:11" x14ac:dyDescent="0.3">
      <c r="A426" t="s">
        <v>495</v>
      </c>
      <c r="B426" t="s">
        <v>195</v>
      </c>
      <c r="C426">
        <v>22666</v>
      </c>
      <c r="D426">
        <v>31941</v>
      </c>
      <c r="E426" s="1">
        <v>45104</v>
      </c>
      <c r="F426" s="1">
        <v>45224</v>
      </c>
      <c r="G426" s="2">
        <v>43017.5</v>
      </c>
      <c r="H426">
        <v>0</v>
      </c>
      <c r="I426" t="s">
        <v>496</v>
      </c>
      <c r="J426" t="s">
        <v>497</v>
      </c>
      <c r="K426" t="s">
        <v>15</v>
      </c>
    </row>
    <row r="427" spans="1:11" x14ac:dyDescent="0.3">
      <c r="A427" t="s">
        <v>31</v>
      </c>
      <c r="B427" t="s">
        <v>32</v>
      </c>
      <c r="C427">
        <v>22783</v>
      </c>
      <c r="D427">
        <v>32071</v>
      </c>
      <c r="E427" s="1">
        <v>45120</v>
      </c>
      <c r="F427" s="1">
        <v>45240</v>
      </c>
      <c r="G427" s="2">
        <v>1437.4</v>
      </c>
      <c r="H427">
        <v>0</v>
      </c>
      <c r="I427" t="s">
        <v>498</v>
      </c>
      <c r="J427" t="s">
        <v>19</v>
      </c>
      <c r="K427" t="s">
        <v>15</v>
      </c>
    </row>
    <row r="428" spans="1:11" x14ac:dyDescent="0.3">
      <c r="A428" t="s">
        <v>31</v>
      </c>
      <c r="B428" t="s">
        <v>32</v>
      </c>
      <c r="C428">
        <v>22783</v>
      </c>
      <c r="D428">
        <v>32071</v>
      </c>
      <c r="E428" s="1">
        <v>45120</v>
      </c>
      <c r="F428" s="1">
        <v>45270</v>
      </c>
      <c r="G428" s="2">
        <v>1437.4</v>
      </c>
      <c r="H428">
        <v>0</v>
      </c>
      <c r="I428" t="s">
        <v>498</v>
      </c>
      <c r="J428" t="s">
        <v>19</v>
      </c>
      <c r="K428" t="s">
        <v>15</v>
      </c>
    </row>
    <row r="429" spans="1:11" x14ac:dyDescent="0.3">
      <c r="A429" t="s">
        <v>31</v>
      </c>
      <c r="B429" t="s">
        <v>32</v>
      </c>
      <c r="C429">
        <v>22783</v>
      </c>
      <c r="D429">
        <v>32071</v>
      </c>
      <c r="E429" s="1">
        <v>45120</v>
      </c>
      <c r="F429" s="1">
        <v>45300</v>
      </c>
      <c r="G429" s="2">
        <v>1437.4</v>
      </c>
      <c r="H429">
        <v>0</v>
      </c>
      <c r="I429" t="s">
        <v>498</v>
      </c>
      <c r="J429" t="s">
        <v>19</v>
      </c>
      <c r="K429" t="s">
        <v>15</v>
      </c>
    </row>
    <row r="430" spans="1:11" x14ac:dyDescent="0.3">
      <c r="A430" t="s">
        <v>31</v>
      </c>
      <c r="B430" t="s">
        <v>32</v>
      </c>
      <c r="C430">
        <v>22797</v>
      </c>
      <c r="D430">
        <v>32086</v>
      </c>
      <c r="E430" s="1">
        <v>45125</v>
      </c>
      <c r="F430" s="1">
        <v>45245</v>
      </c>
      <c r="G430" s="2">
        <v>30933.3</v>
      </c>
      <c r="H430">
        <v>0</v>
      </c>
      <c r="I430" t="s">
        <v>499</v>
      </c>
      <c r="J430" t="s">
        <v>19</v>
      </c>
      <c r="K430" t="s">
        <v>15</v>
      </c>
    </row>
    <row r="431" spans="1:11" x14ac:dyDescent="0.3">
      <c r="A431" t="s">
        <v>31</v>
      </c>
      <c r="B431" t="s">
        <v>32</v>
      </c>
      <c r="C431">
        <v>22797</v>
      </c>
      <c r="D431">
        <v>32086</v>
      </c>
      <c r="E431" s="1">
        <v>45125</v>
      </c>
      <c r="F431" s="1">
        <v>45275</v>
      </c>
      <c r="G431" s="2">
        <v>30933.3</v>
      </c>
      <c r="H431">
        <v>0</v>
      </c>
      <c r="I431" t="s">
        <v>499</v>
      </c>
      <c r="J431" t="s">
        <v>19</v>
      </c>
      <c r="K431" t="s">
        <v>15</v>
      </c>
    </row>
    <row r="432" spans="1:11" x14ac:dyDescent="0.3">
      <c r="A432" t="s">
        <v>31</v>
      </c>
      <c r="B432" t="s">
        <v>32</v>
      </c>
      <c r="C432">
        <v>22797</v>
      </c>
      <c r="D432">
        <v>32086</v>
      </c>
      <c r="E432" s="1">
        <v>45125</v>
      </c>
      <c r="F432" s="1">
        <v>45305</v>
      </c>
      <c r="G432" s="2">
        <v>30933.4</v>
      </c>
      <c r="H432">
        <v>0</v>
      </c>
      <c r="I432" t="s">
        <v>499</v>
      </c>
      <c r="J432" t="s">
        <v>19</v>
      </c>
      <c r="K432" t="s">
        <v>15</v>
      </c>
    </row>
    <row r="433" spans="1:11" x14ac:dyDescent="0.3">
      <c r="A433" t="s">
        <v>136</v>
      </c>
      <c r="B433" t="s">
        <v>137</v>
      </c>
      <c r="C433">
        <v>22944</v>
      </c>
      <c r="D433">
        <v>219746</v>
      </c>
      <c r="E433" s="1">
        <v>45142</v>
      </c>
      <c r="F433" s="1">
        <v>45292</v>
      </c>
      <c r="G433" s="2">
        <v>4479.84</v>
      </c>
      <c r="H433">
        <v>0</v>
      </c>
      <c r="I433" t="s">
        <v>500</v>
      </c>
      <c r="J433" t="s">
        <v>122</v>
      </c>
    </row>
    <row r="434" spans="1:11" x14ac:dyDescent="0.3">
      <c r="A434" t="s">
        <v>136</v>
      </c>
      <c r="B434" t="s">
        <v>137</v>
      </c>
      <c r="C434">
        <v>22944</v>
      </c>
      <c r="D434">
        <v>219746</v>
      </c>
      <c r="E434" s="1">
        <v>45142</v>
      </c>
      <c r="F434" s="1">
        <v>45322</v>
      </c>
      <c r="G434" s="2">
        <v>4479.83</v>
      </c>
      <c r="H434">
        <v>0</v>
      </c>
      <c r="I434" t="s">
        <v>500</v>
      </c>
      <c r="J434" t="s">
        <v>122</v>
      </c>
    </row>
    <row r="435" spans="1:11" x14ac:dyDescent="0.3">
      <c r="A435" t="s">
        <v>136</v>
      </c>
      <c r="B435" t="s">
        <v>137</v>
      </c>
      <c r="C435">
        <v>22944</v>
      </c>
      <c r="D435">
        <v>219746</v>
      </c>
      <c r="E435" s="1">
        <v>45142</v>
      </c>
      <c r="F435" s="1">
        <v>45352</v>
      </c>
      <c r="G435" s="2">
        <v>4479.83</v>
      </c>
      <c r="H435">
        <v>0</v>
      </c>
      <c r="I435" t="s">
        <v>500</v>
      </c>
      <c r="J435" t="s">
        <v>122</v>
      </c>
    </row>
    <row r="436" spans="1:11" x14ac:dyDescent="0.3">
      <c r="A436" t="s">
        <v>239</v>
      </c>
      <c r="B436" t="s">
        <v>240</v>
      </c>
      <c r="C436">
        <v>22998</v>
      </c>
      <c r="D436">
        <v>32292</v>
      </c>
      <c r="E436" s="1">
        <v>45153</v>
      </c>
      <c r="F436" s="1">
        <v>45243</v>
      </c>
      <c r="G436" s="2">
        <v>4322.4799999999996</v>
      </c>
      <c r="H436">
        <v>0</v>
      </c>
      <c r="I436" t="s">
        <v>501</v>
      </c>
      <c r="J436" t="s">
        <v>19</v>
      </c>
      <c r="K436" t="s">
        <v>15</v>
      </c>
    </row>
    <row r="437" spans="1:11" x14ac:dyDescent="0.3">
      <c r="A437" t="s">
        <v>239</v>
      </c>
      <c r="B437" t="s">
        <v>240</v>
      </c>
      <c r="C437">
        <v>22998</v>
      </c>
      <c r="D437">
        <v>32292</v>
      </c>
      <c r="E437" s="1">
        <v>45153</v>
      </c>
      <c r="F437" s="1">
        <v>45273</v>
      </c>
      <c r="G437" s="2">
        <v>4322.4799999999996</v>
      </c>
      <c r="H437">
        <v>0</v>
      </c>
      <c r="I437" t="s">
        <v>501</v>
      </c>
      <c r="J437" t="s">
        <v>19</v>
      </c>
      <c r="K437" t="s">
        <v>15</v>
      </c>
    </row>
    <row r="438" spans="1:11" x14ac:dyDescent="0.3">
      <c r="A438" t="s">
        <v>239</v>
      </c>
      <c r="B438" t="s">
        <v>240</v>
      </c>
      <c r="C438">
        <v>22998</v>
      </c>
      <c r="D438">
        <v>32292</v>
      </c>
      <c r="E438" s="1">
        <v>45153</v>
      </c>
      <c r="F438" s="1">
        <v>45303</v>
      </c>
      <c r="G438" s="2">
        <v>4322.46</v>
      </c>
      <c r="H438">
        <v>0</v>
      </c>
      <c r="I438" t="s">
        <v>501</v>
      </c>
      <c r="J438" t="s">
        <v>19</v>
      </c>
      <c r="K438" t="s">
        <v>15</v>
      </c>
    </row>
    <row r="439" spans="1:11" x14ac:dyDescent="0.3">
      <c r="A439" t="s">
        <v>34</v>
      </c>
      <c r="B439" t="s">
        <v>35</v>
      </c>
      <c r="C439">
        <v>23185</v>
      </c>
      <c r="D439">
        <v>32496</v>
      </c>
      <c r="E439" s="1">
        <v>45169</v>
      </c>
      <c r="F439" s="1">
        <v>45289</v>
      </c>
      <c r="G439" s="2">
        <v>66150</v>
      </c>
      <c r="H439">
        <v>0</v>
      </c>
      <c r="I439" t="s">
        <v>910</v>
      </c>
      <c r="J439" t="s">
        <v>19</v>
      </c>
      <c r="K439" t="s">
        <v>15</v>
      </c>
    </row>
    <row r="440" spans="1:11" x14ac:dyDescent="0.3">
      <c r="A440" t="s">
        <v>128</v>
      </c>
      <c r="B440" t="s">
        <v>129</v>
      </c>
      <c r="C440">
        <v>23115</v>
      </c>
      <c r="D440">
        <v>32417</v>
      </c>
      <c r="E440" s="1">
        <v>45163</v>
      </c>
      <c r="F440" s="1">
        <v>45283</v>
      </c>
      <c r="G440" s="2">
        <v>50419.69</v>
      </c>
      <c r="H440">
        <v>0</v>
      </c>
      <c r="I440" t="s">
        <v>503</v>
      </c>
      <c r="J440" t="s">
        <v>131</v>
      </c>
      <c r="K440" t="s">
        <v>15</v>
      </c>
    </row>
    <row r="441" spans="1:11" x14ac:dyDescent="0.3">
      <c r="A441" t="s">
        <v>504</v>
      </c>
      <c r="B441" t="s">
        <v>505</v>
      </c>
      <c r="C441">
        <v>23183</v>
      </c>
      <c r="D441">
        <v>32492</v>
      </c>
      <c r="E441" s="1">
        <v>45169</v>
      </c>
      <c r="F441" s="1">
        <v>45442</v>
      </c>
      <c r="G441" s="2">
        <v>11584.36</v>
      </c>
      <c r="H441">
        <v>0</v>
      </c>
      <c r="I441" t="s">
        <v>506</v>
      </c>
      <c r="J441" t="s">
        <v>94</v>
      </c>
      <c r="K441" t="s">
        <v>15</v>
      </c>
    </row>
    <row r="442" spans="1:11" x14ac:dyDescent="0.3">
      <c r="A442" t="s">
        <v>323</v>
      </c>
      <c r="B442" t="s">
        <v>324</v>
      </c>
      <c r="C442">
        <v>23216</v>
      </c>
      <c r="D442">
        <v>32531</v>
      </c>
      <c r="E442" s="1">
        <v>45173</v>
      </c>
      <c r="F442" s="1">
        <v>45293</v>
      </c>
      <c r="G442" s="2">
        <v>3151.5</v>
      </c>
      <c r="H442">
        <v>0</v>
      </c>
      <c r="I442" t="s">
        <v>507</v>
      </c>
      <c r="J442" t="s">
        <v>94</v>
      </c>
      <c r="K442" t="s">
        <v>15</v>
      </c>
    </row>
    <row r="443" spans="1:11" x14ac:dyDescent="0.3">
      <c r="A443" t="s">
        <v>508</v>
      </c>
      <c r="B443" t="s">
        <v>509</v>
      </c>
      <c r="C443">
        <v>23234</v>
      </c>
      <c r="D443">
        <v>32550</v>
      </c>
      <c r="E443" s="1">
        <v>45174</v>
      </c>
      <c r="F443" s="1">
        <v>45264</v>
      </c>
      <c r="G443" s="2">
        <v>1402</v>
      </c>
      <c r="H443">
        <v>0</v>
      </c>
      <c r="I443" t="s">
        <v>510</v>
      </c>
      <c r="J443" t="s">
        <v>14</v>
      </c>
      <c r="K443" t="s">
        <v>15</v>
      </c>
    </row>
    <row r="444" spans="1:11" x14ac:dyDescent="0.3">
      <c r="A444" t="s">
        <v>508</v>
      </c>
      <c r="B444" t="s">
        <v>509</v>
      </c>
      <c r="C444">
        <v>23234</v>
      </c>
      <c r="D444">
        <v>32550</v>
      </c>
      <c r="E444" s="1">
        <v>45174</v>
      </c>
      <c r="F444" s="1">
        <v>45294</v>
      </c>
      <c r="G444" s="2">
        <v>1402</v>
      </c>
      <c r="H444">
        <v>0</v>
      </c>
      <c r="I444" t="s">
        <v>510</v>
      </c>
      <c r="J444" t="s">
        <v>14</v>
      </c>
      <c r="K444" t="s">
        <v>15</v>
      </c>
    </row>
    <row r="445" spans="1:11" x14ac:dyDescent="0.3">
      <c r="A445" t="s">
        <v>508</v>
      </c>
      <c r="B445" t="s">
        <v>509</v>
      </c>
      <c r="C445">
        <v>23234</v>
      </c>
      <c r="D445">
        <v>32550</v>
      </c>
      <c r="E445" s="1">
        <v>45174</v>
      </c>
      <c r="F445" s="1">
        <v>45324</v>
      </c>
      <c r="G445" s="2">
        <v>1402</v>
      </c>
      <c r="H445">
        <v>0</v>
      </c>
      <c r="I445" t="s">
        <v>510</v>
      </c>
      <c r="J445" t="s">
        <v>14</v>
      </c>
      <c r="K445" t="s">
        <v>15</v>
      </c>
    </row>
    <row r="446" spans="1:11" x14ac:dyDescent="0.3">
      <c r="A446" t="s">
        <v>314</v>
      </c>
      <c r="B446" t="s">
        <v>315</v>
      </c>
      <c r="C446">
        <v>23366</v>
      </c>
      <c r="D446">
        <v>32681</v>
      </c>
      <c r="E446" s="1">
        <v>45183</v>
      </c>
      <c r="F446" s="1">
        <v>45442</v>
      </c>
      <c r="G446" s="2">
        <v>226004</v>
      </c>
      <c r="H446">
        <v>0</v>
      </c>
      <c r="I446" t="s">
        <v>511</v>
      </c>
      <c r="J446" t="s">
        <v>206</v>
      </c>
      <c r="K446" t="s">
        <v>15</v>
      </c>
    </row>
    <row r="447" spans="1:11" x14ac:dyDescent="0.3">
      <c r="A447" t="s">
        <v>512</v>
      </c>
      <c r="B447" t="s">
        <v>513</v>
      </c>
      <c r="C447">
        <v>23466</v>
      </c>
      <c r="D447">
        <v>32783</v>
      </c>
      <c r="E447" s="1">
        <v>45188</v>
      </c>
      <c r="F447" s="1">
        <v>45321</v>
      </c>
      <c r="G447" s="2">
        <v>12660</v>
      </c>
      <c r="H447">
        <v>0</v>
      </c>
      <c r="I447" t="s">
        <v>514</v>
      </c>
      <c r="J447" t="s">
        <v>73</v>
      </c>
      <c r="K447" t="s">
        <v>15</v>
      </c>
    </row>
    <row r="448" spans="1:11" x14ac:dyDescent="0.3">
      <c r="A448" t="s">
        <v>405</v>
      </c>
      <c r="B448" t="s">
        <v>406</v>
      </c>
      <c r="C448">
        <v>23533</v>
      </c>
      <c r="D448">
        <v>32854</v>
      </c>
      <c r="E448" s="1">
        <v>45191</v>
      </c>
      <c r="F448" s="1">
        <v>45402</v>
      </c>
      <c r="G448" s="2">
        <v>30920</v>
      </c>
      <c r="H448">
        <v>0</v>
      </c>
      <c r="I448" t="s">
        <v>515</v>
      </c>
      <c r="J448" t="s">
        <v>42</v>
      </c>
      <c r="K448" t="s">
        <v>15</v>
      </c>
    </row>
    <row r="449" spans="1:11" x14ac:dyDescent="0.3">
      <c r="A449" t="s">
        <v>145</v>
      </c>
      <c r="B449" t="s">
        <v>146</v>
      </c>
      <c r="C449">
        <v>21570</v>
      </c>
      <c r="D449">
        <v>30729</v>
      </c>
      <c r="E449" s="1">
        <v>44945</v>
      </c>
      <c r="F449" s="1">
        <v>45199</v>
      </c>
      <c r="G449" s="2">
        <v>42600</v>
      </c>
      <c r="H449">
        <v>23</v>
      </c>
      <c r="I449" t="s">
        <v>516</v>
      </c>
      <c r="J449" t="s">
        <v>82</v>
      </c>
      <c r="K449" t="s">
        <v>15</v>
      </c>
    </row>
    <row r="450" spans="1:11" x14ac:dyDescent="0.3">
      <c r="A450" t="s">
        <v>145</v>
      </c>
      <c r="B450" t="s">
        <v>146</v>
      </c>
      <c r="C450">
        <v>21753</v>
      </c>
      <c r="D450">
        <v>30904</v>
      </c>
      <c r="E450" s="1">
        <v>44961</v>
      </c>
      <c r="F450" s="1">
        <v>45199</v>
      </c>
      <c r="G450" s="2">
        <v>115573.2</v>
      </c>
      <c r="H450">
        <v>23</v>
      </c>
      <c r="I450" t="s">
        <v>517</v>
      </c>
      <c r="J450" t="s">
        <v>82</v>
      </c>
      <c r="K450" t="s">
        <v>15</v>
      </c>
    </row>
    <row r="451" spans="1:11" x14ac:dyDescent="0.3">
      <c r="A451" t="s">
        <v>228</v>
      </c>
      <c r="B451" t="s">
        <v>229</v>
      </c>
      <c r="C451">
        <v>21987</v>
      </c>
      <c r="D451">
        <v>31143</v>
      </c>
      <c r="E451" s="1">
        <v>44984</v>
      </c>
      <c r="F451" s="1">
        <v>45229</v>
      </c>
      <c r="G451" s="2">
        <v>404480</v>
      </c>
      <c r="H451">
        <v>0</v>
      </c>
      <c r="I451" t="s">
        <v>518</v>
      </c>
      <c r="J451" t="s">
        <v>206</v>
      </c>
      <c r="K451" t="s">
        <v>15</v>
      </c>
    </row>
    <row r="452" spans="1:11" x14ac:dyDescent="0.3">
      <c r="A452" t="s">
        <v>491</v>
      </c>
      <c r="B452" t="s">
        <v>492</v>
      </c>
      <c r="C452">
        <v>22104</v>
      </c>
      <c r="D452">
        <v>31282</v>
      </c>
      <c r="E452" s="1">
        <v>45000</v>
      </c>
      <c r="F452" s="1">
        <v>45168</v>
      </c>
      <c r="G452" s="2">
        <v>202560</v>
      </c>
      <c r="H452">
        <v>54</v>
      </c>
      <c r="I452" t="s">
        <v>519</v>
      </c>
      <c r="J452" t="s">
        <v>82</v>
      </c>
      <c r="K452" t="s">
        <v>15</v>
      </c>
    </row>
    <row r="453" spans="1:11" x14ac:dyDescent="0.3">
      <c r="A453" t="s">
        <v>31</v>
      </c>
      <c r="B453" t="s">
        <v>32</v>
      </c>
      <c r="C453">
        <v>22489</v>
      </c>
      <c r="D453">
        <v>31748</v>
      </c>
      <c r="E453" s="1">
        <v>45070</v>
      </c>
      <c r="F453" s="1">
        <v>45250</v>
      </c>
      <c r="G453" s="2">
        <v>10599.99</v>
      </c>
      <c r="H453">
        <v>0</v>
      </c>
      <c r="I453" t="s">
        <v>520</v>
      </c>
      <c r="J453" t="s">
        <v>19</v>
      </c>
      <c r="K453" t="s">
        <v>15</v>
      </c>
    </row>
    <row r="454" spans="1:11" x14ac:dyDescent="0.3">
      <c r="A454" t="s">
        <v>31</v>
      </c>
      <c r="B454" t="s">
        <v>32</v>
      </c>
      <c r="C454">
        <v>22489</v>
      </c>
      <c r="D454">
        <v>31748</v>
      </c>
      <c r="E454" s="1">
        <v>45070</v>
      </c>
      <c r="F454" s="1">
        <v>45280</v>
      </c>
      <c r="G454" s="2">
        <v>10600.02</v>
      </c>
      <c r="H454">
        <v>0</v>
      </c>
      <c r="I454" t="s">
        <v>520</v>
      </c>
      <c r="J454" t="s">
        <v>19</v>
      </c>
      <c r="K454" t="s">
        <v>15</v>
      </c>
    </row>
    <row r="455" spans="1:11" x14ac:dyDescent="0.3">
      <c r="A455" t="s">
        <v>20</v>
      </c>
      <c r="B455" t="s">
        <v>21</v>
      </c>
      <c r="C455">
        <v>22572</v>
      </c>
      <c r="D455">
        <v>31841</v>
      </c>
      <c r="E455" s="1">
        <v>45089</v>
      </c>
      <c r="F455" s="1">
        <v>45239</v>
      </c>
      <c r="G455" s="2">
        <v>10499.99</v>
      </c>
      <c r="H455">
        <v>0</v>
      </c>
      <c r="I455" t="s">
        <v>521</v>
      </c>
      <c r="J455" t="s">
        <v>23</v>
      </c>
      <c r="K455" t="s">
        <v>15</v>
      </c>
    </row>
    <row r="456" spans="1:11" x14ac:dyDescent="0.3">
      <c r="A456" t="s">
        <v>20</v>
      </c>
      <c r="B456" t="s">
        <v>21</v>
      </c>
      <c r="C456">
        <v>22572</v>
      </c>
      <c r="D456">
        <v>31841</v>
      </c>
      <c r="E456" s="1">
        <v>45089</v>
      </c>
      <c r="F456" s="1">
        <v>45254</v>
      </c>
      <c r="G456" s="2">
        <v>10499.99</v>
      </c>
      <c r="H456">
        <v>0</v>
      </c>
      <c r="I456" t="s">
        <v>521</v>
      </c>
      <c r="J456" t="s">
        <v>23</v>
      </c>
      <c r="K456" t="s">
        <v>15</v>
      </c>
    </row>
    <row r="457" spans="1:11" x14ac:dyDescent="0.3">
      <c r="A457" t="s">
        <v>20</v>
      </c>
      <c r="B457" t="s">
        <v>21</v>
      </c>
      <c r="C457">
        <v>22572</v>
      </c>
      <c r="D457">
        <v>31841</v>
      </c>
      <c r="E457" s="1">
        <v>45089</v>
      </c>
      <c r="F457" s="1">
        <v>45269</v>
      </c>
      <c r="G457" s="2">
        <v>10500.08</v>
      </c>
      <c r="H457">
        <v>0</v>
      </c>
      <c r="I457" t="s">
        <v>521</v>
      </c>
      <c r="J457" t="s">
        <v>23</v>
      </c>
      <c r="K457" t="s">
        <v>15</v>
      </c>
    </row>
    <row r="458" spans="1:11" x14ac:dyDescent="0.3">
      <c r="A458" t="s">
        <v>96</v>
      </c>
      <c r="B458" t="s">
        <v>97</v>
      </c>
      <c r="C458">
        <v>22972</v>
      </c>
      <c r="D458">
        <v>32261</v>
      </c>
      <c r="E458" s="1">
        <v>45149</v>
      </c>
      <c r="F458" s="1">
        <v>45379</v>
      </c>
      <c r="G458" s="2">
        <v>165568</v>
      </c>
      <c r="H458">
        <v>0</v>
      </c>
      <c r="I458" t="s">
        <v>522</v>
      </c>
      <c r="J458" t="s">
        <v>99</v>
      </c>
      <c r="K458" t="s">
        <v>15</v>
      </c>
    </row>
    <row r="459" spans="1:11" x14ac:dyDescent="0.3">
      <c r="A459" t="s">
        <v>16</v>
      </c>
      <c r="B459" t="s">
        <v>17</v>
      </c>
      <c r="C459">
        <v>22989</v>
      </c>
      <c r="D459">
        <v>32285</v>
      </c>
      <c r="E459" s="1">
        <v>45153</v>
      </c>
      <c r="F459" s="1">
        <v>45333</v>
      </c>
      <c r="G459" s="2">
        <v>31657.8</v>
      </c>
      <c r="H459">
        <v>0</v>
      </c>
      <c r="I459" t="s">
        <v>523</v>
      </c>
      <c r="J459" t="s">
        <v>19</v>
      </c>
      <c r="K459" t="s">
        <v>15</v>
      </c>
    </row>
    <row r="460" spans="1:11" x14ac:dyDescent="0.3">
      <c r="A460" t="s">
        <v>39</v>
      </c>
      <c r="B460" t="s">
        <v>40</v>
      </c>
      <c r="C460">
        <v>23159</v>
      </c>
      <c r="D460">
        <v>32463</v>
      </c>
      <c r="E460" s="1">
        <v>45167</v>
      </c>
      <c r="F460" s="1">
        <v>45493</v>
      </c>
      <c r="G460" s="2">
        <v>8011.68</v>
      </c>
      <c r="H460">
        <v>0</v>
      </c>
      <c r="I460" t="s">
        <v>524</v>
      </c>
      <c r="J460" t="s">
        <v>42</v>
      </c>
      <c r="K460" t="s">
        <v>15</v>
      </c>
    </row>
    <row r="461" spans="1:11" x14ac:dyDescent="0.3">
      <c r="A461" t="s">
        <v>39</v>
      </c>
      <c r="B461" t="s">
        <v>40</v>
      </c>
      <c r="C461">
        <v>23159</v>
      </c>
      <c r="D461">
        <v>32463</v>
      </c>
      <c r="E461" s="1">
        <v>45167</v>
      </c>
      <c r="F461" s="1">
        <v>45524</v>
      </c>
      <c r="G461" s="2">
        <v>8011.68</v>
      </c>
      <c r="H461">
        <v>0</v>
      </c>
      <c r="I461" t="s">
        <v>524</v>
      </c>
      <c r="J461" t="s">
        <v>42</v>
      </c>
      <c r="K461" t="s">
        <v>15</v>
      </c>
    </row>
    <row r="462" spans="1:11" x14ac:dyDescent="0.3">
      <c r="A462" t="s">
        <v>39</v>
      </c>
      <c r="B462" t="s">
        <v>40</v>
      </c>
      <c r="C462">
        <v>23159</v>
      </c>
      <c r="D462">
        <v>32463</v>
      </c>
      <c r="E462" s="1">
        <v>45167</v>
      </c>
      <c r="F462" s="1">
        <v>45555</v>
      </c>
      <c r="G462" s="2">
        <v>8011.68</v>
      </c>
      <c r="H462">
        <v>0</v>
      </c>
      <c r="I462" t="s">
        <v>524</v>
      </c>
      <c r="J462" t="s">
        <v>42</v>
      </c>
      <c r="K462" t="s">
        <v>15</v>
      </c>
    </row>
    <row r="463" spans="1:11" x14ac:dyDescent="0.3">
      <c r="A463" t="s">
        <v>39</v>
      </c>
      <c r="B463" t="s">
        <v>40</v>
      </c>
      <c r="C463">
        <v>23159</v>
      </c>
      <c r="D463">
        <v>32463</v>
      </c>
      <c r="E463" s="1">
        <v>45167</v>
      </c>
      <c r="F463" s="1">
        <v>45585</v>
      </c>
      <c r="G463" s="2">
        <v>8011.68</v>
      </c>
      <c r="H463">
        <v>0</v>
      </c>
      <c r="I463" t="s">
        <v>524</v>
      </c>
      <c r="J463" t="s">
        <v>42</v>
      </c>
      <c r="K463" t="s">
        <v>15</v>
      </c>
    </row>
    <row r="464" spans="1:11" x14ac:dyDescent="0.3">
      <c r="A464" t="s">
        <v>39</v>
      </c>
      <c r="B464" t="s">
        <v>40</v>
      </c>
      <c r="C464">
        <v>23159</v>
      </c>
      <c r="D464">
        <v>32463</v>
      </c>
      <c r="E464" s="1">
        <v>45167</v>
      </c>
      <c r="F464" s="1">
        <v>45616</v>
      </c>
      <c r="G464" s="2">
        <v>8011.68</v>
      </c>
      <c r="H464">
        <v>0</v>
      </c>
      <c r="I464" t="s">
        <v>524</v>
      </c>
      <c r="J464" t="s">
        <v>42</v>
      </c>
      <c r="K464" t="s">
        <v>15</v>
      </c>
    </row>
    <row r="465" spans="1:11" x14ac:dyDescent="0.3">
      <c r="A465" t="s">
        <v>174</v>
      </c>
      <c r="B465" t="s">
        <v>175</v>
      </c>
      <c r="C465">
        <v>23242</v>
      </c>
      <c r="D465">
        <v>32558</v>
      </c>
      <c r="E465" s="1">
        <v>45174</v>
      </c>
      <c r="F465" s="1">
        <v>45234</v>
      </c>
      <c r="G465" s="2">
        <v>1437.75</v>
      </c>
      <c r="H465">
        <v>0</v>
      </c>
      <c r="I465" t="s">
        <v>525</v>
      </c>
      <c r="J465" t="s">
        <v>131</v>
      </c>
      <c r="K465" t="s">
        <v>15</v>
      </c>
    </row>
    <row r="466" spans="1:11" x14ac:dyDescent="0.3">
      <c r="A466" t="s">
        <v>61</v>
      </c>
      <c r="B466" t="s">
        <v>35</v>
      </c>
      <c r="C466">
        <v>23187</v>
      </c>
      <c r="D466">
        <v>32498</v>
      </c>
      <c r="E466" s="1">
        <v>45169</v>
      </c>
      <c r="F466" s="1">
        <v>45289</v>
      </c>
      <c r="G466" s="2">
        <v>88200</v>
      </c>
      <c r="H466">
        <v>0</v>
      </c>
      <c r="I466" t="s">
        <v>944</v>
      </c>
      <c r="J466" t="s">
        <v>19</v>
      </c>
      <c r="K466" t="s">
        <v>15</v>
      </c>
    </row>
    <row r="467" spans="1:11" x14ac:dyDescent="0.3">
      <c r="A467" t="s">
        <v>51</v>
      </c>
      <c r="B467" t="s">
        <v>52</v>
      </c>
      <c r="C467">
        <v>23357</v>
      </c>
      <c r="D467">
        <v>32671</v>
      </c>
      <c r="E467" s="1">
        <v>45182</v>
      </c>
      <c r="F467" s="1">
        <v>45362</v>
      </c>
      <c r="G467" s="2">
        <v>11416.36</v>
      </c>
      <c r="H467">
        <v>0</v>
      </c>
      <c r="I467" t="s">
        <v>527</v>
      </c>
      <c r="J467" t="s">
        <v>19</v>
      </c>
    </row>
    <row r="468" spans="1:11" x14ac:dyDescent="0.3">
      <c r="A468" t="s">
        <v>16</v>
      </c>
      <c r="B468" t="s">
        <v>17</v>
      </c>
      <c r="C468">
        <v>23457</v>
      </c>
      <c r="D468">
        <v>32774</v>
      </c>
      <c r="E468" s="1">
        <v>45188</v>
      </c>
      <c r="F468" s="1">
        <v>45308</v>
      </c>
      <c r="G468" s="2">
        <v>139200</v>
      </c>
      <c r="H468">
        <v>0</v>
      </c>
      <c r="I468" t="s">
        <v>528</v>
      </c>
      <c r="J468" t="s">
        <v>19</v>
      </c>
      <c r="K468" t="s">
        <v>15</v>
      </c>
    </row>
    <row r="469" spans="1:11" x14ac:dyDescent="0.3">
      <c r="A469" t="s">
        <v>91</v>
      </c>
      <c r="B469" t="s">
        <v>92</v>
      </c>
      <c r="C469">
        <v>23725</v>
      </c>
      <c r="D469">
        <v>33068</v>
      </c>
      <c r="E469" s="1">
        <v>45209</v>
      </c>
      <c r="F469" s="1">
        <v>45329</v>
      </c>
      <c r="G469" s="2">
        <v>9160</v>
      </c>
      <c r="H469">
        <v>0</v>
      </c>
      <c r="I469" t="s">
        <v>529</v>
      </c>
      <c r="J469" t="s">
        <v>94</v>
      </c>
      <c r="K469" t="s">
        <v>15</v>
      </c>
    </row>
    <row r="470" spans="1:11" x14ac:dyDescent="0.3">
      <c r="A470" t="s">
        <v>530</v>
      </c>
      <c r="B470" t="s">
        <v>531</v>
      </c>
      <c r="D470">
        <v>225123</v>
      </c>
      <c r="E470" s="1">
        <v>45188</v>
      </c>
      <c r="F470" s="1">
        <v>45218</v>
      </c>
      <c r="G470" s="2">
        <v>38828</v>
      </c>
      <c r="H470">
        <v>4</v>
      </c>
      <c r="I470" t="s">
        <v>532</v>
      </c>
      <c r="J470" t="s">
        <v>167</v>
      </c>
    </row>
    <row r="471" spans="1:11" x14ac:dyDescent="0.3">
      <c r="A471" t="s">
        <v>533</v>
      </c>
      <c r="B471" t="s">
        <v>534</v>
      </c>
      <c r="C471">
        <v>23773</v>
      </c>
      <c r="D471">
        <v>33118</v>
      </c>
      <c r="E471" s="1">
        <v>45215</v>
      </c>
      <c r="F471" s="1">
        <v>45402</v>
      </c>
      <c r="G471" s="2">
        <v>32250</v>
      </c>
      <c r="H471">
        <v>0</v>
      </c>
      <c r="I471" t="s">
        <v>535</v>
      </c>
      <c r="J471" t="s">
        <v>42</v>
      </c>
      <c r="K471" t="s">
        <v>15</v>
      </c>
    </row>
    <row r="472" spans="1:11" x14ac:dyDescent="0.3">
      <c r="A472" t="s">
        <v>152</v>
      </c>
      <c r="B472" t="s">
        <v>153</v>
      </c>
      <c r="C472">
        <v>22303</v>
      </c>
      <c r="D472">
        <v>213609</v>
      </c>
      <c r="E472" s="1">
        <v>45035</v>
      </c>
      <c r="F472" s="1">
        <v>45229</v>
      </c>
      <c r="G472" s="2">
        <v>7491</v>
      </c>
      <c r="H472">
        <v>0</v>
      </c>
      <c r="I472" t="s">
        <v>536</v>
      </c>
      <c r="J472" t="s">
        <v>27</v>
      </c>
    </row>
    <row r="473" spans="1:11" x14ac:dyDescent="0.3">
      <c r="A473" t="s">
        <v>16</v>
      </c>
      <c r="B473" t="s">
        <v>17</v>
      </c>
      <c r="C473">
        <v>22540</v>
      </c>
      <c r="D473">
        <v>31800</v>
      </c>
      <c r="E473" s="1">
        <v>45077</v>
      </c>
      <c r="F473" s="1">
        <v>45257</v>
      </c>
      <c r="G473" s="2">
        <v>9779</v>
      </c>
      <c r="H473">
        <v>0</v>
      </c>
      <c r="I473" t="s">
        <v>537</v>
      </c>
      <c r="J473" t="s">
        <v>19</v>
      </c>
      <c r="K473" t="s">
        <v>15</v>
      </c>
    </row>
    <row r="474" spans="1:11" x14ac:dyDescent="0.3">
      <c r="A474" t="s">
        <v>34</v>
      </c>
      <c r="B474" t="s">
        <v>35</v>
      </c>
      <c r="C474">
        <v>23186</v>
      </c>
      <c r="D474">
        <v>32497</v>
      </c>
      <c r="E474" s="1">
        <v>45169</v>
      </c>
      <c r="F474" s="1">
        <v>45289</v>
      </c>
      <c r="G474" s="2">
        <v>88200</v>
      </c>
      <c r="H474">
        <v>0</v>
      </c>
      <c r="I474" t="s">
        <v>1331</v>
      </c>
      <c r="J474" t="s">
        <v>19</v>
      </c>
      <c r="K474" t="s">
        <v>15</v>
      </c>
    </row>
    <row r="475" spans="1:11" x14ac:dyDescent="0.3">
      <c r="A475" t="s">
        <v>539</v>
      </c>
      <c r="B475" t="s">
        <v>540</v>
      </c>
      <c r="C475">
        <v>22906</v>
      </c>
      <c r="D475">
        <v>32176</v>
      </c>
      <c r="E475" s="1">
        <v>45138</v>
      </c>
      <c r="F475" s="1">
        <v>45288</v>
      </c>
      <c r="G475" s="2">
        <v>127650</v>
      </c>
      <c r="H475">
        <v>0</v>
      </c>
      <c r="I475" t="s">
        <v>541</v>
      </c>
      <c r="J475" t="s">
        <v>94</v>
      </c>
      <c r="K475" t="s">
        <v>15</v>
      </c>
    </row>
    <row r="476" spans="1:11" x14ac:dyDescent="0.3">
      <c r="A476" t="s">
        <v>16</v>
      </c>
      <c r="B476" t="s">
        <v>17</v>
      </c>
      <c r="C476">
        <v>22991</v>
      </c>
      <c r="D476">
        <v>32287</v>
      </c>
      <c r="E476" s="1">
        <v>45153</v>
      </c>
      <c r="F476" s="1">
        <v>45273</v>
      </c>
      <c r="G476" s="2">
        <v>27000</v>
      </c>
      <c r="H476">
        <v>0</v>
      </c>
      <c r="I476" t="s">
        <v>542</v>
      </c>
      <c r="J476" t="s">
        <v>19</v>
      </c>
      <c r="K476" t="s">
        <v>15</v>
      </c>
    </row>
    <row r="477" spans="1:11" x14ac:dyDescent="0.3">
      <c r="A477" t="s">
        <v>54</v>
      </c>
      <c r="B477" t="s">
        <v>55</v>
      </c>
      <c r="C477">
        <v>23157</v>
      </c>
      <c r="D477">
        <v>32461</v>
      </c>
      <c r="E477" s="1">
        <v>45167</v>
      </c>
      <c r="F477" s="1">
        <v>45257</v>
      </c>
      <c r="G477" s="2">
        <v>13462.82</v>
      </c>
      <c r="H477">
        <v>0</v>
      </c>
      <c r="I477" t="s">
        <v>543</v>
      </c>
      <c r="J477" t="s">
        <v>57</v>
      </c>
      <c r="K477" t="s">
        <v>15</v>
      </c>
    </row>
    <row r="478" spans="1:11" x14ac:dyDescent="0.3">
      <c r="A478" t="s">
        <v>54</v>
      </c>
      <c r="B478" t="s">
        <v>55</v>
      </c>
      <c r="C478">
        <v>23157</v>
      </c>
      <c r="D478">
        <v>32461</v>
      </c>
      <c r="E478" s="1">
        <v>45167</v>
      </c>
      <c r="F478" s="1">
        <v>45287</v>
      </c>
      <c r="G478" s="2">
        <v>13462.82</v>
      </c>
      <c r="H478">
        <v>0</v>
      </c>
      <c r="I478" t="s">
        <v>543</v>
      </c>
      <c r="J478" t="s">
        <v>57</v>
      </c>
      <c r="K478" t="s">
        <v>15</v>
      </c>
    </row>
    <row r="479" spans="1:11" x14ac:dyDescent="0.3">
      <c r="A479" t="s">
        <v>54</v>
      </c>
      <c r="B479" t="s">
        <v>55</v>
      </c>
      <c r="C479">
        <v>23157</v>
      </c>
      <c r="D479">
        <v>32461</v>
      </c>
      <c r="E479" s="1">
        <v>45167</v>
      </c>
      <c r="F479" s="1">
        <v>45317</v>
      </c>
      <c r="G479" s="2">
        <v>13462.86</v>
      </c>
      <c r="H479">
        <v>0</v>
      </c>
      <c r="I479" t="s">
        <v>543</v>
      </c>
      <c r="J479" t="s">
        <v>57</v>
      </c>
      <c r="K479" t="s">
        <v>15</v>
      </c>
    </row>
    <row r="480" spans="1:11" x14ac:dyDescent="0.3">
      <c r="A480" t="s">
        <v>31</v>
      </c>
      <c r="B480" t="s">
        <v>32</v>
      </c>
      <c r="C480">
        <v>23191</v>
      </c>
      <c r="D480">
        <v>32502</v>
      </c>
      <c r="E480" s="1">
        <v>45169</v>
      </c>
      <c r="F480" s="1">
        <v>45259</v>
      </c>
      <c r="G480" s="2">
        <v>15049.98</v>
      </c>
      <c r="H480">
        <v>0</v>
      </c>
      <c r="I480" t="s">
        <v>544</v>
      </c>
      <c r="J480" t="s">
        <v>19</v>
      </c>
      <c r="K480" t="s">
        <v>15</v>
      </c>
    </row>
    <row r="481" spans="1:11" x14ac:dyDescent="0.3">
      <c r="A481" t="s">
        <v>31</v>
      </c>
      <c r="B481" t="s">
        <v>32</v>
      </c>
      <c r="C481">
        <v>23191</v>
      </c>
      <c r="D481">
        <v>32502</v>
      </c>
      <c r="E481" s="1">
        <v>45169</v>
      </c>
      <c r="F481" s="1">
        <v>45289</v>
      </c>
      <c r="G481" s="2">
        <v>15049.98</v>
      </c>
      <c r="H481">
        <v>0</v>
      </c>
      <c r="I481" t="s">
        <v>544</v>
      </c>
      <c r="J481" t="s">
        <v>19</v>
      </c>
      <c r="K481" t="s">
        <v>15</v>
      </c>
    </row>
    <row r="482" spans="1:11" x14ac:dyDescent="0.3">
      <c r="A482" t="s">
        <v>31</v>
      </c>
      <c r="B482" t="s">
        <v>32</v>
      </c>
      <c r="C482">
        <v>23191</v>
      </c>
      <c r="D482">
        <v>32502</v>
      </c>
      <c r="E482" s="1">
        <v>45169</v>
      </c>
      <c r="F482" s="1">
        <v>45319</v>
      </c>
      <c r="G482" s="2">
        <v>15050.04</v>
      </c>
      <c r="H482">
        <v>0</v>
      </c>
      <c r="I482" t="s">
        <v>544</v>
      </c>
      <c r="J482" t="s">
        <v>19</v>
      </c>
      <c r="K482" t="s">
        <v>15</v>
      </c>
    </row>
    <row r="483" spans="1:11" x14ac:dyDescent="0.3">
      <c r="A483" t="s">
        <v>11</v>
      </c>
      <c r="B483" t="s">
        <v>12</v>
      </c>
      <c r="C483">
        <v>23342</v>
      </c>
      <c r="D483">
        <v>32654</v>
      </c>
      <c r="E483" s="1">
        <v>45181</v>
      </c>
      <c r="F483" s="1">
        <v>45271</v>
      </c>
      <c r="G483" s="2">
        <v>1790</v>
      </c>
      <c r="H483">
        <v>0</v>
      </c>
      <c r="I483" t="s">
        <v>545</v>
      </c>
      <c r="J483" t="s">
        <v>14</v>
      </c>
      <c r="K483" t="s">
        <v>15</v>
      </c>
    </row>
    <row r="484" spans="1:11" x14ac:dyDescent="0.3">
      <c r="A484" t="s">
        <v>11</v>
      </c>
      <c r="B484" t="s">
        <v>12</v>
      </c>
      <c r="C484">
        <v>23342</v>
      </c>
      <c r="D484">
        <v>32654</v>
      </c>
      <c r="E484" s="1">
        <v>45181</v>
      </c>
      <c r="F484" s="1">
        <v>45301</v>
      </c>
      <c r="G484" s="2">
        <v>1790</v>
      </c>
      <c r="H484">
        <v>0</v>
      </c>
      <c r="I484" t="s">
        <v>545</v>
      </c>
      <c r="J484" t="s">
        <v>14</v>
      </c>
      <c r="K484" t="s">
        <v>15</v>
      </c>
    </row>
    <row r="485" spans="1:11" x14ac:dyDescent="0.3">
      <c r="A485" t="s">
        <v>11</v>
      </c>
      <c r="B485" t="s">
        <v>12</v>
      </c>
      <c r="C485">
        <v>23342</v>
      </c>
      <c r="D485">
        <v>32654</v>
      </c>
      <c r="E485" s="1">
        <v>45181</v>
      </c>
      <c r="F485" s="1">
        <v>45331</v>
      </c>
      <c r="G485" s="2">
        <v>1790</v>
      </c>
      <c r="H485">
        <v>0</v>
      </c>
      <c r="I485" t="s">
        <v>545</v>
      </c>
      <c r="J485" t="s">
        <v>14</v>
      </c>
      <c r="K485" t="s">
        <v>15</v>
      </c>
    </row>
    <row r="486" spans="1:11" x14ac:dyDescent="0.3">
      <c r="A486" t="s">
        <v>546</v>
      </c>
      <c r="B486" t="s">
        <v>547</v>
      </c>
      <c r="C486">
        <v>23710</v>
      </c>
      <c r="D486">
        <v>33047</v>
      </c>
      <c r="E486" s="1">
        <v>45204</v>
      </c>
      <c r="F486" s="1">
        <v>45402</v>
      </c>
      <c r="G486" s="2">
        <v>22700</v>
      </c>
      <c r="H486">
        <v>0</v>
      </c>
      <c r="I486" t="s">
        <v>548</v>
      </c>
      <c r="J486" t="s">
        <v>42</v>
      </c>
      <c r="K486" t="s">
        <v>15</v>
      </c>
    </row>
    <row r="487" spans="1:11" x14ac:dyDescent="0.3">
      <c r="A487" t="s">
        <v>549</v>
      </c>
      <c r="B487" t="s">
        <v>550</v>
      </c>
      <c r="C487">
        <v>23827</v>
      </c>
      <c r="D487">
        <v>33182</v>
      </c>
      <c r="E487" s="1">
        <v>45219</v>
      </c>
      <c r="F487" s="1">
        <v>45219</v>
      </c>
      <c r="G487" s="2">
        <v>486000</v>
      </c>
      <c r="H487">
        <v>3</v>
      </c>
      <c r="I487" t="s">
        <v>551</v>
      </c>
      <c r="J487" t="s">
        <v>73</v>
      </c>
      <c r="K487" t="s">
        <v>15</v>
      </c>
    </row>
    <row r="488" spans="1:11" x14ac:dyDescent="0.3">
      <c r="A488" t="s">
        <v>20</v>
      </c>
      <c r="B488" t="s">
        <v>21</v>
      </c>
      <c r="C488">
        <v>22500</v>
      </c>
      <c r="D488">
        <v>31759</v>
      </c>
      <c r="E488" s="1">
        <v>45070</v>
      </c>
      <c r="F488" s="1">
        <v>45235</v>
      </c>
      <c r="G488" s="2">
        <v>1808.8</v>
      </c>
      <c r="H488">
        <v>0</v>
      </c>
      <c r="I488" t="s">
        <v>552</v>
      </c>
      <c r="J488" t="s">
        <v>23</v>
      </c>
      <c r="K488" t="s">
        <v>15</v>
      </c>
    </row>
    <row r="489" spans="1:11" x14ac:dyDescent="0.3">
      <c r="A489" t="s">
        <v>20</v>
      </c>
      <c r="B489" t="s">
        <v>21</v>
      </c>
      <c r="C489">
        <v>22500</v>
      </c>
      <c r="D489">
        <v>31759</v>
      </c>
      <c r="E489" s="1">
        <v>45070</v>
      </c>
      <c r="F489" s="1">
        <v>45250</v>
      </c>
      <c r="G489" s="2">
        <v>1808.8</v>
      </c>
      <c r="H489">
        <v>0</v>
      </c>
      <c r="I489" t="s">
        <v>552</v>
      </c>
      <c r="J489" t="s">
        <v>23</v>
      </c>
      <c r="K489" t="s">
        <v>15</v>
      </c>
    </row>
    <row r="490" spans="1:11" x14ac:dyDescent="0.3">
      <c r="A490" t="s">
        <v>47</v>
      </c>
      <c r="B490" t="s">
        <v>48</v>
      </c>
      <c r="C490">
        <v>22602</v>
      </c>
      <c r="D490">
        <v>31873</v>
      </c>
      <c r="E490" s="1">
        <v>45092</v>
      </c>
      <c r="F490" s="1">
        <v>45242</v>
      </c>
      <c r="G490" s="2">
        <v>2589.71</v>
      </c>
      <c r="H490">
        <v>0</v>
      </c>
      <c r="I490" t="s">
        <v>553</v>
      </c>
      <c r="J490" t="s">
        <v>23</v>
      </c>
      <c r="K490" t="s">
        <v>15</v>
      </c>
    </row>
    <row r="491" spans="1:11" x14ac:dyDescent="0.3">
      <c r="A491" t="s">
        <v>47</v>
      </c>
      <c r="B491" t="s">
        <v>48</v>
      </c>
      <c r="C491">
        <v>22602</v>
      </c>
      <c r="D491">
        <v>31873</v>
      </c>
      <c r="E491" s="1">
        <v>45092</v>
      </c>
      <c r="F491" s="1">
        <v>45272</v>
      </c>
      <c r="G491" s="2">
        <v>2589.65</v>
      </c>
      <c r="H491">
        <v>0</v>
      </c>
      <c r="I491" t="s">
        <v>553</v>
      </c>
      <c r="J491" t="s">
        <v>23</v>
      </c>
      <c r="K491" t="s">
        <v>15</v>
      </c>
    </row>
    <row r="492" spans="1:11" x14ac:dyDescent="0.3">
      <c r="A492" t="s">
        <v>43</v>
      </c>
      <c r="B492" t="s">
        <v>44</v>
      </c>
      <c r="C492">
        <v>22661</v>
      </c>
      <c r="D492">
        <v>31936</v>
      </c>
      <c r="E492" s="1">
        <v>45104</v>
      </c>
      <c r="F492" s="1">
        <v>45254</v>
      </c>
      <c r="G492" s="2">
        <v>27800</v>
      </c>
      <c r="H492">
        <v>0</v>
      </c>
      <c r="I492" t="s">
        <v>462</v>
      </c>
      <c r="J492" t="s">
        <v>46</v>
      </c>
      <c r="K492" t="s">
        <v>15</v>
      </c>
    </row>
    <row r="493" spans="1:11" x14ac:dyDescent="0.3">
      <c r="A493" t="s">
        <v>54</v>
      </c>
      <c r="B493" t="s">
        <v>55</v>
      </c>
      <c r="C493">
        <v>22734</v>
      </c>
      <c r="D493">
        <v>32014</v>
      </c>
      <c r="E493" s="1">
        <v>45111</v>
      </c>
      <c r="F493" s="1">
        <v>45231</v>
      </c>
      <c r="G493" s="2">
        <v>18680</v>
      </c>
      <c r="H493">
        <v>0</v>
      </c>
      <c r="I493" t="s">
        <v>554</v>
      </c>
      <c r="J493" t="s">
        <v>57</v>
      </c>
      <c r="K493" t="s">
        <v>15</v>
      </c>
    </row>
    <row r="494" spans="1:11" x14ac:dyDescent="0.3">
      <c r="A494" t="s">
        <v>63</v>
      </c>
      <c r="B494" t="s">
        <v>64</v>
      </c>
      <c r="C494">
        <v>23048</v>
      </c>
      <c r="D494">
        <v>32345</v>
      </c>
      <c r="E494" s="1">
        <v>45159</v>
      </c>
      <c r="F494" s="1">
        <v>45279</v>
      </c>
      <c r="G494" s="2">
        <v>12757.5</v>
      </c>
      <c r="H494">
        <v>0</v>
      </c>
      <c r="I494" t="s">
        <v>65</v>
      </c>
      <c r="J494" t="s">
        <v>19</v>
      </c>
      <c r="K494" t="s">
        <v>15</v>
      </c>
    </row>
    <row r="495" spans="1:11" x14ac:dyDescent="0.3">
      <c r="A495" t="s">
        <v>37</v>
      </c>
      <c r="B495" t="s">
        <v>29</v>
      </c>
      <c r="C495">
        <v>22895</v>
      </c>
      <c r="D495">
        <v>32163</v>
      </c>
      <c r="E495" s="1">
        <v>45134</v>
      </c>
      <c r="F495" s="1">
        <v>45254</v>
      </c>
      <c r="G495" s="2">
        <v>10440</v>
      </c>
      <c r="H495">
        <v>0</v>
      </c>
      <c r="I495" t="s">
        <v>556</v>
      </c>
      <c r="J495" t="s">
        <v>19</v>
      </c>
      <c r="K495" t="s">
        <v>15</v>
      </c>
    </row>
    <row r="496" spans="1:11" x14ac:dyDescent="0.3">
      <c r="A496" t="s">
        <v>504</v>
      </c>
      <c r="B496" t="s">
        <v>505</v>
      </c>
      <c r="C496">
        <v>23504</v>
      </c>
      <c r="D496">
        <v>32824</v>
      </c>
      <c r="E496" s="1">
        <v>45189</v>
      </c>
      <c r="F496" s="1">
        <v>45442</v>
      </c>
      <c r="G496" s="2">
        <v>117000</v>
      </c>
      <c r="H496">
        <v>0</v>
      </c>
      <c r="I496" t="s">
        <v>557</v>
      </c>
      <c r="J496" t="s">
        <v>94</v>
      </c>
      <c r="K496" t="s">
        <v>15</v>
      </c>
    </row>
    <row r="497" spans="1:11" x14ac:dyDescent="0.3">
      <c r="A497" t="s">
        <v>558</v>
      </c>
      <c r="B497" t="s">
        <v>559</v>
      </c>
      <c r="C497">
        <v>23563</v>
      </c>
      <c r="D497">
        <v>32891</v>
      </c>
      <c r="E497" s="1">
        <v>45194</v>
      </c>
      <c r="F497" s="1">
        <v>45442</v>
      </c>
      <c r="G497" s="2">
        <v>144750</v>
      </c>
      <c r="H497">
        <v>0</v>
      </c>
      <c r="I497" t="s">
        <v>560</v>
      </c>
      <c r="J497" t="s">
        <v>77</v>
      </c>
      <c r="K497" t="s">
        <v>15</v>
      </c>
    </row>
    <row r="498" spans="1:11" x14ac:dyDescent="0.3">
      <c r="A498" t="s">
        <v>561</v>
      </c>
      <c r="B498" t="s">
        <v>562</v>
      </c>
      <c r="C498">
        <v>23597</v>
      </c>
      <c r="D498">
        <v>32932</v>
      </c>
      <c r="E498" s="1">
        <v>45196</v>
      </c>
      <c r="F498" s="1">
        <v>45402</v>
      </c>
      <c r="G498" s="2">
        <v>29700</v>
      </c>
      <c r="H498">
        <v>0</v>
      </c>
      <c r="I498" t="s">
        <v>563</v>
      </c>
      <c r="J498" t="s">
        <v>73</v>
      </c>
      <c r="K498" t="s">
        <v>15</v>
      </c>
    </row>
    <row r="499" spans="1:11" x14ac:dyDescent="0.3">
      <c r="A499" t="s">
        <v>24</v>
      </c>
      <c r="B499" t="s">
        <v>25</v>
      </c>
      <c r="C499">
        <v>23670</v>
      </c>
      <c r="D499">
        <v>33006</v>
      </c>
      <c r="E499" s="1">
        <v>45201</v>
      </c>
      <c r="F499" s="1">
        <v>45351</v>
      </c>
      <c r="G499" s="2">
        <v>88609</v>
      </c>
      <c r="H499">
        <v>0</v>
      </c>
      <c r="I499" t="s">
        <v>564</v>
      </c>
      <c r="J499" t="s">
        <v>27</v>
      </c>
      <c r="K499" t="s">
        <v>15</v>
      </c>
    </row>
    <row r="500" spans="1:11" x14ac:dyDescent="0.3">
      <c r="A500" t="s">
        <v>565</v>
      </c>
      <c r="B500" t="s">
        <v>566</v>
      </c>
      <c r="C500">
        <v>23831</v>
      </c>
      <c r="D500">
        <v>33186</v>
      </c>
      <c r="E500" s="1">
        <v>45219</v>
      </c>
      <c r="F500" s="1">
        <v>45224</v>
      </c>
      <c r="G500" s="2">
        <v>17310</v>
      </c>
      <c r="H500">
        <v>0</v>
      </c>
      <c r="I500" t="s">
        <v>567</v>
      </c>
      <c r="J500" t="s">
        <v>14</v>
      </c>
      <c r="K500" t="s">
        <v>15</v>
      </c>
    </row>
    <row r="501" spans="1:11" x14ac:dyDescent="0.3">
      <c r="A501" t="s">
        <v>565</v>
      </c>
      <c r="B501" t="s">
        <v>566</v>
      </c>
      <c r="C501">
        <v>23831</v>
      </c>
      <c r="D501">
        <v>33186</v>
      </c>
      <c r="E501" s="1">
        <v>45219</v>
      </c>
      <c r="F501" s="1">
        <v>45249</v>
      </c>
      <c r="G501" s="2">
        <v>17310</v>
      </c>
      <c r="H501">
        <v>0</v>
      </c>
      <c r="I501" t="s">
        <v>567</v>
      </c>
      <c r="J501" t="s">
        <v>14</v>
      </c>
      <c r="K501" t="s">
        <v>15</v>
      </c>
    </row>
    <row r="502" spans="1:11" x14ac:dyDescent="0.3">
      <c r="A502" t="s">
        <v>568</v>
      </c>
      <c r="B502" t="s">
        <v>569</v>
      </c>
      <c r="C502">
        <v>23838</v>
      </c>
      <c r="D502">
        <v>33193</v>
      </c>
      <c r="E502" s="1">
        <v>45219</v>
      </c>
      <c r="F502" s="1">
        <v>45234</v>
      </c>
      <c r="G502" s="2">
        <v>15120</v>
      </c>
      <c r="H502">
        <v>0</v>
      </c>
      <c r="I502" t="s">
        <v>570</v>
      </c>
      <c r="J502" t="s">
        <v>14</v>
      </c>
      <c r="K502" t="s">
        <v>15</v>
      </c>
    </row>
    <row r="503" spans="1:11" x14ac:dyDescent="0.3">
      <c r="A503" t="s">
        <v>571</v>
      </c>
      <c r="B503" t="s">
        <v>572</v>
      </c>
      <c r="C503">
        <v>22429</v>
      </c>
      <c r="D503">
        <v>31680</v>
      </c>
      <c r="E503" s="1">
        <v>45055</v>
      </c>
      <c r="F503" s="1">
        <v>45235</v>
      </c>
      <c r="G503" s="2">
        <v>10491.7</v>
      </c>
      <c r="H503">
        <v>0</v>
      </c>
      <c r="I503" t="s">
        <v>573</v>
      </c>
      <c r="J503" t="s">
        <v>94</v>
      </c>
      <c r="K503" t="s">
        <v>15</v>
      </c>
    </row>
    <row r="504" spans="1:11" x14ac:dyDescent="0.3">
      <c r="A504" t="s">
        <v>67</v>
      </c>
      <c r="B504" t="s">
        <v>68</v>
      </c>
      <c r="C504">
        <v>22780</v>
      </c>
      <c r="D504">
        <v>32068</v>
      </c>
      <c r="E504" s="1">
        <v>45120</v>
      </c>
      <c r="F504" s="1">
        <v>45300</v>
      </c>
      <c r="G504" s="2">
        <v>4125.12</v>
      </c>
      <c r="H504">
        <v>0</v>
      </c>
      <c r="I504" t="s">
        <v>574</v>
      </c>
      <c r="J504" t="s">
        <v>19</v>
      </c>
      <c r="K504" t="s">
        <v>15</v>
      </c>
    </row>
    <row r="505" spans="1:11" x14ac:dyDescent="0.3">
      <c r="A505" t="s">
        <v>58</v>
      </c>
      <c r="B505" t="s">
        <v>59</v>
      </c>
      <c r="C505">
        <v>23248</v>
      </c>
      <c r="D505">
        <v>32564</v>
      </c>
      <c r="E505" s="1">
        <v>45174</v>
      </c>
      <c r="F505" s="1">
        <v>45264</v>
      </c>
      <c r="G505" s="2">
        <v>24750</v>
      </c>
      <c r="H505">
        <v>0</v>
      </c>
      <c r="I505" t="s">
        <v>575</v>
      </c>
      <c r="J505" t="s">
        <v>57</v>
      </c>
      <c r="K505" t="s">
        <v>15</v>
      </c>
    </row>
    <row r="506" spans="1:11" x14ac:dyDescent="0.3">
      <c r="A506" t="s">
        <v>58</v>
      </c>
      <c r="B506" t="s">
        <v>59</v>
      </c>
      <c r="C506">
        <v>23248</v>
      </c>
      <c r="D506">
        <v>32564</v>
      </c>
      <c r="E506" s="1">
        <v>45174</v>
      </c>
      <c r="F506" s="1">
        <v>45294</v>
      </c>
      <c r="G506" s="2">
        <v>24750</v>
      </c>
      <c r="H506">
        <v>0</v>
      </c>
      <c r="I506" t="s">
        <v>575</v>
      </c>
      <c r="J506" t="s">
        <v>57</v>
      </c>
      <c r="K506" t="s">
        <v>15</v>
      </c>
    </row>
    <row r="507" spans="1:11" x14ac:dyDescent="0.3">
      <c r="A507" t="s">
        <v>576</v>
      </c>
      <c r="B507" t="s">
        <v>577</v>
      </c>
      <c r="C507">
        <v>23301</v>
      </c>
      <c r="D507">
        <v>32613</v>
      </c>
      <c r="E507" s="1">
        <v>45177</v>
      </c>
      <c r="F507" s="1">
        <v>45442</v>
      </c>
      <c r="G507" s="2">
        <v>257960</v>
      </c>
      <c r="H507">
        <v>0</v>
      </c>
      <c r="I507" t="s">
        <v>578</v>
      </c>
      <c r="J507" t="s">
        <v>112</v>
      </c>
      <c r="K507" t="s">
        <v>15</v>
      </c>
    </row>
    <row r="508" spans="1:11" x14ac:dyDescent="0.3">
      <c r="A508" t="s">
        <v>51</v>
      </c>
      <c r="B508" t="s">
        <v>52</v>
      </c>
      <c r="C508">
        <v>23401</v>
      </c>
      <c r="D508">
        <v>32712</v>
      </c>
      <c r="E508" s="1">
        <v>45184</v>
      </c>
      <c r="F508" s="1">
        <v>45334</v>
      </c>
      <c r="G508" s="2">
        <v>1266</v>
      </c>
      <c r="H508">
        <v>0</v>
      </c>
      <c r="I508" t="s">
        <v>579</v>
      </c>
      <c r="J508" t="s">
        <v>19</v>
      </c>
    </row>
    <row r="509" spans="1:11" x14ac:dyDescent="0.3">
      <c r="A509" t="s">
        <v>51</v>
      </c>
      <c r="B509" t="s">
        <v>52</v>
      </c>
      <c r="C509">
        <v>23402</v>
      </c>
      <c r="D509">
        <v>32713</v>
      </c>
      <c r="E509" s="1">
        <v>45184</v>
      </c>
      <c r="F509" s="1">
        <v>45364</v>
      </c>
      <c r="G509" s="2">
        <v>3975.4</v>
      </c>
      <c r="H509">
        <v>0</v>
      </c>
      <c r="I509" t="s">
        <v>580</v>
      </c>
      <c r="J509" t="s">
        <v>19</v>
      </c>
    </row>
    <row r="510" spans="1:11" x14ac:dyDescent="0.3">
      <c r="A510" t="s">
        <v>314</v>
      </c>
      <c r="B510" t="s">
        <v>315</v>
      </c>
      <c r="C510">
        <v>23416</v>
      </c>
      <c r="D510">
        <v>32728</v>
      </c>
      <c r="E510" s="1">
        <v>45187</v>
      </c>
      <c r="F510" s="1">
        <v>45442</v>
      </c>
      <c r="G510" s="2">
        <v>402115</v>
      </c>
      <c r="H510">
        <v>0</v>
      </c>
      <c r="I510" t="s">
        <v>581</v>
      </c>
      <c r="J510" t="s">
        <v>206</v>
      </c>
      <c r="K510" t="s">
        <v>15</v>
      </c>
    </row>
    <row r="511" spans="1:11" x14ac:dyDescent="0.3">
      <c r="A511" t="s">
        <v>582</v>
      </c>
      <c r="B511" t="s">
        <v>583</v>
      </c>
      <c r="C511">
        <v>23602</v>
      </c>
      <c r="D511">
        <v>32938</v>
      </c>
      <c r="E511" s="1">
        <v>45197</v>
      </c>
      <c r="F511" s="1">
        <v>45347</v>
      </c>
      <c r="G511" s="2">
        <v>53900</v>
      </c>
      <c r="H511">
        <v>0</v>
      </c>
      <c r="I511" t="s">
        <v>584</v>
      </c>
      <c r="J511" t="s">
        <v>27</v>
      </c>
    </row>
    <row r="512" spans="1:11" x14ac:dyDescent="0.3">
      <c r="A512" t="s">
        <v>16</v>
      </c>
      <c r="B512" t="s">
        <v>17</v>
      </c>
      <c r="C512">
        <v>23683</v>
      </c>
      <c r="D512">
        <v>33022</v>
      </c>
      <c r="E512" s="1">
        <v>45204</v>
      </c>
      <c r="F512" s="1">
        <v>45384</v>
      </c>
      <c r="G512" s="2">
        <v>22683</v>
      </c>
      <c r="H512">
        <v>0</v>
      </c>
      <c r="I512" t="s">
        <v>585</v>
      </c>
      <c r="J512" t="s">
        <v>19</v>
      </c>
      <c r="K512" t="s">
        <v>15</v>
      </c>
    </row>
    <row r="513" spans="1:11" x14ac:dyDescent="0.3">
      <c r="A513" t="s">
        <v>586</v>
      </c>
      <c r="B513" t="s">
        <v>587</v>
      </c>
      <c r="C513">
        <v>23873</v>
      </c>
      <c r="D513">
        <v>33227</v>
      </c>
      <c r="E513" s="1">
        <v>45222</v>
      </c>
      <c r="F513" s="1">
        <v>45312</v>
      </c>
      <c r="G513" s="2">
        <v>33276.199999999997</v>
      </c>
      <c r="H513">
        <v>0</v>
      </c>
      <c r="I513" t="s">
        <v>588</v>
      </c>
      <c r="J513" t="s">
        <v>167</v>
      </c>
      <c r="K513" t="s">
        <v>15</v>
      </c>
    </row>
    <row r="514" spans="1:11" x14ac:dyDescent="0.3">
      <c r="A514" t="s">
        <v>589</v>
      </c>
      <c r="B514" t="s">
        <v>590</v>
      </c>
      <c r="C514">
        <v>22922</v>
      </c>
      <c r="D514">
        <v>32193</v>
      </c>
      <c r="E514" s="1">
        <v>45140</v>
      </c>
      <c r="F514" s="1">
        <v>45412</v>
      </c>
      <c r="G514" s="2">
        <v>14474.75</v>
      </c>
      <c r="H514">
        <v>0</v>
      </c>
      <c r="I514" t="s">
        <v>591</v>
      </c>
      <c r="J514" t="s">
        <v>99</v>
      </c>
      <c r="K514" t="s">
        <v>15</v>
      </c>
    </row>
    <row r="515" spans="1:11" x14ac:dyDescent="0.3">
      <c r="A515" t="s">
        <v>96</v>
      </c>
      <c r="B515" t="s">
        <v>97</v>
      </c>
      <c r="C515">
        <v>22958</v>
      </c>
      <c r="D515">
        <v>32242</v>
      </c>
      <c r="E515" s="1">
        <v>45147</v>
      </c>
      <c r="F515" s="1">
        <v>45379</v>
      </c>
      <c r="G515" s="2">
        <v>499858.5</v>
      </c>
      <c r="H515">
        <v>0</v>
      </c>
      <c r="I515" t="s">
        <v>592</v>
      </c>
      <c r="J515" t="s">
        <v>99</v>
      </c>
      <c r="K515" t="s">
        <v>15</v>
      </c>
    </row>
    <row r="516" spans="1:11" x14ac:dyDescent="0.3">
      <c r="A516" t="s">
        <v>593</v>
      </c>
      <c r="B516" t="s">
        <v>594</v>
      </c>
      <c r="C516">
        <v>22973</v>
      </c>
      <c r="D516">
        <v>32262</v>
      </c>
      <c r="E516" s="1">
        <v>45149</v>
      </c>
      <c r="F516" s="1">
        <v>45359</v>
      </c>
      <c r="G516" s="2">
        <v>60300</v>
      </c>
      <c r="H516">
        <v>0</v>
      </c>
      <c r="I516" t="s">
        <v>595</v>
      </c>
      <c r="J516" t="s">
        <v>596</v>
      </c>
      <c r="K516" t="s">
        <v>15</v>
      </c>
    </row>
    <row r="517" spans="1:11" x14ac:dyDescent="0.3">
      <c r="A517" t="s">
        <v>597</v>
      </c>
      <c r="B517" t="s">
        <v>598</v>
      </c>
      <c r="C517">
        <v>23007</v>
      </c>
      <c r="D517">
        <v>32300</v>
      </c>
      <c r="E517" s="1">
        <v>45153</v>
      </c>
      <c r="F517" s="1">
        <v>45412</v>
      </c>
      <c r="G517" s="2">
        <v>112000</v>
      </c>
      <c r="H517">
        <v>0</v>
      </c>
      <c r="I517" t="s">
        <v>599</v>
      </c>
      <c r="J517" t="s">
        <v>86</v>
      </c>
      <c r="K517" t="s">
        <v>15</v>
      </c>
    </row>
    <row r="518" spans="1:11" x14ac:dyDescent="0.3">
      <c r="A518" t="s">
        <v>329</v>
      </c>
      <c r="B518" t="s">
        <v>330</v>
      </c>
      <c r="C518">
        <v>23190</v>
      </c>
      <c r="D518">
        <v>32501</v>
      </c>
      <c r="E518" s="1">
        <v>45169</v>
      </c>
      <c r="F518" s="1">
        <v>45289</v>
      </c>
      <c r="G518" s="2">
        <v>89300</v>
      </c>
      <c r="H518">
        <v>0</v>
      </c>
      <c r="I518" t="s">
        <v>600</v>
      </c>
      <c r="J518" t="s">
        <v>19</v>
      </c>
      <c r="K518" t="s">
        <v>15</v>
      </c>
    </row>
    <row r="519" spans="1:11" x14ac:dyDescent="0.3">
      <c r="A519" t="s">
        <v>16</v>
      </c>
      <c r="B519" t="s">
        <v>17</v>
      </c>
      <c r="C519">
        <v>23260</v>
      </c>
      <c r="D519">
        <v>32577</v>
      </c>
      <c r="E519" s="1">
        <v>45175</v>
      </c>
      <c r="F519" s="1">
        <v>45295</v>
      </c>
      <c r="G519" s="2">
        <v>16800</v>
      </c>
      <c r="H519">
        <v>0</v>
      </c>
      <c r="I519" t="s">
        <v>601</v>
      </c>
      <c r="J519" t="s">
        <v>19</v>
      </c>
      <c r="K519" t="s">
        <v>15</v>
      </c>
    </row>
    <row r="520" spans="1:11" x14ac:dyDescent="0.3">
      <c r="A520" t="s">
        <v>58</v>
      </c>
      <c r="B520" t="s">
        <v>59</v>
      </c>
      <c r="C520">
        <v>23307</v>
      </c>
      <c r="D520">
        <v>32619</v>
      </c>
      <c r="E520" s="1">
        <v>45177</v>
      </c>
      <c r="F520" s="1">
        <v>45297</v>
      </c>
      <c r="G520" s="2">
        <v>15330</v>
      </c>
      <c r="H520">
        <v>0</v>
      </c>
      <c r="I520" t="s">
        <v>602</v>
      </c>
      <c r="J520" t="s">
        <v>57</v>
      </c>
      <c r="K520" t="s">
        <v>15</v>
      </c>
    </row>
    <row r="521" spans="1:11" x14ac:dyDescent="0.3">
      <c r="A521" t="s">
        <v>603</v>
      </c>
      <c r="B521" t="s">
        <v>604</v>
      </c>
      <c r="C521">
        <v>23709</v>
      </c>
      <c r="D521">
        <v>33046</v>
      </c>
      <c r="E521" s="1">
        <v>45204</v>
      </c>
      <c r="F521" s="1">
        <v>45402</v>
      </c>
      <c r="G521" s="2">
        <v>128240</v>
      </c>
      <c r="H521">
        <v>0</v>
      </c>
      <c r="I521" t="s">
        <v>605</v>
      </c>
      <c r="J521" t="s">
        <v>42</v>
      </c>
      <c r="K521" t="s">
        <v>15</v>
      </c>
    </row>
    <row r="522" spans="1:11" x14ac:dyDescent="0.3">
      <c r="A522" t="s">
        <v>88</v>
      </c>
      <c r="B522" t="s">
        <v>89</v>
      </c>
      <c r="C522">
        <v>23858</v>
      </c>
      <c r="D522">
        <v>33212</v>
      </c>
      <c r="E522" s="1">
        <v>45222</v>
      </c>
      <c r="F522" s="1">
        <v>45432</v>
      </c>
      <c r="G522" s="2">
        <v>22375</v>
      </c>
      <c r="H522">
        <v>0</v>
      </c>
      <c r="I522" t="s">
        <v>606</v>
      </c>
      <c r="J522" t="s">
        <v>27</v>
      </c>
      <c r="K522" t="s">
        <v>15</v>
      </c>
    </row>
    <row r="523" spans="1:11" x14ac:dyDescent="0.3">
      <c r="A523" t="s">
        <v>88</v>
      </c>
      <c r="B523" t="s">
        <v>89</v>
      </c>
      <c r="C523">
        <v>23858</v>
      </c>
      <c r="D523">
        <v>33212</v>
      </c>
      <c r="E523" s="1">
        <v>45222</v>
      </c>
      <c r="F523" s="1">
        <v>45462</v>
      </c>
      <c r="G523" s="2">
        <v>22375</v>
      </c>
      <c r="H523">
        <v>0</v>
      </c>
      <c r="I523" t="s">
        <v>606</v>
      </c>
      <c r="J523" t="s">
        <v>27</v>
      </c>
      <c r="K523" t="s">
        <v>15</v>
      </c>
    </row>
    <row r="524" spans="1:11" x14ac:dyDescent="0.3">
      <c r="A524" t="s">
        <v>109</v>
      </c>
      <c r="B524" t="s">
        <v>110</v>
      </c>
      <c r="C524">
        <v>21299</v>
      </c>
      <c r="D524">
        <v>30459</v>
      </c>
      <c r="E524" s="1">
        <v>44911</v>
      </c>
      <c r="F524" s="1">
        <v>45168</v>
      </c>
      <c r="G524" s="2">
        <v>249200</v>
      </c>
      <c r="H524">
        <v>54</v>
      </c>
      <c r="I524" t="s">
        <v>607</v>
      </c>
      <c r="J524" t="s">
        <v>112</v>
      </c>
      <c r="K524" t="s">
        <v>15</v>
      </c>
    </row>
    <row r="525" spans="1:11" x14ac:dyDescent="0.3">
      <c r="A525" t="s">
        <v>145</v>
      </c>
      <c r="B525" t="s">
        <v>146</v>
      </c>
      <c r="C525">
        <v>21449</v>
      </c>
      <c r="D525">
        <v>30609</v>
      </c>
      <c r="E525" s="1">
        <v>44932</v>
      </c>
      <c r="F525" s="1">
        <v>45199</v>
      </c>
      <c r="G525" s="2">
        <v>483600</v>
      </c>
      <c r="H525">
        <v>23</v>
      </c>
      <c r="I525" t="s">
        <v>608</v>
      </c>
      <c r="J525" t="s">
        <v>82</v>
      </c>
      <c r="K525" t="s">
        <v>15</v>
      </c>
    </row>
    <row r="526" spans="1:11" x14ac:dyDescent="0.3">
      <c r="A526" t="s">
        <v>228</v>
      </c>
      <c r="B526" t="s">
        <v>229</v>
      </c>
      <c r="C526">
        <v>22260</v>
      </c>
      <c r="D526">
        <v>31463</v>
      </c>
      <c r="E526" s="1">
        <v>45026</v>
      </c>
      <c r="F526" s="1">
        <v>45229</v>
      </c>
      <c r="G526" s="2">
        <v>3529.9</v>
      </c>
      <c r="H526">
        <v>0</v>
      </c>
      <c r="I526" t="s">
        <v>609</v>
      </c>
      <c r="J526" t="s">
        <v>206</v>
      </c>
      <c r="K526" t="s">
        <v>15</v>
      </c>
    </row>
    <row r="527" spans="1:11" x14ac:dyDescent="0.3">
      <c r="A527" t="s">
        <v>508</v>
      </c>
      <c r="B527" t="s">
        <v>509</v>
      </c>
      <c r="C527">
        <v>22642</v>
      </c>
      <c r="D527">
        <v>31919</v>
      </c>
      <c r="E527" s="1">
        <v>45103</v>
      </c>
      <c r="F527" s="1">
        <v>45253</v>
      </c>
      <c r="G527" s="2">
        <v>2671.43</v>
      </c>
      <c r="H527">
        <v>0</v>
      </c>
      <c r="I527" t="s">
        <v>610</v>
      </c>
      <c r="J527" t="s">
        <v>14</v>
      </c>
      <c r="K527" t="s">
        <v>15</v>
      </c>
    </row>
    <row r="528" spans="1:11" x14ac:dyDescent="0.3">
      <c r="A528" t="s">
        <v>34</v>
      </c>
      <c r="B528" t="s">
        <v>35</v>
      </c>
      <c r="C528">
        <v>22930</v>
      </c>
      <c r="D528">
        <v>32203</v>
      </c>
      <c r="E528" s="1">
        <v>45141</v>
      </c>
      <c r="F528" s="1">
        <v>45291</v>
      </c>
      <c r="G528" s="2">
        <v>9352.5</v>
      </c>
      <c r="H528">
        <v>0</v>
      </c>
      <c r="I528" t="s">
        <v>271</v>
      </c>
      <c r="J528" t="s">
        <v>19</v>
      </c>
      <c r="K528" t="s">
        <v>15</v>
      </c>
    </row>
    <row r="529" spans="1:11" x14ac:dyDescent="0.3">
      <c r="A529" t="s">
        <v>34</v>
      </c>
      <c r="B529" t="s">
        <v>35</v>
      </c>
      <c r="C529">
        <v>22933</v>
      </c>
      <c r="D529">
        <v>32206</v>
      </c>
      <c r="E529" s="1">
        <v>45141</v>
      </c>
      <c r="F529" s="1">
        <v>45291</v>
      </c>
      <c r="G529" s="2">
        <v>75600</v>
      </c>
      <c r="H529">
        <v>0</v>
      </c>
      <c r="I529" t="s">
        <v>372</v>
      </c>
      <c r="J529" t="s">
        <v>19</v>
      </c>
      <c r="K529" t="s">
        <v>15</v>
      </c>
    </row>
    <row r="530" spans="1:11" x14ac:dyDescent="0.3">
      <c r="A530" t="s">
        <v>613</v>
      </c>
      <c r="B530" t="s">
        <v>614</v>
      </c>
      <c r="C530">
        <v>23203</v>
      </c>
      <c r="D530">
        <v>32516</v>
      </c>
      <c r="E530" s="1">
        <v>45172</v>
      </c>
      <c r="F530" s="1">
        <v>45322</v>
      </c>
      <c r="G530" s="2">
        <v>36060</v>
      </c>
      <c r="H530">
        <v>0</v>
      </c>
      <c r="I530" t="s">
        <v>615</v>
      </c>
      <c r="J530" t="s">
        <v>401</v>
      </c>
      <c r="K530" t="s">
        <v>15</v>
      </c>
    </row>
    <row r="531" spans="1:11" x14ac:dyDescent="0.3">
      <c r="A531" t="s">
        <v>512</v>
      </c>
      <c r="B531" t="s">
        <v>513</v>
      </c>
      <c r="C531">
        <v>23464</v>
      </c>
      <c r="D531">
        <v>32781</v>
      </c>
      <c r="E531" s="1">
        <v>45188</v>
      </c>
      <c r="F531" s="1">
        <v>45412</v>
      </c>
      <c r="G531" s="2">
        <v>35440</v>
      </c>
      <c r="H531">
        <v>0</v>
      </c>
      <c r="I531" t="s">
        <v>616</v>
      </c>
      <c r="J531" t="s">
        <v>73</v>
      </c>
      <c r="K531" t="s">
        <v>15</v>
      </c>
    </row>
    <row r="532" spans="1:11" x14ac:dyDescent="0.3">
      <c r="A532" t="s">
        <v>617</v>
      </c>
      <c r="B532" t="s">
        <v>618</v>
      </c>
      <c r="C532">
        <v>23596</v>
      </c>
      <c r="D532">
        <v>32931</v>
      </c>
      <c r="E532" s="1">
        <v>45196</v>
      </c>
      <c r="F532" s="1">
        <v>45402</v>
      </c>
      <c r="G532" s="2">
        <v>29130</v>
      </c>
      <c r="H532">
        <v>0</v>
      </c>
      <c r="I532" t="s">
        <v>619</v>
      </c>
      <c r="J532" t="s">
        <v>42</v>
      </c>
      <c r="K532" t="s">
        <v>15</v>
      </c>
    </row>
    <row r="533" spans="1:11" x14ac:dyDescent="0.3">
      <c r="A533" t="s">
        <v>184</v>
      </c>
      <c r="B533" t="s">
        <v>140</v>
      </c>
      <c r="C533">
        <v>23639</v>
      </c>
      <c r="D533">
        <v>32973</v>
      </c>
      <c r="E533" s="1">
        <v>45198</v>
      </c>
      <c r="F533" s="1">
        <v>45228</v>
      </c>
      <c r="G533" s="2">
        <v>9249.99</v>
      </c>
      <c r="H533">
        <v>0</v>
      </c>
      <c r="I533" t="s">
        <v>620</v>
      </c>
      <c r="J533" t="s">
        <v>135</v>
      </c>
      <c r="K533" t="s">
        <v>15</v>
      </c>
    </row>
    <row r="534" spans="1:11" x14ac:dyDescent="0.3">
      <c r="A534" t="s">
        <v>184</v>
      </c>
      <c r="B534" t="s">
        <v>140</v>
      </c>
      <c r="C534">
        <v>23639</v>
      </c>
      <c r="D534">
        <v>32973</v>
      </c>
      <c r="E534" s="1">
        <v>45198</v>
      </c>
      <c r="F534" s="1">
        <v>45258</v>
      </c>
      <c r="G534" s="2">
        <v>9249.99</v>
      </c>
      <c r="H534">
        <v>0</v>
      </c>
      <c r="I534" t="s">
        <v>620</v>
      </c>
      <c r="J534" t="s">
        <v>135</v>
      </c>
      <c r="K534" t="s">
        <v>15</v>
      </c>
    </row>
    <row r="535" spans="1:11" x14ac:dyDescent="0.3">
      <c r="A535" t="s">
        <v>184</v>
      </c>
      <c r="B535" t="s">
        <v>140</v>
      </c>
      <c r="C535">
        <v>23639</v>
      </c>
      <c r="D535">
        <v>32973</v>
      </c>
      <c r="E535" s="1">
        <v>45198</v>
      </c>
      <c r="F535" s="1">
        <v>45288</v>
      </c>
      <c r="G535" s="2">
        <v>9250.02</v>
      </c>
      <c r="H535">
        <v>0</v>
      </c>
      <c r="I535" t="s">
        <v>620</v>
      </c>
      <c r="J535" t="s">
        <v>135</v>
      </c>
      <c r="K535" t="s">
        <v>15</v>
      </c>
    </row>
    <row r="536" spans="1:11" x14ac:dyDescent="0.3">
      <c r="A536" t="s">
        <v>70</v>
      </c>
      <c r="B536" t="s">
        <v>71</v>
      </c>
      <c r="C536">
        <v>23753</v>
      </c>
      <c r="D536">
        <v>33094</v>
      </c>
      <c r="E536" s="1">
        <v>45210</v>
      </c>
      <c r="F536" s="1">
        <v>45427</v>
      </c>
      <c r="G536" s="2">
        <v>59758.400000000001</v>
      </c>
      <c r="H536">
        <v>0</v>
      </c>
      <c r="I536" t="s">
        <v>621</v>
      </c>
      <c r="J536" t="s">
        <v>73</v>
      </c>
      <c r="K536" t="s">
        <v>15</v>
      </c>
    </row>
    <row r="537" spans="1:11" x14ac:dyDescent="0.3">
      <c r="A537" t="s">
        <v>255</v>
      </c>
      <c r="B537" t="s">
        <v>256</v>
      </c>
      <c r="C537">
        <v>20836</v>
      </c>
      <c r="D537">
        <v>29955</v>
      </c>
      <c r="E537" s="1">
        <v>44853</v>
      </c>
      <c r="F537" s="1">
        <v>45076</v>
      </c>
      <c r="G537" s="2">
        <v>168938</v>
      </c>
      <c r="H537">
        <v>146</v>
      </c>
      <c r="I537" t="s">
        <v>622</v>
      </c>
      <c r="J537" t="s">
        <v>122</v>
      </c>
      <c r="K537" t="s">
        <v>15</v>
      </c>
    </row>
    <row r="538" spans="1:11" x14ac:dyDescent="0.3">
      <c r="A538" t="s">
        <v>152</v>
      </c>
      <c r="B538" t="s">
        <v>153</v>
      </c>
      <c r="C538">
        <v>22306</v>
      </c>
      <c r="D538">
        <v>31520</v>
      </c>
      <c r="E538" s="1">
        <v>45035</v>
      </c>
      <c r="F538" s="1">
        <v>45229</v>
      </c>
      <c r="G538" s="2">
        <v>14888.9</v>
      </c>
      <c r="H538">
        <v>0</v>
      </c>
      <c r="I538" t="s">
        <v>623</v>
      </c>
      <c r="J538" t="s">
        <v>27</v>
      </c>
      <c r="K538" t="s">
        <v>15</v>
      </c>
    </row>
    <row r="539" spans="1:11" x14ac:dyDescent="0.3">
      <c r="A539" t="s">
        <v>301</v>
      </c>
      <c r="B539" t="s">
        <v>302</v>
      </c>
      <c r="C539">
        <v>22657</v>
      </c>
      <c r="D539">
        <v>31931</v>
      </c>
      <c r="E539" s="1">
        <v>45103</v>
      </c>
      <c r="F539" s="1">
        <v>45223</v>
      </c>
      <c r="G539" s="2">
        <v>99187.5</v>
      </c>
      <c r="H539">
        <v>0</v>
      </c>
      <c r="I539" t="s">
        <v>624</v>
      </c>
      <c r="J539" t="s">
        <v>57</v>
      </c>
      <c r="K539" t="s">
        <v>15</v>
      </c>
    </row>
    <row r="540" spans="1:11" x14ac:dyDescent="0.3">
      <c r="A540" t="s">
        <v>100</v>
      </c>
      <c r="B540" t="s">
        <v>101</v>
      </c>
      <c r="C540">
        <v>22974</v>
      </c>
      <c r="D540">
        <v>32263</v>
      </c>
      <c r="E540" s="1">
        <v>45152</v>
      </c>
      <c r="F540" s="1">
        <v>45242</v>
      </c>
      <c r="G540" s="2">
        <v>40760.449999999997</v>
      </c>
      <c r="H540">
        <v>0</v>
      </c>
      <c r="I540" t="s">
        <v>625</v>
      </c>
      <c r="J540" t="s">
        <v>14</v>
      </c>
      <c r="K540" t="s">
        <v>15</v>
      </c>
    </row>
    <row r="541" spans="1:11" x14ac:dyDescent="0.3">
      <c r="A541" t="s">
        <v>100</v>
      </c>
      <c r="B541" t="s">
        <v>101</v>
      </c>
      <c r="C541">
        <v>22974</v>
      </c>
      <c r="D541">
        <v>32263</v>
      </c>
      <c r="E541" s="1">
        <v>45152</v>
      </c>
      <c r="F541" s="1">
        <v>45272</v>
      </c>
      <c r="G541" s="2">
        <v>40760.449999999997</v>
      </c>
      <c r="H541">
        <v>0</v>
      </c>
      <c r="I541" t="s">
        <v>625</v>
      </c>
      <c r="J541" t="s">
        <v>14</v>
      </c>
      <c r="K541" t="s">
        <v>15</v>
      </c>
    </row>
    <row r="542" spans="1:11" x14ac:dyDescent="0.3">
      <c r="A542" t="s">
        <v>145</v>
      </c>
      <c r="B542" t="s">
        <v>146</v>
      </c>
      <c r="C542">
        <v>23074</v>
      </c>
      <c r="D542">
        <v>32373</v>
      </c>
      <c r="E542" s="1">
        <v>45161</v>
      </c>
      <c r="F542" s="1">
        <v>45412</v>
      </c>
      <c r="G542" s="2">
        <v>479300.75</v>
      </c>
      <c r="H542">
        <v>0</v>
      </c>
      <c r="I542" t="s">
        <v>626</v>
      </c>
      <c r="J542" t="s">
        <v>82</v>
      </c>
      <c r="K542" t="s">
        <v>15</v>
      </c>
    </row>
    <row r="543" spans="1:11" x14ac:dyDescent="0.3">
      <c r="A543" t="s">
        <v>31</v>
      </c>
      <c r="B543" t="s">
        <v>32</v>
      </c>
      <c r="C543">
        <v>23125</v>
      </c>
      <c r="D543">
        <v>32426</v>
      </c>
      <c r="E543" s="1">
        <v>45163</v>
      </c>
      <c r="F543" s="1">
        <v>45283</v>
      </c>
      <c r="G543" s="2">
        <v>37119.96</v>
      </c>
      <c r="H543">
        <v>0</v>
      </c>
      <c r="I543" t="s">
        <v>627</v>
      </c>
      <c r="J543" t="s">
        <v>19</v>
      </c>
      <c r="K543" t="s">
        <v>15</v>
      </c>
    </row>
    <row r="544" spans="1:11" x14ac:dyDescent="0.3">
      <c r="A544" t="s">
        <v>31</v>
      </c>
      <c r="B544" t="s">
        <v>32</v>
      </c>
      <c r="C544">
        <v>23125</v>
      </c>
      <c r="D544">
        <v>32426</v>
      </c>
      <c r="E544" s="1">
        <v>45163</v>
      </c>
      <c r="F544" s="1">
        <v>45313</v>
      </c>
      <c r="G544" s="2">
        <v>37119.96</v>
      </c>
      <c r="H544">
        <v>0</v>
      </c>
      <c r="I544" t="s">
        <v>627</v>
      </c>
      <c r="J544" t="s">
        <v>19</v>
      </c>
      <c r="K544" t="s">
        <v>15</v>
      </c>
    </row>
    <row r="545" spans="1:11" x14ac:dyDescent="0.3">
      <c r="A545" t="s">
        <v>31</v>
      </c>
      <c r="B545" t="s">
        <v>32</v>
      </c>
      <c r="C545">
        <v>23125</v>
      </c>
      <c r="D545">
        <v>32426</v>
      </c>
      <c r="E545" s="1">
        <v>45163</v>
      </c>
      <c r="F545" s="1">
        <v>45343</v>
      </c>
      <c r="G545" s="2">
        <v>37120.080000000002</v>
      </c>
      <c r="H545">
        <v>0</v>
      </c>
      <c r="I545" t="s">
        <v>627</v>
      </c>
      <c r="J545" t="s">
        <v>19</v>
      </c>
      <c r="K545" t="s">
        <v>15</v>
      </c>
    </row>
    <row r="546" spans="1:11" x14ac:dyDescent="0.3">
      <c r="A546" t="s">
        <v>539</v>
      </c>
      <c r="B546" t="s">
        <v>540</v>
      </c>
      <c r="C546">
        <v>23193</v>
      </c>
      <c r="D546">
        <v>32504</v>
      </c>
      <c r="E546" s="1">
        <v>45169</v>
      </c>
      <c r="F546" s="1">
        <v>45319</v>
      </c>
      <c r="G546" s="2">
        <v>30000</v>
      </c>
      <c r="H546">
        <v>0</v>
      </c>
      <c r="I546" t="s">
        <v>628</v>
      </c>
      <c r="J546" t="s">
        <v>94</v>
      </c>
      <c r="K546" t="s">
        <v>15</v>
      </c>
    </row>
    <row r="547" spans="1:11" x14ac:dyDescent="0.3">
      <c r="A547" t="s">
        <v>54</v>
      </c>
      <c r="B547" t="s">
        <v>55</v>
      </c>
      <c r="C547">
        <v>23374</v>
      </c>
      <c r="D547">
        <v>32689</v>
      </c>
      <c r="E547" s="1">
        <v>45183</v>
      </c>
      <c r="F547" s="1">
        <v>45303</v>
      </c>
      <c r="G547" s="2">
        <v>17520</v>
      </c>
      <c r="H547">
        <v>0</v>
      </c>
      <c r="I547" t="s">
        <v>629</v>
      </c>
      <c r="J547" t="s">
        <v>57</v>
      </c>
      <c r="K547" t="s">
        <v>15</v>
      </c>
    </row>
    <row r="548" spans="1:11" x14ac:dyDescent="0.3">
      <c r="A548" t="s">
        <v>34</v>
      </c>
      <c r="B548" t="s">
        <v>35</v>
      </c>
      <c r="C548">
        <v>22938</v>
      </c>
      <c r="D548">
        <v>32215</v>
      </c>
      <c r="E548" s="1">
        <v>45142</v>
      </c>
      <c r="F548" s="1">
        <v>45292</v>
      </c>
      <c r="G548" s="2">
        <v>16000</v>
      </c>
      <c r="H548">
        <v>0</v>
      </c>
      <c r="I548" t="s">
        <v>334</v>
      </c>
      <c r="J548" t="s">
        <v>19</v>
      </c>
      <c r="K548" t="s">
        <v>15</v>
      </c>
    </row>
    <row r="549" spans="1:11" x14ac:dyDescent="0.3">
      <c r="A549" t="s">
        <v>67</v>
      </c>
      <c r="B549" t="s">
        <v>68</v>
      </c>
      <c r="C549">
        <v>23691</v>
      </c>
      <c r="D549">
        <v>33030</v>
      </c>
      <c r="E549" s="1">
        <v>45204</v>
      </c>
      <c r="F549" s="1">
        <v>45324</v>
      </c>
      <c r="G549" s="2">
        <v>68271</v>
      </c>
      <c r="H549">
        <v>0</v>
      </c>
      <c r="I549" t="s">
        <v>631</v>
      </c>
      <c r="J549" t="s">
        <v>19</v>
      </c>
      <c r="K549" t="s">
        <v>15</v>
      </c>
    </row>
    <row r="550" spans="1:11" x14ac:dyDescent="0.3">
      <c r="A550" t="s">
        <v>340</v>
      </c>
      <c r="B550" t="s">
        <v>341</v>
      </c>
      <c r="C550">
        <v>23742</v>
      </c>
      <c r="D550">
        <v>33083</v>
      </c>
      <c r="E550" s="1">
        <v>45209</v>
      </c>
      <c r="F550" s="1">
        <v>45299</v>
      </c>
      <c r="G550" s="2">
        <v>23415</v>
      </c>
      <c r="H550">
        <v>0</v>
      </c>
      <c r="I550" t="s">
        <v>632</v>
      </c>
      <c r="J550" t="s">
        <v>161</v>
      </c>
      <c r="K550" t="s">
        <v>15</v>
      </c>
    </row>
    <row r="551" spans="1:11" x14ac:dyDescent="0.3">
      <c r="A551" t="s">
        <v>323</v>
      </c>
      <c r="B551" t="s">
        <v>324</v>
      </c>
      <c r="C551">
        <v>23791</v>
      </c>
      <c r="D551">
        <v>33137</v>
      </c>
      <c r="E551" s="1">
        <v>45216</v>
      </c>
      <c r="F551" s="1">
        <v>45442</v>
      </c>
      <c r="G551" s="2">
        <v>5600</v>
      </c>
      <c r="H551">
        <v>0</v>
      </c>
      <c r="I551" t="s">
        <v>633</v>
      </c>
      <c r="J551" t="s">
        <v>94</v>
      </c>
      <c r="K551" t="s">
        <v>15</v>
      </c>
    </row>
    <row r="552" spans="1:11" x14ac:dyDescent="0.3">
      <c r="A552" t="s">
        <v>88</v>
      </c>
      <c r="B552" t="s">
        <v>89</v>
      </c>
      <c r="C552">
        <v>23878</v>
      </c>
      <c r="D552">
        <v>33232</v>
      </c>
      <c r="E552" s="1">
        <v>45222</v>
      </c>
      <c r="F552" s="1">
        <v>45372</v>
      </c>
      <c r="G552" s="2">
        <v>12000</v>
      </c>
      <c r="H552">
        <v>0</v>
      </c>
      <c r="I552" t="s">
        <v>634</v>
      </c>
      <c r="J552" t="s">
        <v>27</v>
      </c>
      <c r="K552" t="s">
        <v>15</v>
      </c>
    </row>
    <row r="553" spans="1:11" x14ac:dyDescent="0.3">
      <c r="A553" t="s">
        <v>228</v>
      </c>
      <c r="B553" t="s">
        <v>229</v>
      </c>
      <c r="C553">
        <v>22325</v>
      </c>
      <c r="D553">
        <v>31543</v>
      </c>
      <c r="E553" s="1">
        <v>45040</v>
      </c>
      <c r="F553" s="1">
        <v>45260</v>
      </c>
      <c r="G553" s="2">
        <v>13416</v>
      </c>
      <c r="H553">
        <v>0</v>
      </c>
      <c r="I553" t="s">
        <v>635</v>
      </c>
      <c r="J553" t="s">
        <v>206</v>
      </c>
      <c r="K553" t="s">
        <v>15</v>
      </c>
    </row>
    <row r="554" spans="1:11" x14ac:dyDescent="0.3">
      <c r="A554" t="s">
        <v>132</v>
      </c>
      <c r="B554" t="s">
        <v>133</v>
      </c>
      <c r="C554">
        <v>22370</v>
      </c>
      <c r="D554">
        <v>31607</v>
      </c>
      <c r="E554" s="1">
        <v>45044</v>
      </c>
      <c r="F554" s="1">
        <v>45229</v>
      </c>
      <c r="G554" s="2">
        <v>255485</v>
      </c>
      <c r="H554">
        <v>0</v>
      </c>
      <c r="I554" t="s">
        <v>636</v>
      </c>
      <c r="J554" t="s">
        <v>135</v>
      </c>
      <c r="K554" t="s">
        <v>15</v>
      </c>
    </row>
    <row r="555" spans="1:11" x14ac:dyDescent="0.3">
      <c r="A555" t="s">
        <v>637</v>
      </c>
      <c r="B555" t="s">
        <v>385</v>
      </c>
      <c r="C555">
        <v>22502</v>
      </c>
      <c r="D555">
        <v>31761</v>
      </c>
      <c r="E555" s="1">
        <v>45070</v>
      </c>
      <c r="F555" s="1">
        <v>45250</v>
      </c>
      <c r="G555" s="2">
        <v>6785.84</v>
      </c>
      <c r="H555">
        <v>0</v>
      </c>
      <c r="I555" t="s">
        <v>638</v>
      </c>
      <c r="J555" t="s">
        <v>23</v>
      </c>
      <c r="K555" t="s">
        <v>15</v>
      </c>
    </row>
    <row r="556" spans="1:11" x14ac:dyDescent="0.3">
      <c r="A556" t="s">
        <v>31</v>
      </c>
      <c r="B556" t="s">
        <v>32</v>
      </c>
      <c r="C556">
        <v>23138</v>
      </c>
      <c r="D556">
        <v>32444</v>
      </c>
      <c r="E556" s="1">
        <v>45166</v>
      </c>
      <c r="F556" s="1">
        <v>45286</v>
      </c>
      <c r="G556" s="2">
        <v>9949.99</v>
      </c>
      <c r="H556">
        <v>0</v>
      </c>
      <c r="I556" t="s">
        <v>639</v>
      </c>
      <c r="J556" t="s">
        <v>19</v>
      </c>
      <c r="K556" t="s">
        <v>15</v>
      </c>
    </row>
    <row r="557" spans="1:11" x14ac:dyDescent="0.3">
      <c r="A557" t="s">
        <v>31</v>
      </c>
      <c r="B557" t="s">
        <v>32</v>
      </c>
      <c r="C557">
        <v>23138</v>
      </c>
      <c r="D557">
        <v>32444</v>
      </c>
      <c r="E557" s="1">
        <v>45166</v>
      </c>
      <c r="F557" s="1">
        <v>45316</v>
      </c>
      <c r="G557" s="2">
        <v>9949.99</v>
      </c>
      <c r="H557">
        <v>0</v>
      </c>
      <c r="I557" t="s">
        <v>639</v>
      </c>
      <c r="J557" t="s">
        <v>19</v>
      </c>
      <c r="K557" t="s">
        <v>15</v>
      </c>
    </row>
    <row r="558" spans="1:11" x14ac:dyDescent="0.3">
      <c r="A558" t="s">
        <v>31</v>
      </c>
      <c r="B558" t="s">
        <v>32</v>
      </c>
      <c r="C558">
        <v>23138</v>
      </c>
      <c r="D558">
        <v>32444</v>
      </c>
      <c r="E558" s="1">
        <v>45166</v>
      </c>
      <c r="F558" s="1">
        <v>45346</v>
      </c>
      <c r="G558" s="2">
        <v>9950.02</v>
      </c>
      <c r="H558">
        <v>0</v>
      </c>
      <c r="I558" t="s">
        <v>639</v>
      </c>
      <c r="J558" t="s">
        <v>19</v>
      </c>
      <c r="K558" t="s">
        <v>15</v>
      </c>
    </row>
    <row r="559" spans="1:11" x14ac:dyDescent="0.3">
      <c r="A559" t="s">
        <v>149</v>
      </c>
      <c r="B559" t="s">
        <v>150</v>
      </c>
      <c r="C559">
        <v>23197</v>
      </c>
      <c r="D559">
        <v>32510</v>
      </c>
      <c r="E559" s="1">
        <v>45170</v>
      </c>
      <c r="F559" s="1">
        <v>45376</v>
      </c>
      <c r="G559" s="2">
        <v>216537.2</v>
      </c>
      <c r="H559">
        <v>0</v>
      </c>
      <c r="I559" t="s">
        <v>640</v>
      </c>
      <c r="J559" t="s">
        <v>151</v>
      </c>
    </row>
    <row r="560" spans="1:11" x14ac:dyDescent="0.3">
      <c r="A560" t="s">
        <v>67</v>
      </c>
      <c r="B560" t="s">
        <v>68</v>
      </c>
      <c r="C560">
        <v>23263</v>
      </c>
      <c r="D560">
        <v>32581</v>
      </c>
      <c r="E560" s="1">
        <v>45175</v>
      </c>
      <c r="F560" s="1">
        <v>45295</v>
      </c>
      <c r="G560" s="2">
        <v>45150</v>
      </c>
      <c r="H560">
        <v>0</v>
      </c>
      <c r="I560" t="s">
        <v>641</v>
      </c>
      <c r="J560" t="s">
        <v>19</v>
      </c>
      <c r="K560" t="s">
        <v>15</v>
      </c>
    </row>
    <row r="561" spans="1:11" x14ac:dyDescent="0.3">
      <c r="A561" t="s">
        <v>174</v>
      </c>
      <c r="B561" t="s">
        <v>175</v>
      </c>
      <c r="C561">
        <v>23610</v>
      </c>
      <c r="D561">
        <v>32946</v>
      </c>
      <c r="E561" s="1">
        <v>45197</v>
      </c>
      <c r="F561" s="1">
        <v>45227</v>
      </c>
      <c r="G561" s="2">
        <v>5818.13</v>
      </c>
      <c r="H561">
        <v>0</v>
      </c>
      <c r="I561" t="s">
        <v>642</v>
      </c>
      <c r="J561" t="s">
        <v>131</v>
      </c>
      <c r="K561" t="s">
        <v>15</v>
      </c>
    </row>
    <row r="562" spans="1:11" x14ac:dyDescent="0.3">
      <c r="A562" t="s">
        <v>174</v>
      </c>
      <c r="B562" t="s">
        <v>175</v>
      </c>
      <c r="C562">
        <v>23610</v>
      </c>
      <c r="D562">
        <v>32946</v>
      </c>
      <c r="E562" s="1">
        <v>45197</v>
      </c>
      <c r="F562" s="1">
        <v>45257</v>
      </c>
      <c r="G562" s="2">
        <v>5818.12</v>
      </c>
      <c r="H562">
        <v>0</v>
      </c>
      <c r="I562" t="s">
        <v>642</v>
      </c>
      <c r="J562" t="s">
        <v>131</v>
      </c>
      <c r="K562" t="s">
        <v>15</v>
      </c>
    </row>
    <row r="563" spans="1:11" x14ac:dyDescent="0.3">
      <c r="A563" t="s">
        <v>31</v>
      </c>
      <c r="B563" t="s">
        <v>32</v>
      </c>
      <c r="C563">
        <v>23642</v>
      </c>
      <c r="D563">
        <v>32976</v>
      </c>
      <c r="E563" s="1">
        <v>45198</v>
      </c>
      <c r="F563" s="1">
        <v>45318</v>
      </c>
      <c r="G563" s="2">
        <v>6969.49</v>
      </c>
      <c r="H563">
        <v>0</v>
      </c>
      <c r="I563" t="s">
        <v>643</v>
      </c>
      <c r="J563" t="s">
        <v>19</v>
      </c>
      <c r="K563" t="s">
        <v>15</v>
      </c>
    </row>
    <row r="564" spans="1:11" x14ac:dyDescent="0.3">
      <c r="A564" t="s">
        <v>31</v>
      </c>
      <c r="B564" t="s">
        <v>32</v>
      </c>
      <c r="C564">
        <v>23642</v>
      </c>
      <c r="D564">
        <v>32976</v>
      </c>
      <c r="E564" s="1">
        <v>45198</v>
      </c>
      <c r="F564" s="1">
        <v>45348</v>
      </c>
      <c r="G564" s="2">
        <v>6969.49</v>
      </c>
      <c r="H564">
        <v>0</v>
      </c>
      <c r="I564" t="s">
        <v>643</v>
      </c>
      <c r="J564" t="s">
        <v>19</v>
      </c>
      <c r="K564" t="s">
        <v>15</v>
      </c>
    </row>
    <row r="565" spans="1:11" x14ac:dyDescent="0.3">
      <c r="A565" t="s">
        <v>31</v>
      </c>
      <c r="B565" t="s">
        <v>32</v>
      </c>
      <c r="C565">
        <v>23642</v>
      </c>
      <c r="D565">
        <v>32976</v>
      </c>
      <c r="E565" s="1">
        <v>45198</v>
      </c>
      <c r="F565" s="1">
        <v>45378</v>
      </c>
      <c r="G565" s="2">
        <v>6969.52</v>
      </c>
      <c r="H565">
        <v>0</v>
      </c>
      <c r="I565" t="s">
        <v>643</v>
      </c>
      <c r="J565" t="s">
        <v>19</v>
      </c>
      <c r="K565" t="s">
        <v>15</v>
      </c>
    </row>
    <row r="566" spans="1:11" x14ac:dyDescent="0.3">
      <c r="A566" t="s">
        <v>644</v>
      </c>
      <c r="B566" t="s">
        <v>645</v>
      </c>
      <c r="C566">
        <v>23708</v>
      </c>
      <c r="D566">
        <v>33045</v>
      </c>
      <c r="E566" s="1">
        <v>45204</v>
      </c>
      <c r="F566" s="1">
        <v>45402</v>
      </c>
      <c r="G566" s="2">
        <v>14200</v>
      </c>
      <c r="H566">
        <v>0</v>
      </c>
      <c r="I566" t="s">
        <v>646</v>
      </c>
      <c r="J566" t="s">
        <v>42</v>
      </c>
      <c r="K566" t="s">
        <v>15</v>
      </c>
    </row>
    <row r="567" spans="1:11" x14ac:dyDescent="0.3">
      <c r="A567" t="s">
        <v>83</v>
      </c>
      <c r="B567" t="s">
        <v>84</v>
      </c>
      <c r="C567">
        <v>20330</v>
      </c>
      <c r="D567">
        <v>29419</v>
      </c>
      <c r="E567" s="1">
        <v>44809</v>
      </c>
      <c r="F567" s="1">
        <v>45076</v>
      </c>
      <c r="G567" s="2">
        <v>50995.76</v>
      </c>
      <c r="H567">
        <v>146</v>
      </c>
      <c r="I567" t="s">
        <v>647</v>
      </c>
      <c r="J567" t="s">
        <v>86</v>
      </c>
      <c r="K567" t="s">
        <v>15</v>
      </c>
    </row>
    <row r="568" spans="1:11" x14ac:dyDescent="0.3">
      <c r="A568" t="s">
        <v>34</v>
      </c>
      <c r="B568" t="s">
        <v>35</v>
      </c>
      <c r="C568">
        <v>22939</v>
      </c>
      <c r="D568">
        <v>32216</v>
      </c>
      <c r="E568" s="1">
        <v>45142</v>
      </c>
      <c r="F568" s="1">
        <v>45292</v>
      </c>
      <c r="G568" s="2">
        <v>32000</v>
      </c>
      <c r="H568">
        <v>0</v>
      </c>
      <c r="I568" t="s">
        <v>447</v>
      </c>
      <c r="J568" t="s">
        <v>19</v>
      </c>
      <c r="K568" t="s">
        <v>15</v>
      </c>
    </row>
    <row r="569" spans="1:11" x14ac:dyDescent="0.3">
      <c r="A569" t="s">
        <v>136</v>
      </c>
      <c r="B569" t="s">
        <v>137</v>
      </c>
      <c r="C569">
        <v>22625</v>
      </c>
      <c r="D569">
        <v>31895</v>
      </c>
      <c r="E569" s="1">
        <v>45098</v>
      </c>
      <c r="F569" s="1">
        <v>45248</v>
      </c>
      <c r="G569" s="2">
        <v>4890</v>
      </c>
      <c r="H569">
        <v>0</v>
      </c>
      <c r="I569" t="s">
        <v>649</v>
      </c>
      <c r="J569" t="s">
        <v>122</v>
      </c>
      <c r="K569" t="s">
        <v>15</v>
      </c>
    </row>
    <row r="570" spans="1:11" x14ac:dyDescent="0.3">
      <c r="A570" t="s">
        <v>239</v>
      </c>
      <c r="B570" t="s">
        <v>240</v>
      </c>
      <c r="C570">
        <v>22868</v>
      </c>
      <c r="D570">
        <v>32137</v>
      </c>
      <c r="E570" s="1">
        <v>45132</v>
      </c>
      <c r="F570" s="1">
        <v>45252</v>
      </c>
      <c r="G570" s="2">
        <v>11053.47</v>
      </c>
      <c r="H570">
        <v>0</v>
      </c>
      <c r="I570" t="s">
        <v>650</v>
      </c>
      <c r="J570" t="s">
        <v>19</v>
      </c>
      <c r="K570" t="s">
        <v>15</v>
      </c>
    </row>
    <row r="571" spans="1:11" x14ac:dyDescent="0.3">
      <c r="A571" t="s">
        <v>651</v>
      </c>
      <c r="B571" t="s">
        <v>221</v>
      </c>
      <c r="C571">
        <v>23227</v>
      </c>
      <c r="D571">
        <v>32543</v>
      </c>
      <c r="E571" s="1">
        <v>45174</v>
      </c>
      <c r="F571" s="1">
        <v>45442</v>
      </c>
      <c r="G571" s="2">
        <v>202160</v>
      </c>
      <c r="H571">
        <v>0</v>
      </c>
      <c r="I571" t="s">
        <v>652</v>
      </c>
      <c r="J571" t="s">
        <v>46</v>
      </c>
      <c r="K571" t="s">
        <v>15</v>
      </c>
    </row>
    <row r="572" spans="1:11" x14ac:dyDescent="0.3">
      <c r="A572" t="s">
        <v>100</v>
      </c>
      <c r="B572" t="s">
        <v>101</v>
      </c>
      <c r="C572">
        <v>23229</v>
      </c>
      <c r="D572">
        <v>32545</v>
      </c>
      <c r="E572" s="1">
        <v>45174</v>
      </c>
      <c r="F572" s="1">
        <v>45264</v>
      </c>
      <c r="G572" s="2">
        <v>6040</v>
      </c>
      <c r="H572">
        <v>0</v>
      </c>
      <c r="I572" t="s">
        <v>653</v>
      </c>
      <c r="J572" t="s">
        <v>14</v>
      </c>
      <c r="K572" t="s">
        <v>15</v>
      </c>
    </row>
    <row r="573" spans="1:11" x14ac:dyDescent="0.3">
      <c r="A573" t="s">
        <v>654</v>
      </c>
      <c r="B573" t="s">
        <v>655</v>
      </c>
      <c r="C573">
        <v>23304</v>
      </c>
      <c r="D573">
        <v>32616</v>
      </c>
      <c r="E573" s="1">
        <v>45177</v>
      </c>
      <c r="F573" s="1">
        <v>45412</v>
      </c>
      <c r="G573" s="2">
        <v>31200</v>
      </c>
      <c r="H573">
        <v>0</v>
      </c>
      <c r="I573" t="s">
        <v>656</v>
      </c>
      <c r="J573" t="s">
        <v>112</v>
      </c>
      <c r="K573" t="s">
        <v>15</v>
      </c>
    </row>
    <row r="574" spans="1:11" x14ac:dyDescent="0.3">
      <c r="A574" t="s">
        <v>67</v>
      </c>
      <c r="B574" t="s">
        <v>68</v>
      </c>
      <c r="C574">
        <v>23336</v>
      </c>
      <c r="D574">
        <v>32649</v>
      </c>
      <c r="E574" s="1">
        <v>45181</v>
      </c>
      <c r="F574" s="1">
        <v>45301</v>
      </c>
      <c r="G574" s="2">
        <v>120000</v>
      </c>
      <c r="H574">
        <v>0</v>
      </c>
      <c r="I574" t="s">
        <v>657</v>
      </c>
      <c r="J574" t="s">
        <v>19</v>
      </c>
      <c r="K574" t="s">
        <v>15</v>
      </c>
    </row>
    <row r="575" spans="1:11" x14ac:dyDescent="0.3">
      <c r="A575" t="s">
        <v>658</v>
      </c>
      <c r="B575" t="s">
        <v>659</v>
      </c>
      <c r="C575">
        <v>23495</v>
      </c>
      <c r="D575">
        <v>32811</v>
      </c>
      <c r="E575" s="1">
        <v>45188</v>
      </c>
      <c r="F575" s="1">
        <v>45278</v>
      </c>
      <c r="G575" s="2">
        <v>1185</v>
      </c>
      <c r="H575">
        <v>0</v>
      </c>
      <c r="I575" t="s">
        <v>660</v>
      </c>
      <c r="J575" t="s">
        <v>94</v>
      </c>
      <c r="K575" t="s">
        <v>15</v>
      </c>
    </row>
    <row r="576" spans="1:11" x14ac:dyDescent="0.3">
      <c r="A576" t="s">
        <v>181</v>
      </c>
      <c r="B576" t="s">
        <v>182</v>
      </c>
      <c r="C576">
        <v>23536</v>
      </c>
      <c r="D576">
        <v>32857</v>
      </c>
      <c r="E576" s="1">
        <v>45191</v>
      </c>
      <c r="F576" s="1">
        <v>45595</v>
      </c>
      <c r="G576" s="2">
        <v>144000</v>
      </c>
      <c r="H576">
        <v>0</v>
      </c>
      <c r="I576" t="s">
        <v>661</v>
      </c>
      <c r="J576" t="s">
        <v>112</v>
      </c>
      <c r="K576" t="s">
        <v>15</v>
      </c>
    </row>
    <row r="577" spans="1:11" x14ac:dyDescent="0.3">
      <c r="A577" t="s">
        <v>561</v>
      </c>
      <c r="B577" t="s">
        <v>562</v>
      </c>
      <c r="C577">
        <v>23595</v>
      </c>
      <c r="D577">
        <v>32930</v>
      </c>
      <c r="E577" s="1">
        <v>45196</v>
      </c>
      <c r="F577" s="1">
        <v>45402</v>
      </c>
      <c r="G577" s="2">
        <v>201891.4</v>
      </c>
      <c r="H577">
        <v>0</v>
      </c>
      <c r="I577" t="s">
        <v>662</v>
      </c>
      <c r="J577" t="s">
        <v>73</v>
      </c>
      <c r="K577" t="s">
        <v>15</v>
      </c>
    </row>
    <row r="578" spans="1:11" x14ac:dyDescent="0.3">
      <c r="A578" t="s">
        <v>663</v>
      </c>
      <c r="B578" t="s">
        <v>664</v>
      </c>
      <c r="C578">
        <v>23799</v>
      </c>
      <c r="D578">
        <v>33143</v>
      </c>
      <c r="E578" s="1">
        <v>45216</v>
      </c>
      <c r="F578" s="1">
        <v>45336</v>
      </c>
      <c r="G578" s="2">
        <v>108000</v>
      </c>
      <c r="H578">
        <v>0</v>
      </c>
      <c r="I578" t="s">
        <v>665</v>
      </c>
      <c r="J578" t="s">
        <v>94</v>
      </c>
      <c r="K578" t="s">
        <v>15</v>
      </c>
    </row>
    <row r="579" spans="1:11" x14ac:dyDescent="0.3">
      <c r="A579" t="s">
        <v>88</v>
      </c>
      <c r="B579" t="s">
        <v>89</v>
      </c>
      <c r="C579">
        <v>23863</v>
      </c>
      <c r="D579">
        <v>33217</v>
      </c>
      <c r="E579" s="1">
        <v>45222</v>
      </c>
      <c r="F579" s="1">
        <v>45342</v>
      </c>
      <c r="G579" s="2">
        <v>56700</v>
      </c>
      <c r="H579">
        <v>0</v>
      </c>
      <c r="I579" t="s">
        <v>666</v>
      </c>
      <c r="J579" t="s">
        <v>27</v>
      </c>
      <c r="K579" t="s">
        <v>15</v>
      </c>
    </row>
    <row r="580" spans="1:11" x14ac:dyDescent="0.3">
      <c r="A580" t="s">
        <v>20</v>
      </c>
      <c r="B580" t="s">
        <v>21</v>
      </c>
      <c r="C580">
        <v>23651</v>
      </c>
      <c r="D580">
        <v>32985</v>
      </c>
      <c r="E580" s="1">
        <v>45198</v>
      </c>
      <c r="F580" s="1">
        <v>45318</v>
      </c>
      <c r="G580" s="2">
        <v>15631.1</v>
      </c>
      <c r="H580">
        <v>0</v>
      </c>
      <c r="I580" t="s">
        <v>318</v>
      </c>
      <c r="J580" t="s">
        <v>23</v>
      </c>
      <c r="K580" t="s">
        <v>15</v>
      </c>
    </row>
    <row r="581" spans="1:11" x14ac:dyDescent="0.3">
      <c r="A581" t="s">
        <v>20</v>
      </c>
      <c r="B581" t="s">
        <v>21</v>
      </c>
      <c r="C581">
        <v>23651</v>
      </c>
      <c r="D581">
        <v>32985</v>
      </c>
      <c r="E581" s="1">
        <v>45198</v>
      </c>
      <c r="F581" s="1">
        <v>45333</v>
      </c>
      <c r="G581" s="2">
        <v>15631.1</v>
      </c>
      <c r="H581">
        <v>0</v>
      </c>
      <c r="I581" t="s">
        <v>318</v>
      </c>
      <c r="J581" t="s">
        <v>23</v>
      </c>
      <c r="K581" t="s">
        <v>15</v>
      </c>
    </row>
    <row r="582" spans="1:11" x14ac:dyDescent="0.3">
      <c r="A582" t="s">
        <v>20</v>
      </c>
      <c r="B582" t="s">
        <v>21</v>
      </c>
      <c r="C582">
        <v>23651</v>
      </c>
      <c r="D582">
        <v>32985</v>
      </c>
      <c r="E582" s="1">
        <v>45198</v>
      </c>
      <c r="F582" s="1">
        <v>45348</v>
      </c>
      <c r="G582" s="2">
        <v>15631.1</v>
      </c>
      <c r="H582">
        <v>0</v>
      </c>
      <c r="I582" t="s">
        <v>318</v>
      </c>
      <c r="J582" t="s">
        <v>23</v>
      </c>
      <c r="K582" t="s">
        <v>15</v>
      </c>
    </row>
    <row r="583" spans="1:11" x14ac:dyDescent="0.3">
      <c r="A583" t="s">
        <v>20</v>
      </c>
      <c r="B583" t="s">
        <v>21</v>
      </c>
      <c r="C583">
        <v>23651</v>
      </c>
      <c r="D583">
        <v>32985</v>
      </c>
      <c r="E583" s="1">
        <v>45198</v>
      </c>
      <c r="F583" s="1">
        <v>45363</v>
      </c>
      <c r="G583" s="2">
        <v>15631.1</v>
      </c>
      <c r="H583">
        <v>0</v>
      </c>
      <c r="I583" t="s">
        <v>318</v>
      </c>
      <c r="J583" t="s">
        <v>23</v>
      </c>
      <c r="K583" t="s">
        <v>15</v>
      </c>
    </row>
    <row r="584" spans="1:11" x14ac:dyDescent="0.3">
      <c r="A584" t="s">
        <v>667</v>
      </c>
      <c r="B584" t="s">
        <v>195</v>
      </c>
      <c r="C584">
        <v>23760</v>
      </c>
      <c r="D584">
        <v>33103</v>
      </c>
      <c r="E584" s="1">
        <v>45210</v>
      </c>
      <c r="F584" s="1">
        <v>45442</v>
      </c>
      <c r="G584" s="2">
        <v>144000</v>
      </c>
      <c r="H584">
        <v>0</v>
      </c>
      <c r="I584" t="s">
        <v>668</v>
      </c>
      <c r="J584" t="s">
        <v>46</v>
      </c>
      <c r="K584" t="s">
        <v>15</v>
      </c>
    </row>
    <row r="585" spans="1:11" x14ac:dyDescent="0.3">
      <c r="A585" t="s">
        <v>576</v>
      </c>
      <c r="B585" t="s">
        <v>577</v>
      </c>
      <c r="C585">
        <v>23809</v>
      </c>
      <c r="D585">
        <v>33158</v>
      </c>
      <c r="E585" s="1">
        <v>45217</v>
      </c>
      <c r="F585" s="1">
        <v>45442</v>
      </c>
      <c r="G585" s="2">
        <v>46800</v>
      </c>
      <c r="H585">
        <v>0</v>
      </c>
      <c r="I585" t="s">
        <v>669</v>
      </c>
      <c r="J585" t="s">
        <v>112</v>
      </c>
      <c r="K585" t="s">
        <v>15</v>
      </c>
    </row>
    <row r="586" spans="1:11" x14ac:dyDescent="0.3">
      <c r="A586" t="s">
        <v>88</v>
      </c>
      <c r="B586" t="s">
        <v>89</v>
      </c>
      <c r="C586">
        <v>23860</v>
      </c>
      <c r="D586">
        <v>33214</v>
      </c>
      <c r="E586" s="1">
        <v>45222</v>
      </c>
      <c r="F586" s="1">
        <v>45372</v>
      </c>
      <c r="G586" s="2">
        <v>138900</v>
      </c>
      <c r="H586">
        <v>0</v>
      </c>
      <c r="I586" t="s">
        <v>670</v>
      </c>
      <c r="J586" t="s">
        <v>27</v>
      </c>
      <c r="K586" t="s">
        <v>15</v>
      </c>
    </row>
    <row r="587" spans="1:11" x14ac:dyDescent="0.3">
      <c r="A587" t="s">
        <v>576</v>
      </c>
      <c r="B587" t="s">
        <v>577</v>
      </c>
      <c r="C587">
        <v>23808</v>
      </c>
      <c r="D587">
        <v>33157</v>
      </c>
      <c r="E587" s="1">
        <v>45217</v>
      </c>
      <c r="F587" s="1">
        <v>45442</v>
      </c>
      <c r="G587" s="2">
        <v>3778</v>
      </c>
      <c r="H587">
        <v>0</v>
      </c>
      <c r="I587" t="s">
        <v>671</v>
      </c>
      <c r="J587" t="s">
        <v>112</v>
      </c>
      <c r="K587" t="s">
        <v>15</v>
      </c>
    </row>
    <row r="588" spans="1:11" x14ac:dyDescent="0.3">
      <c r="A588" t="s">
        <v>323</v>
      </c>
      <c r="B588" t="s">
        <v>324</v>
      </c>
      <c r="C588">
        <v>23842</v>
      </c>
      <c r="D588">
        <v>33197</v>
      </c>
      <c r="E588" s="1">
        <v>45219</v>
      </c>
      <c r="F588" s="1">
        <v>45339</v>
      </c>
      <c r="G588" s="2">
        <v>105840</v>
      </c>
      <c r="H588">
        <v>0</v>
      </c>
      <c r="I588" t="s">
        <v>672</v>
      </c>
      <c r="J588" t="s">
        <v>94</v>
      </c>
      <c r="K588" t="s">
        <v>15</v>
      </c>
    </row>
    <row r="589" spans="1:11" x14ac:dyDescent="0.3">
      <c r="A589" t="s">
        <v>88</v>
      </c>
      <c r="B589" t="s">
        <v>89</v>
      </c>
      <c r="C589">
        <v>23859</v>
      </c>
      <c r="D589">
        <v>33213</v>
      </c>
      <c r="E589" s="1">
        <v>45222</v>
      </c>
      <c r="F589" s="1">
        <v>45372</v>
      </c>
      <c r="G589" s="2">
        <v>112500</v>
      </c>
      <c r="H589">
        <v>0</v>
      </c>
      <c r="I589" t="s">
        <v>673</v>
      </c>
      <c r="J589" t="s">
        <v>27</v>
      </c>
      <c r="K589" t="s">
        <v>15</v>
      </c>
    </row>
    <row r="590" spans="1:11" x14ac:dyDescent="0.3">
      <c r="A590" t="s">
        <v>88</v>
      </c>
      <c r="B590" t="s">
        <v>89</v>
      </c>
      <c r="C590">
        <v>23859</v>
      </c>
      <c r="D590">
        <v>33213</v>
      </c>
      <c r="E590" s="1">
        <v>45222</v>
      </c>
      <c r="F590" s="1">
        <v>45402</v>
      </c>
      <c r="G590" s="2">
        <v>112500</v>
      </c>
      <c r="H590">
        <v>0</v>
      </c>
      <c r="I590" t="s">
        <v>673</v>
      </c>
      <c r="J590" t="s">
        <v>27</v>
      </c>
      <c r="K590" t="s">
        <v>15</v>
      </c>
    </row>
    <row r="591" spans="1:11" x14ac:dyDescent="0.3">
      <c r="A591" t="s">
        <v>228</v>
      </c>
      <c r="B591" t="s">
        <v>229</v>
      </c>
      <c r="C591">
        <v>22200</v>
      </c>
      <c r="D591">
        <v>31392</v>
      </c>
      <c r="E591" s="1">
        <v>45013</v>
      </c>
      <c r="F591" s="1">
        <v>45260</v>
      </c>
      <c r="G591" s="2">
        <v>215100</v>
      </c>
      <c r="H591">
        <v>0</v>
      </c>
      <c r="I591" t="s">
        <v>674</v>
      </c>
      <c r="J591" t="s">
        <v>206</v>
      </c>
      <c r="K591" t="s">
        <v>15</v>
      </c>
    </row>
    <row r="592" spans="1:11" x14ac:dyDescent="0.3">
      <c r="A592" t="s">
        <v>114</v>
      </c>
      <c r="B592" t="s">
        <v>115</v>
      </c>
      <c r="C592">
        <v>22402</v>
      </c>
      <c r="D592">
        <v>31642</v>
      </c>
      <c r="E592" s="1">
        <v>45044</v>
      </c>
      <c r="F592" s="1">
        <v>45240</v>
      </c>
      <c r="G592" s="2">
        <v>384389</v>
      </c>
      <c r="H592">
        <v>0</v>
      </c>
      <c r="I592" t="s">
        <v>675</v>
      </c>
      <c r="J592" t="s">
        <v>82</v>
      </c>
      <c r="K592" t="s">
        <v>15</v>
      </c>
    </row>
    <row r="593" spans="1:11" x14ac:dyDescent="0.3">
      <c r="A593" t="s">
        <v>119</v>
      </c>
      <c r="B593" t="s">
        <v>120</v>
      </c>
      <c r="C593">
        <v>22936</v>
      </c>
      <c r="D593">
        <v>32209</v>
      </c>
      <c r="E593" s="1">
        <v>45142</v>
      </c>
      <c r="F593" s="1">
        <v>45352</v>
      </c>
      <c r="G593" s="2">
        <v>158400</v>
      </c>
      <c r="H593">
        <v>0</v>
      </c>
      <c r="I593" t="s">
        <v>676</v>
      </c>
      <c r="J593" t="s">
        <v>122</v>
      </c>
      <c r="K593" t="s">
        <v>15</v>
      </c>
    </row>
    <row r="594" spans="1:11" x14ac:dyDescent="0.3">
      <c r="A594" t="s">
        <v>31</v>
      </c>
      <c r="B594" t="s">
        <v>32</v>
      </c>
      <c r="C594">
        <v>22968</v>
      </c>
      <c r="D594">
        <v>32257</v>
      </c>
      <c r="E594" s="1">
        <v>45149</v>
      </c>
      <c r="F594" s="1">
        <v>45419</v>
      </c>
      <c r="G594" s="2">
        <v>216482.2</v>
      </c>
      <c r="H594">
        <v>0</v>
      </c>
      <c r="I594" t="s">
        <v>677</v>
      </c>
      <c r="J594" t="s">
        <v>19</v>
      </c>
      <c r="K594" t="s">
        <v>15</v>
      </c>
    </row>
    <row r="595" spans="1:11" x14ac:dyDescent="0.3">
      <c r="A595" t="s">
        <v>51</v>
      </c>
      <c r="B595" t="s">
        <v>52</v>
      </c>
      <c r="C595">
        <v>22970</v>
      </c>
      <c r="D595">
        <v>32259</v>
      </c>
      <c r="E595" s="1">
        <v>45149</v>
      </c>
      <c r="F595" s="1">
        <v>45468</v>
      </c>
      <c r="G595" s="2">
        <v>12664</v>
      </c>
      <c r="H595">
        <v>0</v>
      </c>
      <c r="I595" t="s">
        <v>678</v>
      </c>
      <c r="J595" t="s">
        <v>19</v>
      </c>
    </row>
    <row r="596" spans="1:11" x14ac:dyDescent="0.3">
      <c r="A596" t="s">
        <v>679</v>
      </c>
      <c r="B596" t="s">
        <v>680</v>
      </c>
      <c r="C596">
        <v>23004</v>
      </c>
      <c r="D596">
        <v>32298</v>
      </c>
      <c r="E596" s="1">
        <v>45153</v>
      </c>
      <c r="F596" s="1">
        <v>45412</v>
      </c>
      <c r="G596" s="2">
        <v>68500</v>
      </c>
      <c r="H596">
        <v>0</v>
      </c>
      <c r="I596" t="s">
        <v>681</v>
      </c>
      <c r="J596" t="s">
        <v>86</v>
      </c>
      <c r="K596" t="s">
        <v>15</v>
      </c>
    </row>
    <row r="597" spans="1:11" x14ac:dyDescent="0.3">
      <c r="A597" t="s">
        <v>530</v>
      </c>
      <c r="B597" t="s">
        <v>531</v>
      </c>
      <c r="D597">
        <v>220235</v>
      </c>
      <c r="E597" s="1">
        <v>45146</v>
      </c>
      <c r="F597" s="1">
        <v>45184</v>
      </c>
      <c r="G597" s="2">
        <v>93250.02</v>
      </c>
      <c r="H597">
        <v>38</v>
      </c>
      <c r="I597" t="s">
        <v>682</v>
      </c>
      <c r="J597" t="s">
        <v>167</v>
      </c>
    </row>
    <row r="598" spans="1:11" x14ac:dyDescent="0.3">
      <c r="A598" t="s">
        <v>39</v>
      </c>
      <c r="B598" t="s">
        <v>40</v>
      </c>
      <c r="C598">
        <v>23038</v>
      </c>
      <c r="D598">
        <v>32336</v>
      </c>
      <c r="E598" s="1">
        <v>45156</v>
      </c>
      <c r="F598" s="1">
        <v>45493</v>
      </c>
      <c r="G598" s="2">
        <v>55124.68</v>
      </c>
      <c r="H598">
        <v>0</v>
      </c>
      <c r="I598" t="s">
        <v>683</v>
      </c>
      <c r="J598" t="s">
        <v>42</v>
      </c>
      <c r="K598" t="s">
        <v>15</v>
      </c>
    </row>
    <row r="599" spans="1:11" x14ac:dyDescent="0.3">
      <c r="A599" t="s">
        <v>39</v>
      </c>
      <c r="B599" t="s">
        <v>40</v>
      </c>
      <c r="C599">
        <v>23038</v>
      </c>
      <c r="D599">
        <v>32336</v>
      </c>
      <c r="E599" s="1">
        <v>45156</v>
      </c>
      <c r="F599" s="1">
        <v>45524</v>
      </c>
      <c r="G599" s="2">
        <v>55124.68</v>
      </c>
      <c r="H599">
        <v>0</v>
      </c>
      <c r="I599" t="s">
        <v>683</v>
      </c>
      <c r="J599" t="s">
        <v>42</v>
      </c>
      <c r="K599" t="s">
        <v>15</v>
      </c>
    </row>
    <row r="600" spans="1:11" x14ac:dyDescent="0.3">
      <c r="A600" t="s">
        <v>39</v>
      </c>
      <c r="B600" t="s">
        <v>40</v>
      </c>
      <c r="C600">
        <v>23038</v>
      </c>
      <c r="D600">
        <v>32336</v>
      </c>
      <c r="E600" s="1">
        <v>45156</v>
      </c>
      <c r="F600" s="1">
        <v>45555</v>
      </c>
      <c r="G600" s="2">
        <v>55124.68</v>
      </c>
      <c r="H600">
        <v>0</v>
      </c>
      <c r="I600" t="s">
        <v>683</v>
      </c>
      <c r="J600" t="s">
        <v>42</v>
      </c>
      <c r="K600" t="s">
        <v>15</v>
      </c>
    </row>
    <row r="601" spans="1:11" x14ac:dyDescent="0.3">
      <c r="A601" t="s">
        <v>39</v>
      </c>
      <c r="B601" t="s">
        <v>40</v>
      </c>
      <c r="C601">
        <v>23038</v>
      </c>
      <c r="D601">
        <v>32336</v>
      </c>
      <c r="E601" s="1">
        <v>45156</v>
      </c>
      <c r="F601" s="1">
        <v>45585</v>
      </c>
      <c r="G601" s="2">
        <v>55124.68</v>
      </c>
      <c r="H601">
        <v>0</v>
      </c>
      <c r="I601" t="s">
        <v>683</v>
      </c>
      <c r="J601" t="s">
        <v>42</v>
      </c>
      <c r="K601" t="s">
        <v>15</v>
      </c>
    </row>
    <row r="602" spans="1:11" x14ac:dyDescent="0.3">
      <c r="A602" t="s">
        <v>39</v>
      </c>
      <c r="B602" t="s">
        <v>40</v>
      </c>
      <c r="C602">
        <v>23038</v>
      </c>
      <c r="D602">
        <v>32336</v>
      </c>
      <c r="E602" s="1">
        <v>45156</v>
      </c>
      <c r="F602" s="1">
        <v>45616</v>
      </c>
      <c r="G602" s="2">
        <v>55124.68</v>
      </c>
      <c r="H602">
        <v>0</v>
      </c>
      <c r="I602" t="s">
        <v>683</v>
      </c>
      <c r="J602" t="s">
        <v>42</v>
      </c>
      <c r="K602" t="s">
        <v>15</v>
      </c>
    </row>
    <row r="603" spans="1:11" x14ac:dyDescent="0.3">
      <c r="A603" t="s">
        <v>684</v>
      </c>
      <c r="B603" t="s">
        <v>685</v>
      </c>
      <c r="C603">
        <v>23161</v>
      </c>
      <c r="D603">
        <v>32465</v>
      </c>
      <c r="E603" s="1">
        <v>45167</v>
      </c>
      <c r="F603" s="1">
        <v>45257</v>
      </c>
      <c r="G603" s="2">
        <v>30745</v>
      </c>
      <c r="H603">
        <v>0</v>
      </c>
      <c r="I603" t="s">
        <v>686</v>
      </c>
      <c r="J603" t="s">
        <v>57</v>
      </c>
      <c r="K603" t="s">
        <v>15</v>
      </c>
    </row>
    <row r="604" spans="1:11" x14ac:dyDescent="0.3">
      <c r="A604" t="s">
        <v>504</v>
      </c>
      <c r="B604" t="s">
        <v>505</v>
      </c>
      <c r="C604">
        <v>23163</v>
      </c>
      <c r="D604">
        <v>32467</v>
      </c>
      <c r="E604" s="1">
        <v>45167</v>
      </c>
      <c r="F604" s="1">
        <v>45442</v>
      </c>
      <c r="G604" s="2">
        <v>216430</v>
      </c>
      <c r="H604">
        <v>0</v>
      </c>
      <c r="I604" t="s">
        <v>687</v>
      </c>
      <c r="J604" t="s">
        <v>94</v>
      </c>
      <c r="K604" t="s">
        <v>15</v>
      </c>
    </row>
    <row r="605" spans="1:11" x14ac:dyDescent="0.3">
      <c r="A605" t="s">
        <v>37</v>
      </c>
      <c r="B605" t="s">
        <v>29</v>
      </c>
      <c r="C605">
        <v>23270</v>
      </c>
      <c r="D605">
        <v>32588</v>
      </c>
      <c r="E605" s="1">
        <v>45175</v>
      </c>
      <c r="F605" s="1">
        <v>45355</v>
      </c>
      <c r="G605" s="2">
        <v>9900</v>
      </c>
      <c r="H605">
        <v>0</v>
      </c>
      <c r="I605" t="s">
        <v>688</v>
      </c>
      <c r="J605" t="s">
        <v>19</v>
      </c>
      <c r="K605" t="s">
        <v>15</v>
      </c>
    </row>
    <row r="606" spans="1:11" x14ac:dyDescent="0.3">
      <c r="A606" t="s">
        <v>689</v>
      </c>
      <c r="B606" t="s">
        <v>690</v>
      </c>
      <c r="C606">
        <v>23331</v>
      </c>
      <c r="D606">
        <v>32643</v>
      </c>
      <c r="E606" s="1">
        <v>45181</v>
      </c>
      <c r="F606" s="1">
        <v>45381</v>
      </c>
      <c r="G606" s="2">
        <v>322520</v>
      </c>
      <c r="H606">
        <v>0</v>
      </c>
      <c r="I606" t="s">
        <v>691</v>
      </c>
      <c r="J606" t="s">
        <v>82</v>
      </c>
      <c r="K606" t="s">
        <v>15</v>
      </c>
    </row>
    <row r="607" spans="1:11" x14ac:dyDescent="0.3">
      <c r="A607" t="s">
        <v>63</v>
      </c>
      <c r="B607" t="s">
        <v>64</v>
      </c>
      <c r="C607">
        <v>23051</v>
      </c>
      <c r="D607">
        <v>32349</v>
      </c>
      <c r="E607" s="1">
        <v>45159</v>
      </c>
      <c r="F607" s="1">
        <v>45279</v>
      </c>
      <c r="G607" s="2">
        <v>61040</v>
      </c>
      <c r="H607">
        <v>0</v>
      </c>
      <c r="I607" t="s">
        <v>272</v>
      </c>
      <c r="J607" t="s">
        <v>19</v>
      </c>
      <c r="K607" t="s">
        <v>15</v>
      </c>
    </row>
    <row r="608" spans="1:11" x14ac:dyDescent="0.3">
      <c r="A608" t="s">
        <v>181</v>
      </c>
      <c r="B608" t="s">
        <v>182</v>
      </c>
      <c r="C608">
        <v>23604</v>
      </c>
      <c r="D608">
        <v>32940</v>
      </c>
      <c r="E608" s="1">
        <v>45197</v>
      </c>
      <c r="F608" s="1">
        <v>45595</v>
      </c>
      <c r="G608" s="2">
        <v>95900</v>
      </c>
      <c r="H608">
        <v>0</v>
      </c>
      <c r="I608" t="s">
        <v>693</v>
      </c>
      <c r="J608" t="s">
        <v>112</v>
      </c>
      <c r="K608" t="s">
        <v>15</v>
      </c>
    </row>
    <row r="609" spans="1:11" x14ac:dyDescent="0.3">
      <c r="A609" t="s">
        <v>186</v>
      </c>
      <c r="B609" t="s">
        <v>187</v>
      </c>
      <c r="C609">
        <v>23302</v>
      </c>
      <c r="D609">
        <v>32614</v>
      </c>
      <c r="E609" s="1">
        <v>45177</v>
      </c>
      <c r="F609" s="1">
        <v>45442</v>
      </c>
      <c r="G609" s="2">
        <v>130000</v>
      </c>
      <c r="H609">
        <v>0</v>
      </c>
      <c r="I609" t="s">
        <v>694</v>
      </c>
      <c r="J609" t="s">
        <v>86</v>
      </c>
      <c r="K609" t="s">
        <v>15</v>
      </c>
    </row>
    <row r="610" spans="1:11" x14ac:dyDescent="0.3">
      <c r="A610" t="s">
        <v>58</v>
      </c>
      <c r="B610" t="s">
        <v>59</v>
      </c>
      <c r="C610">
        <v>23306</v>
      </c>
      <c r="D610">
        <v>32618</v>
      </c>
      <c r="E610" s="1">
        <v>45177</v>
      </c>
      <c r="F610" s="1">
        <v>45297</v>
      </c>
      <c r="G610" s="2">
        <v>42000</v>
      </c>
      <c r="H610">
        <v>0</v>
      </c>
      <c r="I610" t="s">
        <v>695</v>
      </c>
      <c r="J610" t="s">
        <v>57</v>
      </c>
      <c r="K610" t="s">
        <v>15</v>
      </c>
    </row>
    <row r="611" spans="1:11" x14ac:dyDescent="0.3">
      <c r="A611" t="s">
        <v>504</v>
      </c>
      <c r="B611" t="s">
        <v>505</v>
      </c>
      <c r="C611">
        <v>23329</v>
      </c>
      <c r="D611">
        <v>32641</v>
      </c>
      <c r="E611" s="1">
        <v>45181</v>
      </c>
      <c r="F611" s="1">
        <v>45541</v>
      </c>
      <c r="G611" s="2">
        <v>393901</v>
      </c>
      <c r="H611">
        <v>0</v>
      </c>
      <c r="I611" t="s">
        <v>696</v>
      </c>
      <c r="J611" t="s">
        <v>94</v>
      </c>
      <c r="K611" t="s">
        <v>15</v>
      </c>
    </row>
    <row r="612" spans="1:11" x14ac:dyDescent="0.3">
      <c r="A612" t="s">
        <v>512</v>
      </c>
      <c r="B612" t="s">
        <v>513</v>
      </c>
      <c r="C612">
        <v>23463</v>
      </c>
      <c r="D612">
        <v>32780</v>
      </c>
      <c r="E612" s="1">
        <v>45188</v>
      </c>
      <c r="F612" s="1">
        <v>45412</v>
      </c>
      <c r="G612" s="2">
        <v>110084.8</v>
      </c>
      <c r="H612">
        <v>0</v>
      </c>
      <c r="I612" t="s">
        <v>697</v>
      </c>
      <c r="J612" t="s">
        <v>73</v>
      </c>
      <c r="K612" t="s">
        <v>15</v>
      </c>
    </row>
    <row r="613" spans="1:11" x14ac:dyDescent="0.3">
      <c r="A613" t="s">
        <v>533</v>
      </c>
      <c r="B613" t="s">
        <v>534</v>
      </c>
      <c r="C613">
        <v>23531</v>
      </c>
      <c r="D613">
        <v>32852</v>
      </c>
      <c r="E613" s="1">
        <v>45191</v>
      </c>
      <c r="F613" s="1">
        <v>45402</v>
      </c>
      <c r="G613" s="2">
        <v>49660</v>
      </c>
      <c r="H613">
        <v>0</v>
      </c>
      <c r="I613" t="s">
        <v>698</v>
      </c>
      <c r="J613" t="s">
        <v>42</v>
      </c>
      <c r="K613" t="s">
        <v>15</v>
      </c>
    </row>
    <row r="614" spans="1:11" x14ac:dyDescent="0.3">
      <c r="A614" t="s">
        <v>351</v>
      </c>
      <c r="B614" t="s">
        <v>352</v>
      </c>
      <c r="C614">
        <v>23538</v>
      </c>
      <c r="D614">
        <v>32859</v>
      </c>
      <c r="E614" s="1">
        <v>45191</v>
      </c>
      <c r="F614" s="1">
        <v>45251</v>
      </c>
      <c r="G614" s="2">
        <v>70629</v>
      </c>
      <c r="H614">
        <v>0</v>
      </c>
      <c r="I614" t="s">
        <v>699</v>
      </c>
      <c r="J614" t="s">
        <v>151</v>
      </c>
      <c r="K614" t="s">
        <v>15</v>
      </c>
    </row>
    <row r="615" spans="1:11" x14ac:dyDescent="0.3">
      <c r="A615" t="s">
        <v>39</v>
      </c>
      <c r="B615" t="s">
        <v>40</v>
      </c>
      <c r="C615">
        <v>23772</v>
      </c>
      <c r="D615">
        <v>33117</v>
      </c>
      <c r="E615" s="1">
        <v>45215</v>
      </c>
      <c r="F615" s="1">
        <v>45381</v>
      </c>
      <c r="G615" s="2">
        <v>24349</v>
      </c>
      <c r="H615">
        <v>0</v>
      </c>
      <c r="I615" t="s">
        <v>700</v>
      </c>
      <c r="J615" t="s">
        <v>42</v>
      </c>
      <c r="K615" t="s">
        <v>15</v>
      </c>
    </row>
    <row r="616" spans="1:11" x14ac:dyDescent="0.3">
      <c r="A616" t="s">
        <v>582</v>
      </c>
      <c r="B616" t="s">
        <v>583</v>
      </c>
      <c r="C616">
        <v>23806</v>
      </c>
      <c r="D616">
        <v>33154</v>
      </c>
      <c r="E616" s="1">
        <v>45217</v>
      </c>
      <c r="F616" s="1">
        <v>45367</v>
      </c>
      <c r="G616" s="2">
        <v>53900</v>
      </c>
      <c r="H616">
        <v>0</v>
      </c>
      <c r="I616" t="s">
        <v>701</v>
      </c>
      <c r="J616" t="s">
        <v>27</v>
      </c>
    </row>
    <row r="617" spans="1:11" x14ac:dyDescent="0.3">
      <c r="A617" t="s">
        <v>88</v>
      </c>
      <c r="B617" t="s">
        <v>89</v>
      </c>
      <c r="C617">
        <v>23872</v>
      </c>
      <c r="D617">
        <v>33226</v>
      </c>
      <c r="E617" s="1">
        <v>45222</v>
      </c>
      <c r="F617" s="1">
        <v>45372</v>
      </c>
      <c r="G617" s="2">
        <v>120000</v>
      </c>
      <c r="H617">
        <v>0</v>
      </c>
      <c r="I617" t="s">
        <v>702</v>
      </c>
      <c r="J617" t="s">
        <v>27</v>
      </c>
      <c r="K617" t="s">
        <v>15</v>
      </c>
    </row>
    <row r="618" spans="1:11" x14ac:dyDescent="0.3">
      <c r="A618" t="s">
        <v>61</v>
      </c>
      <c r="B618" t="s">
        <v>35</v>
      </c>
      <c r="C618">
        <v>22744</v>
      </c>
      <c r="D618">
        <v>32028</v>
      </c>
      <c r="E618" s="1">
        <v>45112</v>
      </c>
      <c r="F618" s="1">
        <v>45292</v>
      </c>
      <c r="G618" s="2">
        <v>14405.6</v>
      </c>
      <c r="H618">
        <v>0</v>
      </c>
      <c r="I618" t="s">
        <v>463</v>
      </c>
      <c r="J618" t="s">
        <v>19</v>
      </c>
      <c r="K618" t="s">
        <v>15</v>
      </c>
    </row>
    <row r="619" spans="1:11" x14ac:dyDescent="0.3">
      <c r="A619" t="s">
        <v>239</v>
      </c>
      <c r="B619" t="s">
        <v>240</v>
      </c>
      <c r="C619">
        <v>22747</v>
      </c>
      <c r="D619">
        <v>32031</v>
      </c>
      <c r="E619" s="1">
        <v>45112</v>
      </c>
      <c r="F619" s="1">
        <v>45232</v>
      </c>
      <c r="G619" s="2">
        <v>2282.5</v>
      </c>
      <c r="H619">
        <v>0</v>
      </c>
      <c r="I619" t="s">
        <v>703</v>
      </c>
      <c r="J619" t="s">
        <v>19</v>
      </c>
      <c r="K619" t="s">
        <v>15</v>
      </c>
    </row>
    <row r="620" spans="1:11" x14ac:dyDescent="0.3">
      <c r="A620" t="s">
        <v>704</v>
      </c>
      <c r="B620" t="s">
        <v>705</v>
      </c>
      <c r="C620">
        <v>23134</v>
      </c>
      <c r="D620">
        <v>32440</v>
      </c>
      <c r="E620" s="1">
        <v>45166</v>
      </c>
      <c r="F620" s="1">
        <v>45286</v>
      </c>
      <c r="G620" s="2">
        <v>8000</v>
      </c>
      <c r="H620">
        <v>0</v>
      </c>
      <c r="I620" t="s">
        <v>706</v>
      </c>
      <c r="J620" t="s">
        <v>19</v>
      </c>
      <c r="K620" t="s">
        <v>15</v>
      </c>
    </row>
    <row r="621" spans="1:11" x14ac:dyDescent="0.3">
      <c r="A621" t="s">
        <v>220</v>
      </c>
      <c r="B621" t="s">
        <v>221</v>
      </c>
      <c r="C621">
        <v>23334</v>
      </c>
      <c r="D621">
        <v>32646</v>
      </c>
      <c r="E621" s="1">
        <v>45181</v>
      </c>
      <c r="F621" s="1">
        <v>45442</v>
      </c>
      <c r="G621" s="2">
        <v>403200</v>
      </c>
      <c r="H621">
        <v>0</v>
      </c>
      <c r="I621" t="s">
        <v>707</v>
      </c>
      <c r="J621" t="s">
        <v>46</v>
      </c>
      <c r="K621" t="s">
        <v>15</v>
      </c>
    </row>
    <row r="622" spans="1:11" x14ac:dyDescent="0.3">
      <c r="A622" t="s">
        <v>31</v>
      </c>
      <c r="B622" t="s">
        <v>32</v>
      </c>
      <c r="C622">
        <v>23433</v>
      </c>
      <c r="D622">
        <v>32745</v>
      </c>
      <c r="E622" s="1">
        <v>45187</v>
      </c>
      <c r="F622" s="1">
        <v>45307</v>
      </c>
      <c r="G622" s="2">
        <v>1562.5</v>
      </c>
      <c r="H622">
        <v>0</v>
      </c>
      <c r="I622" t="s">
        <v>708</v>
      </c>
      <c r="J622" t="s">
        <v>19</v>
      </c>
      <c r="K622" t="s">
        <v>15</v>
      </c>
    </row>
    <row r="623" spans="1:11" x14ac:dyDescent="0.3">
      <c r="A623" t="s">
        <v>31</v>
      </c>
      <c r="B623" t="s">
        <v>32</v>
      </c>
      <c r="C623">
        <v>23433</v>
      </c>
      <c r="D623">
        <v>32745</v>
      </c>
      <c r="E623" s="1">
        <v>45187</v>
      </c>
      <c r="F623" s="1">
        <v>45337</v>
      </c>
      <c r="G623" s="2">
        <v>1562.5</v>
      </c>
      <c r="H623">
        <v>0</v>
      </c>
      <c r="I623" t="s">
        <v>708</v>
      </c>
      <c r="J623" t="s">
        <v>19</v>
      </c>
      <c r="K623" t="s">
        <v>15</v>
      </c>
    </row>
    <row r="624" spans="1:11" x14ac:dyDescent="0.3">
      <c r="A624" t="s">
        <v>31</v>
      </c>
      <c r="B624" t="s">
        <v>32</v>
      </c>
      <c r="C624">
        <v>23433</v>
      </c>
      <c r="D624">
        <v>32745</v>
      </c>
      <c r="E624" s="1">
        <v>45187</v>
      </c>
      <c r="F624" s="1">
        <v>45367</v>
      </c>
      <c r="G624" s="2">
        <v>1562.5</v>
      </c>
      <c r="H624">
        <v>0</v>
      </c>
      <c r="I624" t="s">
        <v>708</v>
      </c>
      <c r="J624" t="s">
        <v>19</v>
      </c>
      <c r="K624" t="s">
        <v>15</v>
      </c>
    </row>
    <row r="625" spans="1:11" x14ac:dyDescent="0.3">
      <c r="A625" t="s">
        <v>47</v>
      </c>
      <c r="B625" t="s">
        <v>48</v>
      </c>
      <c r="C625">
        <v>23566</v>
      </c>
      <c r="D625">
        <v>32897</v>
      </c>
      <c r="E625" s="1">
        <v>45195</v>
      </c>
      <c r="F625" s="1">
        <v>45315</v>
      </c>
      <c r="G625" s="2">
        <v>12650</v>
      </c>
      <c r="H625">
        <v>0</v>
      </c>
      <c r="I625" t="s">
        <v>709</v>
      </c>
      <c r="J625" t="s">
        <v>23</v>
      </c>
      <c r="K625" t="s">
        <v>15</v>
      </c>
    </row>
    <row r="626" spans="1:11" x14ac:dyDescent="0.3">
      <c r="A626" t="s">
        <v>24</v>
      </c>
      <c r="B626" t="s">
        <v>25</v>
      </c>
      <c r="C626">
        <v>23669</v>
      </c>
      <c r="D626">
        <v>33005</v>
      </c>
      <c r="E626" s="1">
        <v>45201</v>
      </c>
      <c r="F626" s="1">
        <v>45351</v>
      </c>
      <c r="G626" s="2">
        <v>122664.6</v>
      </c>
      <c r="H626">
        <v>0</v>
      </c>
      <c r="I626" t="s">
        <v>710</v>
      </c>
      <c r="J626" t="s">
        <v>27</v>
      </c>
      <c r="K626" t="s">
        <v>15</v>
      </c>
    </row>
    <row r="627" spans="1:11" x14ac:dyDescent="0.3">
      <c r="A627" t="s">
        <v>63</v>
      </c>
      <c r="B627" t="s">
        <v>64</v>
      </c>
      <c r="C627">
        <v>23049</v>
      </c>
      <c r="D627">
        <v>32346</v>
      </c>
      <c r="E627" s="1">
        <v>45159</v>
      </c>
      <c r="F627" s="1">
        <v>45279</v>
      </c>
      <c r="G627" s="2">
        <v>163730</v>
      </c>
      <c r="H627">
        <v>0</v>
      </c>
      <c r="I627" t="s">
        <v>1010</v>
      </c>
      <c r="J627" t="s">
        <v>19</v>
      </c>
      <c r="K627" t="s">
        <v>15</v>
      </c>
    </row>
    <row r="628" spans="1:11" x14ac:dyDescent="0.3">
      <c r="A628" t="s">
        <v>11</v>
      </c>
      <c r="B628" t="s">
        <v>12</v>
      </c>
      <c r="C628">
        <v>23851</v>
      </c>
      <c r="D628">
        <v>33204</v>
      </c>
      <c r="E628" s="1">
        <v>45222</v>
      </c>
      <c r="F628" s="1">
        <v>45312</v>
      </c>
      <c r="G628" s="2">
        <v>4257.5</v>
      </c>
      <c r="H628">
        <v>0</v>
      </c>
      <c r="I628" t="s">
        <v>712</v>
      </c>
      <c r="J628" t="s">
        <v>14</v>
      </c>
      <c r="K628" t="s">
        <v>15</v>
      </c>
    </row>
    <row r="629" spans="1:11" x14ac:dyDescent="0.3">
      <c r="A629" t="s">
        <v>11</v>
      </c>
      <c r="B629" t="s">
        <v>12</v>
      </c>
      <c r="C629">
        <v>23851</v>
      </c>
      <c r="D629">
        <v>33204</v>
      </c>
      <c r="E629" s="1">
        <v>45222</v>
      </c>
      <c r="F629" s="1">
        <v>45342</v>
      </c>
      <c r="G629" s="2">
        <v>4257.5</v>
      </c>
      <c r="H629">
        <v>0</v>
      </c>
      <c r="I629" t="s">
        <v>712</v>
      </c>
      <c r="J629" t="s">
        <v>14</v>
      </c>
      <c r="K629" t="s">
        <v>15</v>
      </c>
    </row>
    <row r="630" spans="1:11" x14ac:dyDescent="0.3">
      <c r="A630" t="s">
        <v>11</v>
      </c>
      <c r="B630" t="s">
        <v>12</v>
      </c>
      <c r="C630">
        <v>23851</v>
      </c>
      <c r="D630">
        <v>33204</v>
      </c>
      <c r="E630" s="1">
        <v>45222</v>
      </c>
      <c r="F630" s="1">
        <v>45372</v>
      </c>
      <c r="G630" s="2">
        <v>4257.5</v>
      </c>
      <c r="H630">
        <v>0</v>
      </c>
      <c r="I630" t="s">
        <v>712</v>
      </c>
      <c r="J630" t="s">
        <v>14</v>
      </c>
      <c r="K630" t="s">
        <v>15</v>
      </c>
    </row>
    <row r="631" spans="1:11" x14ac:dyDescent="0.3">
      <c r="A631" t="s">
        <v>491</v>
      </c>
      <c r="B631" t="s">
        <v>492</v>
      </c>
      <c r="C631">
        <v>22008</v>
      </c>
      <c r="D631">
        <v>31164</v>
      </c>
      <c r="E631" s="1">
        <v>44985</v>
      </c>
      <c r="F631" s="1">
        <v>45168</v>
      </c>
      <c r="G631" s="2">
        <v>254062.1</v>
      </c>
      <c r="H631">
        <v>54</v>
      </c>
      <c r="I631" t="s">
        <v>713</v>
      </c>
      <c r="J631" t="s">
        <v>82</v>
      </c>
      <c r="K631" t="s">
        <v>15</v>
      </c>
    </row>
    <row r="632" spans="1:11" x14ac:dyDescent="0.3">
      <c r="A632" t="s">
        <v>20</v>
      </c>
      <c r="B632" t="s">
        <v>21</v>
      </c>
      <c r="C632">
        <v>23651</v>
      </c>
      <c r="D632">
        <v>32985</v>
      </c>
      <c r="E632" s="1">
        <v>45198</v>
      </c>
      <c r="F632" s="1">
        <v>45378</v>
      </c>
      <c r="G632" s="2">
        <v>15631.25</v>
      </c>
      <c r="H632">
        <v>0</v>
      </c>
      <c r="I632" t="s">
        <v>318</v>
      </c>
      <c r="J632" t="s">
        <v>23</v>
      </c>
      <c r="K632" t="s">
        <v>15</v>
      </c>
    </row>
    <row r="633" spans="1:11" x14ac:dyDescent="0.3">
      <c r="A633" t="s">
        <v>663</v>
      </c>
      <c r="B633" t="s">
        <v>664</v>
      </c>
      <c r="C633">
        <v>23801</v>
      </c>
      <c r="D633">
        <v>33144</v>
      </c>
      <c r="E633" s="1">
        <v>45216</v>
      </c>
      <c r="F633" s="1">
        <v>45306</v>
      </c>
      <c r="G633" s="2">
        <v>13680</v>
      </c>
      <c r="H633">
        <v>0</v>
      </c>
      <c r="I633" t="s">
        <v>714</v>
      </c>
      <c r="J633" t="s">
        <v>94</v>
      </c>
      <c r="K633" t="s">
        <v>15</v>
      </c>
    </row>
    <row r="634" spans="1:11" x14ac:dyDescent="0.3">
      <c r="A634" t="s">
        <v>109</v>
      </c>
      <c r="B634" t="s">
        <v>110</v>
      </c>
      <c r="C634">
        <v>21497</v>
      </c>
      <c r="D634">
        <v>30655</v>
      </c>
      <c r="E634" s="1">
        <v>44936</v>
      </c>
      <c r="F634" s="1">
        <v>45168</v>
      </c>
      <c r="G634" s="2">
        <v>207900</v>
      </c>
      <c r="H634">
        <v>54</v>
      </c>
      <c r="I634" t="s">
        <v>715</v>
      </c>
      <c r="J634" t="s">
        <v>112</v>
      </c>
      <c r="K634" t="s">
        <v>15</v>
      </c>
    </row>
    <row r="635" spans="1:11" x14ac:dyDescent="0.3">
      <c r="A635" t="s">
        <v>20</v>
      </c>
      <c r="B635" t="s">
        <v>21</v>
      </c>
      <c r="C635">
        <v>22494</v>
      </c>
      <c r="D635">
        <v>31753</v>
      </c>
      <c r="E635" s="1">
        <v>45070</v>
      </c>
      <c r="F635" s="1">
        <v>45235</v>
      </c>
      <c r="G635" s="2">
        <v>10499.99</v>
      </c>
      <c r="H635">
        <v>0</v>
      </c>
      <c r="I635" t="s">
        <v>716</v>
      </c>
      <c r="J635" t="s">
        <v>23</v>
      </c>
      <c r="K635" t="s">
        <v>15</v>
      </c>
    </row>
    <row r="636" spans="1:11" x14ac:dyDescent="0.3">
      <c r="A636" t="s">
        <v>20</v>
      </c>
      <c r="B636" t="s">
        <v>21</v>
      </c>
      <c r="C636">
        <v>22494</v>
      </c>
      <c r="D636">
        <v>31753</v>
      </c>
      <c r="E636" s="1">
        <v>45070</v>
      </c>
      <c r="F636" s="1">
        <v>45250</v>
      </c>
      <c r="G636" s="2">
        <v>10500.08</v>
      </c>
      <c r="H636">
        <v>0</v>
      </c>
      <c r="I636" t="s">
        <v>716</v>
      </c>
      <c r="J636" t="s">
        <v>23</v>
      </c>
      <c r="K636" t="s">
        <v>15</v>
      </c>
    </row>
    <row r="637" spans="1:11" x14ac:dyDescent="0.3">
      <c r="A637" t="s">
        <v>329</v>
      </c>
      <c r="B637" t="s">
        <v>330</v>
      </c>
      <c r="C637">
        <v>22576</v>
      </c>
      <c r="D637">
        <v>31844</v>
      </c>
      <c r="E637" s="1">
        <v>45090</v>
      </c>
      <c r="F637" s="1">
        <v>45270</v>
      </c>
      <c r="G637" s="2">
        <v>3120</v>
      </c>
      <c r="H637">
        <v>0</v>
      </c>
      <c r="I637" t="s">
        <v>717</v>
      </c>
      <c r="J637" t="s">
        <v>19</v>
      </c>
      <c r="K637" t="s">
        <v>15</v>
      </c>
    </row>
    <row r="638" spans="1:11" x14ac:dyDescent="0.3">
      <c r="A638" t="s">
        <v>119</v>
      </c>
      <c r="B638" t="s">
        <v>120</v>
      </c>
      <c r="C638">
        <v>22937</v>
      </c>
      <c r="D638">
        <v>32211</v>
      </c>
      <c r="E638" s="1">
        <v>45142</v>
      </c>
      <c r="F638" s="1">
        <v>45352</v>
      </c>
      <c r="G638" s="2">
        <v>84480</v>
      </c>
      <c r="H638">
        <v>0</v>
      </c>
      <c r="I638" t="s">
        <v>718</v>
      </c>
      <c r="J638" t="s">
        <v>122</v>
      </c>
      <c r="K638" t="s">
        <v>15</v>
      </c>
    </row>
    <row r="639" spans="1:11" x14ac:dyDescent="0.3">
      <c r="A639" t="s">
        <v>91</v>
      </c>
      <c r="B639" t="s">
        <v>92</v>
      </c>
      <c r="C639">
        <v>23162</v>
      </c>
      <c r="D639">
        <v>32466</v>
      </c>
      <c r="E639" s="1">
        <v>45167</v>
      </c>
      <c r="F639" s="1">
        <v>45287</v>
      </c>
      <c r="G639" s="2">
        <v>12157.2</v>
      </c>
      <c r="H639">
        <v>0</v>
      </c>
      <c r="I639" t="s">
        <v>719</v>
      </c>
      <c r="J639" t="s">
        <v>94</v>
      </c>
      <c r="K639" t="s">
        <v>15</v>
      </c>
    </row>
    <row r="640" spans="1:11" x14ac:dyDescent="0.3">
      <c r="A640" t="s">
        <v>689</v>
      </c>
      <c r="B640" t="s">
        <v>690</v>
      </c>
      <c r="C640">
        <v>23330</v>
      </c>
      <c r="D640">
        <v>32642</v>
      </c>
      <c r="E640" s="1">
        <v>45181</v>
      </c>
      <c r="F640" s="1">
        <v>45381</v>
      </c>
      <c r="G640" s="2">
        <v>418440</v>
      </c>
      <c r="H640">
        <v>0</v>
      </c>
      <c r="I640" t="s">
        <v>720</v>
      </c>
      <c r="J640" t="s">
        <v>82</v>
      </c>
      <c r="K640" t="s">
        <v>15</v>
      </c>
    </row>
    <row r="641" spans="1:11" x14ac:dyDescent="0.3">
      <c r="A641" t="s">
        <v>323</v>
      </c>
      <c r="B641" t="s">
        <v>324</v>
      </c>
      <c r="C641">
        <v>23344</v>
      </c>
      <c r="D641">
        <v>32657</v>
      </c>
      <c r="E641" s="1">
        <v>45182</v>
      </c>
      <c r="F641" s="1">
        <v>45542</v>
      </c>
      <c r="G641" s="2">
        <v>40380</v>
      </c>
      <c r="H641">
        <v>0</v>
      </c>
      <c r="I641" t="s">
        <v>721</v>
      </c>
      <c r="J641" t="s">
        <v>94</v>
      </c>
      <c r="K641" t="s">
        <v>15</v>
      </c>
    </row>
    <row r="642" spans="1:11" x14ac:dyDescent="0.3">
      <c r="A642" t="s">
        <v>119</v>
      </c>
      <c r="B642" t="s">
        <v>120</v>
      </c>
      <c r="C642">
        <v>23369</v>
      </c>
      <c r="D642">
        <v>32684</v>
      </c>
      <c r="E642" s="1">
        <v>45183</v>
      </c>
      <c r="F642" s="1">
        <v>45363</v>
      </c>
      <c r="G642" s="2">
        <v>129500</v>
      </c>
      <c r="H642">
        <v>0</v>
      </c>
      <c r="I642" t="s">
        <v>722</v>
      </c>
      <c r="J642" t="s">
        <v>122</v>
      </c>
      <c r="K642" t="s">
        <v>15</v>
      </c>
    </row>
    <row r="643" spans="1:11" x14ac:dyDescent="0.3">
      <c r="A643" t="s">
        <v>346</v>
      </c>
      <c r="B643" t="s">
        <v>347</v>
      </c>
      <c r="C643">
        <v>23394</v>
      </c>
      <c r="D643">
        <v>32705</v>
      </c>
      <c r="E643" s="1">
        <v>45184</v>
      </c>
      <c r="F643" s="1">
        <v>45442</v>
      </c>
      <c r="G643" s="2">
        <v>282800</v>
      </c>
      <c r="H643">
        <v>0</v>
      </c>
      <c r="I643" t="s">
        <v>723</v>
      </c>
      <c r="J643" t="s">
        <v>112</v>
      </c>
      <c r="K643" t="s">
        <v>15</v>
      </c>
    </row>
    <row r="644" spans="1:11" x14ac:dyDescent="0.3">
      <c r="A644" t="s">
        <v>34</v>
      </c>
      <c r="B644" t="s">
        <v>35</v>
      </c>
      <c r="C644">
        <v>22759</v>
      </c>
      <c r="D644">
        <v>32044</v>
      </c>
      <c r="E644" s="1">
        <v>45113</v>
      </c>
      <c r="F644" s="1">
        <v>45293</v>
      </c>
      <c r="G644" s="2">
        <v>152533.18</v>
      </c>
      <c r="H644">
        <v>0</v>
      </c>
      <c r="I644" t="s">
        <v>332</v>
      </c>
      <c r="J644" t="s">
        <v>19</v>
      </c>
      <c r="K644" t="s">
        <v>15</v>
      </c>
    </row>
    <row r="645" spans="1:11" x14ac:dyDescent="0.3">
      <c r="A645" t="s">
        <v>689</v>
      </c>
      <c r="B645" t="s">
        <v>690</v>
      </c>
      <c r="C645">
        <v>23469</v>
      </c>
      <c r="D645">
        <v>32786</v>
      </c>
      <c r="E645" s="1">
        <v>45188</v>
      </c>
      <c r="F645" s="1">
        <v>45381</v>
      </c>
      <c r="G645" s="2">
        <v>149160</v>
      </c>
      <c r="H645">
        <v>0</v>
      </c>
      <c r="I645" t="s">
        <v>725</v>
      </c>
      <c r="J645" t="s">
        <v>82</v>
      </c>
      <c r="K645" t="s">
        <v>15</v>
      </c>
    </row>
    <row r="646" spans="1:11" x14ac:dyDescent="0.3">
      <c r="A646" t="s">
        <v>34</v>
      </c>
      <c r="B646" t="s">
        <v>35</v>
      </c>
      <c r="C646">
        <v>22755</v>
      </c>
      <c r="D646">
        <v>32040</v>
      </c>
      <c r="E646" s="1">
        <v>45113</v>
      </c>
      <c r="F646" s="1">
        <v>45293</v>
      </c>
      <c r="G646" s="2">
        <v>13440</v>
      </c>
      <c r="H646">
        <v>0</v>
      </c>
      <c r="I646" t="s">
        <v>538</v>
      </c>
      <c r="J646" t="s">
        <v>19</v>
      </c>
      <c r="K646" t="s">
        <v>15</v>
      </c>
    </row>
    <row r="647" spans="1:11" x14ac:dyDescent="0.3">
      <c r="A647" t="s">
        <v>512</v>
      </c>
      <c r="B647" t="s">
        <v>513</v>
      </c>
      <c r="C647">
        <v>23630</v>
      </c>
      <c r="D647">
        <v>32963</v>
      </c>
      <c r="E647" s="1">
        <v>45198</v>
      </c>
      <c r="F647" s="1">
        <v>45412</v>
      </c>
      <c r="G647" s="2">
        <v>21943.200000000001</v>
      </c>
      <c r="H647">
        <v>0</v>
      </c>
      <c r="I647" t="s">
        <v>727</v>
      </c>
      <c r="J647" t="s">
        <v>73</v>
      </c>
      <c r="K647" t="s">
        <v>15</v>
      </c>
    </row>
    <row r="648" spans="1:11" x14ac:dyDescent="0.3">
      <c r="A648" t="s">
        <v>255</v>
      </c>
      <c r="B648" t="s">
        <v>256</v>
      </c>
      <c r="C648">
        <v>23805</v>
      </c>
      <c r="D648">
        <v>33152</v>
      </c>
      <c r="E648" s="1">
        <v>45217</v>
      </c>
      <c r="F648" s="1">
        <v>45247</v>
      </c>
      <c r="G648" s="2">
        <v>211900</v>
      </c>
      <c r="H648">
        <v>0</v>
      </c>
      <c r="I648" t="s">
        <v>728</v>
      </c>
      <c r="J648" t="s">
        <v>122</v>
      </c>
      <c r="K648" t="s">
        <v>15</v>
      </c>
    </row>
    <row r="649" spans="1:11" x14ac:dyDescent="0.3">
      <c r="A649" t="s">
        <v>67</v>
      </c>
      <c r="B649" t="s">
        <v>68</v>
      </c>
      <c r="C649">
        <v>23823</v>
      </c>
      <c r="D649">
        <v>33176</v>
      </c>
      <c r="E649" s="1">
        <v>45218</v>
      </c>
      <c r="F649" s="1">
        <v>45338</v>
      </c>
      <c r="G649" s="2">
        <v>109620</v>
      </c>
      <c r="H649">
        <v>0</v>
      </c>
      <c r="I649" t="s">
        <v>729</v>
      </c>
      <c r="J649" t="s">
        <v>19</v>
      </c>
      <c r="K649" t="s">
        <v>15</v>
      </c>
    </row>
    <row r="650" spans="1:11" x14ac:dyDescent="0.3">
      <c r="A650" t="s">
        <v>83</v>
      </c>
      <c r="B650" t="s">
        <v>84</v>
      </c>
      <c r="C650">
        <v>21739</v>
      </c>
      <c r="D650">
        <v>30890</v>
      </c>
      <c r="E650" s="1">
        <v>44961</v>
      </c>
      <c r="F650" s="1">
        <v>45168</v>
      </c>
      <c r="G650" s="2">
        <v>22000</v>
      </c>
      <c r="H650">
        <v>54</v>
      </c>
      <c r="I650" t="s">
        <v>730</v>
      </c>
      <c r="J650" t="s">
        <v>86</v>
      </c>
      <c r="K650" t="s">
        <v>15</v>
      </c>
    </row>
    <row r="651" spans="1:11" x14ac:dyDescent="0.3">
      <c r="A651" t="s">
        <v>145</v>
      </c>
      <c r="B651" t="s">
        <v>146</v>
      </c>
      <c r="C651">
        <v>21752</v>
      </c>
      <c r="D651">
        <v>30903</v>
      </c>
      <c r="E651" s="1">
        <v>44961</v>
      </c>
      <c r="F651" s="1">
        <v>45199</v>
      </c>
      <c r="G651" s="2">
        <v>5800</v>
      </c>
      <c r="H651">
        <v>23</v>
      </c>
      <c r="I651" t="s">
        <v>731</v>
      </c>
      <c r="J651" t="s">
        <v>82</v>
      </c>
      <c r="K651" t="s">
        <v>15</v>
      </c>
    </row>
    <row r="652" spans="1:11" x14ac:dyDescent="0.3">
      <c r="A652" t="s">
        <v>136</v>
      </c>
      <c r="B652" t="s">
        <v>137</v>
      </c>
      <c r="C652">
        <v>22522</v>
      </c>
      <c r="D652">
        <v>31782</v>
      </c>
      <c r="E652" s="1">
        <v>45075</v>
      </c>
      <c r="F652" s="1">
        <v>45225</v>
      </c>
      <c r="G652" s="2">
        <v>20583.38</v>
      </c>
      <c r="H652">
        <v>0</v>
      </c>
      <c r="I652" t="s">
        <v>732</v>
      </c>
      <c r="J652" t="s">
        <v>122</v>
      </c>
      <c r="K652" t="s">
        <v>15</v>
      </c>
    </row>
    <row r="653" spans="1:11" x14ac:dyDescent="0.3">
      <c r="A653" t="s">
        <v>384</v>
      </c>
      <c r="B653" t="s">
        <v>385</v>
      </c>
      <c r="C653">
        <v>22573</v>
      </c>
      <c r="D653">
        <v>31842</v>
      </c>
      <c r="E653" s="1">
        <v>45089</v>
      </c>
      <c r="F653" s="1">
        <v>45239</v>
      </c>
      <c r="G653" s="2">
        <v>14461.03</v>
      </c>
      <c r="H653">
        <v>0</v>
      </c>
      <c r="I653" t="s">
        <v>733</v>
      </c>
      <c r="J653" t="s">
        <v>23</v>
      </c>
      <c r="K653" t="s">
        <v>15</v>
      </c>
    </row>
    <row r="654" spans="1:11" x14ac:dyDescent="0.3">
      <c r="A654" t="s">
        <v>24</v>
      </c>
      <c r="B654" t="s">
        <v>25</v>
      </c>
      <c r="C654">
        <v>23740</v>
      </c>
      <c r="D654">
        <v>33081</v>
      </c>
      <c r="E654" s="1">
        <v>45209</v>
      </c>
      <c r="F654" s="1">
        <v>45419</v>
      </c>
      <c r="G654" s="2">
        <v>38875</v>
      </c>
      <c r="H654">
        <v>0</v>
      </c>
      <c r="I654" t="s">
        <v>734</v>
      </c>
      <c r="J654" t="s">
        <v>27</v>
      </c>
      <c r="K654" t="s">
        <v>15</v>
      </c>
    </row>
    <row r="655" spans="1:11" x14ac:dyDescent="0.3">
      <c r="A655" t="s">
        <v>24</v>
      </c>
      <c r="B655" t="s">
        <v>25</v>
      </c>
      <c r="C655">
        <v>23765</v>
      </c>
      <c r="D655">
        <v>33108</v>
      </c>
      <c r="E655" s="1">
        <v>45215</v>
      </c>
      <c r="F655" s="1">
        <v>45365</v>
      </c>
      <c r="G655" s="2">
        <v>90300</v>
      </c>
      <c r="H655">
        <v>0</v>
      </c>
      <c r="I655" t="s">
        <v>735</v>
      </c>
      <c r="J655" t="s">
        <v>27</v>
      </c>
      <c r="K655" t="s">
        <v>15</v>
      </c>
    </row>
    <row r="656" spans="1:11" x14ac:dyDescent="0.3">
      <c r="A656" t="s">
        <v>504</v>
      </c>
      <c r="B656" t="s">
        <v>505</v>
      </c>
      <c r="C656">
        <v>23795</v>
      </c>
      <c r="D656">
        <v>33140</v>
      </c>
      <c r="E656" s="1">
        <v>45216</v>
      </c>
      <c r="F656" s="1">
        <v>45442</v>
      </c>
      <c r="G656" s="2">
        <v>85000</v>
      </c>
      <c r="H656">
        <v>0</v>
      </c>
      <c r="I656" t="s">
        <v>736</v>
      </c>
      <c r="J656" t="s">
        <v>94</v>
      </c>
      <c r="K656" t="s">
        <v>15</v>
      </c>
    </row>
    <row r="657" spans="1:11" x14ac:dyDescent="0.3">
      <c r="A657" t="s">
        <v>737</v>
      </c>
      <c r="B657" t="s">
        <v>738</v>
      </c>
      <c r="C657">
        <v>23816</v>
      </c>
      <c r="D657">
        <v>33169</v>
      </c>
      <c r="E657" s="1">
        <v>45218</v>
      </c>
      <c r="F657" s="1">
        <v>45248</v>
      </c>
      <c r="G657" s="2">
        <v>10084.24</v>
      </c>
      <c r="H657">
        <v>0</v>
      </c>
      <c r="I657" t="s">
        <v>739</v>
      </c>
      <c r="J657" t="s">
        <v>213</v>
      </c>
      <c r="K657" t="s">
        <v>15</v>
      </c>
    </row>
    <row r="658" spans="1:11" x14ac:dyDescent="0.3">
      <c r="A658" t="s">
        <v>737</v>
      </c>
      <c r="B658" t="s">
        <v>738</v>
      </c>
      <c r="C658">
        <v>23816</v>
      </c>
      <c r="D658">
        <v>33169</v>
      </c>
      <c r="E658" s="1">
        <v>45218</v>
      </c>
      <c r="F658" s="1">
        <v>45278</v>
      </c>
      <c r="G658" s="2">
        <v>10084.24</v>
      </c>
      <c r="H658">
        <v>0</v>
      </c>
      <c r="I658" t="s">
        <v>739</v>
      </c>
      <c r="J658" t="s">
        <v>213</v>
      </c>
      <c r="K658" t="s">
        <v>15</v>
      </c>
    </row>
    <row r="659" spans="1:11" x14ac:dyDescent="0.3">
      <c r="A659" t="s">
        <v>737</v>
      </c>
      <c r="B659" t="s">
        <v>738</v>
      </c>
      <c r="C659">
        <v>23816</v>
      </c>
      <c r="D659">
        <v>33169</v>
      </c>
      <c r="E659" s="1">
        <v>45218</v>
      </c>
      <c r="F659" s="1">
        <v>45308</v>
      </c>
      <c r="G659" s="2">
        <v>10084.26</v>
      </c>
      <c r="H659">
        <v>0</v>
      </c>
      <c r="I659" t="s">
        <v>739</v>
      </c>
      <c r="J659" t="s">
        <v>213</v>
      </c>
      <c r="K659" t="s">
        <v>15</v>
      </c>
    </row>
    <row r="660" spans="1:11" x14ac:dyDescent="0.3">
      <c r="A660" t="s">
        <v>740</v>
      </c>
      <c r="B660" t="s">
        <v>741</v>
      </c>
      <c r="C660">
        <v>23869</v>
      </c>
      <c r="D660">
        <v>33223</v>
      </c>
      <c r="E660" s="1">
        <v>45222</v>
      </c>
      <c r="F660" s="1">
        <v>45342</v>
      </c>
      <c r="G660" s="2">
        <v>131497.5</v>
      </c>
      <c r="H660">
        <v>0</v>
      </c>
      <c r="I660" t="s">
        <v>742</v>
      </c>
      <c r="J660" t="s">
        <v>57</v>
      </c>
    </row>
    <row r="661" spans="1:11" x14ac:dyDescent="0.3">
      <c r="A661" t="s">
        <v>83</v>
      </c>
      <c r="B661" t="s">
        <v>84</v>
      </c>
      <c r="C661">
        <v>20847</v>
      </c>
      <c r="D661">
        <v>29968</v>
      </c>
      <c r="E661" s="1">
        <v>44854</v>
      </c>
      <c r="F661" s="1">
        <v>45076</v>
      </c>
      <c r="G661" s="2">
        <v>158400</v>
      </c>
      <c r="H661">
        <v>146</v>
      </c>
      <c r="I661" t="s">
        <v>743</v>
      </c>
      <c r="J661" t="s">
        <v>86</v>
      </c>
      <c r="K661" t="s">
        <v>15</v>
      </c>
    </row>
    <row r="662" spans="1:11" x14ac:dyDescent="0.3">
      <c r="A662" t="s">
        <v>152</v>
      </c>
      <c r="B662" t="s">
        <v>153</v>
      </c>
      <c r="C662">
        <v>22419</v>
      </c>
      <c r="D662">
        <v>31664</v>
      </c>
      <c r="E662" s="1">
        <v>45050</v>
      </c>
      <c r="F662" s="1">
        <v>45229</v>
      </c>
      <c r="G662" s="2">
        <v>9750</v>
      </c>
      <c r="H662">
        <v>0</v>
      </c>
      <c r="I662" t="s">
        <v>744</v>
      </c>
      <c r="J662" t="s">
        <v>27</v>
      </c>
      <c r="K662" t="s">
        <v>15</v>
      </c>
    </row>
    <row r="663" spans="1:11" x14ac:dyDescent="0.3">
      <c r="A663" t="s">
        <v>88</v>
      </c>
      <c r="B663" t="s">
        <v>89</v>
      </c>
      <c r="C663">
        <v>22519</v>
      </c>
      <c r="D663">
        <v>31776</v>
      </c>
      <c r="E663" s="1">
        <v>45072</v>
      </c>
      <c r="F663" s="1">
        <v>45222</v>
      </c>
      <c r="G663" s="2">
        <v>48000</v>
      </c>
      <c r="H663">
        <v>0</v>
      </c>
      <c r="I663" t="s">
        <v>450</v>
      </c>
      <c r="J663" t="s">
        <v>27</v>
      </c>
      <c r="K663" t="s">
        <v>15</v>
      </c>
    </row>
    <row r="664" spans="1:11" x14ac:dyDescent="0.3">
      <c r="A664" t="s">
        <v>31</v>
      </c>
      <c r="B664" t="s">
        <v>32</v>
      </c>
      <c r="C664">
        <v>22599</v>
      </c>
      <c r="D664">
        <v>217493</v>
      </c>
      <c r="E664" s="1">
        <v>45092</v>
      </c>
      <c r="F664" s="1">
        <v>45242</v>
      </c>
      <c r="G664" s="2">
        <v>4060</v>
      </c>
      <c r="H664">
        <v>0</v>
      </c>
      <c r="I664" t="s">
        <v>745</v>
      </c>
      <c r="J664" t="s">
        <v>19</v>
      </c>
    </row>
    <row r="665" spans="1:11" x14ac:dyDescent="0.3">
      <c r="A665" t="s">
        <v>31</v>
      </c>
      <c r="B665" t="s">
        <v>32</v>
      </c>
      <c r="C665">
        <v>22599</v>
      </c>
      <c r="D665">
        <v>217493</v>
      </c>
      <c r="E665" s="1">
        <v>45092</v>
      </c>
      <c r="F665" s="1">
        <v>45272</v>
      </c>
      <c r="G665" s="2">
        <v>4060</v>
      </c>
      <c r="H665">
        <v>0</v>
      </c>
      <c r="I665" t="s">
        <v>745</v>
      </c>
      <c r="J665" t="s">
        <v>19</v>
      </c>
    </row>
    <row r="666" spans="1:11" x14ac:dyDescent="0.3">
      <c r="A666" t="s">
        <v>31</v>
      </c>
      <c r="B666" t="s">
        <v>32</v>
      </c>
      <c r="C666">
        <v>22599</v>
      </c>
      <c r="D666">
        <v>217493</v>
      </c>
      <c r="E666" s="1">
        <v>45092</v>
      </c>
      <c r="F666" s="1">
        <v>45302</v>
      </c>
      <c r="G666" s="2">
        <v>4060</v>
      </c>
      <c r="H666">
        <v>0</v>
      </c>
      <c r="I666" t="s">
        <v>745</v>
      </c>
      <c r="J666" t="s">
        <v>19</v>
      </c>
    </row>
    <row r="667" spans="1:11" x14ac:dyDescent="0.3">
      <c r="A667" t="s">
        <v>37</v>
      </c>
      <c r="B667" t="s">
        <v>29</v>
      </c>
      <c r="C667">
        <v>22751</v>
      </c>
      <c r="D667">
        <v>32035</v>
      </c>
      <c r="E667" s="1">
        <v>45112</v>
      </c>
      <c r="F667" s="1">
        <v>45468</v>
      </c>
      <c r="G667" s="2">
        <v>14000</v>
      </c>
      <c r="H667">
        <v>0</v>
      </c>
      <c r="I667" t="s">
        <v>746</v>
      </c>
      <c r="J667" t="s">
        <v>19</v>
      </c>
      <c r="K667" t="s">
        <v>15</v>
      </c>
    </row>
    <row r="668" spans="1:11" x14ac:dyDescent="0.3">
      <c r="A668" t="s">
        <v>54</v>
      </c>
      <c r="B668" t="s">
        <v>55</v>
      </c>
      <c r="C668">
        <v>23012</v>
      </c>
      <c r="D668">
        <v>32306</v>
      </c>
      <c r="E668" s="1">
        <v>45154</v>
      </c>
      <c r="F668" s="1">
        <v>45274</v>
      </c>
      <c r="G668" s="2">
        <v>26280</v>
      </c>
      <c r="H668">
        <v>0</v>
      </c>
      <c r="I668" t="s">
        <v>747</v>
      </c>
      <c r="J668" t="s">
        <v>57</v>
      </c>
      <c r="K668" t="s">
        <v>15</v>
      </c>
    </row>
    <row r="669" spans="1:11" x14ac:dyDescent="0.3">
      <c r="A669" t="s">
        <v>34</v>
      </c>
      <c r="B669" t="s">
        <v>35</v>
      </c>
      <c r="C669">
        <v>22757</v>
      </c>
      <c r="D669">
        <v>32042</v>
      </c>
      <c r="E669" s="1">
        <v>45113</v>
      </c>
      <c r="F669" s="1">
        <v>45293</v>
      </c>
      <c r="G669" s="2">
        <v>28837</v>
      </c>
      <c r="H669">
        <v>0</v>
      </c>
      <c r="I669" t="s">
        <v>870</v>
      </c>
      <c r="J669" t="s">
        <v>19</v>
      </c>
      <c r="K669" t="s">
        <v>15</v>
      </c>
    </row>
    <row r="670" spans="1:11" x14ac:dyDescent="0.3">
      <c r="A670" t="s">
        <v>210</v>
      </c>
      <c r="B670" t="s">
        <v>211</v>
      </c>
      <c r="C670">
        <v>23094</v>
      </c>
      <c r="D670">
        <v>32393</v>
      </c>
      <c r="E670" s="1">
        <v>45162</v>
      </c>
      <c r="F670" s="1">
        <v>45282</v>
      </c>
      <c r="G670" s="2">
        <v>3278</v>
      </c>
      <c r="H670">
        <v>0</v>
      </c>
      <c r="I670" t="s">
        <v>749</v>
      </c>
      <c r="J670" t="s">
        <v>213</v>
      </c>
      <c r="K670" t="s">
        <v>15</v>
      </c>
    </row>
    <row r="671" spans="1:11" x14ac:dyDescent="0.3">
      <c r="A671" t="s">
        <v>28</v>
      </c>
      <c r="B671" t="s">
        <v>29</v>
      </c>
      <c r="C671">
        <v>23269</v>
      </c>
      <c r="D671">
        <v>32587</v>
      </c>
      <c r="E671" s="1">
        <v>45175</v>
      </c>
      <c r="F671" s="1">
        <v>45355</v>
      </c>
      <c r="G671" s="2">
        <v>27210</v>
      </c>
      <c r="H671">
        <v>0</v>
      </c>
      <c r="I671" t="s">
        <v>750</v>
      </c>
      <c r="J671" t="s">
        <v>19</v>
      </c>
      <c r="K671" t="s">
        <v>15</v>
      </c>
    </row>
    <row r="672" spans="1:11" x14ac:dyDescent="0.3">
      <c r="A672" t="s">
        <v>181</v>
      </c>
      <c r="B672" t="s">
        <v>182</v>
      </c>
      <c r="C672">
        <v>23605</v>
      </c>
      <c r="D672">
        <v>32941</v>
      </c>
      <c r="E672" s="1">
        <v>45197</v>
      </c>
      <c r="F672" s="1">
        <v>45442</v>
      </c>
      <c r="G672" s="2">
        <v>37400</v>
      </c>
      <c r="H672">
        <v>0</v>
      </c>
      <c r="I672" t="s">
        <v>751</v>
      </c>
      <c r="J672" t="s">
        <v>112</v>
      </c>
      <c r="K672" t="s">
        <v>15</v>
      </c>
    </row>
    <row r="673" spans="1:11" x14ac:dyDescent="0.3">
      <c r="A673" t="s">
        <v>754</v>
      </c>
      <c r="B673" t="s">
        <v>755</v>
      </c>
      <c r="C673">
        <v>23698</v>
      </c>
      <c r="D673">
        <v>33035</v>
      </c>
      <c r="E673" s="1">
        <v>45204</v>
      </c>
      <c r="F673" s="1">
        <v>45402</v>
      </c>
      <c r="G673" s="2">
        <v>28440</v>
      </c>
      <c r="H673">
        <v>0</v>
      </c>
      <c r="I673" t="s">
        <v>756</v>
      </c>
      <c r="J673" t="s">
        <v>42</v>
      </c>
      <c r="K673" t="s">
        <v>15</v>
      </c>
    </row>
    <row r="674" spans="1:11" x14ac:dyDescent="0.3">
      <c r="A674" t="s">
        <v>405</v>
      </c>
      <c r="B674" t="s">
        <v>406</v>
      </c>
      <c r="C674">
        <v>23705</v>
      </c>
      <c r="D674">
        <v>33042</v>
      </c>
      <c r="E674" s="1">
        <v>45204</v>
      </c>
      <c r="F674" s="1">
        <v>45402</v>
      </c>
      <c r="G674" s="2">
        <v>24830</v>
      </c>
      <c r="H674">
        <v>0</v>
      </c>
      <c r="I674" t="s">
        <v>757</v>
      </c>
      <c r="J674" t="s">
        <v>42</v>
      </c>
      <c r="K674" t="s">
        <v>15</v>
      </c>
    </row>
    <row r="675" spans="1:11" x14ac:dyDescent="0.3">
      <c r="A675" t="s">
        <v>109</v>
      </c>
      <c r="B675" t="s">
        <v>110</v>
      </c>
      <c r="C675">
        <v>20345</v>
      </c>
      <c r="D675">
        <v>29435</v>
      </c>
      <c r="E675" s="1">
        <v>44810</v>
      </c>
      <c r="F675" s="1">
        <v>45076</v>
      </c>
      <c r="G675" s="2">
        <v>451800</v>
      </c>
      <c r="H675">
        <v>146</v>
      </c>
      <c r="I675" t="s">
        <v>758</v>
      </c>
      <c r="J675" t="s">
        <v>112</v>
      </c>
      <c r="K675" t="s">
        <v>15</v>
      </c>
    </row>
    <row r="676" spans="1:11" x14ac:dyDescent="0.3">
      <c r="A676" t="s">
        <v>16</v>
      </c>
      <c r="B676" t="s">
        <v>17</v>
      </c>
      <c r="C676">
        <v>22994</v>
      </c>
      <c r="D676">
        <v>32288</v>
      </c>
      <c r="E676" s="1">
        <v>45153</v>
      </c>
      <c r="F676" s="1">
        <v>45303</v>
      </c>
      <c r="G676" s="2">
        <v>38354</v>
      </c>
      <c r="H676">
        <v>0</v>
      </c>
      <c r="I676" t="s">
        <v>759</v>
      </c>
      <c r="J676" t="s">
        <v>19</v>
      </c>
      <c r="K676" t="s">
        <v>15</v>
      </c>
    </row>
    <row r="677" spans="1:11" x14ac:dyDescent="0.3">
      <c r="A677" t="s">
        <v>337</v>
      </c>
      <c r="B677" t="s">
        <v>338</v>
      </c>
      <c r="C677">
        <v>23169</v>
      </c>
      <c r="D677">
        <v>32477</v>
      </c>
      <c r="E677" s="1">
        <v>45168</v>
      </c>
      <c r="F677" s="1">
        <v>45412</v>
      </c>
      <c r="G677" s="2">
        <v>7200</v>
      </c>
      <c r="H677">
        <v>0</v>
      </c>
      <c r="I677" t="s">
        <v>760</v>
      </c>
      <c r="J677" t="s">
        <v>99</v>
      </c>
      <c r="K677" t="s">
        <v>15</v>
      </c>
    </row>
    <row r="678" spans="1:11" x14ac:dyDescent="0.3">
      <c r="A678" t="s">
        <v>67</v>
      </c>
      <c r="B678" t="s">
        <v>68</v>
      </c>
      <c r="C678">
        <v>23405</v>
      </c>
      <c r="D678">
        <v>32716</v>
      </c>
      <c r="E678" s="1">
        <v>45184</v>
      </c>
      <c r="F678" s="1">
        <v>45334</v>
      </c>
      <c r="G678" s="2">
        <v>24505.599999999999</v>
      </c>
      <c r="H678">
        <v>0</v>
      </c>
      <c r="I678" t="s">
        <v>761</v>
      </c>
      <c r="J678" t="s">
        <v>19</v>
      </c>
      <c r="K678" t="s">
        <v>15</v>
      </c>
    </row>
    <row r="679" spans="1:11" x14ac:dyDescent="0.3">
      <c r="A679" t="s">
        <v>329</v>
      </c>
      <c r="B679" t="s">
        <v>330</v>
      </c>
      <c r="C679">
        <v>23412</v>
      </c>
      <c r="D679">
        <v>32724</v>
      </c>
      <c r="E679" s="1">
        <v>45184</v>
      </c>
      <c r="F679" s="1">
        <v>45304</v>
      </c>
      <c r="G679" s="2">
        <v>100700</v>
      </c>
      <c r="H679">
        <v>0</v>
      </c>
      <c r="I679" t="s">
        <v>762</v>
      </c>
      <c r="J679" t="s">
        <v>19</v>
      </c>
      <c r="K679" t="s">
        <v>15</v>
      </c>
    </row>
    <row r="680" spans="1:11" x14ac:dyDescent="0.3">
      <c r="A680" t="s">
        <v>39</v>
      </c>
      <c r="B680" t="s">
        <v>40</v>
      </c>
      <c r="C680">
        <v>23480</v>
      </c>
      <c r="D680">
        <v>32799</v>
      </c>
      <c r="E680" s="1">
        <v>45188</v>
      </c>
      <c r="F680" s="1">
        <v>45402</v>
      </c>
      <c r="G680" s="2">
        <v>48609.8</v>
      </c>
      <c r="H680">
        <v>0</v>
      </c>
      <c r="I680" t="s">
        <v>763</v>
      </c>
      <c r="J680" t="s">
        <v>42</v>
      </c>
      <c r="K680" t="s">
        <v>15</v>
      </c>
    </row>
    <row r="681" spans="1:11" x14ac:dyDescent="0.3">
      <c r="A681" t="s">
        <v>504</v>
      </c>
      <c r="B681" t="s">
        <v>505</v>
      </c>
      <c r="C681">
        <v>23505</v>
      </c>
      <c r="D681">
        <v>32825</v>
      </c>
      <c r="E681" s="1">
        <v>45189</v>
      </c>
      <c r="F681" s="1">
        <v>45549</v>
      </c>
      <c r="G681" s="2">
        <v>194240</v>
      </c>
      <c r="H681">
        <v>0</v>
      </c>
      <c r="I681" t="s">
        <v>764</v>
      </c>
      <c r="J681" t="s">
        <v>94</v>
      </c>
      <c r="K681" t="s">
        <v>15</v>
      </c>
    </row>
    <row r="682" spans="1:11" x14ac:dyDescent="0.3">
      <c r="A682" t="s">
        <v>181</v>
      </c>
      <c r="B682" t="s">
        <v>182</v>
      </c>
      <c r="C682">
        <v>23555</v>
      </c>
      <c r="D682">
        <v>32883</v>
      </c>
      <c r="E682" s="1">
        <v>45194</v>
      </c>
      <c r="F682" s="1">
        <v>45442</v>
      </c>
      <c r="G682">
        <v>500</v>
      </c>
      <c r="H682">
        <v>0</v>
      </c>
      <c r="I682" t="s">
        <v>765</v>
      </c>
      <c r="J682" t="s">
        <v>112</v>
      </c>
      <c r="K682" t="s">
        <v>15</v>
      </c>
    </row>
    <row r="683" spans="1:11" x14ac:dyDescent="0.3">
      <c r="A683" t="s">
        <v>289</v>
      </c>
      <c r="B683" t="s">
        <v>290</v>
      </c>
      <c r="C683">
        <v>23598</v>
      </c>
      <c r="D683">
        <v>32933</v>
      </c>
      <c r="E683" s="1">
        <v>45196</v>
      </c>
      <c r="F683" s="1">
        <v>45402</v>
      </c>
      <c r="G683" s="2">
        <v>24830</v>
      </c>
      <c r="H683">
        <v>0</v>
      </c>
      <c r="I683" t="s">
        <v>766</v>
      </c>
      <c r="J683" t="s">
        <v>73</v>
      </c>
      <c r="K683" t="s">
        <v>15</v>
      </c>
    </row>
    <row r="684" spans="1:11" x14ac:dyDescent="0.3">
      <c r="A684" t="s">
        <v>100</v>
      </c>
      <c r="B684" t="s">
        <v>101</v>
      </c>
      <c r="C684">
        <v>23830</v>
      </c>
      <c r="D684">
        <v>33185</v>
      </c>
      <c r="E684" s="1">
        <v>45219</v>
      </c>
      <c r="F684" s="1">
        <v>45309</v>
      </c>
      <c r="G684" s="2">
        <v>65770</v>
      </c>
      <c r="H684">
        <v>0</v>
      </c>
      <c r="I684" t="s">
        <v>767</v>
      </c>
      <c r="J684" t="s">
        <v>14</v>
      </c>
      <c r="K684" t="s">
        <v>15</v>
      </c>
    </row>
    <row r="685" spans="1:11" x14ac:dyDescent="0.3">
      <c r="A685" t="s">
        <v>83</v>
      </c>
      <c r="B685" t="s">
        <v>84</v>
      </c>
      <c r="C685">
        <v>20333</v>
      </c>
      <c r="D685">
        <v>29422</v>
      </c>
      <c r="E685" s="1">
        <v>44809</v>
      </c>
      <c r="F685" s="1">
        <v>45076</v>
      </c>
      <c r="G685" s="2">
        <v>198560</v>
      </c>
      <c r="H685">
        <v>146</v>
      </c>
      <c r="I685" t="s">
        <v>768</v>
      </c>
      <c r="J685" t="s">
        <v>86</v>
      </c>
      <c r="K685" t="s">
        <v>15</v>
      </c>
    </row>
    <row r="686" spans="1:11" x14ac:dyDescent="0.3">
      <c r="A686" t="s">
        <v>228</v>
      </c>
      <c r="B686" t="s">
        <v>229</v>
      </c>
      <c r="C686">
        <v>22324</v>
      </c>
      <c r="D686">
        <v>31542</v>
      </c>
      <c r="E686" s="1">
        <v>45040</v>
      </c>
      <c r="F686" s="1">
        <v>45260</v>
      </c>
      <c r="G686" s="2">
        <v>93500</v>
      </c>
      <c r="H686">
        <v>0</v>
      </c>
      <c r="I686" t="s">
        <v>769</v>
      </c>
      <c r="J686" t="s">
        <v>206</v>
      </c>
      <c r="K686" t="s">
        <v>15</v>
      </c>
    </row>
    <row r="687" spans="1:11" x14ac:dyDescent="0.3">
      <c r="A687" t="s">
        <v>34</v>
      </c>
      <c r="B687" t="s">
        <v>35</v>
      </c>
      <c r="C687">
        <v>23257</v>
      </c>
      <c r="D687">
        <v>32574</v>
      </c>
      <c r="E687" s="1">
        <v>45175</v>
      </c>
      <c r="F687" s="1">
        <v>45295</v>
      </c>
      <c r="G687" s="2">
        <v>5250</v>
      </c>
      <c r="H687">
        <v>0</v>
      </c>
      <c r="I687" t="s">
        <v>287</v>
      </c>
      <c r="J687" t="s">
        <v>19</v>
      </c>
      <c r="K687" t="s">
        <v>15</v>
      </c>
    </row>
    <row r="688" spans="1:11" x14ac:dyDescent="0.3">
      <c r="A688" t="s">
        <v>16</v>
      </c>
      <c r="B688" t="s">
        <v>17</v>
      </c>
      <c r="C688">
        <v>22539</v>
      </c>
      <c r="D688">
        <v>31798</v>
      </c>
      <c r="E688" s="1">
        <v>45077</v>
      </c>
      <c r="F688" s="1">
        <v>45227</v>
      </c>
      <c r="G688" s="2">
        <v>51630</v>
      </c>
      <c r="H688">
        <v>0</v>
      </c>
      <c r="I688" t="s">
        <v>771</v>
      </c>
      <c r="J688" t="s">
        <v>19</v>
      </c>
      <c r="K688" t="s">
        <v>15</v>
      </c>
    </row>
    <row r="689" spans="1:11" x14ac:dyDescent="0.3">
      <c r="A689" t="s">
        <v>34</v>
      </c>
      <c r="B689" t="s">
        <v>35</v>
      </c>
      <c r="C689">
        <v>23259</v>
      </c>
      <c r="D689">
        <v>32576</v>
      </c>
      <c r="E689" s="1">
        <v>45175</v>
      </c>
      <c r="F689" s="1">
        <v>45295</v>
      </c>
      <c r="G689" s="2">
        <v>14700</v>
      </c>
      <c r="H689">
        <v>0</v>
      </c>
      <c r="I689" t="s">
        <v>526</v>
      </c>
      <c r="J689" t="s">
        <v>19</v>
      </c>
      <c r="K689" t="s">
        <v>15</v>
      </c>
    </row>
    <row r="690" spans="1:11" x14ac:dyDescent="0.3">
      <c r="A690" t="s">
        <v>539</v>
      </c>
      <c r="B690" t="s">
        <v>540</v>
      </c>
      <c r="C690">
        <v>22905</v>
      </c>
      <c r="D690">
        <v>32175</v>
      </c>
      <c r="E690" s="1">
        <v>45138</v>
      </c>
      <c r="F690" s="1">
        <v>45288</v>
      </c>
      <c r="G690" s="2">
        <v>8550</v>
      </c>
      <c r="H690">
        <v>0</v>
      </c>
      <c r="I690" t="s">
        <v>773</v>
      </c>
      <c r="J690" t="s">
        <v>94</v>
      </c>
      <c r="K690" t="s">
        <v>15</v>
      </c>
    </row>
    <row r="691" spans="1:11" x14ac:dyDescent="0.3">
      <c r="A691" t="s">
        <v>539</v>
      </c>
      <c r="B691" t="s">
        <v>540</v>
      </c>
      <c r="C691">
        <v>23192</v>
      </c>
      <c r="D691">
        <v>32503</v>
      </c>
      <c r="E691" s="1">
        <v>45169</v>
      </c>
      <c r="F691" s="1">
        <v>45319</v>
      </c>
      <c r="G691" s="2">
        <v>48150</v>
      </c>
      <c r="H691">
        <v>0</v>
      </c>
      <c r="I691" t="s">
        <v>774</v>
      </c>
      <c r="J691" t="s">
        <v>94</v>
      </c>
      <c r="K691" t="s">
        <v>15</v>
      </c>
    </row>
    <row r="692" spans="1:11" x14ac:dyDescent="0.3">
      <c r="A692" t="s">
        <v>136</v>
      </c>
      <c r="B692" t="s">
        <v>137</v>
      </c>
      <c r="C692">
        <v>23343</v>
      </c>
      <c r="D692">
        <v>32655</v>
      </c>
      <c r="E692" s="1">
        <v>45181</v>
      </c>
      <c r="F692" s="1">
        <v>45271</v>
      </c>
      <c r="G692" s="2">
        <v>14101.49</v>
      </c>
      <c r="H692">
        <v>0</v>
      </c>
      <c r="I692" t="s">
        <v>775</v>
      </c>
      <c r="J692" t="s">
        <v>122</v>
      </c>
      <c r="K692" t="s">
        <v>15</v>
      </c>
    </row>
    <row r="693" spans="1:11" x14ac:dyDescent="0.3">
      <c r="A693" t="s">
        <v>136</v>
      </c>
      <c r="B693" t="s">
        <v>137</v>
      </c>
      <c r="C693">
        <v>23343</v>
      </c>
      <c r="D693">
        <v>32655</v>
      </c>
      <c r="E693" s="1">
        <v>45181</v>
      </c>
      <c r="F693" s="1">
        <v>45301</v>
      </c>
      <c r="G693" s="2">
        <v>14993.99</v>
      </c>
      <c r="H693">
        <v>0</v>
      </c>
      <c r="I693" t="s">
        <v>775</v>
      </c>
      <c r="J693" t="s">
        <v>122</v>
      </c>
      <c r="K693" t="s">
        <v>15</v>
      </c>
    </row>
    <row r="694" spans="1:11" x14ac:dyDescent="0.3">
      <c r="A694" t="s">
        <v>136</v>
      </c>
      <c r="B694" t="s">
        <v>137</v>
      </c>
      <c r="C694">
        <v>23343</v>
      </c>
      <c r="D694">
        <v>32655</v>
      </c>
      <c r="E694" s="1">
        <v>45181</v>
      </c>
      <c r="F694" s="1">
        <v>45331</v>
      </c>
      <c r="G694" s="2">
        <v>14994.02</v>
      </c>
      <c r="H694">
        <v>0</v>
      </c>
      <c r="I694" t="s">
        <v>775</v>
      </c>
      <c r="J694" t="s">
        <v>122</v>
      </c>
      <c r="K694" t="s">
        <v>15</v>
      </c>
    </row>
    <row r="695" spans="1:11" x14ac:dyDescent="0.3">
      <c r="A695" t="s">
        <v>34</v>
      </c>
      <c r="B695" t="s">
        <v>35</v>
      </c>
      <c r="C695">
        <v>23256</v>
      </c>
      <c r="D695">
        <v>32573</v>
      </c>
      <c r="E695" s="1">
        <v>45175</v>
      </c>
      <c r="F695" s="1">
        <v>45295</v>
      </c>
      <c r="G695" s="2">
        <v>14700</v>
      </c>
      <c r="H695">
        <v>0</v>
      </c>
      <c r="I695" t="s">
        <v>791</v>
      </c>
      <c r="J695" t="s">
        <v>19</v>
      </c>
      <c r="K695" t="s">
        <v>15</v>
      </c>
    </row>
    <row r="696" spans="1:11" x14ac:dyDescent="0.3">
      <c r="A696" t="s">
        <v>16</v>
      </c>
      <c r="B696" t="s">
        <v>17</v>
      </c>
      <c r="C696">
        <v>23575</v>
      </c>
      <c r="D696">
        <v>32907</v>
      </c>
      <c r="E696" s="1">
        <v>45195</v>
      </c>
      <c r="F696" s="1">
        <v>45315</v>
      </c>
      <c r="G696" s="2">
        <v>4725</v>
      </c>
      <c r="H696">
        <v>0</v>
      </c>
      <c r="I696" t="s">
        <v>777</v>
      </c>
      <c r="J696" t="s">
        <v>19</v>
      </c>
      <c r="K696" t="s">
        <v>15</v>
      </c>
    </row>
    <row r="697" spans="1:11" x14ac:dyDescent="0.3">
      <c r="A697" t="s">
        <v>778</v>
      </c>
      <c r="B697" t="s">
        <v>779</v>
      </c>
      <c r="C697">
        <v>23643</v>
      </c>
      <c r="D697">
        <v>32977</v>
      </c>
      <c r="E697" s="1">
        <v>45198</v>
      </c>
      <c r="F697" s="1">
        <v>45412</v>
      </c>
      <c r="G697" s="2">
        <v>68000</v>
      </c>
      <c r="H697">
        <v>0</v>
      </c>
      <c r="I697" t="s">
        <v>780</v>
      </c>
      <c r="J697" t="s">
        <v>135</v>
      </c>
      <c r="K697" t="s">
        <v>15</v>
      </c>
    </row>
    <row r="698" spans="1:11" x14ac:dyDescent="0.3">
      <c r="A698" t="s">
        <v>152</v>
      </c>
      <c r="B698" t="s">
        <v>153</v>
      </c>
      <c r="C698">
        <v>23675</v>
      </c>
      <c r="D698">
        <v>33012</v>
      </c>
      <c r="E698" s="1">
        <v>45203</v>
      </c>
      <c r="F698" s="1">
        <v>45565</v>
      </c>
      <c r="G698" s="2">
        <v>31500</v>
      </c>
      <c r="H698">
        <v>0</v>
      </c>
      <c r="I698" t="s">
        <v>781</v>
      </c>
      <c r="J698" t="s">
        <v>27</v>
      </c>
      <c r="K698" t="s">
        <v>15</v>
      </c>
    </row>
    <row r="699" spans="1:11" x14ac:dyDescent="0.3">
      <c r="A699" t="s">
        <v>613</v>
      </c>
      <c r="B699" t="s">
        <v>614</v>
      </c>
      <c r="C699">
        <v>23711</v>
      </c>
      <c r="D699">
        <v>33048</v>
      </c>
      <c r="E699" s="1">
        <v>45204</v>
      </c>
      <c r="F699" s="1">
        <v>45427</v>
      </c>
      <c r="G699" s="2">
        <v>113560</v>
      </c>
      <c r="H699">
        <v>0</v>
      </c>
      <c r="I699" t="s">
        <v>782</v>
      </c>
      <c r="J699" t="s">
        <v>401</v>
      </c>
      <c r="K699" t="s">
        <v>15</v>
      </c>
    </row>
    <row r="700" spans="1:11" x14ac:dyDescent="0.3">
      <c r="A700" t="s">
        <v>384</v>
      </c>
      <c r="B700" t="s">
        <v>385</v>
      </c>
      <c r="C700">
        <v>22573</v>
      </c>
      <c r="D700">
        <v>31842</v>
      </c>
      <c r="E700" s="1">
        <v>45089</v>
      </c>
      <c r="F700" s="1">
        <v>45269</v>
      </c>
      <c r="G700" s="2">
        <v>14461.03</v>
      </c>
      <c r="H700">
        <v>0</v>
      </c>
      <c r="I700" t="s">
        <v>733</v>
      </c>
      <c r="J700" t="s">
        <v>23</v>
      </c>
      <c r="K700" t="s">
        <v>15</v>
      </c>
    </row>
    <row r="701" spans="1:11" x14ac:dyDescent="0.3">
      <c r="A701" t="s">
        <v>228</v>
      </c>
      <c r="B701" t="s">
        <v>229</v>
      </c>
      <c r="C701">
        <v>22722</v>
      </c>
      <c r="D701">
        <v>32001</v>
      </c>
      <c r="E701" s="1">
        <v>45110</v>
      </c>
      <c r="F701" s="1">
        <v>45321</v>
      </c>
      <c r="G701" s="2">
        <v>397000</v>
      </c>
      <c r="H701">
        <v>0</v>
      </c>
      <c r="I701" t="s">
        <v>783</v>
      </c>
      <c r="J701" t="s">
        <v>206</v>
      </c>
      <c r="K701" t="s">
        <v>15</v>
      </c>
    </row>
    <row r="702" spans="1:11" x14ac:dyDescent="0.3">
      <c r="A702" t="s">
        <v>152</v>
      </c>
      <c r="B702" t="s">
        <v>153</v>
      </c>
      <c r="C702">
        <v>22741</v>
      </c>
      <c r="D702">
        <v>32021</v>
      </c>
      <c r="E702" s="1">
        <v>45111</v>
      </c>
      <c r="F702" s="1">
        <v>45261</v>
      </c>
      <c r="G702" s="2">
        <v>5312.5</v>
      </c>
      <c r="H702">
        <v>0</v>
      </c>
      <c r="I702" t="s">
        <v>784</v>
      </c>
      <c r="J702" t="s">
        <v>27</v>
      </c>
      <c r="K702" t="s">
        <v>15</v>
      </c>
    </row>
    <row r="703" spans="1:11" x14ac:dyDescent="0.3">
      <c r="A703" t="s">
        <v>63</v>
      </c>
      <c r="B703" t="s">
        <v>64</v>
      </c>
      <c r="C703">
        <v>23113</v>
      </c>
      <c r="D703">
        <v>32411</v>
      </c>
      <c r="E703" s="1">
        <v>45163</v>
      </c>
      <c r="F703" s="1">
        <v>45283</v>
      </c>
      <c r="G703" s="2">
        <v>44800</v>
      </c>
      <c r="H703">
        <v>0</v>
      </c>
      <c r="I703" t="s">
        <v>1065</v>
      </c>
      <c r="J703" t="s">
        <v>19</v>
      </c>
      <c r="K703" t="s">
        <v>15</v>
      </c>
    </row>
    <row r="704" spans="1:11" x14ac:dyDescent="0.3">
      <c r="A704" t="s">
        <v>39</v>
      </c>
      <c r="B704" t="s">
        <v>40</v>
      </c>
      <c r="C704">
        <v>23207</v>
      </c>
      <c r="D704">
        <v>32520</v>
      </c>
      <c r="E704" s="1">
        <v>45173</v>
      </c>
      <c r="F704" s="1">
        <v>45402</v>
      </c>
      <c r="G704" s="2">
        <v>459301.15</v>
      </c>
      <c r="H704">
        <v>0</v>
      </c>
      <c r="I704" t="s">
        <v>786</v>
      </c>
      <c r="J704" t="s">
        <v>42</v>
      </c>
      <c r="K704" t="s">
        <v>15</v>
      </c>
    </row>
    <row r="705" spans="1:11" x14ac:dyDescent="0.3">
      <c r="A705" t="s">
        <v>787</v>
      </c>
      <c r="B705" t="s">
        <v>788</v>
      </c>
      <c r="C705">
        <v>23224</v>
      </c>
      <c r="D705">
        <v>32540</v>
      </c>
      <c r="E705" s="1">
        <v>45173</v>
      </c>
      <c r="F705" s="1">
        <v>45442</v>
      </c>
      <c r="G705" s="2">
        <v>72960</v>
      </c>
      <c r="H705">
        <v>0</v>
      </c>
      <c r="I705" t="s">
        <v>789</v>
      </c>
      <c r="J705" t="s">
        <v>42</v>
      </c>
      <c r="K705" t="s">
        <v>15</v>
      </c>
    </row>
    <row r="706" spans="1:11" x14ac:dyDescent="0.3">
      <c r="A706" t="s">
        <v>174</v>
      </c>
      <c r="B706" t="s">
        <v>175</v>
      </c>
      <c r="C706">
        <v>23241</v>
      </c>
      <c r="D706">
        <v>32557</v>
      </c>
      <c r="E706" s="1">
        <v>45174</v>
      </c>
      <c r="F706" s="1">
        <v>45234</v>
      </c>
      <c r="G706" s="2">
        <v>1437.75</v>
      </c>
      <c r="H706">
        <v>0</v>
      </c>
      <c r="I706" t="s">
        <v>790</v>
      </c>
      <c r="J706" t="s">
        <v>131</v>
      </c>
      <c r="K706" t="s">
        <v>15</v>
      </c>
    </row>
    <row r="707" spans="1:11" x14ac:dyDescent="0.3">
      <c r="A707" t="s">
        <v>34</v>
      </c>
      <c r="B707" t="s">
        <v>35</v>
      </c>
      <c r="C707">
        <v>23258</v>
      </c>
      <c r="D707">
        <v>32575</v>
      </c>
      <c r="E707" s="1">
        <v>45175</v>
      </c>
      <c r="F707" s="1">
        <v>45295</v>
      </c>
      <c r="G707" s="2">
        <v>6300</v>
      </c>
      <c r="H707">
        <v>0</v>
      </c>
      <c r="I707" t="s">
        <v>792</v>
      </c>
      <c r="J707" t="s">
        <v>19</v>
      </c>
      <c r="K707" t="s">
        <v>15</v>
      </c>
    </row>
    <row r="708" spans="1:11" x14ac:dyDescent="0.3">
      <c r="A708" t="s">
        <v>34</v>
      </c>
      <c r="B708" t="s">
        <v>35</v>
      </c>
      <c r="C708">
        <v>22956</v>
      </c>
      <c r="D708">
        <v>32239</v>
      </c>
      <c r="E708" s="1">
        <v>45146</v>
      </c>
      <c r="F708" s="1">
        <v>45296</v>
      </c>
      <c r="G708" s="2">
        <v>4000</v>
      </c>
      <c r="H708">
        <v>0</v>
      </c>
      <c r="I708" t="s">
        <v>144</v>
      </c>
      <c r="J708" t="s">
        <v>19</v>
      </c>
      <c r="K708" t="s">
        <v>15</v>
      </c>
    </row>
    <row r="709" spans="1:11" x14ac:dyDescent="0.3">
      <c r="A709" t="s">
        <v>152</v>
      </c>
      <c r="B709" t="s">
        <v>153</v>
      </c>
      <c r="C709">
        <v>23360</v>
      </c>
      <c r="D709">
        <v>32674</v>
      </c>
      <c r="E709" s="1">
        <v>45182</v>
      </c>
      <c r="F709" s="1">
        <v>45565</v>
      </c>
      <c r="G709" s="2">
        <v>40808</v>
      </c>
      <c r="H709">
        <v>0</v>
      </c>
      <c r="I709" t="s">
        <v>793</v>
      </c>
      <c r="J709" t="s">
        <v>27</v>
      </c>
      <c r="K709" t="s">
        <v>15</v>
      </c>
    </row>
    <row r="710" spans="1:11" x14ac:dyDescent="0.3">
      <c r="A710" t="s">
        <v>301</v>
      </c>
      <c r="B710" t="s">
        <v>302</v>
      </c>
      <c r="C710">
        <v>23677</v>
      </c>
      <c r="D710">
        <v>33015</v>
      </c>
      <c r="E710" s="1">
        <v>45203</v>
      </c>
      <c r="F710" s="1">
        <v>45323</v>
      </c>
      <c r="G710" s="2">
        <v>31120</v>
      </c>
      <c r="H710">
        <v>0</v>
      </c>
      <c r="I710" t="s">
        <v>794</v>
      </c>
      <c r="J710" t="s">
        <v>57</v>
      </c>
      <c r="K710" t="s">
        <v>15</v>
      </c>
    </row>
    <row r="711" spans="1:11" x14ac:dyDescent="0.3">
      <c r="A711" t="s">
        <v>337</v>
      </c>
      <c r="B711" t="s">
        <v>338</v>
      </c>
      <c r="C711">
        <v>23741</v>
      </c>
      <c r="D711">
        <v>33082</v>
      </c>
      <c r="E711" s="1">
        <v>45209</v>
      </c>
      <c r="F711" s="1">
        <v>45412</v>
      </c>
      <c r="G711" s="2">
        <v>1800</v>
      </c>
      <c r="H711">
        <v>0</v>
      </c>
      <c r="I711" t="s">
        <v>795</v>
      </c>
      <c r="J711" t="s">
        <v>99</v>
      </c>
      <c r="K711" t="s">
        <v>15</v>
      </c>
    </row>
    <row r="712" spans="1:11" x14ac:dyDescent="0.3">
      <c r="A712" t="s">
        <v>181</v>
      </c>
      <c r="B712" t="s">
        <v>182</v>
      </c>
      <c r="C712">
        <v>23758</v>
      </c>
      <c r="D712">
        <v>33101</v>
      </c>
      <c r="E712" s="1">
        <v>45210</v>
      </c>
      <c r="F712" s="1">
        <v>45442</v>
      </c>
      <c r="G712" s="2">
        <v>15600</v>
      </c>
      <c r="H712">
        <v>0</v>
      </c>
      <c r="I712" t="s">
        <v>796</v>
      </c>
      <c r="J712" t="s">
        <v>112</v>
      </c>
      <c r="K712" t="s">
        <v>15</v>
      </c>
    </row>
    <row r="713" spans="1:11" x14ac:dyDescent="0.3">
      <c r="A713" t="s">
        <v>797</v>
      </c>
      <c r="B713" t="s">
        <v>798</v>
      </c>
      <c r="C713">
        <v>23775</v>
      </c>
      <c r="D713">
        <v>33120</v>
      </c>
      <c r="E713" s="1">
        <v>45215</v>
      </c>
      <c r="F713" s="1">
        <v>45402</v>
      </c>
      <c r="G713" s="2">
        <v>66220</v>
      </c>
      <c r="H713">
        <v>0</v>
      </c>
      <c r="I713" t="s">
        <v>799</v>
      </c>
      <c r="J713" t="s">
        <v>42</v>
      </c>
      <c r="K713" t="s">
        <v>15</v>
      </c>
    </row>
    <row r="714" spans="1:11" x14ac:dyDescent="0.3">
      <c r="A714" t="s">
        <v>58</v>
      </c>
      <c r="B714" t="s">
        <v>59</v>
      </c>
      <c r="C714">
        <v>23841</v>
      </c>
      <c r="D714">
        <v>33196</v>
      </c>
      <c r="E714" s="1">
        <v>45219</v>
      </c>
      <c r="F714" s="1">
        <v>45339</v>
      </c>
      <c r="G714" s="2">
        <v>2765</v>
      </c>
      <c r="H714">
        <v>0</v>
      </c>
      <c r="I714" t="s">
        <v>800</v>
      </c>
      <c r="J714" t="s">
        <v>57</v>
      </c>
      <c r="K714" t="s">
        <v>15</v>
      </c>
    </row>
    <row r="715" spans="1:11" x14ac:dyDescent="0.3">
      <c r="A715" t="s">
        <v>79</v>
      </c>
      <c r="B715" t="s">
        <v>80</v>
      </c>
      <c r="C715">
        <v>20606</v>
      </c>
      <c r="D715">
        <v>29712</v>
      </c>
      <c r="E715" s="1">
        <v>44830</v>
      </c>
      <c r="F715" s="1">
        <v>45046</v>
      </c>
      <c r="G715" s="2">
        <v>35922</v>
      </c>
      <c r="H715">
        <v>176</v>
      </c>
      <c r="I715" t="s">
        <v>801</v>
      </c>
      <c r="J715" t="s">
        <v>82</v>
      </c>
      <c r="K715" t="s">
        <v>15</v>
      </c>
    </row>
    <row r="716" spans="1:11" x14ac:dyDescent="0.3">
      <c r="A716" t="s">
        <v>109</v>
      </c>
      <c r="B716" t="s">
        <v>110</v>
      </c>
      <c r="C716">
        <v>22017</v>
      </c>
      <c r="D716">
        <v>31175</v>
      </c>
      <c r="E716" s="1">
        <v>44987</v>
      </c>
      <c r="F716" s="1">
        <v>45199</v>
      </c>
      <c r="G716" s="2">
        <v>432000</v>
      </c>
      <c r="H716">
        <v>23</v>
      </c>
      <c r="I716" t="s">
        <v>802</v>
      </c>
      <c r="J716" t="s">
        <v>112</v>
      </c>
      <c r="K716" t="s">
        <v>15</v>
      </c>
    </row>
    <row r="717" spans="1:11" x14ac:dyDescent="0.3">
      <c r="A717" t="s">
        <v>145</v>
      </c>
      <c r="B717" t="s">
        <v>146</v>
      </c>
      <c r="C717">
        <v>22317</v>
      </c>
      <c r="D717">
        <v>31533</v>
      </c>
      <c r="E717" s="1">
        <v>45035</v>
      </c>
      <c r="F717" s="1">
        <v>45199</v>
      </c>
      <c r="G717" s="2">
        <v>104800</v>
      </c>
      <c r="H717">
        <v>23</v>
      </c>
      <c r="I717" t="s">
        <v>803</v>
      </c>
      <c r="J717" t="s">
        <v>82</v>
      </c>
      <c r="K717" t="s">
        <v>15</v>
      </c>
    </row>
    <row r="718" spans="1:11" x14ac:dyDescent="0.3">
      <c r="A718" t="s">
        <v>384</v>
      </c>
      <c r="B718" t="s">
        <v>385</v>
      </c>
      <c r="C718">
        <v>22503</v>
      </c>
      <c r="D718">
        <v>31762</v>
      </c>
      <c r="E718" s="1">
        <v>45071</v>
      </c>
      <c r="F718" s="1">
        <v>45251</v>
      </c>
      <c r="G718" s="2">
        <v>1909.68</v>
      </c>
      <c r="H718">
        <v>0</v>
      </c>
      <c r="I718" t="s">
        <v>804</v>
      </c>
      <c r="J718" t="s">
        <v>23</v>
      </c>
      <c r="K718" t="s">
        <v>15</v>
      </c>
    </row>
    <row r="719" spans="1:11" x14ac:dyDescent="0.3">
      <c r="A719" t="s">
        <v>88</v>
      </c>
      <c r="B719" t="s">
        <v>89</v>
      </c>
      <c r="C719">
        <v>22510</v>
      </c>
      <c r="D719">
        <v>31767</v>
      </c>
      <c r="E719" s="1">
        <v>45071</v>
      </c>
      <c r="F719" s="1">
        <v>45221</v>
      </c>
      <c r="G719" s="2">
        <v>231000</v>
      </c>
      <c r="H719">
        <v>1</v>
      </c>
      <c r="I719" t="s">
        <v>450</v>
      </c>
      <c r="J719" t="s">
        <v>27</v>
      </c>
      <c r="K719" t="s">
        <v>15</v>
      </c>
    </row>
    <row r="720" spans="1:11" x14ac:dyDescent="0.3">
      <c r="A720" t="s">
        <v>43</v>
      </c>
      <c r="B720" t="s">
        <v>44</v>
      </c>
      <c r="C720">
        <v>22667</v>
      </c>
      <c r="D720">
        <v>31942</v>
      </c>
      <c r="E720" s="1">
        <v>45104</v>
      </c>
      <c r="F720" s="1">
        <v>45473</v>
      </c>
      <c r="G720" s="2">
        <v>27750</v>
      </c>
      <c r="H720">
        <v>0</v>
      </c>
      <c r="I720" t="s">
        <v>805</v>
      </c>
      <c r="J720" t="s">
        <v>46</v>
      </c>
      <c r="K720" t="s">
        <v>15</v>
      </c>
    </row>
    <row r="721" spans="1:11" x14ac:dyDescent="0.3">
      <c r="A721" t="s">
        <v>28</v>
      </c>
      <c r="B721" t="s">
        <v>29</v>
      </c>
      <c r="C721">
        <v>22678</v>
      </c>
      <c r="D721">
        <v>31953</v>
      </c>
      <c r="E721" s="1">
        <v>45105</v>
      </c>
      <c r="F721" s="1">
        <v>45468</v>
      </c>
      <c r="G721" s="2">
        <v>79100</v>
      </c>
      <c r="H721">
        <v>0</v>
      </c>
      <c r="I721" t="s">
        <v>806</v>
      </c>
      <c r="J721" t="s">
        <v>19</v>
      </c>
      <c r="K721" t="s">
        <v>15</v>
      </c>
    </row>
    <row r="722" spans="1:11" x14ac:dyDescent="0.3">
      <c r="A722" t="s">
        <v>152</v>
      </c>
      <c r="B722" t="s">
        <v>153</v>
      </c>
      <c r="C722">
        <v>22603</v>
      </c>
      <c r="D722">
        <v>31874</v>
      </c>
      <c r="E722" s="1">
        <v>45093</v>
      </c>
      <c r="F722" s="1">
        <v>45243</v>
      </c>
      <c r="G722" s="2">
        <v>147127.5</v>
      </c>
      <c r="H722">
        <v>0</v>
      </c>
      <c r="I722" t="s">
        <v>807</v>
      </c>
      <c r="J722" t="s">
        <v>27</v>
      </c>
      <c r="K722" t="s">
        <v>15</v>
      </c>
    </row>
    <row r="723" spans="1:11" x14ac:dyDescent="0.3">
      <c r="A723" t="s">
        <v>11</v>
      </c>
      <c r="B723" t="s">
        <v>12</v>
      </c>
      <c r="C723">
        <v>22696</v>
      </c>
      <c r="D723">
        <v>31971</v>
      </c>
      <c r="E723" s="1">
        <v>45105</v>
      </c>
      <c r="F723" s="1">
        <v>45225</v>
      </c>
      <c r="G723" s="2">
        <v>1416.67</v>
      </c>
      <c r="H723">
        <v>0</v>
      </c>
      <c r="I723" t="s">
        <v>808</v>
      </c>
      <c r="J723" t="s">
        <v>14</v>
      </c>
      <c r="K723" t="s">
        <v>15</v>
      </c>
    </row>
    <row r="724" spans="1:11" x14ac:dyDescent="0.3">
      <c r="A724" t="s">
        <v>11</v>
      </c>
      <c r="B724" t="s">
        <v>12</v>
      </c>
      <c r="C724">
        <v>22696</v>
      </c>
      <c r="D724">
        <v>31971</v>
      </c>
      <c r="E724" s="1">
        <v>45105</v>
      </c>
      <c r="F724" s="1">
        <v>45255</v>
      </c>
      <c r="G724" s="2">
        <v>1416.66</v>
      </c>
      <c r="H724">
        <v>0</v>
      </c>
      <c r="I724" t="s">
        <v>808</v>
      </c>
      <c r="J724" t="s">
        <v>14</v>
      </c>
      <c r="K724" t="s">
        <v>15</v>
      </c>
    </row>
    <row r="725" spans="1:11" x14ac:dyDescent="0.3">
      <c r="A725" t="s">
        <v>809</v>
      </c>
      <c r="B725" t="s">
        <v>810</v>
      </c>
      <c r="C725">
        <v>22953</v>
      </c>
      <c r="D725">
        <v>32232</v>
      </c>
      <c r="E725" s="1">
        <v>45145</v>
      </c>
      <c r="F725" s="1">
        <v>45235</v>
      </c>
      <c r="G725" s="2">
        <v>13756.7</v>
      </c>
      <c r="H725">
        <v>0</v>
      </c>
      <c r="I725" t="s">
        <v>811</v>
      </c>
      <c r="J725" t="s">
        <v>122</v>
      </c>
      <c r="K725" t="s">
        <v>15</v>
      </c>
    </row>
    <row r="726" spans="1:11" x14ac:dyDescent="0.3">
      <c r="A726" t="s">
        <v>39</v>
      </c>
      <c r="B726" t="s">
        <v>40</v>
      </c>
      <c r="C726">
        <v>23160</v>
      </c>
      <c r="D726">
        <v>32464</v>
      </c>
      <c r="E726" s="1">
        <v>45167</v>
      </c>
      <c r="F726" s="1">
        <v>45402</v>
      </c>
      <c r="G726" s="2">
        <v>69910</v>
      </c>
      <c r="H726">
        <v>0</v>
      </c>
      <c r="I726" t="s">
        <v>812</v>
      </c>
      <c r="J726" t="s">
        <v>42</v>
      </c>
      <c r="K726" t="s">
        <v>15</v>
      </c>
    </row>
    <row r="727" spans="1:11" x14ac:dyDescent="0.3">
      <c r="A727" t="s">
        <v>228</v>
      </c>
      <c r="B727" t="s">
        <v>229</v>
      </c>
      <c r="C727">
        <v>23253</v>
      </c>
      <c r="D727">
        <v>32569</v>
      </c>
      <c r="E727" s="1">
        <v>45174</v>
      </c>
      <c r="F727" s="1">
        <v>45442</v>
      </c>
      <c r="G727" s="2">
        <v>57600</v>
      </c>
      <c r="H727">
        <v>0</v>
      </c>
      <c r="I727" t="s">
        <v>813</v>
      </c>
      <c r="J727" t="s">
        <v>206</v>
      </c>
      <c r="K727" t="s">
        <v>15</v>
      </c>
    </row>
    <row r="728" spans="1:11" x14ac:dyDescent="0.3">
      <c r="A728" t="s">
        <v>34</v>
      </c>
      <c r="B728" t="s">
        <v>35</v>
      </c>
      <c r="C728">
        <v>22980</v>
      </c>
      <c r="D728">
        <v>32275</v>
      </c>
      <c r="E728" s="1">
        <v>45152</v>
      </c>
      <c r="F728" s="1">
        <v>45302</v>
      </c>
      <c r="G728" s="2">
        <v>128000</v>
      </c>
      <c r="H728">
        <v>0</v>
      </c>
      <c r="I728" t="s">
        <v>36</v>
      </c>
      <c r="J728" t="s">
        <v>19</v>
      </c>
      <c r="K728" t="s">
        <v>15</v>
      </c>
    </row>
    <row r="729" spans="1:11" x14ac:dyDescent="0.3">
      <c r="A729" t="s">
        <v>228</v>
      </c>
      <c r="B729" t="s">
        <v>229</v>
      </c>
      <c r="C729">
        <v>23578</v>
      </c>
      <c r="D729">
        <v>32910</v>
      </c>
      <c r="E729" s="1">
        <v>45195</v>
      </c>
      <c r="F729" s="1">
        <v>45442</v>
      </c>
      <c r="G729" s="2">
        <v>268907.59999999998</v>
      </c>
      <c r="H729">
        <v>0</v>
      </c>
      <c r="I729" t="s">
        <v>815</v>
      </c>
      <c r="J729" t="s">
        <v>206</v>
      </c>
      <c r="K729" t="s">
        <v>15</v>
      </c>
    </row>
    <row r="730" spans="1:11" x14ac:dyDescent="0.3">
      <c r="A730" t="s">
        <v>816</v>
      </c>
      <c r="B730" t="s">
        <v>817</v>
      </c>
      <c r="C730">
        <v>23703</v>
      </c>
      <c r="D730">
        <v>33040</v>
      </c>
      <c r="E730" s="1">
        <v>45204</v>
      </c>
      <c r="F730" s="1">
        <v>45402</v>
      </c>
      <c r="G730" s="2">
        <v>18450</v>
      </c>
      <c r="H730">
        <v>0</v>
      </c>
      <c r="I730" t="s">
        <v>818</v>
      </c>
      <c r="J730" t="s">
        <v>42</v>
      </c>
      <c r="K730" t="s">
        <v>15</v>
      </c>
    </row>
    <row r="731" spans="1:11" x14ac:dyDescent="0.3">
      <c r="A731" t="s">
        <v>398</v>
      </c>
      <c r="B731" t="s">
        <v>399</v>
      </c>
      <c r="C731">
        <v>23746</v>
      </c>
      <c r="D731">
        <v>33087</v>
      </c>
      <c r="E731" s="1">
        <v>45209</v>
      </c>
      <c r="F731" s="1">
        <v>45412</v>
      </c>
      <c r="G731" s="2">
        <v>37208</v>
      </c>
      <c r="H731">
        <v>0</v>
      </c>
      <c r="I731" t="s">
        <v>819</v>
      </c>
      <c r="J731" t="s">
        <v>401</v>
      </c>
      <c r="K731" t="s">
        <v>15</v>
      </c>
    </row>
    <row r="732" spans="1:11" x14ac:dyDescent="0.3">
      <c r="A732" t="s">
        <v>255</v>
      </c>
      <c r="B732" t="s">
        <v>256</v>
      </c>
      <c r="C732">
        <v>20627</v>
      </c>
      <c r="D732">
        <v>29736</v>
      </c>
      <c r="E732" s="1">
        <v>44832</v>
      </c>
      <c r="F732" s="1">
        <v>45076</v>
      </c>
      <c r="G732" s="2">
        <v>305520</v>
      </c>
      <c r="H732">
        <v>146</v>
      </c>
      <c r="I732" t="s">
        <v>820</v>
      </c>
      <c r="J732" t="s">
        <v>122</v>
      </c>
      <c r="K732" t="s">
        <v>15</v>
      </c>
    </row>
    <row r="733" spans="1:11" x14ac:dyDescent="0.3">
      <c r="A733" t="s">
        <v>255</v>
      </c>
      <c r="B733" t="s">
        <v>256</v>
      </c>
      <c r="C733">
        <v>20728</v>
      </c>
      <c r="D733">
        <v>29840</v>
      </c>
      <c r="E733" s="1">
        <v>44844</v>
      </c>
      <c r="F733" s="1">
        <v>45076</v>
      </c>
      <c r="G733" s="2">
        <v>174176</v>
      </c>
      <c r="H733">
        <v>146</v>
      </c>
      <c r="I733" t="s">
        <v>821</v>
      </c>
      <c r="J733" t="s">
        <v>122</v>
      </c>
      <c r="K733" t="s">
        <v>15</v>
      </c>
    </row>
    <row r="734" spans="1:11" x14ac:dyDescent="0.3">
      <c r="A734" t="s">
        <v>228</v>
      </c>
      <c r="B734" t="s">
        <v>229</v>
      </c>
      <c r="C734">
        <v>22313</v>
      </c>
      <c r="D734">
        <v>31527</v>
      </c>
      <c r="E734" s="1">
        <v>45035</v>
      </c>
      <c r="F734" s="1">
        <v>45290</v>
      </c>
      <c r="G734" s="2">
        <v>480000</v>
      </c>
      <c r="H734">
        <v>0</v>
      </c>
      <c r="I734" t="s">
        <v>822</v>
      </c>
      <c r="J734" t="s">
        <v>206</v>
      </c>
      <c r="K734" t="s">
        <v>15</v>
      </c>
    </row>
    <row r="735" spans="1:11" x14ac:dyDescent="0.3">
      <c r="A735" t="s">
        <v>398</v>
      </c>
      <c r="B735" t="s">
        <v>399</v>
      </c>
      <c r="C735">
        <v>22482</v>
      </c>
      <c r="D735">
        <v>31740</v>
      </c>
      <c r="E735" s="1">
        <v>45068</v>
      </c>
      <c r="F735" s="1">
        <v>45260</v>
      </c>
      <c r="G735" s="2">
        <v>53064</v>
      </c>
      <c r="H735">
        <v>0</v>
      </c>
      <c r="I735" t="s">
        <v>823</v>
      </c>
      <c r="J735" t="s">
        <v>401</v>
      </c>
      <c r="K735" t="s">
        <v>15</v>
      </c>
    </row>
    <row r="736" spans="1:11" x14ac:dyDescent="0.3">
      <c r="A736" t="s">
        <v>824</v>
      </c>
      <c r="B736" t="s">
        <v>594</v>
      </c>
      <c r="C736">
        <v>22631</v>
      </c>
      <c r="D736">
        <v>31907</v>
      </c>
      <c r="E736" s="1">
        <v>45100</v>
      </c>
      <c r="F736" s="1">
        <v>45310</v>
      </c>
      <c r="G736" s="2">
        <v>140000</v>
      </c>
      <c r="H736">
        <v>0</v>
      </c>
      <c r="I736" t="s">
        <v>825</v>
      </c>
      <c r="J736" t="s">
        <v>596</v>
      </c>
      <c r="K736" t="s">
        <v>15</v>
      </c>
    </row>
    <row r="737" spans="1:11" x14ac:dyDescent="0.3">
      <c r="A737" t="s">
        <v>314</v>
      </c>
      <c r="B737" t="s">
        <v>315</v>
      </c>
      <c r="C737">
        <v>22917</v>
      </c>
      <c r="D737">
        <v>32184</v>
      </c>
      <c r="E737" s="1">
        <v>45138</v>
      </c>
      <c r="F737" s="1">
        <v>45258</v>
      </c>
      <c r="G737" s="2">
        <v>375100</v>
      </c>
      <c r="H737">
        <v>0</v>
      </c>
      <c r="I737" t="s">
        <v>826</v>
      </c>
      <c r="J737" t="s">
        <v>206</v>
      </c>
      <c r="K737" t="s">
        <v>15</v>
      </c>
    </row>
    <row r="738" spans="1:11" x14ac:dyDescent="0.3">
      <c r="A738" t="s">
        <v>61</v>
      </c>
      <c r="B738" t="s">
        <v>35</v>
      </c>
      <c r="C738">
        <v>23409</v>
      </c>
      <c r="D738">
        <v>32721</v>
      </c>
      <c r="E738" s="1">
        <v>45184</v>
      </c>
      <c r="F738" s="1">
        <v>45304</v>
      </c>
      <c r="G738" s="2">
        <v>82920</v>
      </c>
      <c r="H738">
        <v>0</v>
      </c>
      <c r="I738" t="s">
        <v>162</v>
      </c>
      <c r="J738" t="s">
        <v>19</v>
      </c>
      <c r="K738" t="s">
        <v>15</v>
      </c>
    </row>
    <row r="739" spans="1:11" x14ac:dyDescent="0.3">
      <c r="A739" t="s">
        <v>100</v>
      </c>
      <c r="B739" t="s">
        <v>101</v>
      </c>
      <c r="C739">
        <v>23231</v>
      </c>
      <c r="D739">
        <v>32547</v>
      </c>
      <c r="E739" s="1">
        <v>45174</v>
      </c>
      <c r="F739" s="1">
        <v>45264</v>
      </c>
      <c r="G739" s="2">
        <v>3675</v>
      </c>
      <c r="H739">
        <v>0</v>
      </c>
      <c r="I739" t="s">
        <v>828</v>
      </c>
      <c r="J739" t="s">
        <v>14</v>
      </c>
      <c r="K739" t="s">
        <v>15</v>
      </c>
    </row>
    <row r="740" spans="1:11" x14ac:dyDescent="0.3">
      <c r="A740" t="s">
        <v>100</v>
      </c>
      <c r="B740" t="s">
        <v>101</v>
      </c>
      <c r="C740">
        <v>23231</v>
      </c>
      <c r="D740">
        <v>32547</v>
      </c>
      <c r="E740" s="1">
        <v>45174</v>
      </c>
      <c r="F740" s="1">
        <v>45294</v>
      </c>
      <c r="G740" s="2">
        <v>3675</v>
      </c>
      <c r="H740">
        <v>0</v>
      </c>
      <c r="I740" t="s">
        <v>828</v>
      </c>
      <c r="J740" t="s">
        <v>14</v>
      </c>
      <c r="K740" t="s">
        <v>15</v>
      </c>
    </row>
    <row r="741" spans="1:11" x14ac:dyDescent="0.3">
      <c r="A741" t="s">
        <v>829</v>
      </c>
      <c r="B741" t="s">
        <v>830</v>
      </c>
      <c r="C741">
        <v>23385</v>
      </c>
      <c r="D741">
        <v>32698</v>
      </c>
      <c r="E741" s="1">
        <v>45183</v>
      </c>
      <c r="F741" s="1">
        <v>45442</v>
      </c>
      <c r="G741" s="2">
        <v>122500</v>
      </c>
      <c r="H741">
        <v>0</v>
      </c>
      <c r="I741" t="s">
        <v>831</v>
      </c>
      <c r="J741" t="s">
        <v>77</v>
      </c>
      <c r="K741" t="s">
        <v>15</v>
      </c>
    </row>
    <row r="742" spans="1:11" x14ac:dyDescent="0.3">
      <c r="A742" t="s">
        <v>88</v>
      </c>
      <c r="B742" t="s">
        <v>89</v>
      </c>
      <c r="C742">
        <v>23518</v>
      </c>
      <c r="D742">
        <v>32840</v>
      </c>
      <c r="E742" s="1">
        <v>45190</v>
      </c>
      <c r="F742" s="1">
        <v>45340</v>
      </c>
      <c r="G742" s="2">
        <v>105000</v>
      </c>
      <c r="H742">
        <v>0</v>
      </c>
      <c r="I742" t="s">
        <v>832</v>
      </c>
      <c r="J742" t="s">
        <v>27</v>
      </c>
      <c r="K742" t="s">
        <v>15</v>
      </c>
    </row>
    <row r="743" spans="1:11" x14ac:dyDescent="0.3">
      <c r="A743" t="s">
        <v>88</v>
      </c>
      <c r="B743" t="s">
        <v>89</v>
      </c>
      <c r="C743">
        <v>23518</v>
      </c>
      <c r="D743">
        <v>32840</v>
      </c>
      <c r="E743" s="1">
        <v>45190</v>
      </c>
      <c r="F743" s="1">
        <v>45370</v>
      </c>
      <c r="G743" s="2">
        <v>105000</v>
      </c>
      <c r="H743">
        <v>0</v>
      </c>
      <c r="I743" t="s">
        <v>832</v>
      </c>
      <c r="J743" t="s">
        <v>27</v>
      </c>
      <c r="K743" t="s">
        <v>15</v>
      </c>
    </row>
    <row r="744" spans="1:11" x14ac:dyDescent="0.3">
      <c r="A744" t="s">
        <v>39</v>
      </c>
      <c r="B744" t="s">
        <v>40</v>
      </c>
      <c r="C744">
        <v>23632</v>
      </c>
      <c r="D744">
        <v>32965</v>
      </c>
      <c r="E744" s="1">
        <v>45198</v>
      </c>
      <c r="F744" s="1">
        <v>45402</v>
      </c>
      <c r="G744" s="2">
        <v>11800.8</v>
      </c>
      <c r="H744">
        <v>0</v>
      </c>
      <c r="I744" t="s">
        <v>833</v>
      </c>
      <c r="J744" t="s">
        <v>42</v>
      </c>
      <c r="K744" t="s">
        <v>15</v>
      </c>
    </row>
    <row r="745" spans="1:11" x14ac:dyDescent="0.3">
      <c r="A745" t="s">
        <v>39</v>
      </c>
      <c r="B745" t="s">
        <v>40</v>
      </c>
      <c r="C745">
        <v>23636</v>
      </c>
      <c r="D745">
        <v>32969</v>
      </c>
      <c r="E745" s="1">
        <v>45198</v>
      </c>
      <c r="F745" s="1">
        <v>45402</v>
      </c>
      <c r="G745" s="2">
        <v>88000</v>
      </c>
      <c r="H745">
        <v>0</v>
      </c>
      <c r="I745" t="s">
        <v>834</v>
      </c>
      <c r="J745" t="s">
        <v>42</v>
      </c>
      <c r="K745" t="s">
        <v>15</v>
      </c>
    </row>
    <row r="746" spans="1:11" x14ac:dyDescent="0.3">
      <c r="A746" t="s">
        <v>835</v>
      </c>
      <c r="B746" t="s">
        <v>836</v>
      </c>
      <c r="C746">
        <v>23777</v>
      </c>
      <c r="D746">
        <v>33122</v>
      </c>
      <c r="E746" s="1">
        <v>45215</v>
      </c>
      <c r="F746" s="1">
        <v>45402</v>
      </c>
      <c r="G746" s="2">
        <v>27120</v>
      </c>
      <c r="H746">
        <v>0</v>
      </c>
      <c r="I746" t="s">
        <v>837</v>
      </c>
      <c r="J746" t="s">
        <v>42</v>
      </c>
      <c r="K746" t="s">
        <v>15</v>
      </c>
    </row>
    <row r="747" spans="1:11" x14ac:dyDescent="0.3">
      <c r="A747" t="s">
        <v>508</v>
      </c>
      <c r="B747" t="s">
        <v>509</v>
      </c>
      <c r="C747">
        <v>23811</v>
      </c>
      <c r="D747">
        <v>33163</v>
      </c>
      <c r="E747" s="1">
        <v>45218</v>
      </c>
      <c r="F747" s="1">
        <v>45308</v>
      </c>
      <c r="G747" s="2">
        <v>4798.75</v>
      </c>
      <c r="H747">
        <v>0</v>
      </c>
      <c r="I747" t="s">
        <v>838</v>
      </c>
      <c r="J747" t="s">
        <v>14</v>
      </c>
      <c r="K747" t="s">
        <v>15</v>
      </c>
    </row>
    <row r="748" spans="1:11" x14ac:dyDescent="0.3">
      <c r="A748" t="s">
        <v>508</v>
      </c>
      <c r="B748" t="s">
        <v>509</v>
      </c>
      <c r="C748">
        <v>23811</v>
      </c>
      <c r="D748">
        <v>33163</v>
      </c>
      <c r="E748" s="1">
        <v>45218</v>
      </c>
      <c r="F748" s="1">
        <v>45338</v>
      </c>
      <c r="G748" s="2">
        <v>4798.75</v>
      </c>
      <c r="H748">
        <v>0</v>
      </c>
      <c r="I748" t="s">
        <v>838</v>
      </c>
      <c r="J748" t="s">
        <v>14</v>
      </c>
      <c r="K748" t="s">
        <v>15</v>
      </c>
    </row>
    <row r="749" spans="1:11" x14ac:dyDescent="0.3">
      <c r="A749" t="s">
        <v>508</v>
      </c>
      <c r="B749" t="s">
        <v>509</v>
      </c>
      <c r="C749">
        <v>23811</v>
      </c>
      <c r="D749">
        <v>33163</v>
      </c>
      <c r="E749" s="1">
        <v>45218</v>
      </c>
      <c r="F749" s="1">
        <v>45368</v>
      </c>
      <c r="G749" s="2">
        <v>4798.75</v>
      </c>
      <c r="H749">
        <v>0</v>
      </c>
      <c r="I749" t="s">
        <v>838</v>
      </c>
      <c r="J749" t="s">
        <v>14</v>
      </c>
      <c r="K749" t="s">
        <v>15</v>
      </c>
    </row>
    <row r="750" spans="1:11" x14ac:dyDescent="0.3">
      <c r="A750" t="s">
        <v>228</v>
      </c>
      <c r="B750" t="s">
        <v>229</v>
      </c>
      <c r="C750">
        <v>22089</v>
      </c>
      <c r="D750">
        <v>31265</v>
      </c>
      <c r="E750" s="1">
        <v>44995</v>
      </c>
      <c r="F750" s="1">
        <v>45229</v>
      </c>
      <c r="G750" s="2">
        <v>149600</v>
      </c>
      <c r="H750">
        <v>0</v>
      </c>
      <c r="I750" t="s">
        <v>839</v>
      </c>
      <c r="J750" t="s">
        <v>206</v>
      </c>
      <c r="K750" t="s">
        <v>15</v>
      </c>
    </row>
    <row r="751" spans="1:11" x14ac:dyDescent="0.3">
      <c r="A751" t="s">
        <v>61</v>
      </c>
      <c r="B751" t="s">
        <v>35</v>
      </c>
      <c r="C751">
        <v>23414</v>
      </c>
      <c r="D751">
        <v>32726</v>
      </c>
      <c r="E751" s="1">
        <v>45184</v>
      </c>
      <c r="F751" s="1">
        <v>45304</v>
      </c>
      <c r="G751" s="2">
        <v>4900</v>
      </c>
      <c r="H751">
        <v>0</v>
      </c>
      <c r="I751" t="s">
        <v>814</v>
      </c>
      <c r="J751" t="s">
        <v>19</v>
      </c>
      <c r="K751" t="s">
        <v>15</v>
      </c>
    </row>
    <row r="752" spans="1:11" x14ac:dyDescent="0.3">
      <c r="A752" t="s">
        <v>841</v>
      </c>
      <c r="B752" t="s">
        <v>842</v>
      </c>
      <c r="C752">
        <v>23006</v>
      </c>
      <c r="D752">
        <v>32299</v>
      </c>
      <c r="E752" s="1">
        <v>45153</v>
      </c>
      <c r="F752" s="1">
        <v>45412</v>
      </c>
      <c r="G752" s="2">
        <v>8000</v>
      </c>
      <c r="H752">
        <v>0</v>
      </c>
      <c r="I752" t="s">
        <v>843</v>
      </c>
      <c r="J752" t="s">
        <v>86</v>
      </c>
      <c r="K752" t="s">
        <v>15</v>
      </c>
    </row>
    <row r="753" spans="1:11" x14ac:dyDescent="0.3">
      <c r="A753" t="s">
        <v>39</v>
      </c>
      <c r="B753" t="s">
        <v>40</v>
      </c>
      <c r="C753">
        <v>23208</v>
      </c>
      <c r="D753">
        <v>32521</v>
      </c>
      <c r="E753" s="1">
        <v>45173</v>
      </c>
      <c r="F753" s="1">
        <v>45402</v>
      </c>
      <c r="G753" s="2">
        <v>111300</v>
      </c>
      <c r="H753">
        <v>0</v>
      </c>
      <c r="I753" t="s">
        <v>844</v>
      </c>
      <c r="J753" t="s">
        <v>42</v>
      </c>
      <c r="K753" t="s">
        <v>15</v>
      </c>
    </row>
    <row r="754" spans="1:11" x14ac:dyDescent="0.3">
      <c r="A754" t="s">
        <v>24</v>
      </c>
      <c r="B754" t="s">
        <v>25</v>
      </c>
      <c r="C754">
        <v>23359</v>
      </c>
      <c r="D754">
        <v>32673</v>
      </c>
      <c r="E754" s="1">
        <v>45182</v>
      </c>
      <c r="F754" s="1">
        <v>45392</v>
      </c>
      <c r="G754" s="2">
        <v>73732.399999999994</v>
      </c>
      <c r="H754">
        <v>0</v>
      </c>
      <c r="I754" t="s">
        <v>845</v>
      </c>
      <c r="J754" t="s">
        <v>27</v>
      </c>
      <c r="K754" t="s">
        <v>15</v>
      </c>
    </row>
    <row r="755" spans="1:11" x14ac:dyDescent="0.3">
      <c r="A755" t="s">
        <v>872</v>
      </c>
      <c r="B755" t="s">
        <v>35</v>
      </c>
      <c r="C755">
        <v>23410</v>
      </c>
      <c r="D755">
        <v>32722</v>
      </c>
      <c r="E755" s="1">
        <v>45184</v>
      </c>
      <c r="F755" s="1">
        <v>45304</v>
      </c>
      <c r="G755" s="2">
        <v>105000</v>
      </c>
      <c r="H755">
        <v>0</v>
      </c>
      <c r="I755" t="s">
        <v>873</v>
      </c>
      <c r="J755" t="s">
        <v>19</v>
      </c>
      <c r="K755" t="s">
        <v>15</v>
      </c>
    </row>
    <row r="756" spans="1:11" x14ac:dyDescent="0.3">
      <c r="A756" t="s">
        <v>663</v>
      </c>
      <c r="B756" t="s">
        <v>664</v>
      </c>
      <c r="C756">
        <v>23510</v>
      </c>
      <c r="D756">
        <v>32828</v>
      </c>
      <c r="E756" s="1">
        <v>45189</v>
      </c>
      <c r="F756" s="1">
        <v>45549</v>
      </c>
      <c r="G756" s="2">
        <v>91362</v>
      </c>
      <c r="H756">
        <v>0</v>
      </c>
      <c r="I756" t="s">
        <v>847</v>
      </c>
      <c r="J756" t="s">
        <v>94</v>
      </c>
      <c r="K756" t="s">
        <v>15</v>
      </c>
    </row>
    <row r="757" spans="1:11" x14ac:dyDescent="0.3">
      <c r="A757" t="s">
        <v>425</v>
      </c>
      <c r="B757" t="s">
        <v>426</v>
      </c>
      <c r="C757">
        <v>23557</v>
      </c>
      <c r="D757">
        <v>32885</v>
      </c>
      <c r="E757" s="1">
        <v>45194</v>
      </c>
      <c r="F757" s="1">
        <v>45323</v>
      </c>
      <c r="G757" s="2">
        <v>172134</v>
      </c>
      <c r="H757">
        <v>0</v>
      </c>
      <c r="I757" t="s">
        <v>848</v>
      </c>
      <c r="J757" t="s">
        <v>167</v>
      </c>
      <c r="K757" t="s">
        <v>15</v>
      </c>
    </row>
    <row r="758" spans="1:11" x14ac:dyDescent="0.3">
      <c r="A758" t="s">
        <v>323</v>
      </c>
      <c r="B758" t="s">
        <v>324</v>
      </c>
      <c r="C758">
        <v>23608</v>
      </c>
      <c r="D758">
        <v>32944</v>
      </c>
      <c r="E758" s="1">
        <v>45197</v>
      </c>
      <c r="F758" s="1">
        <v>45442</v>
      </c>
      <c r="G758" s="2">
        <v>33520</v>
      </c>
      <c r="H758">
        <v>0</v>
      </c>
      <c r="I758" t="s">
        <v>849</v>
      </c>
      <c r="J758" t="s">
        <v>94</v>
      </c>
      <c r="K758" t="s">
        <v>15</v>
      </c>
    </row>
    <row r="759" spans="1:11" x14ac:dyDescent="0.3">
      <c r="A759" t="s">
        <v>850</v>
      </c>
      <c r="B759" t="s">
        <v>851</v>
      </c>
      <c r="C759">
        <v>23657</v>
      </c>
      <c r="D759">
        <v>32991</v>
      </c>
      <c r="E759" s="1">
        <v>45198</v>
      </c>
      <c r="F759" s="1">
        <v>45412</v>
      </c>
      <c r="G759" s="2">
        <v>180300</v>
      </c>
      <c r="H759">
        <v>0</v>
      </c>
      <c r="I759" t="s">
        <v>852</v>
      </c>
      <c r="J759" t="s">
        <v>73</v>
      </c>
      <c r="K759" t="s">
        <v>15</v>
      </c>
    </row>
    <row r="760" spans="1:11" x14ac:dyDescent="0.3">
      <c r="A760" t="s">
        <v>314</v>
      </c>
      <c r="B760" t="s">
        <v>315</v>
      </c>
      <c r="D760">
        <v>224702</v>
      </c>
      <c r="E760" s="1">
        <v>45198</v>
      </c>
      <c r="F760" s="1">
        <v>45258</v>
      </c>
      <c r="G760" s="2">
        <v>37389</v>
      </c>
      <c r="H760">
        <v>0</v>
      </c>
      <c r="I760" t="s">
        <v>853</v>
      </c>
      <c r="J760" t="s">
        <v>206</v>
      </c>
    </row>
    <row r="761" spans="1:11" x14ac:dyDescent="0.3">
      <c r="A761" t="s">
        <v>79</v>
      </c>
      <c r="B761" t="s">
        <v>80</v>
      </c>
      <c r="C761">
        <v>20721</v>
      </c>
      <c r="D761">
        <v>29830</v>
      </c>
      <c r="E761" s="1">
        <v>44840</v>
      </c>
      <c r="F761" s="1">
        <v>45046</v>
      </c>
      <c r="G761" s="2">
        <v>12384.84</v>
      </c>
      <c r="H761">
        <v>176</v>
      </c>
      <c r="I761" t="s">
        <v>854</v>
      </c>
      <c r="J761" t="s">
        <v>82</v>
      </c>
      <c r="K761" t="s">
        <v>15</v>
      </c>
    </row>
    <row r="762" spans="1:11" x14ac:dyDescent="0.3">
      <c r="A762" t="s">
        <v>109</v>
      </c>
      <c r="B762" t="s">
        <v>110</v>
      </c>
      <c r="C762">
        <v>21298</v>
      </c>
      <c r="D762">
        <v>30458</v>
      </c>
      <c r="E762" s="1">
        <v>44911</v>
      </c>
      <c r="F762" s="1">
        <v>45076</v>
      </c>
      <c r="G762" s="2">
        <v>68000</v>
      </c>
      <c r="H762">
        <v>146</v>
      </c>
      <c r="I762" t="s">
        <v>855</v>
      </c>
      <c r="J762" t="s">
        <v>112</v>
      </c>
      <c r="K762" t="s">
        <v>15</v>
      </c>
    </row>
    <row r="763" spans="1:11" x14ac:dyDescent="0.3">
      <c r="A763" t="s">
        <v>872</v>
      </c>
      <c r="B763" t="s">
        <v>35</v>
      </c>
      <c r="C763">
        <v>23411</v>
      </c>
      <c r="D763">
        <v>32723</v>
      </c>
      <c r="E763" s="1">
        <v>45184</v>
      </c>
      <c r="F763" s="1">
        <v>45304</v>
      </c>
      <c r="G763" s="2">
        <v>53100</v>
      </c>
      <c r="H763">
        <v>0</v>
      </c>
      <c r="I763" t="s">
        <v>1196</v>
      </c>
      <c r="J763" t="s">
        <v>19</v>
      </c>
      <c r="K763" t="s">
        <v>15</v>
      </c>
    </row>
    <row r="764" spans="1:11" x14ac:dyDescent="0.3">
      <c r="A764" t="s">
        <v>704</v>
      </c>
      <c r="B764" t="s">
        <v>705</v>
      </c>
      <c r="C764">
        <v>22995</v>
      </c>
      <c r="D764">
        <v>32289</v>
      </c>
      <c r="E764" s="1">
        <v>45153</v>
      </c>
      <c r="F764" s="1">
        <v>45303</v>
      </c>
      <c r="G764" s="2">
        <v>23885</v>
      </c>
      <c r="H764">
        <v>0</v>
      </c>
      <c r="I764" t="s">
        <v>857</v>
      </c>
      <c r="J764" t="s">
        <v>19</v>
      </c>
      <c r="K764" t="s">
        <v>15</v>
      </c>
    </row>
    <row r="765" spans="1:11" x14ac:dyDescent="0.3">
      <c r="A765" t="s">
        <v>61</v>
      </c>
      <c r="B765" t="s">
        <v>35</v>
      </c>
      <c r="C765">
        <v>23407</v>
      </c>
      <c r="D765">
        <v>32719</v>
      </c>
      <c r="E765" s="1">
        <v>45184</v>
      </c>
      <c r="F765" s="1">
        <v>45304</v>
      </c>
      <c r="G765" s="2">
        <v>16800</v>
      </c>
      <c r="H765">
        <v>0</v>
      </c>
      <c r="I765" t="s">
        <v>1305</v>
      </c>
      <c r="J765" t="s">
        <v>19</v>
      </c>
      <c r="K765" t="s">
        <v>15</v>
      </c>
    </row>
    <row r="766" spans="1:11" x14ac:dyDescent="0.3">
      <c r="A766" t="s">
        <v>145</v>
      </c>
      <c r="B766" t="s">
        <v>146</v>
      </c>
      <c r="C766">
        <v>23093</v>
      </c>
      <c r="D766">
        <v>32392</v>
      </c>
      <c r="E766" s="1">
        <v>45162</v>
      </c>
      <c r="F766" s="1">
        <v>45412</v>
      </c>
      <c r="G766" s="2">
        <v>32295</v>
      </c>
      <c r="H766">
        <v>0</v>
      </c>
      <c r="I766" t="s">
        <v>859</v>
      </c>
      <c r="J766" t="s">
        <v>82</v>
      </c>
      <c r="K766" t="s">
        <v>15</v>
      </c>
    </row>
    <row r="767" spans="1:11" x14ac:dyDescent="0.3">
      <c r="A767" t="s">
        <v>860</v>
      </c>
      <c r="B767" t="s">
        <v>861</v>
      </c>
      <c r="C767">
        <v>23129</v>
      </c>
      <c r="D767">
        <v>32434</v>
      </c>
      <c r="E767" s="1">
        <v>45166</v>
      </c>
      <c r="F767" s="1">
        <v>45412</v>
      </c>
      <c r="G767" s="2">
        <v>46300</v>
      </c>
      <c r="H767">
        <v>0</v>
      </c>
      <c r="I767" t="s">
        <v>862</v>
      </c>
      <c r="J767" t="s">
        <v>135</v>
      </c>
      <c r="K767" t="s">
        <v>15</v>
      </c>
    </row>
    <row r="768" spans="1:11" x14ac:dyDescent="0.3">
      <c r="A768" t="s">
        <v>346</v>
      </c>
      <c r="B768" t="s">
        <v>347</v>
      </c>
      <c r="C768">
        <v>23397</v>
      </c>
      <c r="D768">
        <v>32708</v>
      </c>
      <c r="E768" s="1">
        <v>45184</v>
      </c>
      <c r="F768" s="1">
        <v>45442</v>
      </c>
      <c r="G768" s="2">
        <v>26040</v>
      </c>
      <c r="H768">
        <v>0</v>
      </c>
      <c r="I768" t="s">
        <v>863</v>
      </c>
      <c r="J768" t="s">
        <v>112</v>
      </c>
      <c r="K768" t="s">
        <v>15</v>
      </c>
    </row>
    <row r="769" spans="1:11" x14ac:dyDescent="0.3">
      <c r="A769" t="s">
        <v>67</v>
      </c>
      <c r="B769" t="s">
        <v>68</v>
      </c>
      <c r="C769">
        <v>23404</v>
      </c>
      <c r="D769">
        <v>32715</v>
      </c>
      <c r="E769" s="1">
        <v>45184</v>
      </c>
      <c r="F769" s="1">
        <v>45304</v>
      </c>
      <c r="G769" s="2">
        <v>6450</v>
      </c>
      <c r="H769">
        <v>0</v>
      </c>
      <c r="I769" t="s">
        <v>864</v>
      </c>
      <c r="J769" t="s">
        <v>19</v>
      </c>
      <c r="K769" t="s">
        <v>15</v>
      </c>
    </row>
    <row r="770" spans="1:11" x14ac:dyDescent="0.3">
      <c r="A770" t="s">
        <v>20</v>
      </c>
      <c r="B770" t="s">
        <v>21</v>
      </c>
      <c r="C770">
        <v>23650</v>
      </c>
      <c r="D770">
        <v>32984</v>
      </c>
      <c r="E770" s="1">
        <v>45198</v>
      </c>
      <c r="F770" s="1">
        <v>45303</v>
      </c>
      <c r="G770">
        <v>704.44</v>
      </c>
      <c r="H770">
        <v>0</v>
      </c>
      <c r="I770" t="s">
        <v>208</v>
      </c>
      <c r="J770" t="s">
        <v>23</v>
      </c>
      <c r="K770" t="s">
        <v>15</v>
      </c>
    </row>
    <row r="771" spans="1:11" x14ac:dyDescent="0.3">
      <c r="A771" t="s">
        <v>20</v>
      </c>
      <c r="B771" t="s">
        <v>21</v>
      </c>
      <c r="C771">
        <v>23650</v>
      </c>
      <c r="D771">
        <v>32984</v>
      </c>
      <c r="E771" s="1">
        <v>45198</v>
      </c>
      <c r="F771" s="1">
        <v>45318</v>
      </c>
      <c r="G771">
        <v>704.44</v>
      </c>
      <c r="H771">
        <v>0</v>
      </c>
      <c r="I771" t="s">
        <v>208</v>
      </c>
      <c r="J771" t="s">
        <v>23</v>
      </c>
      <c r="K771" t="s">
        <v>15</v>
      </c>
    </row>
    <row r="772" spans="1:11" x14ac:dyDescent="0.3">
      <c r="A772" t="s">
        <v>20</v>
      </c>
      <c r="B772" t="s">
        <v>21</v>
      </c>
      <c r="C772">
        <v>23650</v>
      </c>
      <c r="D772">
        <v>32984</v>
      </c>
      <c r="E772" s="1">
        <v>45198</v>
      </c>
      <c r="F772" s="1">
        <v>45333</v>
      </c>
      <c r="G772">
        <v>704.44</v>
      </c>
      <c r="H772">
        <v>0</v>
      </c>
      <c r="I772" t="s">
        <v>208</v>
      </c>
      <c r="J772" t="s">
        <v>23</v>
      </c>
      <c r="K772" t="s">
        <v>15</v>
      </c>
    </row>
    <row r="773" spans="1:11" x14ac:dyDescent="0.3">
      <c r="A773" t="s">
        <v>20</v>
      </c>
      <c r="B773" t="s">
        <v>21</v>
      </c>
      <c r="C773">
        <v>23650</v>
      </c>
      <c r="D773">
        <v>32984</v>
      </c>
      <c r="E773" s="1">
        <v>45198</v>
      </c>
      <c r="F773" s="1">
        <v>45348</v>
      </c>
      <c r="G773">
        <v>704.44</v>
      </c>
      <c r="H773">
        <v>0</v>
      </c>
      <c r="I773" t="s">
        <v>208</v>
      </c>
      <c r="J773" t="s">
        <v>23</v>
      </c>
      <c r="K773" t="s">
        <v>15</v>
      </c>
    </row>
    <row r="774" spans="1:11" x14ac:dyDescent="0.3">
      <c r="A774" t="s">
        <v>20</v>
      </c>
      <c r="B774" t="s">
        <v>21</v>
      </c>
      <c r="C774">
        <v>23650</v>
      </c>
      <c r="D774">
        <v>32984</v>
      </c>
      <c r="E774" s="1">
        <v>45198</v>
      </c>
      <c r="F774" s="1">
        <v>45363</v>
      </c>
      <c r="G774">
        <v>704.44</v>
      </c>
      <c r="H774">
        <v>0</v>
      </c>
      <c r="I774" t="s">
        <v>208</v>
      </c>
      <c r="J774" t="s">
        <v>23</v>
      </c>
      <c r="K774" t="s">
        <v>15</v>
      </c>
    </row>
    <row r="775" spans="1:11" x14ac:dyDescent="0.3">
      <c r="A775" t="s">
        <v>16</v>
      </c>
      <c r="B775" t="s">
        <v>17</v>
      </c>
      <c r="C775">
        <v>22440</v>
      </c>
      <c r="D775">
        <v>31692</v>
      </c>
      <c r="E775" s="1">
        <v>45056</v>
      </c>
      <c r="F775" s="1">
        <v>45236</v>
      </c>
      <c r="G775" s="2">
        <v>14864.84</v>
      </c>
      <c r="H775">
        <v>0</v>
      </c>
      <c r="I775" t="s">
        <v>865</v>
      </c>
      <c r="J775" t="s">
        <v>19</v>
      </c>
      <c r="K775" t="s">
        <v>15</v>
      </c>
    </row>
    <row r="776" spans="1:11" x14ac:dyDescent="0.3">
      <c r="A776" t="s">
        <v>31</v>
      </c>
      <c r="B776" t="s">
        <v>32</v>
      </c>
      <c r="C776">
        <v>22555</v>
      </c>
      <c r="D776">
        <v>31822</v>
      </c>
      <c r="E776" s="1">
        <v>45082</v>
      </c>
      <c r="F776" s="1">
        <v>45232</v>
      </c>
      <c r="G776" s="2">
        <v>36266.629999999997</v>
      </c>
      <c r="H776">
        <v>0</v>
      </c>
      <c r="I776" t="s">
        <v>866</v>
      </c>
      <c r="J776" t="s">
        <v>19</v>
      </c>
      <c r="K776" t="s">
        <v>15</v>
      </c>
    </row>
    <row r="777" spans="1:11" x14ac:dyDescent="0.3">
      <c r="A777" t="s">
        <v>31</v>
      </c>
      <c r="B777" t="s">
        <v>32</v>
      </c>
      <c r="C777">
        <v>22555</v>
      </c>
      <c r="D777">
        <v>31822</v>
      </c>
      <c r="E777" s="1">
        <v>45082</v>
      </c>
      <c r="F777" s="1">
        <v>45262</v>
      </c>
      <c r="G777" s="2">
        <v>36266.74</v>
      </c>
      <c r="H777">
        <v>0</v>
      </c>
      <c r="I777" t="s">
        <v>866</v>
      </c>
      <c r="J777" t="s">
        <v>19</v>
      </c>
      <c r="K777" t="s">
        <v>15</v>
      </c>
    </row>
    <row r="778" spans="1:11" x14ac:dyDescent="0.3">
      <c r="A778" t="s">
        <v>867</v>
      </c>
      <c r="B778" t="s">
        <v>868</v>
      </c>
      <c r="C778">
        <v>22672</v>
      </c>
      <c r="D778">
        <v>31947</v>
      </c>
      <c r="E778" s="1">
        <v>45105</v>
      </c>
      <c r="F778" s="1">
        <v>45225</v>
      </c>
      <c r="G778" s="2">
        <v>33000</v>
      </c>
      <c r="H778">
        <v>0</v>
      </c>
      <c r="I778" t="s">
        <v>869</v>
      </c>
      <c r="J778" t="s">
        <v>19</v>
      </c>
      <c r="K778" t="s">
        <v>15</v>
      </c>
    </row>
    <row r="779" spans="1:11" x14ac:dyDescent="0.3">
      <c r="A779" t="s">
        <v>34</v>
      </c>
      <c r="B779" t="s">
        <v>35</v>
      </c>
      <c r="C779">
        <v>23044</v>
      </c>
      <c r="D779">
        <v>32342</v>
      </c>
      <c r="E779" s="1">
        <v>45156</v>
      </c>
      <c r="F779" s="1">
        <v>45306</v>
      </c>
      <c r="G779" s="2">
        <v>56600</v>
      </c>
      <c r="H779">
        <v>0</v>
      </c>
      <c r="I779" t="s">
        <v>748</v>
      </c>
      <c r="J779" t="s">
        <v>19</v>
      </c>
      <c r="K779" t="s">
        <v>15</v>
      </c>
    </row>
    <row r="780" spans="1:11" x14ac:dyDescent="0.3">
      <c r="A780" t="s">
        <v>31</v>
      </c>
      <c r="B780" t="s">
        <v>32</v>
      </c>
      <c r="C780">
        <v>22874</v>
      </c>
      <c r="D780">
        <v>32142</v>
      </c>
      <c r="E780" s="1">
        <v>45132</v>
      </c>
      <c r="F780" s="1">
        <v>45252</v>
      </c>
      <c r="G780" s="2">
        <v>22952.03</v>
      </c>
      <c r="H780">
        <v>0</v>
      </c>
      <c r="I780" t="s">
        <v>866</v>
      </c>
      <c r="J780" t="s">
        <v>19</v>
      </c>
      <c r="K780" t="s">
        <v>15</v>
      </c>
    </row>
    <row r="781" spans="1:11" x14ac:dyDescent="0.3">
      <c r="A781" t="s">
        <v>31</v>
      </c>
      <c r="B781" t="s">
        <v>32</v>
      </c>
      <c r="C781">
        <v>22874</v>
      </c>
      <c r="D781">
        <v>32142</v>
      </c>
      <c r="E781" s="1">
        <v>45132</v>
      </c>
      <c r="F781" s="1">
        <v>45282</v>
      </c>
      <c r="G781" s="2">
        <v>22952.03</v>
      </c>
      <c r="H781">
        <v>0</v>
      </c>
      <c r="I781" t="s">
        <v>866</v>
      </c>
      <c r="J781" t="s">
        <v>19</v>
      </c>
      <c r="K781" t="s">
        <v>15</v>
      </c>
    </row>
    <row r="782" spans="1:11" x14ac:dyDescent="0.3">
      <c r="A782" t="s">
        <v>31</v>
      </c>
      <c r="B782" t="s">
        <v>32</v>
      </c>
      <c r="C782">
        <v>22874</v>
      </c>
      <c r="D782">
        <v>32142</v>
      </c>
      <c r="E782" s="1">
        <v>45132</v>
      </c>
      <c r="F782" s="1">
        <v>45312</v>
      </c>
      <c r="G782" s="2">
        <v>22952.1</v>
      </c>
      <c r="H782">
        <v>0</v>
      </c>
      <c r="I782" t="s">
        <v>866</v>
      </c>
      <c r="J782" t="s">
        <v>19</v>
      </c>
      <c r="K782" t="s">
        <v>15</v>
      </c>
    </row>
    <row r="783" spans="1:11" x14ac:dyDescent="0.3">
      <c r="A783" t="s">
        <v>787</v>
      </c>
      <c r="B783" t="s">
        <v>788</v>
      </c>
      <c r="C783">
        <v>23225</v>
      </c>
      <c r="D783">
        <v>32541</v>
      </c>
      <c r="E783" s="1">
        <v>45173</v>
      </c>
      <c r="F783" s="1">
        <v>45442</v>
      </c>
      <c r="G783" s="2">
        <v>10640</v>
      </c>
      <c r="H783">
        <v>0</v>
      </c>
      <c r="I783" t="s">
        <v>871</v>
      </c>
      <c r="J783" t="s">
        <v>42</v>
      </c>
      <c r="K783" t="s">
        <v>15</v>
      </c>
    </row>
    <row r="784" spans="1:11" x14ac:dyDescent="0.3">
      <c r="A784" t="s">
        <v>34</v>
      </c>
      <c r="B784" t="s">
        <v>35</v>
      </c>
      <c r="C784">
        <v>23043</v>
      </c>
      <c r="D784">
        <v>32341</v>
      </c>
      <c r="E784" s="1">
        <v>45156</v>
      </c>
      <c r="F784" s="1">
        <v>45306</v>
      </c>
      <c r="G784" s="2">
        <v>80000</v>
      </c>
      <c r="H784">
        <v>0</v>
      </c>
      <c r="I784" t="s">
        <v>1192</v>
      </c>
      <c r="J784" t="s">
        <v>19</v>
      </c>
      <c r="K784" t="s">
        <v>15</v>
      </c>
    </row>
    <row r="785" spans="1:11" x14ac:dyDescent="0.3">
      <c r="A785" t="s">
        <v>679</v>
      </c>
      <c r="B785" t="s">
        <v>680</v>
      </c>
      <c r="C785">
        <v>23459</v>
      </c>
      <c r="D785">
        <v>32777</v>
      </c>
      <c r="E785" s="1">
        <v>45188</v>
      </c>
      <c r="F785" s="1">
        <v>45412</v>
      </c>
      <c r="G785" s="2">
        <v>198786</v>
      </c>
      <c r="H785">
        <v>0</v>
      </c>
      <c r="I785" t="s">
        <v>874</v>
      </c>
      <c r="J785" t="s">
        <v>86</v>
      </c>
      <c r="K785" t="s">
        <v>15</v>
      </c>
    </row>
    <row r="786" spans="1:11" x14ac:dyDescent="0.3">
      <c r="A786" t="s">
        <v>88</v>
      </c>
      <c r="B786" t="s">
        <v>89</v>
      </c>
      <c r="C786">
        <v>23544</v>
      </c>
      <c r="D786">
        <v>32865</v>
      </c>
      <c r="E786" s="1">
        <v>45191</v>
      </c>
      <c r="F786" s="1">
        <v>45341</v>
      </c>
      <c r="G786" s="2">
        <v>109050</v>
      </c>
      <c r="H786">
        <v>0</v>
      </c>
      <c r="I786" t="s">
        <v>875</v>
      </c>
      <c r="J786" t="s">
        <v>27</v>
      </c>
      <c r="K786" t="s">
        <v>15</v>
      </c>
    </row>
    <row r="787" spans="1:11" x14ac:dyDescent="0.3">
      <c r="A787" t="s">
        <v>88</v>
      </c>
      <c r="B787" t="s">
        <v>89</v>
      </c>
      <c r="C787">
        <v>23544</v>
      </c>
      <c r="D787">
        <v>32865</v>
      </c>
      <c r="E787" s="1">
        <v>45191</v>
      </c>
      <c r="F787" s="1">
        <v>45371</v>
      </c>
      <c r="G787" s="2">
        <v>109050</v>
      </c>
      <c r="H787">
        <v>0</v>
      </c>
      <c r="I787" t="s">
        <v>875</v>
      </c>
      <c r="J787" t="s">
        <v>27</v>
      </c>
      <c r="K787" t="s">
        <v>15</v>
      </c>
    </row>
    <row r="788" spans="1:11" x14ac:dyDescent="0.3">
      <c r="A788" t="s">
        <v>582</v>
      </c>
      <c r="B788" t="s">
        <v>583</v>
      </c>
      <c r="C788">
        <v>23810</v>
      </c>
      <c r="D788">
        <v>33161</v>
      </c>
      <c r="E788" s="1">
        <v>45218</v>
      </c>
      <c r="F788" s="1">
        <v>45368</v>
      </c>
      <c r="G788" s="2">
        <v>53900</v>
      </c>
      <c r="H788">
        <v>0</v>
      </c>
      <c r="I788" t="s">
        <v>876</v>
      </c>
      <c r="J788" t="s">
        <v>27</v>
      </c>
    </row>
    <row r="789" spans="1:11" x14ac:dyDescent="0.3">
      <c r="A789" t="s">
        <v>88</v>
      </c>
      <c r="B789" t="s">
        <v>89</v>
      </c>
      <c r="C789">
        <v>23876</v>
      </c>
      <c r="D789">
        <v>33230</v>
      </c>
      <c r="E789" s="1">
        <v>45222</v>
      </c>
      <c r="F789" s="1">
        <v>45342</v>
      </c>
      <c r="G789" s="2">
        <v>60480</v>
      </c>
      <c r="H789">
        <v>0</v>
      </c>
      <c r="I789" t="s">
        <v>877</v>
      </c>
      <c r="J789" t="s">
        <v>27</v>
      </c>
      <c r="K789" t="s">
        <v>15</v>
      </c>
    </row>
    <row r="790" spans="1:11" x14ac:dyDescent="0.3">
      <c r="A790" t="s">
        <v>878</v>
      </c>
      <c r="B790" t="s">
        <v>879</v>
      </c>
      <c r="D790">
        <v>226346</v>
      </c>
      <c r="E790" s="1">
        <v>45219</v>
      </c>
      <c r="F790" s="1">
        <v>45585</v>
      </c>
      <c r="G790" s="2">
        <v>465250</v>
      </c>
      <c r="H790">
        <v>0</v>
      </c>
      <c r="I790" t="s">
        <v>880</v>
      </c>
      <c r="J790" t="s">
        <v>881</v>
      </c>
    </row>
    <row r="791" spans="1:11" x14ac:dyDescent="0.3">
      <c r="A791" t="s">
        <v>882</v>
      </c>
      <c r="B791" t="s">
        <v>883</v>
      </c>
      <c r="D791">
        <v>226346</v>
      </c>
      <c r="E791" s="1">
        <v>45219</v>
      </c>
      <c r="F791" s="1">
        <v>45585</v>
      </c>
      <c r="G791" s="2">
        <v>465250</v>
      </c>
      <c r="H791">
        <v>0</v>
      </c>
      <c r="I791" t="s">
        <v>880</v>
      </c>
      <c r="J791" t="s">
        <v>881</v>
      </c>
    </row>
    <row r="792" spans="1:11" x14ac:dyDescent="0.3">
      <c r="A792" t="s">
        <v>83</v>
      </c>
      <c r="B792" t="s">
        <v>84</v>
      </c>
      <c r="C792">
        <v>21711</v>
      </c>
      <c r="D792">
        <v>30866</v>
      </c>
      <c r="E792" s="1">
        <v>44959</v>
      </c>
      <c r="F792" s="1">
        <v>45199</v>
      </c>
      <c r="G792" s="2">
        <v>160000</v>
      </c>
      <c r="H792">
        <v>23</v>
      </c>
      <c r="I792" t="s">
        <v>884</v>
      </c>
      <c r="J792" t="s">
        <v>86</v>
      </c>
      <c r="K792" t="s">
        <v>15</v>
      </c>
    </row>
    <row r="793" spans="1:11" x14ac:dyDescent="0.3">
      <c r="A793" t="s">
        <v>83</v>
      </c>
      <c r="B793" t="s">
        <v>84</v>
      </c>
      <c r="C793">
        <v>23729</v>
      </c>
      <c r="D793">
        <v>33071</v>
      </c>
      <c r="E793" s="1">
        <v>45209</v>
      </c>
      <c r="F793" s="1">
        <v>45412</v>
      </c>
      <c r="G793" s="2">
        <v>299400</v>
      </c>
      <c r="H793">
        <v>0</v>
      </c>
      <c r="I793" t="s">
        <v>885</v>
      </c>
      <c r="J793" t="s">
        <v>86</v>
      </c>
      <c r="K793" t="s">
        <v>15</v>
      </c>
    </row>
    <row r="794" spans="1:11" x14ac:dyDescent="0.3">
      <c r="A794" t="s">
        <v>88</v>
      </c>
      <c r="B794" t="s">
        <v>89</v>
      </c>
      <c r="C794">
        <v>23874</v>
      </c>
      <c r="D794">
        <v>33228</v>
      </c>
      <c r="E794" s="1">
        <v>45222</v>
      </c>
      <c r="F794" s="1">
        <v>45432</v>
      </c>
      <c r="G794" s="2">
        <v>38180</v>
      </c>
      <c r="H794">
        <v>0</v>
      </c>
      <c r="I794" t="s">
        <v>886</v>
      </c>
      <c r="J794" t="s">
        <v>27</v>
      </c>
      <c r="K794" t="s">
        <v>15</v>
      </c>
    </row>
    <row r="795" spans="1:11" x14ac:dyDescent="0.3">
      <c r="A795" t="s">
        <v>88</v>
      </c>
      <c r="B795" t="s">
        <v>89</v>
      </c>
      <c r="C795">
        <v>23874</v>
      </c>
      <c r="D795">
        <v>33228</v>
      </c>
      <c r="E795" s="1">
        <v>45222</v>
      </c>
      <c r="F795" s="1">
        <v>45462</v>
      </c>
      <c r="G795" s="2">
        <v>38180</v>
      </c>
      <c r="H795">
        <v>0</v>
      </c>
      <c r="I795" t="s">
        <v>886</v>
      </c>
      <c r="J795" t="s">
        <v>27</v>
      </c>
      <c r="K795" t="s">
        <v>15</v>
      </c>
    </row>
    <row r="796" spans="1:11" x14ac:dyDescent="0.3">
      <c r="A796" t="s">
        <v>88</v>
      </c>
      <c r="B796" t="s">
        <v>89</v>
      </c>
      <c r="C796">
        <v>23861</v>
      </c>
      <c r="D796">
        <v>33215</v>
      </c>
      <c r="E796" s="1">
        <v>45222</v>
      </c>
      <c r="F796" s="1">
        <v>45372</v>
      </c>
      <c r="G796" s="2">
        <v>112500</v>
      </c>
      <c r="H796">
        <v>0</v>
      </c>
      <c r="I796" t="s">
        <v>887</v>
      </c>
      <c r="J796" t="s">
        <v>27</v>
      </c>
      <c r="K796" t="s">
        <v>15</v>
      </c>
    </row>
    <row r="797" spans="1:11" x14ac:dyDescent="0.3">
      <c r="A797" t="s">
        <v>88</v>
      </c>
      <c r="B797" t="s">
        <v>89</v>
      </c>
      <c r="C797">
        <v>23861</v>
      </c>
      <c r="D797">
        <v>33215</v>
      </c>
      <c r="E797" s="1">
        <v>45222</v>
      </c>
      <c r="F797" s="1">
        <v>45402</v>
      </c>
      <c r="G797" s="2">
        <v>112500</v>
      </c>
      <c r="H797">
        <v>0</v>
      </c>
      <c r="I797" t="s">
        <v>887</v>
      </c>
      <c r="J797" t="s">
        <v>27</v>
      </c>
      <c r="K797" t="s">
        <v>15</v>
      </c>
    </row>
    <row r="798" spans="1:11" x14ac:dyDescent="0.3">
      <c r="A798" t="s">
        <v>292</v>
      </c>
      <c r="B798" t="s">
        <v>293</v>
      </c>
      <c r="C798">
        <v>23734</v>
      </c>
      <c r="D798">
        <v>33076</v>
      </c>
      <c r="E798" s="1">
        <v>45209</v>
      </c>
      <c r="F798" s="1">
        <v>45442</v>
      </c>
      <c r="G798" s="2">
        <v>81563</v>
      </c>
      <c r="H798">
        <v>0</v>
      </c>
      <c r="I798" t="s">
        <v>888</v>
      </c>
      <c r="J798" t="s">
        <v>77</v>
      </c>
      <c r="K798" t="s">
        <v>15</v>
      </c>
    </row>
    <row r="799" spans="1:11" x14ac:dyDescent="0.3">
      <c r="A799" t="s">
        <v>889</v>
      </c>
      <c r="B799" t="s">
        <v>890</v>
      </c>
      <c r="C799">
        <v>23834</v>
      </c>
      <c r="D799">
        <v>33189</v>
      </c>
      <c r="E799" s="1">
        <v>45219</v>
      </c>
      <c r="F799" s="1">
        <v>45249</v>
      </c>
      <c r="G799" s="2">
        <v>10800</v>
      </c>
      <c r="H799">
        <v>0</v>
      </c>
      <c r="I799" t="s">
        <v>891</v>
      </c>
      <c r="J799" t="s">
        <v>14</v>
      </c>
      <c r="K799" t="s">
        <v>15</v>
      </c>
    </row>
    <row r="800" spans="1:11" x14ac:dyDescent="0.3">
      <c r="A800" t="s">
        <v>889</v>
      </c>
      <c r="B800" t="s">
        <v>890</v>
      </c>
      <c r="C800">
        <v>23834</v>
      </c>
      <c r="D800">
        <v>33189</v>
      </c>
      <c r="E800" s="1">
        <v>45219</v>
      </c>
      <c r="F800" s="1">
        <v>45279</v>
      </c>
      <c r="G800" s="2">
        <v>10800</v>
      </c>
      <c r="H800">
        <v>0</v>
      </c>
      <c r="I800" t="s">
        <v>891</v>
      </c>
      <c r="J800" t="s">
        <v>14</v>
      </c>
      <c r="K800" t="s">
        <v>15</v>
      </c>
    </row>
    <row r="801" spans="1:11" x14ac:dyDescent="0.3">
      <c r="A801" t="s">
        <v>88</v>
      </c>
      <c r="B801" t="s">
        <v>89</v>
      </c>
      <c r="C801">
        <v>23866</v>
      </c>
      <c r="D801">
        <v>33220</v>
      </c>
      <c r="E801" s="1">
        <v>45222</v>
      </c>
      <c r="F801" s="1">
        <v>45342</v>
      </c>
      <c r="G801" s="2">
        <v>56700</v>
      </c>
      <c r="H801">
        <v>0</v>
      </c>
      <c r="I801" t="s">
        <v>892</v>
      </c>
      <c r="J801" t="s">
        <v>27</v>
      </c>
      <c r="K801" t="s">
        <v>15</v>
      </c>
    </row>
    <row r="802" spans="1:11" x14ac:dyDescent="0.3">
      <c r="A802" t="s">
        <v>47</v>
      </c>
      <c r="B802" t="s">
        <v>48</v>
      </c>
      <c r="C802">
        <v>23105</v>
      </c>
      <c r="D802">
        <v>32404</v>
      </c>
      <c r="E802" s="1">
        <v>45162</v>
      </c>
      <c r="F802" s="1">
        <v>45342</v>
      </c>
      <c r="G802">
        <v>165.3</v>
      </c>
      <c r="H802">
        <v>0</v>
      </c>
      <c r="I802" t="s">
        <v>49</v>
      </c>
      <c r="J802" t="s">
        <v>23</v>
      </c>
      <c r="K802" t="s">
        <v>15</v>
      </c>
    </row>
    <row r="803" spans="1:11" x14ac:dyDescent="0.3">
      <c r="A803" t="s">
        <v>31</v>
      </c>
      <c r="B803" t="s">
        <v>32</v>
      </c>
      <c r="C803">
        <v>23155</v>
      </c>
      <c r="D803">
        <v>32459</v>
      </c>
      <c r="E803" s="1">
        <v>45167</v>
      </c>
      <c r="F803" s="1">
        <v>45287</v>
      </c>
      <c r="G803" s="2">
        <v>3480</v>
      </c>
      <c r="H803">
        <v>0</v>
      </c>
      <c r="I803" t="s">
        <v>893</v>
      </c>
      <c r="J803" t="s">
        <v>19</v>
      </c>
      <c r="K803" t="s">
        <v>15</v>
      </c>
    </row>
    <row r="804" spans="1:11" x14ac:dyDescent="0.3">
      <c r="A804" t="s">
        <v>31</v>
      </c>
      <c r="B804" t="s">
        <v>32</v>
      </c>
      <c r="C804">
        <v>23155</v>
      </c>
      <c r="D804">
        <v>32459</v>
      </c>
      <c r="E804" s="1">
        <v>45167</v>
      </c>
      <c r="F804" s="1">
        <v>45317</v>
      </c>
      <c r="G804" s="2">
        <v>3480</v>
      </c>
      <c r="H804">
        <v>0</v>
      </c>
      <c r="I804" t="s">
        <v>893</v>
      </c>
      <c r="J804" t="s">
        <v>19</v>
      </c>
      <c r="K804" t="s">
        <v>15</v>
      </c>
    </row>
    <row r="805" spans="1:11" x14ac:dyDescent="0.3">
      <c r="A805" t="s">
        <v>31</v>
      </c>
      <c r="B805" t="s">
        <v>32</v>
      </c>
      <c r="C805">
        <v>23155</v>
      </c>
      <c r="D805">
        <v>32459</v>
      </c>
      <c r="E805" s="1">
        <v>45167</v>
      </c>
      <c r="F805" s="1">
        <v>45347</v>
      </c>
      <c r="G805" s="2">
        <v>3480</v>
      </c>
      <c r="H805">
        <v>0</v>
      </c>
      <c r="I805" t="s">
        <v>893</v>
      </c>
      <c r="J805" t="s">
        <v>19</v>
      </c>
      <c r="K805" t="s">
        <v>15</v>
      </c>
    </row>
    <row r="806" spans="1:11" x14ac:dyDescent="0.3">
      <c r="A806" t="s">
        <v>104</v>
      </c>
      <c r="B806" t="s">
        <v>105</v>
      </c>
      <c r="C806">
        <v>23244</v>
      </c>
      <c r="D806">
        <v>32560</v>
      </c>
      <c r="E806" s="1">
        <v>45174</v>
      </c>
      <c r="F806" s="1">
        <v>45354</v>
      </c>
      <c r="G806" s="2">
        <v>12932.66</v>
      </c>
      <c r="H806">
        <v>0</v>
      </c>
      <c r="I806" t="s">
        <v>894</v>
      </c>
      <c r="J806" t="s">
        <v>19</v>
      </c>
      <c r="K806" t="s">
        <v>15</v>
      </c>
    </row>
    <row r="807" spans="1:11" x14ac:dyDescent="0.3">
      <c r="A807" t="s">
        <v>186</v>
      </c>
      <c r="B807" t="s">
        <v>187</v>
      </c>
      <c r="C807">
        <v>23305</v>
      </c>
      <c r="D807">
        <v>32617</v>
      </c>
      <c r="E807" s="1">
        <v>45177</v>
      </c>
      <c r="F807" s="1">
        <v>45442</v>
      </c>
      <c r="G807" s="2">
        <v>72000</v>
      </c>
      <c r="H807">
        <v>0</v>
      </c>
      <c r="I807" t="s">
        <v>895</v>
      </c>
      <c r="J807" t="s">
        <v>86</v>
      </c>
      <c r="K807" t="s">
        <v>15</v>
      </c>
    </row>
    <row r="808" spans="1:11" x14ac:dyDescent="0.3">
      <c r="A808" t="s">
        <v>152</v>
      </c>
      <c r="B808" t="s">
        <v>153</v>
      </c>
      <c r="C808">
        <v>23362</v>
      </c>
      <c r="D808">
        <v>32676</v>
      </c>
      <c r="E808" s="1">
        <v>45182</v>
      </c>
      <c r="F808" s="1">
        <v>45422</v>
      </c>
      <c r="G808" s="2">
        <v>16512.55</v>
      </c>
      <c r="H808">
        <v>0</v>
      </c>
      <c r="I808" t="s">
        <v>896</v>
      </c>
      <c r="J808" t="s">
        <v>27</v>
      </c>
      <c r="K808" t="s">
        <v>15</v>
      </c>
    </row>
    <row r="809" spans="1:11" x14ac:dyDescent="0.3">
      <c r="A809" t="s">
        <v>31</v>
      </c>
      <c r="B809" t="s">
        <v>32</v>
      </c>
      <c r="C809">
        <v>23430</v>
      </c>
      <c r="D809">
        <v>32742</v>
      </c>
      <c r="E809" s="1">
        <v>45187</v>
      </c>
      <c r="F809" s="1">
        <v>45277</v>
      </c>
      <c r="G809" s="2">
        <v>4812.5</v>
      </c>
      <c r="H809">
        <v>0</v>
      </c>
      <c r="I809" t="s">
        <v>897</v>
      </c>
      <c r="J809" t="s">
        <v>19</v>
      </c>
      <c r="K809" t="s">
        <v>15</v>
      </c>
    </row>
    <row r="810" spans="1:11" x14ac:dyDescent="0.3">
      <c r="A810" t="s">
        <v>31</v>
      </c>
      <c r="B810" t="s">
        <v>32</v>
      </c>
      <c r="C810">
        <v>23430</v>
      </c>
      <c r="D810">
        <v>32742</v>
      </c>
      <c r="E810" s="1">
        <v>45187</v>
      </c>
      <c r="F810" s="1">
        <v>45307</v>
      </c>
      <c r="G810" s="2">
        <v>4812.5</v>
      </c>
      <c r="H810">
        <v>0</v>
      </c>
      <c r="I810" t="s">
        <v>897</v>
      </c>
      <c r="J810" t="s">
        <v>19</v>
      </c>
      <c r="K810" t="s">
        <v>15</v>
      </c>
    </row>
    <row r="811" spans="1:11" x14ac:dyDescent="0.3">
      <c r="A811" t="s">
        <v>31</v>
      </c>
      <c r="B811" t="s">
        <v>32</v>
      </c>
      <c r="C811">
        <v>23430</v>
      </c>
      <c r="D811">
        <v>32742</v>
      </c>
      <c r="E811" s="1">
        <v>45187</v>
      </c>
      <c r="F811" s="1">
        <v>45337</v>
      </c>
      <c r="G811" s="2">
        <v>4812.5</v>
      </c>
      <c r="H811">
        <v>0</v>
      </c>
      <c r="I811" t="s">
        <v>897</v>
      </c>
      <c r="J811" t="s">
        <v>19</v>
      </c>
      <c r="K811" t="s">
        <v>15</v>
      </c>
    </row>
    <row r="812" spans="1:11" x14ac:dyDescent="0.3">
      <c r="A812" t="s">
        <v>39</v>
      </c>
      <c r="B812" t="s">
        <v>40</v>
      </c>
      <c r="C812">
        <v>23473</v>
      </c>
      <c r="D812">
        <v>32793</v>
      </c>
      <c r="E812" s="1">
        <v>45188</v>
      </c>
      <c r="F812" s="1">
        <v>45402</v>
      </c>
      <c r="G812" s="2">
        <v>158400</v>
      </c>
      <c r="H812">
        <v>0</v>
      </c>
      <c r="I812" t="s">
        <v>898</v>
      </c>
      <c r="J812" t="s">
        <v>42</v>
      </c>
      <c r="K812" t="s">
        <v>15</v>
      </c>
    </row>
    <row r="813" spans="1:11" x14ac:dyDescent="0.3">
      <c r="A813" t="s">
        <v>228</v>
      </c>
      <c r="B813" t="s">
        <v>229</v>
      </c>
      <c r="C813">
        <v>23737</v>
      </c>
      <c r="D813">
        <v>33079</v>
      </c>
      <c r="E813" s="1">
        <v>45209</v>
      </c>
      <c r="F813" s="1">
        <v>45442</v>
      </c>
      <c r="G813" s="2">
        <v>161000</v>
      </c>
      <c r="H813">
        <v>0</v>
      </c>
      <c r="I813" t="s">
        <v>899</v>
      </c>
      <c r="J813" t="s">
        <v>206</v>
      </c>
      <c r="K813" t="s">
        <v>15</v>
      </c>
    </row>
    <row r="814" spans="1:11" x14ac:dyDescent="0.3">
      <c r="A814" t="s">
        <v>900</v>
      </c>
      <c r="B814" t="s">
        <v>901</v>
      </c>
      <c r="C814">
        <v>23780</v>
      </c>
      <c r="D814">
        <v>33125</v>
      </c>
      <c r="E814" s="1">
        <v>45215</v>
      </c>
      <c r="F814" s="1">
        <v>45402</v>
      </c>
      <c r="G814" s="2">
        <v>106000</v>
      </c>
      <c r="H814">
        <v>0</v>
      </c>
      <c r="I814" t="s">
        <v>902</v>
      </c>
      <c r="J814" t="s">
        <v>42</v>
      </c>
      <c r="K814" t="s">
        <v>15</v>
      </c>
    </row>
    <row r="815" spans="1:11" x14ac:dyDescent="0.3">
      <c r="A815" t="s">
        <v>903</v>
      </c>
      <c r="B815" t="s">
        <v>904</v>
      </c>
      <c r="C815">
        <v>23787</v>
      </c>
      <c r="D815">
        <v>33132</v>
      </c>
      <c r="E815" s="1">
        <v>45216</v>
      </c>
      <c r="F815" s="1">
        <v>45246</v>
      </c>
      <c r="G815" s="2">
        <v>10678.5</v>
      </c>
      <c r="H815">
        <v>0</v>
      </c>
      <c r="I815" t="s">
        <v>905</v>
      </c>
      <c r="J815" t="s">
        <v>131</v>
      </c>
      <c r="K815" t="s">
        <v>15</v>
      </c>
    </row>
    <row r="816" spans="1:11" x14ac:dyDescent="0.3">
      <c r="A816" t="s">
        <v>88</v>
      </c>
      <c r="B816" t="s">
        <v>89</v>
      </c>
      <c r="C816">
        <v>23855</v>
      </c>
      <c r="D816">
        <v>33209</v>
      </c>
      <c r="E816" s="1">
        <v>45222</v>
      </c>
      <c r="F816" s="1">
        <v>45372</v>
      </c>
      <c r="G816" s="2">
        <v>67500</v>
      </c>
      <c r="H816">
        <v>0</v>
      </c>
      <c r="I816" t="s">
        <v>906</v>
      </c>
      <c r="J816" t="s">
        <v>27</v>
      </c>
      <c r="K816" t="s">
        <v>15</v>
      </c>
    </row>
    <row r="817" spans="1:11" x14ac:dyDescent="0.3">
      <c r="A817" t="s">
        <v>158</v>
      </c>
      <c r="B817" t="s">
        <v>159</v>
      </c>
      <c r="C817">
        <v>22960</v>
      </c>
      <c r="D817">
        <v>32245</v>
      </c>
      <c r="E817" s="1">
        <v>45147</v>
      </c>
      <c r="F817" s="1">
        <v>45246</v>
      </c>
      <c r="G817" s="2">
        <v>26158</v>
      </c>
      <c r="H817">
        <v>0</v>
      </c>
      <c r="I817" t="s">
        <v>907</v>
      </c>
      <c r="J817" t="s">
        <v>161</v>
      </c>
      <c r="K817" t="s">
        <v>15</v>
      </c>
    </row>
    <row r="818" spans="1:11" x14ac:dyDescent="0.3">
      <c r="A818" t="s">
        <v>145</v>
      </c>
      <c r="B818" t="s">
        <v>146</v>
      </c>
      <c r="C818">
        <v>23028</v>
      </c>
      <c r="D818">
        <v>32321</v>
      </c>
      <c r="E818" s="1">
        <v>45155</v>
      </c>
      <c r="F818" s="1">
        <v>45412</v>
      </c>
      <c r="G818" s="2">
        <v>374000</v>
      </c>
      <c r="H818">
        <v>0</v>
      </c>
      <c r="I818" t="s">
        <v>908</v>
      </c>
      <c r="J818" t="s">
        <v>82</v>
      </c>
      <c r="K818" t="s">
        <v>15</v>
      </c>
    </row>
    <row r="819" spans="1:11" x14ac:dyDescent="0.3">
      <c r="A819" t="s">
        <v>16</v>
      </c>
      <c r="B819" t="s">
        <v>17</v>
      </c>
      <c r="C819">
        <v>23035</v>
      </c>
      <c r="D819">
        <v>32331</v>
      </c>
      <c r="E819" s="1">
        <v>45156</v>
      </c>
      <c r="F819" s="1">
        <v>45276</v>
      </c>
      <c r="G819" s="2">
        <v>63000</v>
      </c>
      <c r="H819">
        <v>0</v>
      </c>
      <c r="I819" t="s">
        <v>909</v>
      </c>
      <c r="J819" t="s">
        <v>19</v>
      </c>
      <c r="K819" t="s">
        <v>15</v>
      </c>
    </row>
    <row r="820" spans="1:11" x14ac:dyDescent="0.3">
      <c r="A820" t="s">
        <v>34</v>
      </c>
      <c r="B820" t="s">
        <v>35</v>
      </c>
      <c r="C820">
        <v>23420</v>
      </c>
      <c r="D820">
        <v>32732</v>
      </c>
      <c r="E820" s="1">
        <v>45187</v>
      </c>
      <c r="F820" s="1">
        <v>45307</v>
      </c>
      <c r="G820" s="2">
        <v>17010</v>
      </c>
      <c r="H820">
        <v>0</v>
      </c>
      <c r="I820" t="s">
        <v>108</v>
      </c>
      <c r="J820" t="s">
        <v>19</v>
      </c>
      <c r="K820" t="s">
        <v>15</v>
      </c>
    </row>
    <row r="821" spans="1:11" x14ac:dyDescent="0.3">
      <c r="A821" t="s">
        <v>329</v>
      </c>
      <c r="B821" t="s">
        <v>330</v>
      </c>
      <c r="C821">
        <v>23189</v>
      </c>
      <c r="D821">
        <v>32500</v>
      </c>
      <c r="E821" s="1">
        <v>45169</v>
      </c>
      <c r="F821" s="1">
        <v>45289</v>
      </c>
      <c r="G821" s="2">
        <v>190000</v>
      </c>
      <c r="H821">
        <v>0</v>
      </c>
      <c r="I821" t="s">
        <v>911</v>
      </c>
      <c r="J821" t="s">
        <v>19</v>
      </c>
      <c r="K821" t="s">
        <v>15</v>
      </c>
    </row>
    <row r="822" spans="1:11" x14ac:dyDescent="0.3">
      <c r="A822" t="s">
        <v>58</v>
      </c>
      <c r="B822" t="s">
        <v>59</v>
      </c>
      <c r="C822">
        <v>23514</v>
      </c>
      <c r="D822">
        <v>32832</v>
      </c>
      <c r="E822" s="1">
        <v>45189</v>
      </c>
      <c r="F822" s="1">
        <v>45279</v>
      </c>
      <c r="G822" s="2">
        <v>23994</v>
      </c>
      <c r="H822">
        <v>0</v>
      </c>
      <c r="I822" t="s">
        <v>912</v>
      </c>
      <c r="J822" t="s">
        <v>57</v>
      </c>
      <c r="K822" t="s">
        <v>15</v>
      </c>
    </row>
    <row r="823" spans="1:11" x14ac:dyDescent="0.3">
      <c r="A823" t="s">
        <v>88</v>
      </c>
      <c r="B823" t="s">
        <v>89</v>
      </c>
      <c r="C823">
        <v>23546</v>
      </c>
      <c r="D823">
        <v>32867</v>
      </c>
      <c r="E823" s="1">
        <v>45191</v>
      </c>
      <c r="F823" s="1">
        <v>45341</v>
      </c>
      <c r="G823" s="2">
        <v>70000</v>
      </c>
      <c r="H823">
        <v>0</v>
      </c>
      <c r="I823" t="s">
        <v>913</v>
      </c>
      <c r="J823" t="s">
        <v>27</v>
      </c>
      <c r="K823" t="s">
        <v>15</v>
      </c>
    </row>
    <row r="824" spans="1:11" x14ac:dyDescent="0.3">
      <c r="A824" t="s">
        <v>88</v>
      </c>
      <c r="B824" t="s">
        <v>89</v>
      </c>
      <c r="C824">
        <v>23546</v>
      </c>
      <c r="D824">
        <v>32867</v>
      </c>
      <c r="E824" s="1">
        <v>45191</v>
      </c>
      <c r="F824" s="1">
        <v>45371</v>
      </c>
      <c r="G824" s="2">
        <v>70000</v>
      </c>
      <c r="H824">
        <v>0</v>
      </c>
      <c r="I824" t="s">
        <v>913</v>
      </c>
      <c r="J824" t="s">
        <v>27</v>
      </c>
      <c r="K824" t="s">
        <v>15</v>
      </c>
    </row>
    <row r="825" spans="1:11" x14ac:dyDescent="0.3">
      <c r="A825" t="s">
        <v>809</v>
      </c>
      <c r="B825" t="s">
        <v>810</v>
      </c>
      <c r="C825">
        <v>23564</v>
      </c>
      <c r="D825">
        <v>32893</v>
      </c>
      <c r="E825" s="1">
        <v>45195</v>
      </c>
      <c r="F825" s="1">
        <v>45269</v>
      </c>
      <c r="G825" s="2">
        <v>21504.6</v>
      </c>
      <c r="H825">
        <v>0</v>
      </c>
      <c r="I825" t="s">
        <v>914</v>
      </c>
      <c r="J825" t="s">
        <v>122</v>
      </c>
      <c r="K825" t="s">
        <v>15</v>
      </c>
    </row>
    <row r="826" spans="1:11" x14ac:dyDescent="0.3">
      <c r="A826" t="s">
        <v>314</v>
      </c>
      <c r="B826" t="s">
        <v>315</v>
      </c>
      <c r="C826">
        <v>23664</v>
      </c>
      <c r="D826">
        <v>32998</v>
      </c>
      <c r="E826" s="1">
        <v>45198</v>
      </c>
      <c r="F826" s="1">
        <v>45442</v>
      </c>
      <c r="G826" s="2">
        <v>195900</v>
      </c>
      <c r="H826">
        <v>0</v>
      </c>
      <c r="I826" t="s">
        <v>915</v>
      </c>
      <c r="J826" t="s">
        <v>206</v>
      </c>
      <c r="K826" t="s">
        <v>15</v>
      </c>
    </row>
    <row r="827" spans="1:11" x14ac:dyDescent="0.3">
      <c r="A827" t="s">
        <v>58</v>
      </c>
      <c r="B827" t="s">
        <v>59</v>
      </c>
      <c r="C827">
        <v>23721</v>
      </c>
      <c r="D827">
        <v>33062</v>
      </c>
      <c r="E827" s="1">
        <v>45208</v>
      </c>
      <c r="F827" s="1">
        <v>45298</v>
      </c>
      <c r="G827" s="2">
        <v>11904</v>
      </c>
      <c r="H827">
        <v>0</v>
      </c>
      <c r="I827" t="s">
        <v>916</v>
      </c>
      <c r="J827" t="s">
        <v>57</v>
      </c>
      <c r="K827" t="s">
        <v>15</v>
      </c>
    </row>
    <row r="828" spans="1:11" x14ac:dyDescent="0.3">
      <c r="A828" t="s">
        <v>917</v>
      </c>
      <c r="B828" t="s">
        <v>918</v>
      </c>
      <c r="C828">
        <v>23764</v>
      </c>
      <c r="D828">
        <v>33107</v>
      </c>
      <c r="E828" s="1">
        <v>45212</v>
      </c>
      <c r="F828" s="1">
        <v>45242</v>
      </c>
      <c r="G828" s="2">
        <v>17100</v>
      </c>
      <c r="H828">
        <v>0</v>
      </c>
      <c r="I828" t="s">
        <v>919</v>
      </c>
      <c r="J828" t="s">
        <v>94</v>
      </c>
      <c r="K828" t="s">
        <v>15</v>
      </c>
    </row>
    <row r="829" spans="1:11" x14ac:dyDescent="0.3">
      <c r="A829" t="s">
        <v>109</v>
      </c>
      <c r="B829" t="s">
        <v>110</v>
      </c>
      <c r="C829">
        <v>20409</v>
      </c>
      <c r="D829">
        <v>29502</v>
      </c>
      <c r="E829" s="1">
        <v>44816</v>
      </c>
      <c r="F829" s="1">
        <v>45076</v>
      </c>
      <c r="G829" s="2">
        <v>312576</v>
      </c>
      <c r="H829">
        <v>146</v>
      </c>
      <c r="I829" t="s">
        <v>920</v>
      </c>
      <c r="J829" t="s">
        <v>112</v>
      </c>
      <c r="K829" t="s">
        <v>15</v>
      </c>
    </row>
    <row r="830" spans="1:11" x14ac:dyDescent="0.3">
      <c r="A830" t="s">
        <v>109</v>
      </c>
      <c r="B830" t="s">
        <v>110</v>
      </c>
      <c r="C830">
        <v>20860</v>
      </c>
      <c r="D830">
        <v>29988</v>
      </c>
      <c r="E830" s="1">
        <v>44858</v>
      </c>
      <c r="F830" s="1">
        <v>45076</v>
      </c>
      <c r="G830" s="2">
        <v>221820</v>
      </c>
      <c r="H830">
        <v>146</v>
      </c>
      <c r="I830" t="s">
        <v>921</v>
      </c>
      <c r="J830" t="s">
        <v>112</v>
      </c>
      <c r="K830" t="s">
        <v>15</v>
      </c>
    </row>
    <row r="831" spans="1:11" x14ac:dyDescent="0.3">
      <c r="A831" t="s">
        <v>145</v>
      </c>
      <c r="B831" t="s">
        <v>146</v>
      </c>
      <c r="C831">
        <v>21545</v>
      </c>
      <c r="D831">
        <v>30700</v>
      </c>
      <c r="E831" s="1">
        <v>44944</v>
      </c>
      <c r="F831" s="1">
        <v>45199</v>
      </c>
      <c r="G831" s="2">
        <v>225000</v>
      </c>
      <c r="H831">
        <v>23</v>
      </c>
      <c r="I831" t="s">
        <v>922</v>
      </c>
      <c r="J831" t="s">
        <v>82</v>
      </c>
      <c r="K831" t="s">
        <v>15</v>
      </c>
    </row>
    <row r="832" spans="1:11" x14ac:dyDescent="0.3">
      <c r="A832" t="s">
        <v>132</v>
      </c>
      <c r="B832" t="s">
        <v>133</v>
      </c>
      <c r="C832">
        <v>22396</v>
      </c>
      <c r="D832">
        <v>31637</v>
      </c>
      <c r="E832" s="1">
        <v>45044</v>
      </c>
      <c r="F832" s="1">
        <v>45229</v>
      </c>
      <c r="G832" s="2">
        <v>227695</v>
      </c>
      <c r="H832">
        <v>0</v>
      </c>
      <c r="I832" t="s">
        <v>923</v>
      </c>
      <c r="J832" t="s">
        <v>135</v>
      </c>
      <c r="K832" t="s">
        <v>15</v>
      </c>
    </row>
    <row r="833" spans="1:11" x14ac:dyDescent="0.3">
      <c r="A833" t="s">
        <v>43</v>
      </c>
      <c r="B833" t="s">
        <v>44</v>
      </c>
      <c r="C833">
        <v>22681</v>
      </c>
      <c r="D833">
        <v>31956</v>
      </c>
      <c r="E833" s="1">
        <v>45105</v>
      </c>
      <c r="F833" s="1">
        <v>45225</v>
      </c>
      <c r="G833" s="2">
        <v>168577.2</v>
      </c>
      <c r="H833">
        <v>0</v>
      </c>
      <c r="I833" t="s">
        <v>924</v>
      </c>
      <c r="J833" t="s">
        <v>46</v>
      </c>
      <c r="K833" t="s">
        <v>15</v>
      </c>
    </row>
    <row r="834" spans="1:11" x14ac:dyDescent="0.3">
      <c r="A834" t="s">
        <v>184</v>
      </c>
      <c r="B834" t="s">
        <v>140</v>
      </c>
      <c r="C834">
        <v>22714</v>
      </c>
      <c r="D834">
        <v>31988</v>
      </c>
      <c r="E834" s="1">
        <v>45106</v>
      </c>
      <c r="F834" s="1">
        <v>45226</v>
      </c>
      <c r="G834">
        <v>787.5</v>
      </c>
      <c r="H834">
        <v>0</v>
      </c>
      <c r="I834" t="s">
        <v>925</v>
      </c>
      <c r="J834" t="s">
        <v>135</v>
      </c>
      <c r="K834" t="s">
        <v>15</v>
      </c>
    </row>
    <row r="835" spans="1:11" x14ac:dyDescent="0.3">
      <c r="A835" t="s">
        <v>16</v>
      </c>
      <c r="B835" t="s">
        <v>17</v>
      </c>
      <c r="C835">
        <v>22782</v>
      </c>
      <c r="D835">
        <v>32070</v>
      </c>
      <c r="E835" s="1">
        <v>45120</v>
      </c>
      <c r="F835" s="1">
        <v>45270</v>
      </c>
      <c r="G835" s="2">
        <v>41400</v>
      </c>
      <c r="H835">
        <v>0</v>
      </c>
      <c r="I835" t="s">
        <v>926</v>
      </c>
      <c r="J835" t="s">
        <v>19</v>
      </c>
      <c r="K835" t="s">
        <v>15</v>
      </c>
    </row>
    <row r="836" spans="1:11" x14ac:dyDescent="0.3">
      <c r="A836" t="s">
        <v>663</v>
      </c>
      <c r="B836" t="s">
        <v>664</v>
      </c>
      <c r="C836">
        <v>22964</v>
      </c>
      <c r="D836">
        <v>32251</v>
      </c>
      <c r="E836" s="1">
        <v>45148</v>
      </c>
      <c r="F836" s="1">
        <v>45268</v>
      </c>
      <c r="G836" s="2">
        <v>82700</v>
      </c>
      <c r="H836">
        <v>0</v>
      </c>
      <c r="I836" t="s">
        <v>927</v>
      </c>
      <c r="J836" t="s">
        <v>94</v>
      </c>
      <c r="K836" t="s">
        <v>15</v>
      </c>
    </row>
    <row r="837" spans="1:11" x14ac:dyDescent="0.3">
      <c r="A837" t="s">
        <v>119</v>
      </c>
      <c r="B837" t="s">
        <v>120</v>
      </c>
      <c r="C837">
        <v>23014</v>
      </c>
      <c r="D837">
        <v>32310</v>
      </c>
      <c r="E837" s="1">
        <v>45155</v>
      </c>
      <c r="F837" s="1">
        <v>45365</v>
      </c>
      <c r="G837" s="2">
        <v>4620</v>
      </c>
      <c r="H837">
        <v>0</v>
      </c>
      <c r="I837" t="s">
        <v>928</v>
      </c>
      <c r="J837" t="s">
        <v>122</v>
      </c>
      <c r="K837" t="s">
        <v>15</v>
      </c>
    </row>
    <row r="838" spans="1:11" x14ac:dyDescent="0.3">
      <c r="A838" t="s">
        <v>34</v>
      </c>
      <c r="B838" t="s">
        <v>35</v>
      </c>
      <c r="C838">
        <v>23423</v>
      </c>
      <c r="D838">
        <v>32735</v>
      </c>
      <c r="E838" s="1">
        <v>45187</v>
      </c>
      <c r="F838" s="1">
        <v>45307</v>
      </c>
      <c r="G838" s="2">
        <v>9800</v>
      </c>
      <c r="H838">
        <v>0</v>
      </c>
      <c r="I838" t="s">
        <v>724</v>
      </c>
      <c r="J838" t="s">
        <v>19</v>
      </c>
      <c r="K838" t="s">
        <v>15</v>
      </c>
    </row>
    <row r="839" spans="1:11" x14ac:dyDescent="0.3">
      <c r="A839" t="s">
        <v>301</v>
      </c>
      <c r="B839" t="s">
        <v>302</v>
      </c>
      <c r="C839">
        <v>23164</v>
      </c>
      <c r="D839">
        <v>32468</v>
      </c>
      <c r="E839" s="1">
        <v>45167</v>
      </c>
      <c r="F839" s="1">
        <v>45287</v>
      </c>
      <c r="G839" s="2">
        <v>131200</v>
      </c>
      <c r="H839">
        <v>0</v>
      </c>
      <c r="I839" t="s">
        <v>930</v>
      </c>
      <c r="J839" t="s">
        <v>57</v>
      </c>
      <c r="K839" t="s">
        <v>15</v>
      </c>
    </row>
    <row r="840" spans="1:11" x14ac:dyDescent="0.3">
      <c r="A840" t="s">
        <v>340</v>
      </c>
      <c r="B840" t="s">
        <v>341</v>
      </c>
      <c r="C840">
        <v>23436</v>
      </c>
      <c r="D840">
        <v>32750</v>
      </c>
      <c r="E840" s="1">
        <v>45187</v>
      </c>
      <c r="F840" s="1">
        <v>45277</v>
      </c>
      <c r="G840" s="2">
        <v>9705</v>
      </c>
      <c r="H840">
        <v>0</v>
      </c>
      <c r="I840" t="s">
        <v>931</v>
      </c>
      <c r="J840" t="s">
        <v>161</v>
      </c>
      <c r="K840" t="s">
        <v>15</v>
      </c>
    </row>
    <row r="841" spans="1:11" x14ac:dyDescent="0.3">
      <c r="A841" t="s">
        <v>184</v>
      </c>
      <c r="B841" t="s">
        <v>140</v>
      </c>
      <c r="C841">
        <v>23629</v>
      </c>
      <c r="D841">
        <v>32962</v>
      </c>
      <c r="E841" s="1">
        <v>45197</v>
      </c>
      <c r="F841" s="1">
        <v>45257</v>
      </c>
      <c r="G841" s="2">
        <v>6926.66</v>
      </c>
      <c r="H841">
        <v>0</v>
      </c>
      <c r="I841" t="s">
        <v>932</v>
      </c>
      <c r="J841" t="s">
        <v>135</v>
      </c>
      <c r="K841" t="s">
        <v>15</v>
      </c>
    </row>
    <row r="842" spans="1:11" x14ac:dyDescent="0.3">
      <c r="A842" t="s">
        <v>184</v>
      </c>
      <c r="B842" t="s">
        <v>140</v>
      </c>
      <c r="C842">
        <v>23629</v>
      </c>
      <c r="D842">
        <v>32962</v>
      </c>
      <c r="E842" s="1">
        <v>45197</v>
      </c>
      <c r="F842" s="1">
        <v>45287</v>
      </c>
      <c r="G842" s="2">
        <v>3706.68</v>
      </c>
      <c r="H842">
        <v>0</v>
      </c>
      <c r="I842" t="s">
        <v>932</v>
      </c>
      <c r="J842" t="s">
        <v>135</v>
      </c>
      <c r="K842" t="s">
        <v>15</v>
      </c>
    </row>
    <row r="843" spans="1:11" x14ac:dyDescent="0.3">
      <c r="A843" t="s">
        <v>184</v>
      </c>
      <c r="B843" t="s">
        <v>140</v>
      </c>
      <c r="C843">
        <v>23629</v>
      </c>
      <c r="D843">
        <v>32962</v>
      </c>
      <c r="E843" s="1">
        <v>45197</v>
      </c>
      <c r="F843" s="1">
        <v>45227</v>
      </c>
      <c r="G843" s="2">
        <v>6926.66</v>
      </c>
      <c r="H843">
        <v>0</v>
      </c>
      <c r="I843" t="s">
        <v>932</v>
      </c>
      <c r="J843" t="s">
        <v>135</v>
      </c>
      <c r="K843" t="s">
        <v>15</v>
      </c>
    </row>
    <row r="844" spans="1:11" x14ac:dyDescent="0.3">
      <c r="A844" t="s">
        <v>933</v>
      </c>
      <c r="B844" t="s">
        <v>934</v>
      </c>
      <c r="C844">
        <v>23706</v>
      </c>
      <c r="D844">
        <v>33043</v>
      </c>
      <c r="E844" s="1">
        <v>45204</v>
      </c>
      <c r="F844" s="1">
        <v>45402</v>
      </c>
      <c r="G844" s="2">
        <v>7960</v>
      </c>
      <c r="H844">
        <v>0</v>
      </c>
      <c r="I844" t="s">
        <v>935</v>
      </c>
      <c r="J844" t="s">
        <v>42</v>
      </c>
      <c r="K844" t="s">
        <v>15</v>
      </c>
    </row>
    <row r="845" spans="1:11" x14ac:dyDescent="0.3">
      <c r="A845" t="s">
        <v>119</v>
      </c>
      <c r="B845" t="s">
        <v>120</v>
      </c>
      <c r="C845">
        <v>23804</v>
      </c>
      <c r="D845">
        <v>33151</v>
      </c>
      <c r="E845" s="1">
        <v>45217</v>
      </c>
      <c r="F845" s="1">
        <v>45397</v>
      </c>
      <c r="G845" s="2">
        <v>147000</v>
      </c>
      <c r="H845">
        <v>0</v>
      </c>
      <c r="I845" t="s">
        <v>936</v>
      </c>
      <c r="J845" t="s">
        <v>122</v>
      </c>
      <c r="K845" t="s">
        <v>15</v>
      </c>
    </row>
    <row r="846" spans="1:11" x14ac:dyDescent="0.3">
      <c r="A846" t="s">
        <v>58</v>
      </c>
      <c r="B846" t="s">
        <v>59</v>
      </c>
      <c r="C846">
        <v>23840</v>
      </c>
      <c r="D846">
        <v>33195</v>
      </c>
      <c r="E846" s="1">
        <v>45219</v>
      </c>
      <c r="F846" s="1">
        <v>45339</v>
      </c>
      <c r="G846" s="2">
        <v>55300</v>
      </c>
      <c r="H846">
        <v>0</v>
      </c>
      <c r="I846" t="s">
        <v>937</v>
      </c>
      <c r="J846" t="s">
        <v>57</v>
      </c>
      <c r="K846" t="s">
        <v>15</v>
      </c>
    </row>
    <row r="847" spans="1:11" x14ac:dyDescent="0.3">
      <c r="A847" t="s">
        <v>603</v>
      </c>
      <c r="B847" t="s">
        <v>604</v>
      </c>
      <c r="C847">
        <v>23783</v>
      </c>
      <c r="D847">
        <v>33128</v>
      </c>
      <c r="E847" s="1">
        <v>45215</v>
      </c>
      <c r="F847" s="1">
        <v>45402</v>
      </c>
      <c r="G847" s="2">
        <v>9240</v>
      </c>
      <c r="H847">
        <v>0</v>
      </c>
      <c r="I847" t="s">
        <v>938</v>
      </c>
      <c r="J847" t="s">
        <v>42</v>
      </c>
      <c r="K847" t="s">
        <v>15</v>
      </c>
    </row>
    <row r="848" spans="1:11" x14ac:dyDescent="0.3">
      <c r="A848" t="s">
        <v>889</v>
      </c>
      <c r="B848" t="s">
        <v>890</v>
      </c>
      <c r="C848">
        <v>23833</v>
      </c>
      <c r="D848">
        <v>33188</v>
      </c>
      <c r="E848" s="1">
        <v>45219</v>
      </c>
      <c r="F848" s="1">
        <v>45249</v>
      </c>
      <c r="G848" s="2">
        <v>18000</v>
      </c>
      <c r="H848">
        <v>0</v>
      </c>
      <c r="I848" t="s">
        <v>939</v>
      </c>
      <c r="J848" t="s">
        <v>14</v>
      </c>
      <c r="K848" t="s">
        <v>15</v>
      </c>
    </row>
    <row r="849" spans="1:11" x14ac:dyDescent="0.3">
      <c r="A849" t="s">
        <v>889</v>
      </c>
      <c r="B849" t="s">
        <v>890</v>
      </c>
      <c r="C849">
        <v>23833</v>
      </c>
      <c r="D849">
        <v>33188</v>
      </c>
      <c r="E849" s="1">
        <v>45219</v>
      </c>
      <c r="F849" s="1">
        <v>45279</v>
      </c>
      <c r="G849" s="2">
        <v>18000</v>
      </c>
      <c r="H849">
        <v>0</v>
      </c>
      <c r="I849" t="s">
        <v>939</v>
      </c>
      <c r="J849" t="s">
        <v>14</v>
      </c>
      <c r="K849" t="s">
        <v>15</v>
      </c>
    </row>
    <row r="850" spans="1:11" x14ac:dyDescent="0.3">
      <c r="A850" t="s">
        <v>79</v>
      </c>
      <c r="B850" t="s">
        <v>80</v>
      </c>
      <c r="C850">
        <v>20604</v>
      </c>
      <c r="D850">
        <v>29710</v>
      </c>
      <c r="E850" s="1">
        <v>44830</v>
      </c>
      <c r="F850" s="1">
        <v>45046</v>
      </c>
      <c r="G850" s="2">
        <v>29847.3</v>
      </c>
      <c r="H850">
        <v>176</v>
      </c>
      <c r="I850" t="s">
        <v>940</v>
      </c>
      <c r="J850" t="s">
        <v>82</v>
      </c>
      <c r="K850" t="s">
        <v>15</v>
      </c>
    </row>
    <row r="851" spans="1:11" x14ac:dyDescent="0.3">
      <c r="A851" t="s">
        <v>255</v>
      </c>
      <c r="B851" t="s">
        <v>256</v>
      </c>
      <c r="C851">
        <v>20897</v>
      </c>
      <c r="D851">
        <v>30033</v>
      </c>
      <c r="E851" s="1">
        <v>44861</v>
      </c>
      <c r="F851" s="1">
        <v>45076</v>
      </c>
      <c r="G851" s="2">
        <v>88800</v>
      </c>
      <c r="H851">
        <v>146</v>
      </c>
      <c r="I851" t="s">
        <v>941</v>
      </c>
      <c r="J851" t="s">
        <v>122</v>
      </c>
      <c r="K851" t="s">
        <v>15</v>
      </c>
    </row>
    <row r="852" spans="1:11" x14ac:dyDescent="0.3">
      <c r="A852" t="s">
        <v>31</v>
      </c>
      <c r="B852" t="s">
        <v>32</v>
      </c>
      <c r="C852">
        <v>23062</v>
      </c>
      <c r="D852">
        <v>32366</v>
      </c>
      <c r="E852" s="1">
        <v>45161</v>
      </c>
      <c r="F852" s="1">
        <v>45281</v>
      </c>
      <c r="G852" s="2">
        <v>42666.62</v>
      </c>
      <c r="H852">
        <v>0</v>
      </c>
      <c r="I852" t="s">
        <v>942</v>
      </c>
      <c r="J852" t="s">
        <v>19</v>
      </c>
      <c r="K852" t="s">
        <v>15</v>
      </c>
    </row>
    <row r="853" spans="1:11" x14ac:dyDescent="0.3">
      <c r="A853" t="s">
        <v>31</v>
      </c>
      <c r="B853" t="s">
        <v>32</v>
      </c>
      <c r="C853">
        <v>23062</v>
      </c>
      <c r="D853">
        <v>32366</v>
      </c>
      <c r="E853" s="1">
        <v>45161</v>
      </c>
      <c r="F853" s="1">
        <v>45311</v>
      </c>
      <c r="G853" s="2">
        <v>42666.62</v>
      </c>
      <c r="H853">
        <v>0</v>
      </c>
      <c r="I853" t="s">
        <v>942</v>
      </c>
      <c r="J853" t="s">
        <v>19</v>
      </c>
      <c r="K853" t="s">
        <v>15</v>
      </c>
    </row>
    <row r="854" spans="1:11" x14ac:dyDescent="0.3">
      <c r="A854" t="s">
        <v>31</v>
      </c>
      <c r="B854" t="s">
        <v>32</v>
      </c>
      <c r="C854">
        <v>23062</v>
      </c>
      <c r="D854">
        <v>32366</v>
      </c>
      <c r="E854" s="1">
        <v>45161</v>
      </c>
      <c r="F854" s="1">
        <v>45341</v>
      </c>
      <c r="G854" s="2">
        <v>42666.76</v>
      </c>
      <c r="H854">
        <v>0</v>
      </c>
      <c r="I854" t="s">
        <v>942</v>
      </c>
      <c r="J854" t="s">
        <v>19</v>
      </c>
      <c r="K854" t="s">
        <v>15</v>
      </c>
    </row>
    <row r="855" spans="1:11" x14ac:dyDescent="0.3">
      <c r="A855" t="s">
        <v>210</v>
      </c>
      <c r="B855" t="s">
        <v>211</v>
      </c>
      <c r="C855">
        <v>23087</v>
      </c>
      <c r="D855">
        <v>32388</v>
      </c>
      <c r="E855" s="1">
        <v>45162</v>
      </c>
      <c r="F855" s="1">
        <v>45282</v>
      </c>
      <c r="G855" s="2">
        <v>58481.16</v>
      </c>
      <c r="H855">
        <v>0</v>
      </c>
      <c r="I855" t="s">
        <v>943</v>
      </c>
      <c r="J855" t="s">
        <v>213</v>
      </c>
      <c r="K855" t="s">
        <v>15</v>
      </c>
    </row>
    <row r="856" spans="1:11" x14ac:dyDescent="0.3">
      <c r="A856" t="s">
        <v>34</v>
      </c>
      <c r="B856" t="s">
        <v>35</v>
      </c>
      <c r="C856">
        <v>23426</v>
      </c>
      <c r="D856">
        <v>32738</v>
      </c>
      <c r="E856" s="1">
        <v>45187</v>
      </c>
      <c r="F856" s="1">
        <v>45307</v>
      </c>
      <c r="G856" s="2">
        <v>105000</v>
      </c>
      <c r="H856">
        <v>0</v>
      </c>
      <c r="I856" t="s">
        <v>776</v>
      </c>
      <c r="J856" t="s">
        <v>19</v>
      </c>
      <c r="K856" t="s">
        <v>15</v>
      </c>
    </row>
    <row r="857" spans="1:11" x14ac:dyDescent="0.3">
      <c r="A857" t="s">
        <v>11</v>
      </c>
      <c r="B857" t="s">
        <v>12</v>
      </c>
      <c r="C857">
        <v>23230</v>
      </c>
      <c r="D857">
        <v>32546</v>
      </c>
      <c r="E857" s="1">
        <v>45174</v>
      </c>
      <c r="F857" s="1">
        <v>45264</v>
      </c>
      <c r="G857" s="2">
        <v>4725</v>
      </c>
      <c r="H857">
        <v>0</v>
      </c>
      <c r="I857" t="s">
        <v>945</v>
      </c>
      <c r="J857" t="s">
        <v>14</v>
      </c>
      <c r="K857" t="s">
        <v>15</v>
      </c>
    </row>
    <row r="858" spans="1:11" x14ac:dyDescent="0.3">
      <c r="A858" t="s">
        <v>11</v>
      </c>
      <c r="B858" t="s">
        <v>12</v>
      </c>
      <c r="C858">
        <v>23230</v>
      </c>
      <c r="D858">
        <v>32546</v>
      </c>
      <c r="E858" s="1">
        <v>45174</v>
      </c>
      <c r="F858" s="1">
        <v>45294</v>
      </c>
      <c r="G858" s="2">
        <v>4725</v>
      </c>
      <c r="H858">
        <v>0</v>
      </c>
      <c r="I858" t="s">
        <v>945</v>
      </c>
      <c r="J858" t="s">
        <v>14</v>
      </c>
      <c r="K858" t="s">
        <v>15</v>
      </c>
    </row>
    <row r="859" spans="1:11" x14ac:dyDescent="0.3">
      <c r="A859" t="s">
        <v>11</v>
      </c>
      <c r="B859" t="s">
        <v>12</v>
      </c>
      <c r="C859">
        <v>23230</v>
      </c>
      <c r="D859">
        <v>32546</v>
      </c>
      <c r="E859" s="1">
        <v>45174</v>
      </c>
      <c r="F859" s="1">
        <v>45324</v>
      </c>
      <c r="G859" s="2">
        <v>4725</v>
      </c>
      <c r="H859">
        <v>0</v>
      </c>
      <c r="I859" t="s">
        <v>945</v>
      </c>
      <c r="J859" t="s">
        <v>14</v>
      </c>
      <c r="K859" t="s">
        <v>15</v>
      </c>
    </row>
    <row r="860" spans="1:11" x14ac:dyDescent="0.3">
      <c r="A860" t="s">
        <v>946</v>
      </c>
      <c r="B860" t="s">
        <v>947</v>
      </c>
      <c r="C860">
        <v>23255</v>
      </c>
      <c r="D860">
        <v>32572</v>
      </c>
      <c r="E860" s="1">
        <v>45175</v>
      </c>
      <c r="F860" s="1">
        <v>45295</v>
      </c>
      <c r="G860" s="2">
        <v>11450</v>
      </c>
      <c r="H860">
        <v>0</v>
      </c>
      <c r="I860" t="s">
        <v>948</v>
      </c>
      <c r="J860" t="s">
        <v>19</v>
      </c>
    </row>
    <row r="861" spans="1:11" x14ac:dyDescent="0.3">
      <c r="A861" t="s">
        <v>16</v>
      </c>
      <c r="B861" t="s">
        <v>17</v>
      </c>
      <c r="C861">
        <v>23262</v>
      </c>
      <c r="D861">
        <v>32579</v>
      </c>
      <c r="E861" s="1">
        <v>45175</v>
      </c>
      <c r="F861" s="1">
        <v>45325</v>
      </c>
      <c r="G861" s="2">
        <v>6282</v>
      </c>
      <c r="H861">
        <v>0</v>
      </c>
      <c r="I861" t="s">
        <v>949</v>
      </c>
      <c r="J861" t="s">
        <v>19</v>
      </c>
      <c r="K861" t="s">
        <v>15</v>
      </c>
    </row>
    <row r="862" spans="1:11" x14ac:dyDescent="0.3">
      <c r="A862" t="s">
        <v>561</v>
      </c>
      <c r="B862" t="s">
        <v>562</v>
      </c>
      <c r="C862">
        <v>23280</v>
      </c>
      <c r="D862">
        <v>32595</v>
      </c>
      <c r="E862" s="1">
        <v>45175</v>
      </c>
      <c r="F862" s="1">
        <v>45402</v>
      </c>
      <c r="G862" s="2">
        <v>273448</v>
      </c>
      <c r="H862">
        <v>0</v>
      </c>
      <c r="I862" t="s">
        <v>950</v>
      </c>
      <c r="J862" t="s">
        <v>73</v>
      </c>
      <c r="K862" t="s">
        <v>15</v>
      </c>
    </row>
    <row r="863" spans="1:11" x14ac:dyDescent="0.3">
      <c r="A863" t="s">
        <v>451</v>
      </c>
      <c r="B863" t="s">
        <v>229</v>
      </c>
      <c r="C863">
        <v>23287</v>
      </c>
      <c r="D863">
        <v>32599</v>
      </c>
      <c r="E863" s="1">
        <v>45175</v>
      </c>
      <c r="F863" s="1">
        <v>45442</v>
      </c>
      <c r="G863" s="2">
        <v>204978</v>
      </c>
      <c r="H863">
        <v>0</v>
      </c>
      <c r="I863" t="s">
        <v>951</v>
      </c>
      <c r="J863" t="s">
        <v>206</v>
      </c>
      <c r="K863" t="s">
        <v>15</v>
      </c>
    </row>
    <row r="864" spans="1:11" x14ac:dyDescent="0.3">
      <c r="A864" t="s">
        <v>228</v>
      </c>
      <c r="B864" t="s">
        <v>229</v>
      </c>
      <c r="C864">
        <v>22229</v>
      </c>
      <c r="D864">
        <v>31425</v>
      </c>
      <c r="E864" s="1">
        <v>45015</v>
      </c>
      <c r="F864" s="1">
        <v>45260</v>
      </c>
      <c r="G864" s="2">
        <v>480000</v>
      </c>
      <c r="H864">
        <v>0</v>
      </c>
      <c r="I864" t="s">
        <v>952</v>
      </c>
      <c r="J864" t="s">
        <v>206</v>
      </c>
      <c r="K864" t="s">
        <v>15</v>
      </c>
    </row>
    <row r="865" spans="1:11" x14ac:dyDescent="0.3">
      <c r="A865" t="s">
        <v>31</v>
      </c>
      <c r="B865" t="s">
        <v>32</v>
      </c>
      <c r="C865">
        <v>22530</v>
      </c>
      <c r="D865">
        <v>31791</v>
      </c>
      <c r="E865" s="1">
        <v>45076</v>
      </c>
      <c r="F865" s="1">
        <v>45256</v>
      </c>
      <c r="G865" s="2">
        <v>42240.08</v>
      </c>
      <c r="H865">
        <v>0</v>
      </c>
      <c r="I865" t="s">
        <v>953</v>
      </c>
      <c r="J865" t="s">
        <v>19</v>
      </c>
      <c r="K865" t="s">
        <v>15</v>
      </c>
    </row>
    <row r="866" spans="1:11" x14ac:dyDescent="0.3">
      <c r="A866" t="s">
        <v>329</v>
      </c>
      <c r="B866" t="s">
        <v>330</v>
      </c>
      <c r="C866">
        <v>22798</v>
      </c>
      <c r="D866">
        <v>32087</v>
      </c>
      <c r="E866" s="1">
        <v>45125</v>
      </c>
      <c r="F866" s="1">
        <v>45245</v>
      </c>
      <c r="G866" s="2">
        <v>164000</v>
      </c>
      <c r="H866">
        <v>0</v>
      </c>
      <c r="I866" t="s">
        <v>954</v>
      </c>
      <c r="J866" t="s">
        <v>19</v>
      </c>
      <c r="K866" t="s">
        <v>15</v>
      </c>
    </row>
    <row r="867" spans="1:11" x14ac:dyDescent="0.3">
      <c r="A867" t="s">
        <v>31</v>
      </c>
      <c r="B867" t="s">
        <v>32</v>
      </c>
      <c r="C867">
        <v>22966</v>
      </c>
      <c r="D867">
        <v>32255</v>
      </c>
      <c r="E867" s="1">
        <v>45149</v>
      </c>
      <c r="F867" s="1">
        <v>45419</v>
      </c>
      <c r="G867" s="2">
        <v>43797.2</v>
      </c>
      <c r="H867">
        <v>0</v>
      </c>
      <c r="I867" t="s">
        <v>955</v>
      </c>
      <c r="J867" t="s">
        <v>19</v>
      </c>
      <c r="K867" t="s">
        <v>15</v>
      </c>
    </row>
    <row r="868" spans="1:11" x14ac:dyDescent="0.3">
      <c r="A868" t="s">
        <v>228</v>
      </c>
      <c r="B868" t="s">
        <v>229</v>
      </c>
      <c r="C868">
        <v>23151</v>
      </c>
      <c r="D868">
        <v>32455</v>
      </c>
      <c r="E868" s="1">
        <v>45167</v>
      </c>
      <c r="F868" s="1">
        <v>45350</v>
      </c>
      <c r="G868" s="2">
        <v>13090</v>
      </c>
      <c r="H868">
        <v>0</v>
      </c>
      <c r="I868" t="s">
        <v>956</v>
      </c>
      <c r="J868" t="s">
        <v>206</v>
      </c>
      <c r="K868" t="s">
        <v>15</v>
      </c>
    </row>
    <row r="869" spans="1:11" x14ac:dyDescent="0.3">
      <c r="A869" t="s">
        <v>31</v>
      </c>
      <c r="B869" t="s">
        <v>32</v>
      </c>
      <c r="C869">
        <v>23265</v>
      </c>
      <c r="D869">
        <v>32583</v>
      </c>
      <c r="E869" s="1">
        <v>45175</v>
      </c>
      <c r="F869" s="1">
        <v>45265</v>
      </c>
      <c r="G869" s="2">
        <v>1791.66</v>
      </c>
      <c r="H869">
        <v>0</v>
      </c>
      <c r="I869" t="s">
        <v>957</v>
      </c>
      <c r="J869" t="s">
        <v>19</v>
      </c>
      <c r="K869" t="s">
        <v>15</v>
      </c>
    </row>
    <row r="870" spans="1:11" x14ac:dyDescent="0.3">
      <c r="A870" t="s">
        <v>31</v>
      </c>
      <c r="B870" t="s">
        <v>32</v>
      </c>
      <c r="C870">
        <v>23265</v>
      </c>
      <c r="D870">
        <v>32583</v>
      </c>
      <c r="E870" s="1">
        <v>45175</v>
      </c>
      <c r="F870" s="1">
        <v>45295</v>
      </c>
      <c r="G870" s="2">
        <v>1791.66</v>
      </c>
      <c r="H870">
        <v>0</v>
      </c>
      <c r="I870" t="s">
        <v>957</v>
      </c>
      <c r="J870" t="s">
        <v>19</v>
      </c>
      <c r="K870" t="s">
        <v>15</v>
      </c>
    </row>
    <row r="871" spans="1:11" x14ac:dyDescent="0.3">
      <c r="A871" t="s">
        <v>31</v>
      </c>
      <c r="B871" t="s">
        <v>32</v>
      </c>
      <c r="C871">
        <v>23265</v>
      </c>
      <c r="D871">
        <v>32583</v>
      </c>
      <c r="E871" s="1">
        <v>45175</v>
      </c>
      <c r="F871" s="1">
        <v>45325</v>
      </c>
      <c r="G871" s="2">
        <v>1791.68</v>
      </c>
      <c r="H871">
        <v>0</v>
      </c>
      <c r="I871" t="s">
        <v>957</v>
      </c>
      <c r="J871" t="s">
        <v>19</v>
      </c>
      <c r="K871" t="s">
        <v>15</v>
      </c>
    </row>
    <row r="872" spans="1:11" x14ac:dyDescent="0.3">
      <c r="A872" t="s">
        <v>39</v>
      </c>
      <c r="B872" t="s">
        <v>40</v>
      </c>
      <c r="C872">
        <v>23315</v>
      </c>
      <c r="D872">
        <v>32628</v>
      </c>
      <c r="E872" s="1">
        <v>45180</v>
      </c>
      <c r="F872" s="1">
        <v>45402</v>
      </c>
      <c r="G872" s="2">
        <v>37501.599999999999</v>
      </c>
      <c r="H872">
        <v>0</v>
      </c>
      <c r="I872" t="s">
        <v>958</v>
      </c>
      <c r="J872" t="s">
        <v>42</v>
      </c>
      <c r="K872" t="s">
        <v>15</v>
      </c>
    </row>
    <row r="873" spans="1:11" x14ac:dyDescent="0.3">
      <c r="A873" t="s">
        <v>39</v>
      </c>
      <c r="B873" t="s">
        <v>40</v>
      </c>
      <c r="C873">
        <v>23316</v>
      </c>
      <c r="D873">
        <v>32629</v>
      </c>
      <c r="E873" s="1">
        <v>45180</v>
      </c>
      <c r="F873" s="1">
        <v>45402</v>
      </c>
      <c r="G873" s="2">
        <v>98500.4</v>
      </c>
      <c r="H873">
        <v>0</v>
      </c>
      <c r="I873" t="s">
        <v>959</v>
      </c>
      <c r="J873" t="s">
        <v>42</v>
      </c>
      <c r="K873" t="s">
        <v>15</v>
      </c>
    </row>
    <row r="874" spans="1:11" x14ac:dyDescent="0.3">
      <c r="A874" t="s">
        <v>546</v>
      </c>
      <c r="B874" t="s">
        <v>547</v>
      </c>
      <c r="C874">
        <v>23784</v>
      </c>
      <c r="D874">
        <v>33129</v>
      </c>
      <c r="E874" s="1">
        <v>45215</v>
      </c>
      <c r="F874" s="1">
        <v>45402</v>
      </c>
      <c r="G874" s="2">
        <v>2520</v>
      </c>
      <c r="H874">
        <v>0</v>
      </c>
      <c r="I874" t="s">
        <v>960</v>
      </c>
      <c r="J874" t="s">
        <v>42</v>
      </c>
      <c r="K874" t="s">
        <v>15</v>
      </c>
    </row>
    <row r="875" spans="1:11" x14ac:dyDescent="0.3">
      <c r="A875" t="s">
        <v>100</v>
      </c>
      <c r="B875" t="s">
        <v>101</v>
      </c>
      <c r="C875">
        <v>23852</v>
      </c>
      <c r="D875">
        <v>33205</v>
      </c>
      <c r="E875" s="1">
        <v>45222</v>
      </c>
      <c r="F875" s="1">
        <v>45312</v>
      </c>
      <c r="G875" s="2">
        <v>8989</v>
      </c>
      <c r="H875">
        <v>0</v>
      </c>
      <c r="I875" t="s">
        <v>961</v>
      </c>
      <c r="J875" t="s">
        <v>14</v>
      </c>
      <c r="K875" t="s">
        <v>15</v>
      </c>
    </row>
    <row r="876" spans="1:11" x14ac:dyDescent="0.3">
      <c r="A876" t="s">
        <v>34</v>
      </c>
      <c r="B876" t="s">
        <v>35</v>
      </c>
      <c r="C876">
        <v>23427</v>
      </c>
      <c r="D876">
        <v>32739</v>
      </c>
      <c r="E876" s="1">
        <v>45187</v>
      </c>
      <c r="F876" s="1">
        <v>45307</v>
      </c>
      <c r="G876" s="2">
        <v>24720</v>
      </c>
      <c r="H876">
        <v>0</v>
      </c>
      <c r="I876" t="s">
        <v>846</v>
      </c>
      <c r="J876" t="s">
        <v>19</v>
      </c>
      <c r="K876" t="s">
        <v>15</v>
      </c>
    </row>
    <row r="877" spans="1:11" x14ac:dyDescent="0.3">
      <c r="A877" t="s">
        <v>704</v>
      </c>
      <c r="B877" t="s">
        <v>705</v>
      </c>
      <c r="C877">
        <v>23419</v>
      </c>
      <c r="D877">
        <v>32731</v>
      </c>
      <c r="E877" s="1">
        <v>45187</v>
      </c>
      <c r="F877" s="1">
        <v>45307</v>
      </c>
      <c r="G877" s="2">
        <v>41380</v>
      </c>
      <c r="H877">
        <v>0</v>
      </c>
      <c r="I877" t="s">
        <v>963</v>
      </c>
      <c r="J877" t="s">
        <v>19</v>
      </c>
      <c r="K877" t="s">
        <v>15</v>
      </c>
    </row>
    <row r="878" spans="1:11" x14ac:dyDescent="0.3">
      <c r="A878" t="s">
        <v>740</v>
      </c>
      <c r="B878" t="s">
        <v>741</v>
      </c>
      <c r="C878">
        <v>23523</v>
      </c>
      <c r="D878">
        <v>32845</v>
      </c>
      <c r="E878" s="1">
        <v>45190</v>
      </c>
      <c r="F878" s="1">
        <v>45310</v>
      </c>
      <c r="G878" s="2">
        <v>30662.5</v>
      </c>
      <c r="H878">
        <v>0</v>
      </c>
      <c r="I878" t="s">
        <v>964</v>
      </c>
      <c r="J878" t="s">
        <v>57</v>
      </c>
    </row>
    <row r="879" spans="1:11" x14ac:dyDescent="0.3">
      <c r="A879" t="s">
        <v>186</v>
      </c>
      <c r="B879" t="s">
        <v>187</v>
      </c>
      <c r="C879">
        <v>23730</v>
      </c>
      <c r="D879">
        <v>33072</v>
      </c>
      <c r="E879" s="1">
        <v>45209</v>
      </c>
      <c r="F879" s="1">
        <v>45442</v>
      </c>
      <c r="G879" s="2">
        <v>60000</v>
      </c>
      <c r="H879">
        <v>0</v>
      </c>
      <c r="I879" t="s">
        <v>965</v>
      </c>
      <c r="J879" t="s">
        <v>86</v>
      </c>
      <c r="K879" t="s">
        <v>15</v>
      </c>
    </row>
    <row r="880" spans="1:11" x14ac:dyDescent="0.3">
      <c r="A880" t="s">
        <v>351</v>
      </c>
      <c r="B880" t="s">
        <v>352</v>
      </c>
      <c r="C880">
        <v>23755</v>
      </c>
      <c r="D880">
        <v>33096</v>
      </c>
      <c r="E880" s="1">
        <v>45210</v>
      </c>
      <c r="F880" s="1">
        <v>45240</v>
      </c>
      <c r="G880" s="2">
        <v>66828</v>
      </c>
      <c r="H880">
        <v>0</v>
      </c>
      <c r="I880" t="s">
        <v>699</v>
      </c>
      <c r="J880" t="s">
        <v>151</v>
      </c>
      <c r="K880" t="s">
        <v>15</v>
      </c>
    </row>
    <row r="881" spans="1:11" x14ac:dyDescent="0.3">
      <c r="A881" t="s">
        <v>889</v>
      </c>
      <c r="B881" t="s">
        <v>890</v>
      </c>
      <c r="C881">
        <v>23837</v>
      </c>
      <c r="D881">
        <v>33192</v>
      </c>
      <c r="E881" s="1">
        <v>45219</v>
      </c>
      <c r="F881" s="1">
        <v>45309</v>
      </c>
      <c r="G881" s="2">
        <v>2980</v>
      </c>
      <c r="H881">
        <v>0</v>
      </c>
      <c r="I881" t="s">
        <v>966</v>
      </c>
      <c r="J881" t="s">
        <v>14</v>
      </c>
      <c r="K881" t="s">
        <v>15</v>
      </c>
    </row>
    <row r="882" spans="1:11" x14ac:dyDescent="0.3">
      <c r="A882" t="s">
        <v>889</v>
      </c>
      <c r="B882" t="s">
        <v>890</v>
      </c>
      <c r="C882">
        <v>23837</v>
      </c>
      <c r="D882">
        <v>33192</v>
      </c>
      <c r="E882" s="1">
        <v>45219</v>
      </c>
      <c r="F882" s="1">
        <v>45339</v>
      </c>
      <c r="G882" s="2">
        <v>2980</v>
      </c>
      <c r="H882">
        <v>0</v>
      </c>
      <c r="I882" t="s">
        <v>966</v>
      </c>
      <c r="J882" t="s">
        <v>14</v>
      </c>
      <c r="K882" t="s">
        <v>15</v>
      </c>
    </row>
    <row r="883" spans="1:11" x14ac:dyDescent="0.3">
      <c r="A883" t="s">
        <v>889</v>
      </c>
      <c r="B883" t="s">
        <v>890</v>
      </c>
      <c r="C883">
        <v>23837</v>
      </c>
      <c r="D883">
        <v>33192</v>
      </c>
      <c r="E883" s="1">
        <v>45219</v>
      </c>
      <c r="F883" s="1">
        <v>45369</v>
      </c>
      <c r="G883" s="2">
        <v>2980</v>
      </c>
      <c r="H883">
        <v>0</v>
      </c>
      <c r="I883" t="s">
        <v>966</v>
      </c>
      <c r="J883" t="s">
        <v>14</v>
      </c>
      <c r="K883" t="s">
        <v>15</v>
      </c>
    </row>
    <row r="884" spans="1:11" x14ac:dyDescent="0.3">
      <c r="A884" t="s">
        <v>967</v>
      </c>
      <c r="B884" t="s">
        <v>968</v>
      </c>
      <c r="C884">
        <v>23848</v>
      </c>
      <c r="D884">
        <v>33202</v>
      </c>
      <c r="E884" s="1">
        <v>45222</v>
      </c>
      <c r="F884" s="1">
        <v>45282</v>
      </c>
      <c r="G884" s="2">
        <v>9628.68</v>
      </c>
      <c r="H884">
        <v>0</v>
      </c>
      <c r="I884" t="s">
        <v>969</v>
      </c>
      <c r="J884" t="s">
        <v>596</v>
      </c>
      <c r="K884" t="s">
        <v>15</v>
      </c>
    </row>
    <row r="885" spans="1:11" x14ac:dyDescent="0.3">
      <c r="A885" t="s">
        <v>54</v>
      </c>
      <c r="B885" t="s">
        <v>55</v>
      </c>
      <c r="C885">
        <v>23826</v>
      </c>
      <c r="D885">
        <v>33179</v>
      </c>
      <c r="E885" s="1">
        <v>45219</v>
      </c>
      <c r="F885" s="1">
        <v>45339</v>
      </c>
      <c r="G885" s="2">
        <v>28599.439999999999</v>
      </c>
      <c r="H885">
        <v>0</v>
      </c>
      <c r="I885" t="s">
        <v>166</v>
      </c>
      <c r="J885" t="s">
        <v>57</v>
      </c>
      <c r="K885" t="s">
        <v>15</v>
      </c>
    </row>
    <row r="886" spans="1:11" x14ac:dyDescent="0.3">
      <c r="A886" t="s">
        <v>54</v>
      </c>
      <c r="B886" t="s">
        <v>55</v>
      </c>
      <c r="C886">
        <v>23826</v>
      </c>
      <c r="D886">
        <v>33179</v>
      </c>
      <c r="E886" s="1">
        <v>45219</v>
      </c>
      <c r="F886" s="1">
        <v>45359</v>
      </c>
      <c r="G886" s="2">
        <v>28599.52</v>
      </c>
      <c r="H886">
        <v>0</v>
      </c>
      <c r="I886" t="s">
        <v>166</v>
      </c>
      <c r="J886" t="s">
        <v>57</v>
      </c>
      <c r="K886" t="s">
        <v>15</v>
      </c>
    </row>
    <row r="887" spans="1:11" x14ac:dyDescent="0.3">
      <c r="A887" t="s">
        <v>88</v>
      </c>
      <c r="B887" t="s">
        <v>89</v>
      </c>
      <c r="C887">
        <v>23877</v>
      </c>
      <c r="D887">
        <v>33231</v>
      </c>
      <c r="E887" s="1">
        <v>45222</v>
      </c>
      <c r="F887" s="1">
        <v>45372</v>
      </c>
      <c r="G887" s="2">
        <v>120000</v>
      </c>
      <c r="H887">
        <v>0</v>
      </c>
      <c r="I887" t="s">
        <v>970</v>
      </c>
      <c r="J887" t="s">
        <v>27</v>
      </c>
      <c r="K887" t="s">
        <v>15</v>
      </c>
    </row>
    <row r="888" spans="1:11" x14ac:dyDescent="0.3">
      <c r="A888" t="s">
        <v>88</v>
      </c>
      <c r="B888" t="s">
        <v>89</v>
      </c>
      <c r="C888">
        <v>23855</v>
      </c>
      <c r="D888">
        <v>33209</v>
      </c>
      <c r="E888" s="1">
        <v>45222</v>
      </c>
      <c r="F888" s="1">
        <v>45402</v>
      </c>
      <c r="G888" s="2">
        <v>67500</v>
      </c>
      <c r="H888">
        <v>0</v>
      </c>
      <c r="I888" t="s">
        <v>906</v>
      </c>
      <c r="J888" t="s">
        <v>27</v>
      </c>
      <c r="K888" t="s">
        <v>15</v>
      </c>
    </row>
    <row r="889" spans="1:11" x14ac:dyDescent="0.3">
      <c r="A889" t="s">
        <v>491</v>
      </c>
      <c r="B889" t="s">
        <v>492</v>
      </c>
      <c r="C889">
        <v>21956</v>
      </c>
      <c r="D889">
        <v>31111</v>
      </c>
      <c r="E889" s="1">
        <v>44981</v>
      </c>
      <c r="F889" s="1">
        <v>45168</v>
      </c>
      <c r="G889" s="2">
        <v>60357.4</v>
      </c>
      <c r="H889">
        <v>54</v>
      </c>
      <c r="I889" t="s">
        <v>971</v>
      </c>
      <c r="J889" t="s">
        <v>82</v>
      </c>
      <c r="K889" t="s">
        <v>15</v>
      </c>
    </row>
    <row r="890" spans="1:11" x14ac:dyDescent="0.3">
      <c r="A890" t="s">
        <v>24</v>
      </c>
      <c r="B890" t="s">
        <v>25</v>
      </c>
      <c r="C890">
        <v>22739</v>
      </c>
      <c r="D890">
        <v>32019</v>
      </c>
      <c r="E890" s="1">
        <v>45111</v>
      </c>
      <c r="F890" s="1">
        <v>45231</v>
      </c>
      <c r="G890" s="2">
        <v>21866</v>
      </c>
      <c r="H890">
        <v>0</v>
      </c>
      <c r="I890" t="s">
        <v>735</v>
      </c>
      <c r="J890" t="s">
        <v>27</v>
      </c>
      <c r="K890" t="s">
        <v>15</v>
      </c>
    </row>
    <row r="891" spans="1:11" x14ac:dyDescent="0.3">
      <c r="A891" t="s">
        <v>20</v>
      </c>
      <c r="B891" t="s">
        <v>21</v>
      </c>
      <c r="C891">
        <v>22890</v>
      </c>
      <c r="D891">
        <v>32158</v>
      </c>
      <c r="E891" s="1">
        <v>45134</v>
      </c>
      <c r="F891" s="1">
        <v>45239</v>
      </c>
      <c r="G891" s="2">
        <v>2028.86</v>
      </c>
      <c r="H891">
        <v>0</v>
      </c>
      <c r="I891" t="s">
        <v>972</v>
      </c>
      <c r="J891" t="s">
        <v>23</v>
      </c>
      <c r="K891" t="s">
        <v>15</v>
      </c>
    </row>
    <row r="892" spans="1:11" x14ac:dyDescent="0.3">
      <c r="A892" t="s">
        <v>20</v>
      </c>
      <c r="B892" t="s">
        <v>21</v>
      </c>
      <c r="C892">
        <v>22890</v>
      </c>
      <c r="D892">
        <v>32158</v>
      </c>
      <c r="E892" s="1">
        <v>45134</v>
      </c>
      <c r="F892" s="1">
        <v>45254</v>
      </c>
      <c r="G892" s="2">
        <v>2028.86</v>
      </c>
      <c r="H892">
        <v>0</v>
      </c>
      <c r="I892" t="s">
        <v>972</v>
      </c>
      <c r="J892" t="s">
        <v>23</v>
      </c>
      <c r="K892" t="s">
        <v>15</v>
      </c>
    </row>
    <row r="893" spans="1:11" x14ac:dyDescent="0.3">
      <c r="A893" t="s">
        <v>20</v>
      </c>
      <c r="B893" t="s">
        <v>21</v>
      </c>
      <c r="C893">
        <v>22890</v>
      </c>
      <c r="D893">
        <v>32158</v>
      </c>
      <c r="E893" s="1">
        <v>45134</v>
      </c>
      <c r="F893" s="1">
        <v>45269</v>
      </c>
      <c r="G893" s="2">
        <v>2028.86</v>
      </c>
      <c r="H893">
        <v>0</v>
      </c>
      <c r="I893" t="s">
        <v>972</v>
      </c>
      <c r="J893" t="s">
        <v>23</v>
      </c>
      <c r="K893" t="s">
        <v>15</v>
      </c>
    </row>
    <row r="894" spans="1:11" x14ac:dyDescent="0.3">
      <c r="A894" t="s">
        <v>20</v>
      </c>
      <c r="B894" t="s">
        <v>21</v>
      </c>
      <c r="C894">
        <v>22890</v>
      </c>
      <c r="D894">
        <v>32158</v>
      </c>
      <c r="E894" s="1">
        <v>45134</v>
      </c>
      <c r="F894" s="1">
        <v>45284</v>
      </c>
      <c r="G894" s="2">
        <v>2028.86</v>
      </c>
      <c r="H894">
        <v>0</v>
      </c>
      <c r="I894" t="s">
        <v>972</v>
      </c>
      <c r="J894" t="s">
        <v>23</v>
      </c>
      <c r="K894" t="s">
        <v>15</v>
      </c>
    </row>
    <row r="895" spans="1:11" x14ac:dyDescent="0.3">
      <c r="A895" t="s">
        <v>20</v>
      </c>
      <c r="B895" t="s">
        <v>21</v>
      </c>
      <c r="C895">
        <v>22890</v>
      </c>
      <c r="D895">
        <v>32158</v>
      </c>
      <c r="E895" s="1">
        <v>45134</v>
      </c>
      <c r="F895" s="1">
        <v>45299</v>
      </c>
      <c r="G895" s="2">
        <v>2028.86</v>
      </c>
      <c r="H895">
        <v>0</v>
      </c>
      <c r="I895" t="s">
        <v>972</v>
      </c>
      <c r="J895" t="s">
        <v>23</v>
      </c>
      <c r="K895" t="s">
        <v>15</v>
      </c>
    </row>
    <row r="896" spans="1:11" x14ac:dyDescent="0.3">
      <c r="A896" t="s">
        <v>20</v>
      </c>
      <c r="B896" t="s">
        <v>21</v>
      </c>
      <c r="C896">
        <v>22890</v>
      </c>
      <c r="D896">
        <v>32158</v>
      </c>
      <c r="E896" s="1">
        <v>45134</v>
      </c>
      <c r="F896" s="1">
        <v>45314</v>
      </c>
      <c r="G896" s="2">
        <v>2028.92</v>
      </c>
      <c r="H896">
        <v>0</v>
      </c>
      <c r="I896" t="s">
        <v>972</v>
      </c>
      <c r="J896" t="s">
        <v>23</v>
      </c>
      <c r="K896" t="s">
        <v>15</v>
      </c>
    </row>
    <row r="897" spans="1:11" x14ac:dyDescent="0.3">
      <c r="A897" t="s">
        <v>679</v>
      </c>
      <c r="B897" t="s">
        <v>680</v>
      </c>
      <c r="C897">
        <v>23009</v>
      </c>
      <c r="D897">
        <v>32302</v>
      </c>
      <c r="E897" s="1">
        <v>45153</v>
      </c>
      <c r="F897" s="1">
        <v>45412</v>
      </c>
      <c r="G897" s="2">
        <v>371500</v>
      </c>
      <c r="H897">
        <v>0</v>
      </c>
      <c r="I897" t="s">
        <v>973</v>
      </c>
      <c r="J897" t="s">
        <v>86</v>
      </c>
      <c r="K897" t="s">
        <v>15</v>
      </c>
    </row>
    <row r="898" spans="1:11" x14ac:dyDescent="0.3">
      <c r="A898" t="s">
        <v>174</v>
      </c>
      <c r="B898" t="s">
        <v>175</v>
      </c>
      <c r="C898">
        <v>23243</v>
      </c>
      <c r="D898">
        <v>32559</v>
      </c>
      <c r="E898" s="1">
        <v>45174</v>
      </c>
      <c r="F898" s="1">
        <v>45234</v>
      </c>
      <c r="G898" s="2">
        <v>3998.12</v>
      </c>
      <c r="H898">
        <v>0</v>
      </c>
      <c r="I898" t="s">
        <v>974</v>
      </c>
      <c r="J898" t="s">
        <v>131</v>
      </c>
      <c r="K898" t="s">
        <v>15</v>
      </c>
    </row>
    <row r="899" spans="1:11" x14ac:dyDescent="0.3">
      <c r="A899" t="s">
        <v>679</v>
      </c>
      <c r="B899" t="s">
        <v>680</v>
      </c>
      <c r="C899">
        <v>23460</v>
      </c>
      <c r="D899">
        <v>32778</v>
      </c>
      <c r="E899" s="1">
        <v>45188</v>
      </c>
      <c r="F899" s="1">
        <v>45412</v>
      </c>
      <c r="G899" s="2">
        <v>7800</v>
      </c>
      <c r="H899">
        <v>0</v>
      </c>
      <c r="I899" t="s">
        <v>975</v>
      </c>
      <c r="J899" t="s">
        <v>86</v>
      </c>
      <c r="K899" t="s">
        <v>15</v>
      </c>
    </row>
    <row r="900" spans="1:11" x14ac:dyDescent="0.3">
      <c r="A900" t="s">
        <v>88</v>
      </c>
      <c r="B900" t="s">
        <v>89</v>
      </c>
      <c r="C900">
        <v>23558</v>
      </c>
      <c r="D900">
        <v>32886</v>
      </c>
      <c r="E900" s="1">
        <v>45194</v>
      </c>
      <c r="F900" s="1">
        <v>45314</v>
      </c>
      <c r="G900" s="2">
        <v>72000</v>
      </c>
      <c r="H900">
        <v>0</v>
      </c>
      <c r="I900" t="s">
        <v>848</v>
      </c>
      <c r="J900" t="s">
        <v>27</v>
      </c>
      <c r="K900" t="s">
        <v>15</v>
      </c>
    </row>
    <row r="901" spans="1:11" x14ac:dyDescent="0.3">
      <c r="A901" t="s">
        <v>976</v>
      </c>
      <c r="B901" t="s">
        <v>977</v>
      </c>
      <c r="C901">
        <v>23594</v>
      </c>
      <c r="D901">
        <v>32929</v>
      </c>
      <c r="E901" s="1">
        <v>45196</v>
      </c>
      <c r="F901" s="1">
        <v>45412</v>
      </c>
      <c r="G901" s="2">
        <v>84180</v>
      </c>
      <c r="H901">
        <v>0</v>
      </c>
      <c r="I901" t="s">
        <v>978</v>
      </c>
      <c r="J901" t="s">
        <v>122</v>
      </c>
      <c r="K901" t="s">
        <v>15</v>
      </c>
    </row>
    <row r="902" spans="1:11" x14ac:dyDescent="0.3">
      <c r="A902" t="s">
        <v>979</v>
      </c>
      <c r="B902" t="s">
        <v>980</v>
      </c>
      <c r="C902">
        <v>23658</v>
      </c>
      <c r="D902">
        <v>32992</v>
      </c>
      <c r="E902" s="1">
        <v>45198</v>
      </c>
      <c r="F902" s="1">
        <v>45228</v>
      </c>
      <c r="G902" s="2">
        <v>16077.5</v>
      </c>
      <c r="H902">
        <v>0</v>
      </c>
      <c r="I902" t="s">
        <v>981</v>
      </c>
      <c r="J902" t="s">
        <v>131</v>
      </c>
      <c r="K902" t="s">
        <v>15</v>
      </c>
    </row>
    <row r="903" spans="1:11" x14ac:dyDescent="0.3">
      <c r="A903" t="s">
        <v>539</v>
      </c>
      <c r="B903" t="s">
        <v>540</v>
      </c>
      <c r="C903">
        <v>23660</v>
      </c>
      <c r="D903">
        <v>32994</v>
      </c>
      <c r="E903" s="1">
        <v>45198</v>
      </c>
      <c r="F903" s="1">
        <v>45442</v>
      </c>
      <c r="G903" s="2">
        <v>17792</v>
      </c>
      <c r="H903">
        <v>0</v>
      </c>
      <c r="I903" t="s">
        <v>982</v>
      </c>
      <c r="J903" t="s">
        <v>94</v>
      </c>
      <c r="K903" t="s">
        <v>15</v>
      </c>
    </row>
    <row r="904" spans="1:11" x14ac:dyDescent="0.3">
      <c r="A904" t="s">
        <v>983</v>
      </c>
      <c r="B904" t="s">
        <v>984</v>
      </c>
      <c r="C904">
        <v>23828</v>
      </c>
      <c r="D904">
        <v>33183</v>
      </c>
      <c r="E904" s="1">
        <v>45219</v>
      </c>
      <c r="F904" s="1">
        <v>45249</v>
      </c>
      <c r="G904" s="2">
        <v>38880</v>
      </c>
      <c r="H904">
        <v>0</v>
      </c>
      <c r="I904" t="s">
        <v>985</v>
      </c>
      <c r="J904" t="s">
        <v>57</v>
      </c>
      <c r="K904" t="s">
        <v>15</v>
      </c>
    </row>
    <row r="905" spans="1:11" x14ac:dyDescent="0.3">
      <c r="A905" t="s">
        <v>88</v>
      </c>
      <c r="B905" t="s">
        <v>89</v>
      </c>
      <c r="C905">
        <v>23875</v>
      </c>
      <c r="D905">
        <v>33229</v>
      </c>
      <c r="E905" s="1">
        <v>45222</v>
      </c>
      <c r="F905" s="1">
        <v>45372</v>
      </c>
      <c r="G905" s="2">
        <v>45552</v>
      </c>
      <c r="H905">
        <v>0</v>
      </c>
      <c r="I905" t="s">
        <v>986</v>
      </c>
      <c r="J905" t="s">
        <v>27</v>
      </c>
      <c r="K905" t="s">
        <v>15</v>
      </c>
    </row>
    <row r="906" spans="1:11" x14ac:dyDescent="0.3">
      <c r="A906" t="s">
        <v>88</v>
      </c>
      <c r="B906" t="s">
        <v>89</v>
      </c>
      <c r="C906">
        <v>23875</v>
      </c>
      <c r="D906">
        <v>33229</v>
      </c>
      <c r="E906" s="1">
        <v>45222</v>
      </c>
      <c r="F906" s="1">
        <v>45402</v>
      </c>
      <c r="G906" s="2">
        <v>45552</v>
      </c>
      <c r="H906">
        <v>0</v>
      </c>
      <c r="I906" t="s">
        <v>986</v>
      </c>
      <c r="J906" t="s">
        <v>27</v>
      </c>
      <c r="K906" t="s">
        <v>15</v>
      </c>
    </row>
    <row r="907" spans="1:11" x14ac:dyDescent="0.3">
      <c r="A907" t="s">
        <v>145</v>
      </c>
      <c r="B907" t="s">
        <v>146</v>
      </c>
      <c r="C907">
        <v>21835</v>
      </c>
      <c r="D907">
        <v>30987</v>
      </c>
      <c r="E907" s="1">
        <v>44969</v>
      </c>
      <c r="F907" s="1">
        <v>45199</v>
      </c>
      <c r="G907" s="2">
        <v>22680</v>
      </c>
      <c r="H907">
        <v>23</v>
      </c>
      <c r="I907" t="s">
        <v>987</v>
      </c>
      <c r="J907" t="s">
        <v>82</v>
      </c>
      <c r="K907" t="s">
        <v>15</v>
      </c>
    </row>
    <row r="908" spans="1:11" x14ac:dyDescent="0.3">
      <c r="A908" t="s">
        <v>314</v>
      </c>
      <c r="B908" t="s">
        <v>315</v>
      </c>
      <c r="C908">
        <v>22092</v>
      </c>
      <c r="D908">
        <v>31267</v>
      </c>
      <c r="E908" s="1">
        <v>44995</v>
      </c>
      <c r="F908" s="1">
        <v>45229</v>
      </c>
      <c r="G908" s="2">
        <v>93500</v>
      </c>
      <c r="H908">
        <v>0</v>
      </c>
      <c r="I908" t="s">
        <v>988</v>
      </c>
      <c r="J908" t="s">
        <v>206</v>
      </c>
      <c r="K908" t="s">
        <v>15</v>
      </c>
    </row>
    <row r="909" spans="1:11" x14ac:dyDescent="0.3">
      <c r="A909" t="s">
        <v>114</v>
      </c>
      <c r="B909" t="s">
        <v>115</v>
      </c>
      <c r="C909">
        <v>22403</v>
      </c>
      <c r="D909">
        <v>31643</v>
      </c>
      <c r="E909" s="1">
        <v>45044</v>
      </c>
      <c r="F909" s="1">
        <v>45240</v>
      </c>
      <c r="G909" s="2">
        <v>359600</v>
      </c>
      <c r="H909">
        <v>0</v>
      </c>
      <c r="I909" t="s">
        <v>989</v>
      </c>
      <c r="J909" t="s">
        <v>82</v>
      </c>
      <c r="K909" t="s">
        <v>15</v>
      </c>
    </row>
    <row r="910" spans="1:11" x14ac:dyDescent="0.3">
      <c r="A910" t="s">
        <v>114</v>
      </c>
      <c r="B910" t="s">
        <v>115</v>
      </c>
      <c r="C910">
        <v>22417</v>
      </c>
      <c r="D910">
        <v>31661</v>
      </c>
      <c r="E910" s="1">
        <v>45050</v>
      </c>
      <c r="F910" s="1">
        <v>45200</v>
      </c>
      <c r="G910" s="2">
        <v>27230</v>
      </c>
      <c r="H910">
        <v>22</v>
      </c>
      <c r="I910" t="s">
        <v>990</v>
      </c>
      <c r="J910" t="s">
        <v>82</v>
      </c>
      <c r="K910" t="s">
        <v>15</v>
      </c>
    </row>
    <row r="911" spans="1:11" x14ac:dyDescent="0.3">
      <c r="A911" t="s">
        <v>114</v>
      </c>
      <c r="B911" t="s">
        <v>115</v>
      </c>
      <c r="C911">
        <v>22417</v>
      </c>
      <c r="D911">
        <v>31661</v>
      </c>
      <c r="E911" s="1">
        <v>45050</v>
      </c>
      <c r="F911" s="1">
        <v>45240</v>
      </c>
      <c r="G911" s="2">
        <v>16772</v>
      </c>
      <c r="H911">
        <v>0</v>
      </c>
      <c r="I911" t="s">
        <v>990</v>
      </c>
      <c r="J911" t="s">
        <v>82</v>
      </c>
      <c r="K911" t="s">
        <v>15</v>
      </c>
    </row>
    <row r="912" spans="1:11" x14ac:dyDescent="0.3">
      <c r="A912" t="s">
        <v>991</v>
      </c>
      <c r="B912" t="s">
        <v>992</v>
      </c>
      <c r="C912">
        <v>22428</v>
      </c>
      <c r="D912">
        <v>31677</v>
      </c>
      <c r="E912" s="1">
        <v>45054</v>
      </c>
      <c r="F912" s="1">
        <v>45174</v>
      </c>
      <c r="G912" s="2">
        <v>97896</v>
      </c>
      <c r="H912">
        <v>48</v>
      </c>
      <c r="I912" t="s">
        <v>993</v>
      </c>
      <c r="J912" t="s">
        <v>23</v>
      </c>
      <c r="K912" t="s">
        <v>15</v>
      </c>
    </row>
    <row r="913" spans="1:11" x14ac:dyDescent="0.3">
      <c r="A913" t="s">
        <v>114</v>
      </c>
      <c r="B913" t="s">
        <v>115</v>
      </c>
      <c r="C913">
        <v>22553</v>
      </c>
      <c r="D913">
        <v>31815</v>
      </c>
      <c r="E913" s="1">
        <v>45077</v>
      </c>
      <c r="F913" s="1">
        <v>45229</v>
      </c>
      <c r="G913" s="2">
        <v>14300</v>
      </c>
      <c r="H913">
        <v>0</v>
      </c>
      <c r="I913" t="s">
        <v>994</v>
      </c>
      <c r="J913" t="s">
        <v>82</v>
      </c>
      <c r="K913" t="s">
        <v>15</v>
      </c>
    </row>
    <row r="914" spans="1:11" x14ac:dyDescent="0.3">
      <c r="A914" t="s">
        <v>228</v>
      </c>
      <c r="B914" t="s">
        <v>229</v>
      </c>
      <c r="C914">
        <v>22760</v>
      </c>
      <c r="D914">
        <v>32045</v>
      </c>
      <c r="E914" s="1">
        <v>45113</v>
      </c>
      <c r="F914" s="1">
        <v>45321</v>
      </c>
      <c r="G914" s="2">
        <v>65000</v>
      </c>
      <c r="H914">
        <v>0</v>
      </c>
      <c r="I914" t="s">
        <v>995</v>
      </c>
      <c r="J914" t="s">
        <v>206</v>
      </c>
      <c r="K914" t="s">
        <v>15</v>
      </c>
    </row>
    <row r="915" spans="1:11" x14ac:dyDescent="0.3">
      <c r="A915" t="s">
        <v>479</v>
      </c>
      <c r="B915" t="s">
        <v>480</v>
      </c>
      <c r="C915">
        <v>23010</v>
      </c>
      <c r="D915">
        <v>32303</v>
      </c>
      <c r="E915" s="1">
        <v>45154</v>
      </c>
      <c r="F915" s="1">
        <v>45412</v>
      </c>
      <c r="G915" s="2">
        <v>4116</v>
      </c>
      <c r="H915">
        <v>0</v>
      </c>
      <c r="I915" t="s">
        <v>996</v>
      </c>
      <c r="J915" t="s">
        <v>99</v>
      </c>
      <c r="K915" t="s">
        <v>15</v>
      </c>
    </row>
    <row r="916" spans="1:11" x14ac:dyDescent="0.3">
      <c r="A916" t="s">
        <v>100</v>
      </c>
      <c r="B916" t="s">
        <v>101</v>
      </c>
      <c r="C916">
        <v>23153</v>
      </c>
      <c r="D916">
        <v>32457</v>
      </c>
      <c r="E916" s="1">
        <v>45167</v>
      </c>
      <c r="F916" s="1">
        <v>45287</v>
      </c>
      <c r="G916" s="2">
        <v>60900</v>
      </c>
      <c r="H916">
        <v>0</v>
      </c>
      <c r="I916" t="s">
        <v>997</v>
      </c>
      <c r="J916" t="s">
        <v>14</v>
      </c>
      <c r="K916" t="s">
        <v>15</v>
      </c>
    </row>
    <row r="917" spans="1:11" x14ac:dyDescent="0.3">
      <c r="A917" t="s">
        <v>67</v>
      </c>
      <c r="B917" t="s">
        <v>68</v>
      </c>
      <c r="C917">
        <v>23196</v>
      </c>
      <c r="D917">
        <v>32509</v>
      </c>
      <c r="E917" s="1">
        <v>45170</v>
      </c>
      <c r="F917" s="1">
        <v>45290</v>
      </c>
      <c r="G917" s="2">
        <v>93120</v>
      </c>
      <c r="H917">
        <v>0</v>
      </c>
      <c r="I917" t="s">
        <v>998</v>
      </c>
      <c r="J917" t="s">
        <v>19</v>
      </c>
      <c r="K917" t="s">
        <v>15</v>
      </c>
    </row>
    <row r="918" spans="1:11" x14ac:dyDescent="0.3">
      <c r="A918" t="s">
        <v>323</v>
      </c>
      <c r="B918" t="s">
        <v>324</v>
      </c>
      <c r="C918">
        <v>23214</v>
      </c>
      <c r="D918">
        <v>32529</v>
      </c>
      <c r="E918" s="1">
        <v>45173</v>
      </c>
      <c r="F918" s="1">
        <v>45533</v>
      </c>
      <c r="G918" s="2">
        <v>243468</v>
      </c>
      <c r="H918">
        <v>0</v>
      </c>
      <c r="I918" t="s">
        <v>999</v>
      </c>
      <c r="J918" t="s">
        <v>94</v>
      </c>
      <c r="K918" t="s">
        <v>15</v>
      </c>
    </row>
    <row r="919" spans="1:11" x14ac:dyDescent="0.3">
      <c r="A919" t="s">
        <v>39</v>
      </c>
      <c r="B919" t="s">
        <v>40</v>
      </c>
      <c r="C919">
        <v>23314</v>
      </c>
      <c r="D919">
        <v>32627</v>
      </c>
      <c r="E919" s="1">
        <v>45180</v>
      </c>
      <c r="F919" s="1">
        <v>45402</v>
      </c>
      <c r="G919" s="2">
        <v>59477</v>
      </c>
      <c r="H919">
        <v>0</v>
      </c>
      <c r="I919" t="s">
        <v>1000</v>
      </c>
      <c r="J919" t="s">
        <v>42</v>
      </c>
      <c r="K919" t="s">
        <v>15</v>
      </c>
    </row>
    <row r="920" spans="1:11" x14ac:dyDescent="0.3">
      <c r="A920" t="s">
        <v>16</v>
      </c>
      <c r="B920" t="s">
        <v>17</v>
      </c>
      <c r="C920">
        <v>23353</v>
      </c>
      <c r="D920">
        <v>32666</v>
      </c>
      <c r="E920" s="1">
        <v>45182</v>
      </c>
      <c r="F920" s="1">
        <v>45332</v>
      </c>
      <c r="G920" s="2">
        <v>111360</v>
      </c>
      <c r="H920">
        <v>0</v>
      </c>
      <c r="I920" t="s">
        <v>1001</v>
      </c>
      <c r="J920" t="s">
        <v>19</v>
      </c>
      <c r="K920" t="s">
        <v>15</v>
      </c>
    </row>
    <row r="921" spans="1:11" x14ac:dyDescent="0.3">
      <c r="A921" t="s">
        <v>34</v>
      </c>
      <c r="B921" t="s">
        <v>35</v>
      </c>
      <c r="C921">
        <v>23422</v>
      </c>
      <c r="D921">
        <v>32734</v>
      </c>
      <c r="E921" s="1">
        <v>45187</v>
      </c>
      <c r="F921" s="1">
        <v>45307</v>
      </c>
      <c r="G921" s="2">
        <v>3920</v>
      </c>
      <c r="H921">
        <v>0</v>
      </c>
      <c r="I921" t="s">
        <v>1067</v>
      </c>
      <c r="J921" t="s">
        <v>19</v>
      </c>
      <c r="K921" t="s">
        <v>15</v>
      </c>
    </row>
    <row r="922" spans="1:11" x14ac:dyDescent="0.3">
      <c r="A922" t="s">
        <v>1003</v>
      </c>
      <c r="B922" t="s">
        <v>1004</v>
      </c>
      <c r="C922">
        <v>23489</v>
      </c>
      <c r="D922">
        <v>32807</v>
      </c>
      <c r="E922" s="1">
        <v>45188</v>
      </c>
      <c r="F922" s="1">
        <v>45248</v>
      </c>
      <c r="G922" s="2">
        <v>3016.42</v>
      </c>
      <c r="H922">
        <v>0</v>
      </c>
      <c r="I922" t="s">
        <v>1005</v>
      </c>
      <c r="J922" t="s">
        <v>27</v>
      </c>
      <c r="K922" t="s">
        <v>15</v>
      </c>
    </row>
    <row r="923" spans="1:11" x14ac:dyDescent="0.3">
      <c r="A923" t="s">
        <v>1003</v>
      </c>
      <c r="B923" t="s">
        <v>1004</v>
      </c>
      <c r="C923">
        <v>23489</v>
      </c>
      <c r="D923">
        <v>32807</v>
      </c>
      <c r="E923" s="1">
        <v>45188</v>
      </c>
      <c r="F923" s="1">
        <v>45278</v>
      </c>
      <c r="G923" s="2">
        <v>5103.3500000000004</v>
      </c>
      <c r="H923">
        <v>0</v>
      </c>
      <c r="I923" t="s">
        <v>1005</v>
      </c>
      <c r="J923" t="s">
        <v>27</v>
      </c>
      <c r="K923" t="s">
        <v>15</v>
      </c>
    </row>
    <row r="924" spans="1:11" x14ac:dyDescent="0.3">
      <c r="A924" t="s">
        <v>1003</v>
      </c>
      <c r="B924" t="s">
        <v>1004</v>
      </c>
      <c r="C924">
        <v>23489</v>
      </c>
      <c r="D924">
        <v>32807</v>
      </c>
      <c r="E924" s="1">
        <v>45188</v>
      </c>
      <c r="F924" s="1">
        <v>45308</v>
      </c>
      <c r="G924" s="2">
        <v>5103.3500000000004</v>
      </c>
      <c r="H924">
        <v>0</v>
      </c>
      <c r="I924" t="s">
        <v>1005</v>
      </c>
      <c r="J924" t="s">
        <v>27</v>
      </c>
      <c r="K924" t="s">
        <v>15</v>
      </c>
    </row>
    <row r="925" spans="1:11" x14ac:dyDescent="0.3">
      <c r="A925" t="s">
        <v>109</v>
      </c>
      <c r="B925" t="s">
        <v>110</v>
      </c>
      <c r="C925">
        <v>20727</v>
      </c>
      <c r="D925">
        <v>29837</v>
      </c>
      <c r="E925" s="1">
        <v>44841</v>
      </c>
      <c r="F925" s="1">
        <v>45076</v>
      </c>
      <c r="G925" s="2">
        <v>189000</v>
      </c>
      <c r="H925">
        <v>146</v>
      </c>
      <c r="I925" t="s">
        <v>1006</v>
      </c>
      <c r="J925" t="s">
        <v>112</v>
      </c>
      <c r="K925" t="s">
        <v>15</v>
      </c>
    </row>
    <row r="926" spans="1:11" x14ac:dyDescent="0.3">
      <c r="A926" t="s">
        <v>109</v>
      </c>
      <c r="B926" t="s">
        <v>110</v>
      </c>
      <c r="C926">
        <v>20859</v>
      </c>
      <c r="D926">
        <v>29987</v>
      </c>
      <c r="E926" s="1">
        <v>44858</v>
      </c>
      <c r="F926" s="1">
        <v>45076</v>
      </c>
      <c r="G926" s="2">
        <v>40896</v>
      </c>
      <c r="H926">
        <v>146</v>
      </c>
      <c r="I926" t="s">
        <v>1007</v>
      </c>
      <c r="J926" t="s">
        <v>112</v>
      </c>
      <c r="K926" t="s">
        <v>15</v>
      </c>
    </row>
    <row r="927" spans="1:11" x14ac:dyDescent="0.3">
      <c r="A927" t="s">
        <v>54</v>
      </c>
      <c r="B927" t="s">
        <v>55</v>
      </c>
      <c r="C927">
        <v>22800</v>
      </c>
      <c r="D927">
        <v>32089</v>
      </c>
      <c r="E927" s="1">
        <v>45125</v>
      </c>
      <c r="F927" s="1">
        <v>45245</v>
      </c>
      <c r="G927" s="2">
        <v>17520</v>
      </c>
      <c r="H927">
        <v>0</v>
      </c>
      <c r="I927" t="s">
        <v>1008</v>
      </c>
      <c r="J927" t="s">
        <v>57</v>
      </c>
      <c r="K927" t="s">
        <v>15</v>
      </c>
    </row>
    <row r="928" spans="1:11" x14ac:dyDescent="0.3">
      <c r="A928" t="s">
        <v>34</v>
      </c>
      <c r="B928" t="s">
        <v>35</v>
      </c>
      <c r="C928">
        <v>22878</v>
      </c>
      <c r="D928">
        <v>32145</v>
      </c>
      <c r="E928" s="1">
        <v>45132</v>
      </c>
      <c r="F928" s="1">
        <v>45312</v>
      </c>
      <c r="G928" s="2">
        <v>38667.040000000001</v>
      </c>
      <c r="H928">
        <v>0</v>
      </c>
      <c r="I928" t="s">
        <v>612</v>
      </c>
      <c r="J928" t="s">
        <v>19</v>
      </c>
      <c r="K928" t="s">
        <v>15</v>
      </c>
    </row>
    <row r="929" spans="1:11" x14ac:dyDescent="0.3">
      <c r="A929" t="s">
        <v>63</v>
      </c>
      <c r="B929" t="s">
        <v>64</v>
      </c>
      <c r="C929">
        <v>23429</v>
      </c>
      <c r="D929">
        <v>32741</v>
      </c>
      <c r="E929" s="1">
        <v>45187</v>
      </c>
      <c r="F929" s="1">
        <v>45307</v>
      </c>
      <c r="G929" s="2">
        <v>16312.5</v>
      </c>
      <c r="H929">
        <v>0</v>
      </c>
      <c r="I929" t="s">
        <v>692</v>
      </c>
      <c r="J929" t="s">
        <v>19</v>
      </c>
      <c r="K929" t="s">
        <v>15</v>
      </c>
    </row>
    <row r="930" spans="1:11" x14ac:dyDescent="0.3">
      <c r="A930" t="s">
        <v>34</v>
      </c>
      <c r="B930" t="s">
        <v>35</v>
      </c>
      <c r="C930">
        <v>23104</v>
      </c>
      <c r="D930">
        <v>32403</v>
      </c>
      <c r="E930" s="1">
        <v>45162</v>
      </c>
      <c r="F930" s="1">
        <v>45312</v>
      </c>
      <c r="G930" s="2">
        <v>128000</v>
      </c>
      <c r="H930">
        <v>0</v>
      </c>
      <c r="I930" t="s">
        <v>1264</v>
      </c>
      <c r="J930" t="s">
        <v>19</v>
      </c>
      <c r="K930" t="s">
        <v>15</v>
      </c>
    </row>
    <row r="931" spans="1:11" x14ac:dyDescent="0.3">
      <c r="A931" t="s">
        <v>323</v>
      </c>
      <c r="B931" t="s">
        <v>324</v>
      </c>
      <c r="C931">
        <v>23380</v>
      </c>
      <c r="D931">
        <v>32693</v>
      </c>
      <c r="E931" s="1">
        <v>45183</v>
      </c>
      <c r="F931" s="1">
        <v>45303</v>
      </c>
      <c r="G931" s="2">
        <v>105840</v>
      </c>
      <c r="H931">
        <v>0</v>
      </c>
      <c r="I931" t="s">
        <v>1012</v>
      </c>
      <c r="J931" t="s">
        <v>94</v>
      </c>
      <c r="K931" t="s">
        <v>15</v>
      </c>
    </row>
    <row r="932" spans="1:11" x14ac:dyDescent="0.3">
      <c r="A932" t="s">
        <v>582</v>
      </c>
      <c r="B932" t="s">
        <v>583</v>
      </c>
      <c r="C932">
        <v>23648</v>
      </c>
      <c r="D932">
        <v>32982</v>
      </c>
      <c r="E932" s="1">
        <v>45198</v>
      </c>
      <c r="F932" s="1">
        <v>45348</v>
      </c>
      <c r="G932" s="2">
        <v>46200</v>
      </c>
      <c r="H932">
        <v>0</v>
      </c>
      <c r="I932" t="s">
        <v>1013</v>
      </c>
      <c r="J932" t="s">
        <v>27</v>
      </c>
    </row>
    <row r="933" spans="1:11" x14ac:dyDescent="0.3">
      <c r="A933" t="s">
        <v>28</v>
      </c>
      <c r="B933" t="s">
        <v>29</v>
      </c>
      <c r="C933">
        <v>23687</v>
      </c>
      <c r="D933">
        <v>33026</v>
      </c>
      <c r="E933" s="1">
        <v>45204</v>
      </c>
      <c r="F933" s="1">
        <v>45384</v>
      </c>
      <c r="G933" s="2">
        <v>13410</v>
      </c>
      <c r="H933">
        <v>0</v>
      </c>
      <c r="I933" t="s">
        <v>1014</v>
      </c>
      <c r="J933" t="s">
        <v>19</v>
      </c>
      <c r="K933" t="s">
        <v>15</v>
      </c>
    </row>
    <row r="934" spans="1:11" x14ac:dyDescent="0.3">
      <c r="A934" t="s">
        <v>1015</v>
      </c>
      <c r="B934" t="s">
        <v>1016</v>
      </c>
      <c r="C934">
        <v>23762</v>
      </c>
      <c r="D934">
        <v>33105</v>
      </c>
      <c r="E934" s="1">
        <v>45212</v>
      </c>
      <c r="F934" s="1">
        <v>45242</v>
      </c>
      <c r="G934" s="2">
        <v>41400</v>
      </c>
      <c r="H934">
        <v>0</v>
      </c>
      <c r="I934" t="s">
        <v>1017</v>
      </c>
      <c r="J934" t="s">
        <v>94</v>
      </c>
      <c r="K934" t="s">
        <v>15</v>
      </c>
    </row>
    <row r="935" spans="1:11" x14ac:dyDescent="0.3">
      <c r="A935" t="s">
        <v>88</v>
      </c>
      <c r="B935" t="s">
        <v>89</v>
      </c>
      <c r="C935">
        <v>23862</v>
      </c>
      <c r="D935">
        <v>33216</v>
      </c>
      <c r="E935" s="1">
        <v>45222</v>
      </c>
      <c r="F935" s="1">
        <v>45372</v>
      </c>
      <c r="G935" s="2">
        <v>27000</v>
      </c>
      <c r="H935">
        <v>0</v>
      </c>
      <c r="I935" t="s">
        <v>1018</v>
      </c>
      <c r="J935" t="s">
        <v>27</v>
      </c>
      <c r="K935" t="s">
        <v>15</v>
      </c>
    </row>
    <row r="936" spans="1:11" x14ac:dyDescent="0.3">
      <c r="A936" t="s">
        <v>88</v>
      </c>
      <c r="B936" t="s">
        <v>89</v>
      </c>
      <c r="C936">
        <v>23862</v>
      </c>
      <c r="D936">
        <v>33216</v>
      </c>
      <c r="E936" s="1">
        <v>45222</v>
      </c>
      <c r="F936" s="1">
        <v>45402</v>
      </c>
      <c r="G936" s="2">
        <v>27000</v>
      </c>
      <c r="H936">
        <v>0</v>
      </c>
      <c r="I936" t="s">
        <v>1018</v>
      </c>
      <c r="J936" t="s">
        <v>27</v>
      </c>
      <c r="K936" t="s">
        <v>15</v>
      </c>
    </row>
    <row r="937" spans="1:11" x14ac:dyDescent="0.3">
      <c r="A937" t="s">
        <v>67</v>
      </c>
      <c r="B937" t="s">
        <v>68</v>
      </c>
      <c r="C937">
        <v>22778</v>
      </c>
      <c r="D937">
        <v>32066</v>
      </c>
      <c r="E937" s="1">
        <v>45120</v>
      </c>
      <c r="F937" s="1">
        <v>45270</v>
      </c>
      <c r="G937" s="2">
        <v>9841.6</v>
      </c>
      <c r="H937">
        <v>0</v>
      </c>
      <c r="I937" t="s">
        <v>1019</v>
      </c>
      <c r="J937" t="s">
        <v>19</v>
      </c>
      <c r="K937" t="s">
        <v>15</v>
      </c>
    </row>
    <row r="938" spans="1:11" x14ac:dyDescent="0.3">
      <c r="A938" t="s">
        <v>20</v>
      </c>
      <c r="B938" t="s">
        <v>21</v>
      </c>
      <c r="C938">
        <v>23110</v>
      </c>
      <c r="D938">
        <v>32408</v>
      </c>
      <c r="E938" s="1">
        <v>45163</v>
      </c>
      <c r="F938" s="1">
        <v>45238</v>
      </c>
      <c r="G938" s="2">
        <v>2625.26</v>
      </c>
      <c r="H938">
        <v>0</v>
      </c>
      <c r="I938" t="s">
        <v>1020</v>
      </c>
      <c r="J938" t="s">
        <v>23</v>
      </c>
      <c r="K938" t="s">
        <v>15</v>
      </c>
    </row>
    <row r="939" spans="1:11" x14ac:dyDescent="0.3">
      <c r="A939" t="s">
        <v>20</v>
      </c>
      <c r="B939" t="s">
        <v>21</v>
      </c>
      <c r="C939">
        <v>23110</v>
      </c>
      <c r="D939">
        <v>32408</v>
      </c>
      <c r="E939" s="1">
        <v>45163</v>
      </c>
      <c r="F939" s="1">
        <v>45253</v>
      </c>
      <c r="G939" s="2">
        <v>2625.26</v>
      </c>
      <c r="H939">
        <v>0</v>
      </c>
      <c r="I939" t="s">
        <v>1020</v>
      </c>
      <c r="J939" t="s">
        <v>23</v>
      </c>
      <c r="K939" t="s">
        <v>15</v>
      </c>
    </row>
    <row r="940" spans="1:11" x14ac:dyDescent="0.3">
      <c r="A940" t="s">
        <v>20</v>
      </c>
      <c r="B940" t="s">
        <v>21</v>
      </c>
      <c r="C940">
        <v>23110</v>
      </c>
      <c r="D940">
        <v>32408</v>
      </c>
      <c r="E940" s="1">
        <v>45163</v>
      </c>
      <c r="F940" s="1">
        <v>45268</v>
      </c>
      <c r="G940" s="2">
        <v>2625.26</v>
      </c>
      <c r="H940">
        <v>0</v>
      </c>
      <c r="I940" t="s">
        <v>1020</v>
      </c>
      <c r="J940" t="s">
        <v>23</v>
      </c>
      <c r="K940" t="s">
        <v>15</v>
      </c>
    </row>
    <row r="941" spans="1:11" x14ac:dyDescent="0.3">
      <c r="A941" t="s">
        <v>20</v>
      </c>
      <c r="B941" t="s">
        <v>21</v>
      </c>
      <c r="C941">
        <v>23110</v>
      </c>
      <c r="D941">
        <v>32408</v>
      </c>
      <c r="E941" s="1">
        <v>45163</v>
      </c>
      <c r="F941" s="1">
        <v>45283</v>
      </c>
      <c r="G941" s="2">
        <v>2625.26</v>
      </c>
      <c r="H941">
        <v>0</v>
      </c>
      <c r="I941" t="s">
        <v>1020</v>
      </c>
      <c r="J941" t="s">
        <v>23</v>
      </c>
      <c r="K941" t="s">
        <v>15</v>
      </c>
    </row>
    <row r="942" spans="1:11" x14ac:dyDescent="0.3">
      <c r="A942" t="s">
        <v>20</v>
      </c>
      <c r="B942" t="s">
        <v>21</v>
      </c>
      <c r="C942">
        <v>23110</v>
      </c>
      <c r="D942">
        <v>32408</v>
      </c>
      <c r="E942" s="1">
        <v>45163</v>
      </c>
      <c r="F942" s="1">
        <v>45298</v>
      </c>
      <c r="G942" s="2">
        <v>2625.26</v>
      </c>
      <c r="H942">
        <v>0</v>
      </c>
      <c r="I942" t="s">
        <v>1020</v>
      </c>
      <c r="J942" t="s">
        <v>23</v>
      </c>
      <c r="K942" t="s">
        <v>15</v>
      </c>
    </row>
    <row r="943" spans="1:11" x14ac:dyDescent="0.3">
      <c r="A943" t="s">
        <v>20</v>
      </c>
      <c r="B943" t="s">
        <v>21</v>
      </c>
      <c r="C943">
        <v>23110</v>
      </c>
      <c r="D943">
        <v>32408</v>
      </c>
      <c r="E943" s="1">
        <v>45163</v>
      </c>
      <c r="F943" s="1">
        <v>45313</v>
      </c>
      <c r="G943" s="2">
        <v>2625.26</v>
      </c>
      <c r="H943">
        <v>0</v>
      </c>
      <c r="I943" t="s">
        <v>1020</v>
      </c>
      <c r="J943" t="s">
        <v>23</v>
      </c>
      <c r="K943" t="s">
        <v>15</v>
      </c>
    </row>
    <row r="944" spans="1:11" x14ac:dyDescent="0.3">
      <c r="A944" t="s">
        <v>20</v>
      </c>
      <c r="B944" t="s">
        <v>21</v>
      </c>
      <c r="C944">
        <v>23110</v>
      </c>
      <c r="D944">
        <v>32408</v>
      </c>
      <c r="E944" s="1">
        <v>45163</v>
      </c>
      <c r="F944" s="1">
        <v>45328</v>
      </c>
      <c r="G944" s="2">
        <v>2625.26</v>
      </c>
      <c r="H944">
        <v>0</v>
      </c>
      <c r="I944" t="s">
        <v>1020</v>
      </c>
      <c r="J944" t="s">
        <v>23</v>
      </c>
      <c r="K944" t="s">
        <v>15</v>
      </c>
    </row>
    <row r="945" spans="1:11" x14ac:dyDescent="0.3">
      <c r="A945" t="s">
        <v>20</v>
      </c>
      <c r="B945" t="s">
        <v>21</v>
      </c>
      <c r="C945">
        <v>23110</v>
      </c>
      <c r="D945">
        <v>32408</v>
      </c>
      <c r="E945" s="1">
        <v>45163</v>
      </c>
      <c r="F945" s="1">
        <v>45343</v>
      </c>
      <c r="G945" s="2">
        <v>2625.32</v>
      </c>
      <c r="H945">
        <v>0</v>
      </c>
      <c r="I945" t="s">
        <v>1020</v>
      </c>
      <c r="J945" t="s">
        <v>23</v>
      </c>
      <c r="K945" t="s">
        <v>15</v>
      </c>
    </row>
    <row r="946" spans="1:11" x14ac:dyDescent="0.3">
      <c r="A946" t="s">
        <v>31</v>
      </c>
      <c r="B946" t="s">
        <v>32</v>
      </c>
      <c r="C946">
        <v>23146</v>
      </c>
      <c r="D946">
        <v>32451</v>
      </c>
      <c r="E946" s="1">
        <v>45166</v>
      </c>
      <c r="F946" s="1">
        <v>45286</v>
      </c>
      <c r="G946" s="2">
        <v>37119.96</v>
      </c>
      <c r="H946">
        <v>0</v>
      </c>
      <c r="I946" t="s">
        <v>1021</v>
      </c>
      <c r="J946" t="s">
        <v>19</v>
      </c>
      <c r="K946" t="s">
        <v>15</v>
      </c>
    </row>
    <row r="947" spans="1:11" x14ac:dyDescent="0.3">
      <c r="A947" t="s">
        <v>31</v>
      </c>
      <c r="B947" t="s">
        <v>32</v>
      </c>
      <c r="C947">
        <v>23146</v>
      </c>
      <c r="D947">
        <v>32451</v>
      </c>
      <c r="E947" s="1">
        <v>45166</v>
      </c>
      <c r="F947" s="1">
        <v>45316</v>
      </c>
      <c r="G947" s="2">
        <v>37119.96</v>
      </c>
      <c r="H947">
        <v>0</v>
      </c>
      <c r="I947" t="s">
        <v>1021</v>
      </c>
      <c r="J947" t="s">
        <v>19</v>
      </c>
      <c r="K947" t="s">
        <v>15</v>
      </c>
    </row>
    <row r="948" spans="1:11" x14ac:dyDescent="0.3">
      <c r="A948" t="s">
        <v>31</v>
      </c>
      <c r="B948" t="s">
        <v>32</v>
      </c>
      <c r="C948">
        <v>23146</v>
      </c>
      <c r="D948">
        <v>32451</v>
      </c>
      <c r="E948" s="1">
        <v>45166</v>
      </c>
      <c r="F948" s="1">
        <v>45346</v>
      </c>
      <c r="G948" s="2">
        <v>37120.080000000002</v>
      </c>
      <c r="H948">
        <v>0</v>
      </c>
      <c r="I948" t="s">
        <v>1021</v>
      </c>
      <c r="J948" t="s">
        <v>19</v>
      </c>
      <c r="K948" t="s">
        <v>15</v>
      </c>
    </row>
    <row r="949" spans="1:11" x14ac:dyDescent="0.3">
      <c r="A949" t="s">
        <v>576</v>
      </c>
      <c r="B949" t="s">
        <v>577</v>
      </c>
      <c r="C949">
        <v>23303</v>
      </c>
      <c r="D949">
        <v>32615</v>
      </c>
      <c r="E949" s="1">
        <v>45177</v>
      </c>
      <c r="F949" s="1">
        <v>45442</v>
      </c>
      <c r="G949" s="2">
        <v>1400</v>
      </c>
      <c r="H949">
        <v>0</v>
      </c>
      <c r="I949" t="s">
        <v>1022</v>
      </c>
      <c r="J949" t="s">
        <v>112</v>
      </c>
      <c r="K949" t="s">
        <v>15</v>
      </c>
    </row>
    <row r="950" spans="1:11" x14ac:dyDescent="0.3">
      <c r="A950" t="s">
        <v>1023</v>
      </c>
      <c r="B950" t="s">
        <v>1024</v>
      </c>
      <c r="C950">
        <v>23471</v>
      </c>
      <c r="D950">
        <v>32790</v>
      </c>
      <c r="E950" s="1">
        <v>45188</v>
      </c>
      <c r="F950" s="1">
        <v>45381</v>
      </c>
      <c r="G950" s="2">
        <v>95844</v>
      </c>
      <c r="H950">
        <v>0</v>
      </c>
      <c r="I950" t="s">
        <v>1025</v>
      </c>
      <c r="J950" t="s">
        <v>82</v>
      </c>
      <c r="K950" t="s">
        <v>15</v>
      </c>
    </row>
    <row r="951" spans="1:11" x14ac:dyDescent="0.3">
      <c r="A951" t="s">
        <v>152</v>
      </c>
      <c r="B951" t="s">
        <v>153</v>
      </c>
      <c r="C951">
        <v>23671</v>
      </c>
      <c r="D951">
        <v>33007</v>
      </c>
      <c r="E951" s="1">
        <v>45201</v>
      </c>
      <c r="F951" s="1">
        <v>45351</v>
      </c>
      <c r="G951" s="2">
        <v>109800</v>
      </c>
      <c r="H951">
        <v>0</v>
      </c>
      <c r="I951" t="s">
        <v>1026</v>
      </c>
      <c r="J951" t="s">
        <v>27</v>
      </c>
      <c r="K951" t="s">
        <v>15</v>
      </c>
    </row>
    <row r="952" spans="1:11" x14ac:dyDescent="0.3">
      <c r="A952" t="s">
        <v>301</v>
      </c>
      <c r="B952" t="s">
        <v>302</v>
      </c>
      <c r="C952">
        <v>23678</v>
      </c>
      <c r="D952">
        <v>33016</v>
      </c>
      <c r="E952" s="1">
        <v>45203</v>
      </c>
      <c r="F952" s="1">
        <v>45293</v>
      </c>
      <c r="G952" s="2">
        <v>5677.43</v>
      </c>
      <c r="H952">
        <v>0</v>
      </c>
      <c r="I952" t="s">
        <v>1027</v>
      </c>
      <c r="J952" t="s">
        <v>57</v>
      </c>
      <c r="K952" t="s">
        <v>15</v>
      </c>
    </row>
    <row r="953" spans="1:11" x14ac:dyDescent="0.3">
      <c r="A953" t="s">
        <v>83</v>
      </c>
      <c r="B953" t="s">
        <v>84</v>
      </c>
      <c r="C953">
        <v>21617</v>
      </c>
      <c r="D953">
        <v>30775</v>
      </c>
      <c r="E953" s="1">
        <v>44950</v>
      </c>
      <c r="F953" s="1">
        <v>45168</v>
      </c>
      <c r="G953" s="2">
        <v>353500</v>
      </c>
      <c r="H953">
        <v>54</v>
      </c>
      <c r="I953" t="s">
        <v>1028</v>
      </c>
      <c r="J953" t="s">
        <v>86</v>
      </c>
      <c r="K953" t="s">
        <v>15</v>
      </c>
    </row>
    <row r="954" spans="1:11" x14ac:dyDescent="0.3">
      <c r="A954" t="s">
        <v>37</v>
      </c>
      <c r="B954" t="s">
        <v>29</v>
      </c>
      <c r="C954">
        <v>22442</v>
      </c>
      <c r="D954">
        <v>31694</v>
      </c>
      <c r="E954" s="1">
        <v>45056</v>
      </c>
      <c r="F954" s="1">
        <v>45236</v>
      </c>
      <c r="G954" s="2">
        <v>13500</v>
      </c>
      <c r="H954">
        <v>0</v>
      </c>
      <c r="I954" t="s">
        <v>1029</v>
      </c>
      <c r="J954" t="s">
        <v>19</v>
      </c>
      <c r="K954" t="s">
        <v>15</v>
      </c>
    </row>
    <row r="955" spans="1:11" x14ac:dyDescent="0.3">
      <c r="A955" t="s">
        <v>54</v>
      </c>
      <c r="B955" t="s">
        <v>55</v>
      </c>
      <c r="C955">
        <v>22735</v>
      </c>
      <c r="D955">
        <v>32015</v>
      </c>
      <c r="E955" s="1">
        <v>45111</v>
      </c>
      <c r="F955" s="1">
        <v>45231</v>
      </c>
      <c r="G955" s="2">
        <v>2476.5</v>
      </c>
      <c r="H955">
        <v>0</v>
      </c>
      <c r="I955" t="s">
        <v>747</v>
      </c>
      <c r="J955" t="s">
        <v>57</v>
      </c>
      <c r="K955" t="s">
        <v>15</v>
      </c>
    </row>
    <row r="956" spans="1:11" x14ac:dyDescent="0.3">
      <c r="A956" t="s">
        <v>184</v>
      </c>
      <c r="B956" t="s">
        <v>140</v>
      </c>
      <c r="C956">
        <v>23128</v>
      </c>
      <c r="D956">
        <v>32433</v>
      </c>
      <c r="E956" s="1">
        <v>45166</v>
      </c>
      <c r="F956" s="1">
        <v>45226</v>
      </c>
      <c r="G956" s="2">
        <v>23739.31</v>
      </c>
      <c r="H956">
        <v>0</v>
      </c>
      <c r="I956" t="s">
        <v>1030</v>
      </c>
      <c r="J956" t="s">
        <v>135</v>
      </c>
      <c r="K956" t="s">
        <v>15</v>
      </c>
    </row>
    <row r="957" spans="1:11" x14ac:dyDescent="0.3">
      <c r="A957" t="s">
        <v>184</v>
      </c>
      <c r="B957" t="s">
        <v>140</v>
      </c>
      <c r="C957">
        <v>23128</v>
      </c>
      <c r="D957">
        <v>32433</v>
      </c>
      <c r="E957" s="1">
        <v>45166</v>
      </c>
      <c r="F957" s="1">
        <v>45256</v>
      </c>
      <c r="G957" s="2">
        <v>23739.38</v>
      </c>
      <c r="H957">
        <v>0</v>
      </c>
      <c r="I957" t="s">
        <v>1030</v>
      </c>
      <c r="J957" t="s">
        <v>135</v>
      </c>
      <c r="K957" t="s">
        <v>15</v>
      </c>
    </row>
    <row r="958" spans="1:11" x14ac:dyDescent="0.3">
      <c r="A958" t="s">
        <v>239</v>
      </c>
      <c r="B958" t="s">
        <v>240</v>
      </c>
      <c r="C958">
        <v>23264</v>
      </c>
      <c r="D958">
        <v>32582</v>
      </c>
      <c r="E958" s="1">
        <v>45175</v>
      </c>
      <c r="F958" s="1">
        <v>45235</v>
      </c>
      <c r="G958" s="2">
        <v>3504.75</v>
      </c>
      <c r="H958">
        <v>0</v>
      </c>
      <c r="I958" t="s">
        <v>1031</v>
      </c>
      <c r="J958" t="s">
        <v>19</v>
      </c>
      <c r="K958" t="s">
        <v>15</v>
      </c>
    </row>
    <row r="959" spans="1:11" x14ac:dyDescent="0.3">
      <c r="A959" t="s">
        <v>239</v>
      </c>
      <c r="B959" t="s">
        <v>240</v>
      </c>
      <c r="C959">
        <v>23264</v>
      </c>
      <c r="D959">
        <v>32582</v>
      </c>
      <c r="E959" s="1">
        <v>45175</v>
      </c>
      <c r="F959" s="1">
        <v>45265</v>
      </c>
      <c r="G959" s="2">
        <v>3504.75</v>
      </c>
      <c r="H959">
        <v>0</v>
      </c>
      <c r="I959" t="s">
        <v>1031</v>
      </c>
      <c r="J959" t="s">
        <v>19</v>
      </c>
      <c r="K959" t="s">
        <v>15</v>
      </c>
    </row>
    <row r="960" spans="1:11" x14ac:dyDescent="0.3">
      <c r="A960" t="s">
        <v>239</v>
      </c>
      <c r="B960" t="s">
        <v>240</v>
      </c>
      <c r="C960">
        <v>23264</v>
      </c>
      <c r="D960">
        <v>32582</v>
      </c>
      <c r="E960" s="1">
        <v>45175</v>
      </c>
      <c r="F960" s="1">
        <v>45295</v>
      </c>
      <c r="G960" s="2">
        <v>3504.75</v>
      </c>
      <c r="H960">
        <v>0</v>
      </c>
      <c r="I960" t="s">
        <v>1031</v>
      </c>
      <c r="J960" t="s">
        <v>19</v>
      </c>
      <c r="K960" t="s">
        <v>15</v>
      </c>
    </row>
    <row r="961" spans="1:11" x14ac:dyDescent="0.3">
      <c r="A961" t="s">
        <v>239</v>
      </c>
      <c r="B961" t="s">
        <v>240</v>
      </c>
      <c r="C961">
        <v>23264</v>
      </c>
      <c r="D961">
        <v>32582</v>
      </c>
      <c r="E961" s="1">
        <v>45175</v>
      </c>
      <c r="F961" s="1">
        <v>45325</v>
      </c>
      <c r="G961" s="2">
        <v>3504.75</v>
      </c>
      <c r="H961">
        <v>0</v>
      </c>
      <c r="I961" t="s">
        <v>1031</v>
      </c>
      <c r="J961" t="s">
        <v>19</v>
      </c>
      <c r="K961" t="s">
        <v>15</v>
      </c>
    </row>
    <row r="962" spans="1:11" x14ac:dyDescent="0.3">
      <c r="A962" t="s">
        <v>181</v>
      </c>
      <c r="B962" t="s">
        <v>182</v>
      </c>
      <c r="C962">
        <v>23646</v>
      </c>
      <c r="D962">
        <v>32980</v>
      </c>
      <c r="E962" s="1">
        <v>45198</v>
      </c>
      <c r="F962" s="1">
        <v>45442</v>
      </c>
      <c r="G962" s="2">
        <v>40000</v>
      </c>
      <c r="H962">
        <v>0</v>
      </c>
      <c r="I962" t="s">
        <v>1032</v>
      </c>
      <c r="J962" t="s">
        <v>112</v>
      </c>
      <c r="K962" t="s">
        <v>15</v>
      </c>
    </row>
    <row r="963" spans="1:11" x14ac:dyDescent="0.3">
      <c r="A963" t="s">
        <v>16</v>
      </c>
      <c r="B963" t="s">
        <v>17</v>
      </c>
      <c r="C963">
        <v>23682</v>
      </c>
      <c r="D963">
        <v>33021</v>
      </c>
      <c r="E963" s="1">
        <v>45204</v>
      </c>
      <c r="F963" s="1">
        <v>45324</v>
      </c>
      <c r="G963" s="2">
        <v>8763</v>
      </c>
      <c r="H963">
        <v>0</v>
      </c>
      <c r="I963" t="s">
        <v>1033</v>
      </c>
      <c r="J963" t="s">
        <v>19</v>
      </c>
      <c r="K963" t="s">
        <v>15</v>
      </c>
    </row>
    <row r="964" spans="1:11" x14ac:dyDescent="0.3">
      <c r="A964" t="s">
        <v>1034</v>
      </c>
      <c r="B964" t="s">
        <v>1035</v>
      </c>
      <c r="C964">
        <v>23707</v>
      </c>
      <c r="D964">
        <v>33044</v>
      </c>
      <c r="E964" s="1">
        <v>45204</v>
      </c>
      <c r="F964" s="1">
        <v>45402</v>
      </c>
      <c r="G964" s="2">
        <v>12190</v>
      </c>
      <c r="H964">
        <v>0</v>
      </c>
      <c r="I964" t="s">
        <v>1036</v>
      </c>
      <c r="J964" t="s">
        <v>42</v>
      </c>
      <c r="K964" t="s">
        <v>15</v>
      </c>
    </row>
    <row r="965" spans="1:11" x14ac:dyDescent="0.3">
      <c r="A965" t="s">
        <v>644</v>
      </c>
      <c r="B965" t="s">
        <v>645</v>
      </c>
      <c r="C965">
        <v>23782</v>
      </c>
      <c r="D965">
        <v>33127</v>
      </c>
      <c r="E965" s="1">
        <v>45215</v>
      </c>
      <c r="F965" s="1">
        <v>45402</v>
      </c>
      <c r="G965">
        <v>840</v>
      </c>
      <c r="H965">
        <v>0</v>
      </c>
      <c r="I965" t="s">
        <v>1037</v>
      </c>
      <c r="J965" t="s">
        <v>42</v>
      </c>
      <c r="K965" t="s">
        <v>15</v>
      </c>
    </row>
    <row r="966" spans="1:11" x14ac:dyDescent="0.3">
      <c r="A966" t="s">
        <v>20</v>
      </c>
      <c r="B966" t="s">
        <v>21</v>
      </c>
      <c r="C966">
        <v>23650</v>
      </c>
      <c r="D966">
        <v>32984</v>
      </c>
      <c r="E966" s="1">
        <v>45198</v>
      </c>
      <c r="F966" s="1">
        <v>45378</v>
      </c>
      <c r="G966">
        <v>704.48</v>
      </c>
      <c r="H966">
        <v>0</v>
      </c>
      <c r="I966" t="s">
        <v>208</v>
      </c>
      <c r="J966" t="s">
        <v>23</v>
      </c>
      <c r="K966" t="s">
        <v>15</v>
      </c>
    </row>
    <row r="967" spans="1:11" x14ac:dyDescent="0.3">
      <c r="A967" t="s">
        <v>976</v>
      </c>
      <c r="B967" t="s">
        <v>977</v>
      </c>
      <c r="C967">
        <v>23587</v>
      </c>
      <c r="D967">
        <v>225210</v>
      </c>
      <c r="E967" s="1">
        <v>45196</v>
      </c>
      <c r="F967" s="1">
        <v>45412</v>
      </c>
      <c r="G967" s="2">
        <v>89899.199999999997</v>
      </c>
      <c r="H967">
        <v>0</v>
      </c>
      <c r="I967" t="s">
        <v>1038</v>
      </c>
      <c r="J967" t="s">
        <v>122</v>
      </c>
    </row>
    <row r="968" spans="1:11" x14ac:dyDescent="0.3">
      <c r="A968" t="s">
        <v>1039</v>
      </c>
      <c r="B968" t="s">
        <v>1040</v>
      </c>
      <c r="C968">
        <v>23786</v>
      </c>
      <c r="D968">
        <v>33131</v>
      </c>
      <c r="E968" s="1">
        <v>45216</v>
      </c>
      <c r="F968" s="1">
        <v>45276</v>
      </c>
      <c r="G968" s="2">
        <v>17902.5</v>
      </c>
      <c r="H968">
        <v>0</v>
      </c>
      <c r="I968" t="s">
        <v>1041</v>
      </c>
      <c r="J968" t="s">
        <v>122</v>
      </c>
      <c r="K968" t="s">
        <v>15</v>
      </c>
    </row>
    <row r="969" spans="1:11" x14ac:dyDescent="0.3">
      <c r="A969" t="s">
        <v>889</v>
      </c>
      <c r="B969" t="s">
        <v>890</v>
      </c>
      <c r="C969">
        <v>23836</v>
      </c>
      <c r="D969">
        <v>33191</v>
      </c>
      <c r="E969" s="1">
        <v>45219</v>
      </c>
      <c r="F969" s="1">
        <v>45309</v>
      </c>
      <c r="G969" s="2">
        <v>9889.99</v>
      </c>
      <c r="H969">
        <v>0</v>
      </c>
      <c r="I969" t="s">
        <v>1042</v>
      </c>
      <c r="J969" t="s">
        <v>14</v>
      </c>
      <c r="K969" t="s">
        <v>15</v>
      </c>
    </row>
    <row r="970" spans="1:11" x14ac:dyDescent="0.3">
      <c r="A970" t="s">
        <v>889</v>
      </c>
      <c r="B970" t="s">
        <v>890</v>
      </c>
      <c r="C970">
        <v>23836</v>
      </c>
      <c r="D970">
        <v>33191</v>
      </c>
      <c r="E970" s="1">
        <v>45219</v>
      </c>
      <c r="F970" s="1">
        <v>45339</v>
      </c>
      <c r="G970" s="2">
        <v>9889.99</v>
      </c>
      <c r="H970">
        <v>0</v>
      </c>
      <c r="I970" t="s">
        <v>1042</v>
      </c>
      <c r="J970" t="s">
        <v>14</v>
      </c>
      <c r="K970" t="s">
        <v>15</v>
      </c>
    </row>
    <row r="971" spans="1:11" x14ac:dyDescent="0.3">
      <c r="A971" t="s">
        <v>889</v>
      </c>
      <c r="B971" t="s">
        <v>890</v>
      </c>
      <c r="C971">
        <v>23836</v>
      </c>
      <c r="D971">
        <v>33191</v>
      </c>
      <c r="E971" s="1">
        <v>45219</v>
      </c>
      <c r="F971" s="1">
        <v>45369</v>
      </c>
      <c r="G971" s="2">
        <v>9890.02</v>
      </c>
      <c r="H971">
        <v>0</v>
      </c>
      <c r="I971" t="s">
        <v>1042</v>
      </c>
      <c r="J971" t="s">
        <v>14</v>
      </c>
      <c r="K971" t="s">
        <v>15</v>
      </c>
    </row>
    <row r="972" spans="1:11" x14ac:dyDescent="0.3">
      <c r="A972" t="s">
        <v>88</v>
      </c>
      <c r="B972" t="s">
        <v>89</v>
      </c>
      <c r="C972">
        <v>23867</v>
      </c>
      <c r="D972">
        <v>33221</v>
      </c>
      <c r="E972" s="1">
        <v>45222</v>
      </c>
      <c r="F972" s="1">
        <v>45342</v>
      </c>
      <c r="G972" s="2">
        <v>56700</v>
      </c>
      <c r="H972">
        <v>0</v>
      </c>
      <c r="I972" t="s">
        <v>1043</v>
      </c>
      <c r="J972" t="s">
        <v>27</v>
      </c>
      <c r="K972" t="s">
        <v>15</v>
      </c>
    </row>
    <row r="973" spans="1:11" x14ac:dyDescent="0.3">
      <c r="A973" t="s">
        <v>88</v>
      </c>
      <c r="B973" t="s">
        <v>89</v>
      </c>
      <c r="C973">
        <v>23868</v>
      </c>
      <c r="D973">
        <v>33222</v>
      </c>
      <c r="E973" s="1">
        <v>45222</v>
      </c>
      <c r="F973" s="1">
        <v>45372</v>
      </c>
      <c r="G973" s="2">
        <v>108000</v>
      </c>
      <c r="H973">
        <v>0</v>
      </c>
      <c r="I973" t="s">
        <v>1044</v>
      </c>
      <c r="J973" t="s">
        <v>27</v>
      </c>
      <c r="K973" t="s">
        <v>15</v>
      </c>
    </row>
    <row r="974" spans="1:11" x14ac:dyDescent="0.3">
      <c r="A974" t="s">
        <v>88</v>
      </c>
      <c r="B974" t="s">
        <v>89</v>
      </c>
      <c r="C974">
        <v>23868</v>
      </c>
      <c r="D974">
        <v>33222</v>
      </c>
      <c r="E974" s="1">
        <v>45222</v>
      </c>
      <c r="F974" s="1">
        <v>45402</v>
      </c>
      <c r="G974" s="2">
        <v>108000</v>
      </c>
      <c r="H974">
        <v>0</v>
      </c>
      <c r="I974" t="s">
        <v>1044</v>
      </c>
      <c r="J974" t="s">
        <v>27</v>
      </c>
      <c r="K974" t="s">
        <v>15</v>
      </c>
    </row>
    <row r="975" spans="1:11" x14ac:dyDescent="0.3">
      <c r="A975" t="s">
        <v>236</v>
      </c>
      <c r="B975" t="s">
        <v>237</v>
      </c>
      <c r="C975">
        <v>23488</v>
      </c>
      <c r="D975">
        <v>32806</v>
      </c>
      <c r="E975" s="1">
        <v>45188</v>
      </c>
      <c r="F975" s="1">
        <v>45308</v>
      </c>
      <c r="G975" s="2">
        <v>6985</v>
      </c>
      <c r="H975">
        <v>0</v>
      </c>
      <c r="I975" t="s">
        <v>1045</v>
      </c>
      <c r="J975" t="s">
        <v>19</v>
      </c>
      <c r="K975" t="s">
        <v>15</v>
      </c>
    </row>
    <row r="976" spans="1:11" x14ac:dyDescent="0.3">
      <c r="A976" t="s">
        <v>34</v>
      </c>
      <c r="B976" t="s">
        <v>35</v>
      </c>
      <c r="C976">
        <v>22759</v>
      </c>
      <c r="D976">
        <v>32044</v>
      </c>
      <c r="E976" s="1">
        <v>45113</v>
      </c>
      <c r="F976" s="1">
        <v>45323</v>
      </c>
      <c r="G976" s="2">
        <v>152533.18</v>
      </c>
      <c r="H976">
        <v>0</v>
      </c>
      <c r="I976" t="s">
        <v>332</v>
      </c>
      <c r="J976" t="s">
        <v>19</v>
      </c>
      <c r="K976" t="s">
        <v>15</v>
      </c>
    </row>
    <row r="977" spans="1:11" x14ac:dyDescent="0.3">
      <c r="A977" t="s">
        <v>872</v>
      </c>
      <c r="B977" t="s">
        <v>35</v>
      </c>
      <c r="C977">
        <v>23681</v>
      </c>
      <c r="D977">
        <v>33020</v>
      </c>
      <c r="E977" s="1">
        <v>45204</v>
      </c>
      <c r="F977" s="1">
        <v>45324</v>
      </c>
      <c r="G977" s="2">
        <v>24500</v>
      </c>
      <c r="H977">
        <v>0</v>
      </c>
      <c r="I977" t="s">
        <v>1335</v>
      </c>
      <c r="J977" t="s">
        <v>19</v>
      </c>
      <c r="K977" t="s">
        <v>15</v>
      </c>
    </row>
    <row r="978" spans="1:11" x14ac:dyDescent="0.3">
      <c r="A978" t="s">
        <v>203</v>
      </c>
      <c r="B978" t="s">
        <v>204</v>
      </c>
      <c r="C978">
        <v>23332</v>
      </c>
      <c r="D978">
        <v>32644</v>
      </c>
      <c r="E978" s="1">
        <v>45181</v>
      </c>
      <c r="F978" s="1">
        <v>45442</v>
      </c>
      <c r="G978" s="2">
        <v>405000</v>
      </c>
      <c r="H978">
        <v>0</v>
      </c>
      <c r="I978" t="s">
        <v>1046</v>
      </c>
      <c r="J978" t="s">
        <v>206</v>
      </c>
      <c r="K978" t="s">
        <v>15</v>
      </c>
    </row>
    <row r="979" spans="1:11" x14ac:dyDescent="0.3">
      <c r="A979" t="s">
        <v>1047</v>
      </c>
      <c r="B979" t="s">
        <v>1048</v>
      </c>
      <c r="C979">
        <v>23382</v>
      </c>
      <c r="D979">
        <v>32695</v>
      </c>
      <c r="E979" s="1">
        <v>45183</v>
      </c>
      <c r="F979" s="1">
        <v>45442</v>
      </c>
      <c r="G979" s="2">
        <v>16000</v>
      </c>
      <c r="H979">
        <v>0</v>
      </c>
      <c r="I979" t="s">
        <v>1049</v>
      </c>
      <c r="J979" t="s">
        <v>77</v>
      </c>
    </row>
    <row r="980" spans="1:11" x14ac:dyDescent="0.3">
      <c r="A980" t="s">
        <v>61</v>
      </c>
      <c r="B980" t="s">
        <v>35</v>
      </c>
      <c r="C980">
        <v>23034</v>
      </c>
      <c r="D980">
        <v>32330</v>
      </c>
      <c r="E980" s="1">
        <v>45156</v>
      </c>
      <c r="F980" s="1">
        <v>45336</v>
      </c>
      <c r="G980" s="2">
        <v>45682.2</v>
      </c>
      <c r="H980">
        <v>0</v>
      </c>
      <c r="I980" t="s">
        <v>502</v>
      </c>
      <c r="J980" t="s">
        <v>19</v>
      </c>
      <c r="K980" t="s">
        <v>15</v>
      </c>
    </row>
    <row r="981" spans="1:11" x14ac:dyDescent="0.3">
      <c r="A981" t="s">
        <v>181</v>
      </c>
      <c r="B981" t="s">
        <v>182</v>
      </c>
      <c r="C981">
        <v>23535</v>
      </c>
      <c r="D981">
        <v>32856</v>
      </c>
      <c r="E981" s="1">
        <v>45191</v>
      </c>
      <c r="F981" s="1">
        <v>45442</v>
      </c>
      <c r="G981" s="2">
        <v>127610</v>
      </c>
      <c r="H981">
        <v>0</v>
      </c>
      <c r="I981" t="s">
        <v>1051</v>
      </c>
      <c r="J981" t="s">
        <v>112</v>
      </c>
      <c r="K981" t="s">
        <v>15</v>
      </c>
    </row>
    <row r="982" spans="1:11" x14ac:dyDescent="0.3">
      <c r="A982" t="s">
        <v>582</v>
      </c>
      <c r="B982" t="s">
        <v>583</v>
      </c>
      <c r="C982">
        <v>23568</v>
      </c>
      <c r="D982">
        <v>32901</v>
      </c>
      <c r="E982" s="1">
        <v>45195</v>
      </c>
      <c r="F982" s="1">
        <v>45345</v>
      </c>
      <c r="G982" s="2">
        <v>53900</v>
      </c>
      <c r="H982">
        <v>0</v>
      </c>
      <c r="I982" t="s">
        <v>1052</v>
      </c>
      <c r="J982" t="s">
        <v>27</v>
      </c>
    </row>
    <row r="983" spans="1:11" x14ac:dyDescent="0.3">
      <c r="A983" t="s">
        <v>1053</v>
      </c>
      <c r="B983" t="s">
        <v>1054</v>
      </c>
      <c r="C983">
        <v>23582</v>
      </c>
      <c r="D983">
        <v>32915</v>
      </c>
      <c r="E983" s="1">
        <v>45196</v>
      </c>
      <c r="F983" s="1">
        <v>45280</v>
      </c>
      <c r="G983" s="2">
        <v>61200</v>
      </c>
      <c r="H983">
        <v>0</v>
      </c>
      <c r="I983" t="s">
        <v>1055</v>
      </c>
      <c r="J983" t="s">
        <v>19</v>
      </c>
      <c r="K983" t="s">
        <v>15</v>
      </c>
    </row>
    <row r="984" spans="1:11" x14ac:dyDescent="0.3">
      <c r="A984" t="s">
        <v>228</v>
      </c>
      <c r="B984" t="s">
        <v>229</v>
      </c>
      <c r="C984">
        <v>23618</v>
      </c>
      <c r="D984">
        <v>32953</v>
      </c>
      <c r="E984" s="1">
        <v>45197</v>
      </c>
      <c r="F984" s="1">
        <v>45442</v>
      </c>
      <c r="G984" s="2">
        <v>35040</v>
      </c>
      <c r="H984">
        <v>0</v>
      </c>
      <c r="I984" t="s">
        <v>1056</v>
      </c>
      <c r="J984" t="s">
        <v>206</v>
      </c>
      <c r="K984" t="s">
        <v>15</v>
      </c>
    </row>
    <row r="985" spans="1:11" x14ac:dyDescent="0.3">
      <c r="A985" t="s">
        <v>976</v>
      </c>
      <c r="B985" t="s">
        <v>977</v>
      </c>
      <c r="C985">
        <v>23667</v>
      </c>
      <c r="D985">
        <v>33002</v>
      </c>
      <c r="E985" s="1">
        <v>45201</v>
      </c>
      <c r="F985" s="1">
        <v>45411</v>
      </c>
      <c r="G985" s="2">
        <v>10800</v>
      </c>
      <c r="H985">
        <v>0</v>
      </c>
      <c r="I985" t="s">
        <v>1057</v>
      </c>
      <c r="J985" t="s">
        <v>122</v>
      </c>
      <c r="K985" t="s">
        <v>15</v>
      </c>
    </row>
    <row r="986" spans="1:11" x14ac:dyDescent="0.3">
      <c r="A986" t="s">
        <v>1058</v>
      </c>
      <c r="B986" t="s">
        <v>1059</v>
      </c>
      <c r="C986">
        <v>23817</v>
      </c>
      <c r="D986">
        <v>33170</v>
      </c>
      <c r="E986" s="1">
        <v>45218</v>
      </c>
      <c r="F986" s="1">
        <v>45248</v>
      </c>
      <c r="G986" s="2">
        <v>10001.66</v>
      </c>
      <c r="H986">
        <v>0</v>
      </c>
      <c r="I986" t="s">
        <v>1060</v>
      </c>
      <c r="J986" t="s">
        <v>213</v>
      </c>
      <c r="K986" t="s">
        <v>15</v>
      </c>
    </row>
    <row r="987" spans="1:11" x14ac:dyDescent="0.3">
      <c r="A987" t="s">
        <v>1058</v>
      </c>
      <c r="B987" t="s">
        <v>1059</v>
      </c>
      <c r="C987">
        <v>23817</v>
      </c>
      <c r="D987">
        <v>33170</v>
      </c>
      <c r="E987" s="1">
        <v>45218</v>
      </c>
      <c r="F987" s="1">
        <v>45278</v>
      </c>
      <c r="G987" s="2">
        <v>10001.66</v>
      </c>
      <c r="H987">
        <v>0</v>
      </c>
      <c r="I987" t="s">
        <v>1060</v>
      </c>
      <c r="J987" t="s">
        <v>213</v>
      </c>
      <c r="K987" t="s">
        <v>15</v>
      </c>
    </row>
    <row r="988" spans="1:11" x14ac:dyDescent="0.3">
      <c r="A988" t="s">
        <v>1058</v>
      </c>
      <c r="B988" t="s">
        <v>1059</v>
      </c>
      <c r="C988">
        <v>23817</v>
      </c>
      <c r="D988">
        <v>33170</v>
      </c>
      <c r="E988" s="1">
        <v>45218</v>
      </c>
      <c r="F988" s="1">
        <v>45308</v>
      </c>
      <c r="G988" s="2">
        <v>10001.68</v>
      </c>
      <c r="H988">
        <v>0</v>
      </c>
      <c r="I988" t="s">
        <v>1060</v>
      </c>
      <c r="J988" t="s">
        <v>213</v>
      </c>
      <c r="K988" t="s">
        <v>15</v>
      </c>
    </row>
    <row r="989" spans="1:11" x14ac:dyDescent="0.3">
      <c r="A989" t="s">
        <v>889</v>
      </c>
      <c r="B989" t="s">
        <v>890</v>
      </c>
      <c r="C989">
        <v>23835</v>
      </c>
      <c r="D989">
        <v>33190</v>
      </c>
      <c r="E989" s="1">
        <v>45219</v>
      </c>
      <c r="F989" s="1">
        <v>45249</v>
      </c>
      <c r="G989" s="2">
        <v>12600</v>
      </c>
      <c r="H989">
        <v>0</v>
      </c>
      <c r="I989" t="s">
        <v>1061</v>
      </c>
      <c r="J989" t="s">
        <v>14</v>
      </c>
      <c r="K989" t="s">
        <v>15</v>
      </c>
    </row>
    <row r="990" spans="1:11" x14ac:dyDescent="0.3">
      <c r="A990" t="s">
        <v>889</v>
      </c>
      <c r="B990" t="s">
        <v>890</v>
      </c>
      <c r="C990">
        <v>23835</v>
      </c>
      <c r="D990">
        <v>33190</v>
      </c>
      <c r="E990" s="1">
        <v>45219</v>
      </c>
      <c r="F990" s="1">
        <v>45279</v>
      </c>
      <c r="G990" s="2">
        <v>12600</v>
      </c>
      <c r="H990">
        <v>0</v>
      </c>
      <c r="I990" t="s">
        <v>1061</v>
      </c>
      <c r="J990" t="s">
        <v>14</v>
      </c>
      <c r="K990" t="s">
        <v>15</v>
      </c>
    </row>
    <row r="991" spans="1:11" x14ac:dyDescent="0.3">
      <c r="A991" t="s">
        <v>109</v>
      </c>
      <c r="B991" t="s">
        <v>110</v>
      </c>
      <c r="C991">
        <v>20346</v>
      </c>
      <c r="D991">
        <v>29436</v>
      </c>
      <c r="E991" s="1">
        <v>44810</v>
      </c>
      <c r="F991" s="1">
        <v>45076</v>
      </c>
      <c r="G991" s="2">
        <v>31460</v>
      </c>
      <c r="H991">
        <v>146</v>
      </c>
      <c r="I991" t="s">
        <v>1062</v>
      </c>
      <c r="J991" t="s">
        <v>112</v>
      </c>
      <c r="K991" t="s">
        <v>15</v>
      </c>
    </row>
    <row r="992" spans="1:11" x14ac:dyDescent="0.3">
      <c r="A992" t="s">
        <v>16</v>
      </c>
      <c r="B992" t="s">
        <v>17</v>
      </c>
      <c r="C992">
        <v>22584</v>
      </c>
      <c r="D992">
        <v>31851</v>
      </c>
      <c r="E992" s="1">
        <v>45091</v>
      </c>
      <c r="F992" s="1">
        <v>45271</v>
      </c>
      <c r="G992" s="2">
        <v>48720</v>
      </c>
      <c r="H992">
        <v>0</v>
      </c>
      <c r="I992" t="s">
        <v>1063</v>
      </c>
      <c r="J992" t="s">
        <v>19</v>
      </c>
      <c r="K992" t="s">
        <v>15</v>
      </c>
    </row>
    <row r="993" spans="1:11" x14ac:dyDescent="0.3">
      <c r="A993" t="s">
        <v>28</v>
      </c>
      <c r="B993" t="s">
        <v>29</v>
      </c>
      <c r="C993">
        <v>22752</v>
      </c>
      <c r="D993">
        <v>32036</v>
      </c>
      <c r="E993" s="1">
        <v>45112</v>
      </c>
      <c r="F993" s="1">
        <v>45468</v>
      </c>
      <c r="G993" s="2">
        <v>14000</v>
      </c>
      <c r="H993">
        <v>0</v>
      </c>
      <c r="I993" t="s">
        <v>1064</v>
      </c>
      <c r="J993" t="s">
        <v>19</v>
      </c>
      <c r="K993" t="s">
        <v>15</v>
      </c>
    </row>
    <row r="994" spans="1:11" x14ac:dyDescent="0.3">
      <c r="A994" t="s">
        <v>63</v>
      </c>
      <c r="B994" t="s">
        <v>64</v>
      </c>
      <c r="C994">
        <v>23684</v>
      </c>
      <c r="D994">
        <v>33023</v>
      </c>
      <c r="E994" s="1">
        <v>45204</v>
      </c>
      <c r="F994" s="1">
        <v>45324</v>
      </c>
      <c r="G994" s="2">
        <v>25537.8</v>
      </c>
      <c r="H994">
        <v>0</v>
      </c>
      <c r="I994" t="s">
        <v>711</v>
      </c>
      <c r="J994" t="s">
        <v>19</v>
      </c>
      <c r="K994" t="s">
        <v>15</v>
      </c>
    </row>
    <row r="995" spans="1:11" x14ac:dyDescent="0.3">
      <c r="A995" t="s">
        <v>39</v>
      </c>
      <c r="B995" t="s">
        <v>40</v>
      </c>
      <c r="C995">
        <v>23313</v>
      </c>
      <c r="D995">
        <v>32626</v>
      </c>
      <c r="E995" s="1">
        <v>45180</v>
      </c>
      <c r="F995" s="1">
        <v>45402</v>
      </c>
      <c r="G995" s="2">
        <v>77587.199999999997</v>
      </c>
      <c r="H995">
        <v>0</v>
      </c>
      <c r="I995" t="s">
        <v>1066</v>
      </c>
      <c r="J995" t="s">
        <v>42</v>
      </c>
      <c r="K995" t="s">
        <v>15</v>
      </c>
    </row>
    <row r="996" spans="1:11" x14ac:dyDescent="0.3">
      <c r="A996" t="s">
        <v>34</v>
      </c>
      <c r="B996" t="s">
        <v>35</v>
      </c>
      <c r="C996">
        <v>23031</v>
      </c>
      <c r="D996">
        <v>32327</v>
      </c>
      <c r="E996" s="1">
        <v>45156</v>
      </c>
      <c r="F996" s="1">
        <v>45336</v>
      </c>
      <c r="G996" s="2">
        <v>14000</v>
      </c>
      <c r="H996">
        <v>0</v>
      </c>
      <c r="I996" t="s">
        <v>1009</v>
      </c>
      <c r="J996" t="s">
        <v>19</v>
      </c>
      <c r="K996" t="s">
        <v>15</v>
      </c>
    </row>
    <row r="997" spans="1:11" x14ac:dyDescent="0.3">
      <c r="A997" t="s">
        <v>37</v>
      </c>
      <c r="B997" t="s">
        <v>29</v>
      </c>
      <c r="C997">
        <v>23688</v>
      </c>
      <c r="D997">
        <v>33027</v>
      </c>
      <c r="E997" s="1">
        <v>45204</v>
      </c>
      <c r="F997" s="1">
        <v>45354</v>
      </c>
      <c r="G997" s="2">
        <v>4980</v>
      </c>
      <c r="H997">
        <v>0</v>
      </c>
      <c r="I997" t="s">
        <v>1068</v>
      </c>
      <c r="J997" t="s">
        <v>19</v>
      </c>
      <c r="K997" t="s">
        <v>15</v>
      </c>
    </row>
    <row r="998" spans="1:11" x14ac:dyDescent="0.3">
      <c r="A998" t="s">
        <v>79</v>
      </c>
      <c r="B998" t="s">
        <v>80</v>
      </c>
      <c r="C998">
        <v>20095</v>
      </c>
      <c r="D998">
        <v>29180</v>
      </c>
      <c r="E998" s="1">
        <v>44782</v>
      </c>
      <c r="F998" s="1">
        <v>45046</v>
      </c>
      <c r="G998" s="2">
        <v>160151.13</v>
      </c>
      <c r="H998">
        <v>176</v>
      </c>
      <c r="I998" t="s">
        <v>1069</v>
      </c>
      <c r="J998" t="s">
        <v>82</v>
      </c>
      <c r="K998" t="s">
        <v>15</v>
      </c>
    </row>
    <row r="999" spans="1:11" x14ac:dyDescent="0.3">
      <c r="A999" t="s">
        <v>441</v>
      </c>
      <c r="B999" t="s">
        <v>442</v>
      </c>
      <c r="D999">
        <v>200554</v>
      </c>
      <c r="E999" s="1">
        <v>44835</v>
      </c>
      <c r="F999" s="1">
        <v>45199</v>
      </c>
      <c r="G999" s="2">
        <v>170682.16</v>
      </c>
      <c r="H999">
        <v>23</v>
      </c>
      <c r="I999" t="s">
        <v>1070</v>
      </c>
      <c r="J999" t="s">
        <v>112</v>
      </c>
    </row>
    <row r="1000" spans="1:11" x14ac:dyDescent="0.3">
      <c r="A1000" t="s">
        <v>239</v>
      </c>
      <c r="B1000" t="s">
        <v>240</v>
      </c>
      <c r="C1000">
        <v>22746</v>
      </c>
      <c r="D1000">
        <v>32030</v>
      </c>
      <c r="E1000" s="1">
        <v>45112</v>
      </c>
      <c r="F1000" s="1">
        <v>45232</v>
      </c>
      <c r="G1000" s="2">
        <v>10440</v>
      </c>
      <c r="H1000">
        <v>0</v>
      </c>
      <c r="I1000" t="s">
        <v>1071</v>
      </c>
      <c r="J1000" t="s">
        <v>19</v>
      </c>
      <c r="K1000" t="s">
        <v>15</v>
      </c>
    </row>
    <row r="1001" spans="1:11" x14ac:dyDescent="0.3">
      <c r="A1001" t="s">
        <v>239</v>
      </c>
      <c r="B1001" t="s">
        <v>240</v>
      </c>
      <c r="C1001">
        <v>22871</v>
      </c>
      <c r="D1001">
        <v>32140</v>
      </c>
      <c r="E1001" s="1">
        <v>45132</v>
      </c>
      <c r="F1001" s="1">
        <v>45252</v>
      </c>
      <c r="G1001" s="2">
        <v>4336.68</v>
      </c>
      <c r="H1001">
        <v>0</v>
      </c>
      <c r="I1001" t="s">
        <v>1072</v>
      </c>
      <c r="J1001" t="s">
        <v>19</v>
      </c>
      <c r="K1001" t="s">
        <v>15</v>
      </c>
    </row>
    <row r="1002" spans="1:11" x14ac:dyDescent="0.3">
      <c r="A1002" t="s">
        <v>47</v>
      </c>
      <c r="B1002" t="s">
        <v>48</v>
      </c>
      <c r="C1002">
        <v>22896</v>
      </c>
      <c r="D1002">
        <v>32164</v>
      </c>
      <c r="E1002" s="1">
        <v>45134</v>
      </c>
      <c r="F1002" s="1">
        <v>45224</v>
      </c>
      <c r="G1002" s="2">
        <v>14239.44</v>
      </c>
      <c r="H1002">
        <v>0</v>
      </c>
      <c r="I1002" t="s">
        <v>1073</v>
      </c>
      <c r="J1002" t="s">
        <v>23</v>
      </c>
      <c r="K1002" t="s">
        <v>15</v>
      </c>
    </row>
    <row r="1003" spans="1:11" x14ac:dyDescent="0.3">
      <c r="A1003" t="s">
        <v>47</v>
      </c>
      <c r="B1003" t="s">
        <v>48</v>
      </c>
      <c r="C1003">
        <v>22896</v>
      </c>
      <c r="D1003">
        <v>32164</v>
      </c>
      <c r="E1003" s="1">
        <v>45134</v>
      </c>
      <c r="F1003" s="1">
        <v>45254</v>
      </c>
      <c r="G1003" s="2">
        <v>14239.44</v>
      </c>
      <c r="H1003">
        <v>0</v>
      </c>
      <c r="I1003" t="s">
        <v>1073</v>
      </c>
      <c r="J1003" t="s">
        <v>23</v>
      </c>
      <c r="K1003" t="s">
        <v>15</v>
      </c>
    </row>
    <row r="1004" spans="1:11" x14ac:dyDescent="0.3">
      <c r="A1004" t="s">
        <v>47</v>
      </c>
      <c r="B1004" t="s">
        <v>48</v>
      </c>
      <c r="C1004">
        <v>22896</v>
      </c>
      <c r="D1004">
        <v>32164</v>
      </c>
      <c r="E1004" s="1">
        <v>45134</v>
      </c>
      <c r="F1004" s="1">
        <v>45284</v>
      </c>
      <c r="G1004" s="2">
        <v>14239.44</v>
      </c>
      <c r="H1004">
        <v>0</v>
      </c>
      <c r="I1004" t="s">
        <v>1073</v>
      </c>
      <c r="J1004" t="s">
        <v>23</v>
      </c>
      <c r="K1004" t="s">
        <v>15</v>
      </c>
    </row>
    <row r="1005" spans="1:11" x14ac:dyDescent="0.3">
      <c r="A1005" t="s">
        <v>47</v>
      </c>
      <c r="B1005" t="s">
        <v>48</v>
      </c>
      <c r="C1005">
        <v>22896</v>
      </c>
      <c r="D1005">
        <v>32164</v>
      </c>
      <c r="E1005" s="1">
        <v>45134</v>
      </c>
      <c r="F1005" s="1">
        <v>45314</v>
      </c>
      <c r="G1005" s="2">
        <v>14239.44</v>
      </c>
      <c r="H1005">
        <v>0</v>
      </c>
      <c r="I1005" t="s">
        <v>1073</v>
      </c>
      <c r="J1005" t="s">
        <v>23</v>
      </c>
      <c r="K1005" t="s">
        <v>15</v>
      </c>
    </row>
    <row r="1006" spans="1:11" x14ac:dyDescent="0.3">
      <c r="A1006" t="s">
        <v>326</v>
      </c>
      <c r="B1006" t="s">
        <v>327</v>
      </c>
      <c r="C1006">
        <v>23178</v>
      </c>
      <c r="D1006">
        <v>32487</v>
      </c>
      <c r="E1006" s="1">
        <v>45169</v>
      </c>
      <c r="F1006" s="1">
        <v>45290</v>
      </c>
      <c r="G1006" s="2">
        <v>33625</v>
      </c>
      <c r="H1006">
        <v>0</v>
      </c>
      <c r="I1006" t="s">
        <v>1074</v>
      </c>
      <c r="J1006" t="s">
        <v>99</v>
      </c>
    </row>
    <row r="1007" spans="1:11" x14ac:dyDescent="0.3">
      <c r="A1007" t="s">
        <v>1075</v>
      </c>
      <c r="B1007" t="s">
        <v>1076</v>
      </c>
      <c r="C1007">
        <v>23278</v>
      </c>
      <c r="D1007">
        <v>32593</v>
      </c>
      <c r="E1007" s="1">
        <v>45175</v>
      </c>
      <c r="F1007" s="1">
        <v>45402</v>
      </c>
      <c r="G1007" s="2">
        <v>107839.65</v>
      </c>
      <c r="H1007">
        <v>0</v>
      </c>
      <c r="I1007" t="s">
        <v>1077</v>
      </c>
      <c r="J1007" t="s">
        <v>73</v>
      </c>
      <c r="K1007" t="s">
        <v>15</v>
      </c>
    </row>
    <row r="1008" spans="1:11" x14ac:dyDescent="0.3">
      <c r="A1008" t="s">
        <v>561</v>
      </c>
      <c r="B1008" t="s">
        <v>562</v>
      </c>
      <c r="C1008">
        <v>23289</v>
      </c>
      <c r="D1008">
        <v>32601</v>
      </c>
      <c r="E1008" s="1">
        <v>45175</v>
      </c>
      <c r="F1008" s="1">
        <v>45402</v>
      </c>
      <c r="G1008" s="2">
        <v>44265</v>
      </c>
      <c r="H1008">
        <v>0</v>
      </c>
      <c r="I1008" t="s">
        <v>1078</v>
      </c>
      <c r="J1008" t="s">
        <v>73</v>
      </c>
      <c r="K1008" t="s">
        <v>15</v>
      </c>
    </row>
    <row r="1009" spans="1:11" x14ac:dyDescent="0.3">
      <c r="A1009" t="s">
        <v>1079</v>
      </c>
      <c r="B1009" t="s">
        <v>685</v>
      </c>
      <c r="C1009">
        <v>23403</v>
      </c>
      <c r="D1009">
        <v>32714</v>
      </c>
      <c r="E1009" s="1">
        <v>45184</v>
      </c>
      <c r="F1009" s="1">
        <v>45274</v>
      </c>
      <c r="G1009" s="2">
        <v>19680</v>
      </c>
      <c r="H1009">
        <v>0</v>
      </c>
      <c r="I1009" t="s">
        <v>1080</v>
      </c>
      <c r="J1009" t="s">
        <v>57</v>
      </c>
      <c r="K1009" t="s">
        <v>15</v>
      </c>
    </row>
    <row r="1010" spans="1:11" x14ac:dyDescent="0.3">
      <c r="A1010" t="s">
        <v>70</v>
      </c>
      <c r="B1010" t="s">
        <v>71</v>
      </c>
      <c r="C1010">
        <v>23503</v>
      </c>
      <c r="D1010">
        <v>32823</v>
      </c>
      <c r="E1010" s="1">
        <v>45189</v>
      </c>
      <c r="F1010" s="1">
        <v>45427</v>
      </c>
      <c r="G1010" s="2">
        <v>45230</v>
      </c>
      <c r="H1010">
        <v>0</v>
      </c>
      <c r="I1010" t="s">
        <v>1081</v>
      </c>
      <c r="J1010" t="s">
        <v>73</v>
      </c>
      <c r="K1010" t="s">
        <v>15</v>
      </c>
    </row>
    <row r="1011" spans="1:11" x14ac:dyDescent="0.3">
      <c r="A1011" t="s">
        <v>88</v>
      </c>
      <c r="B1011" t="s">
        <v>89</v>
      </c>
      <c r="C1011">
        <v>23521</v>
      </c>
      <c r="D1011">
        <v>32843</v>
      </c>
      <c r="E1011" s="1">
        <v>45190</v>
      </c>
      <c r="F1011" s="1">
        <v>45340</v>
      </c>
      <c r="G1011" s="2">
        <v>51450</v>
      </c>
      <c r="H1011">
        <v>0</v>
      </c>
      <c r="I1011" t="s">
        <v>1082</v>
      </c>
      <c r="J1011" t="s">
        <v>27</v>
      </c>
      <c r="K1011" t="s">
        <v>15</v>
      </c>
    </row>
    <row r="1012" spans="1:11" x14ac:dyDescent="0.3">
      <c r="A1012" t="s">
        <v>88</v>
      </c>
      <c r="B1012" t="s">
        <v>89</v>
      </c>
      <c r="C1012">
        <v>23521</v>
      </c>
      <c r="D1012">
        <v>32843</v>
      </c>
      <c r="E1012" s="1">
        <v>45190</v>
      </c>
      <c r="F1012" s="1">
        <v>45370</v>
      </c>
      <c r="G1012" s="2">
        <v>51450</v>
      </c>
      <c r="H1012">
        <v>0</v>
      </c>
      <c r="I1012" t="s">
        <v>1082</v>
      </c>
      <c r="J1012" t="s">
        <v>27</v>
      </c>
      <c r="K1012" t="s">
        <v>15</v>
      </c>
    </row>
    <row r="1013" spans="1:11" x14ac:dyDescent="0.3">
      <c r="A1013" t="s">
        <v>351</v>
      </c>
      <c r="B1013" t="s">
        <v>352</v>
      </c>
      <c r="C1013">
        <v>23539</v>
      </c>
      <c r="D1013">
        <v>32860</v>
      </c>
      <c r="E1013" s="1">
        <v>45191</v>
      </c>
      <c r="F1013" s="1">
        <v>45251</v>
      </c>
      <c r="G1013" s="2">
        <v>72983.3</v>
      </c>
      <c r="H1013">
        <v>0</v>
      </c>
      <c r="I1013" t="s">
        <v>1083</v>
      </c>
      <c r="J1013" t="s">
        <v>151</v>
      </c>
      <c r="K1013" t="s">
        <v>15</v>
      </c>
    </row>
    <row r="1014" spans="1:11" x14ac:dyDescent="0.3">
      <c r="A1014" t="s">
        <v>34</v>
      </c>
      <c r="B1014" t="s">
        <v>35</v>
      </c>
      <c r="C1014">
        <v>23425</v>
      </c>
      <c r="D1014">
        <v>32737</v>
      </c>
      <c r="E1014" s="1">
        <v>45187</v>
      </c>
      <c r="F1014" s="1">
        <v>45337</v>
      </c>
      <c r="G1014" s="2">
        <v>31876.5</v>
      </c>
      <c r="H1014">
        <v>0</v>
      </c>
      <c r="I1014" t="s">
        <v>630</v>
      </c>
      <c r="J1014" t="s">
        <v>19</v>
      </c>
      <c r="K1014" t="s">
        <v>15</v>
      </c>
    </row>
    <row r="1015" spans="1:11" x14ac:dyDescent="0.3">
      <c r="A1015" t="s">
        <v>384</v>
      </c>
      <c r="B1015" t="s">
        <v>385</v>
      </c>
      <c r="C1015">
        <v>23614</v>
      </c>
      <c r="D1015">
        <v>32949</v>
      </c>
      <c r="E1015" s="1">
        <v>45197</v>
      </c>
      <c r="F1015" s="1">
        <v>45317</v>
      </c>
      <c r="G1015" s="2">
        <v>45920</v>
      </c>
      <c r="H1015">
        <v>0</v>
      </c>
      <c r="I1015" t="s">
        <v>1085</v>
      </c>
      <c r="J1015" t="s">
        <v>23</v>
      </c>
      <c r="K1015" t="s">
        <v>15</v>
      </c>
    </row>
    <row r="1016" spans="1:11" x14ac:dyDescent="0.3">
      <c r="A1016" t="s">
        <v>24</v>
      </c>
      <c r="B1016" t="s">
        <v>25</v>
      </c>
      <c r="C1016">
        <v>23814</v>
      </c>
      <c r="D1016">
        <v>33166</v>
      </c>
      <c r="E1016" s="1">
        <v>45218</v>
      </c>
      <c r="F1016" s="1">
        <v>45368</v>
      </c>
      <c r="G1016" s="2">
        <v>33873.75</v>
      </c>
      <c r="H1016">
        <v>0</v>
      </c>
      <c r="I1016" t="s">
        <v>1086</v>
      </c>
      <c r="J1016" t="s">
        <v>27</v>
      </c>
      <c r="K1016" t="s">
        <v>15</v>
      </c>
    </row>
    <row r="1017" spans="1:11" x14ac:dyDescent="0.3">
      <c r="A1017" t="s">
        <v>340</v>
      </c>
      <c r="B1017" t="s">
        <v>341</v>
      </c>
      <c r="C1017">
        <v>23839</v>
      </c>
      <c r="D1017">
        <v>33194</v>
      </c>
      <c r="E1017" s="1">
        <v>45219</v>
      </c>
      <c r="F1017" s="1">
        <v>45309</v>
      </c>
      <c r="G1017" s="2">
        <v>32868</v>
      </c>
      <c r="H1017">
        <v>0</v>
      </c>
      <c r="I1017" t="s">
        <v>1087</v>
      </c>
      <c r="J1017" t="s">
        <v>161</v>
      </c>
      <c r="K1017" t="s">
        <v>15</v>
      </c>
    </row>
    <row r="1018" spans="1:11" x14ac:dyDescent="0.3">
      <c r="A1018" t="s">
        <v>88</v>
      </c>
      <c r="B1018" t="s">
        <v>89</v>
      </c>
      <c r="C1018">
        <v>23857</v>
      </c>
      <c r="D1018">
        <v>33211</v>
      </c>
      <c r="E1018" s="1">
        <v>45222</v>
      </c>
      <c r="F1018" s="1">
        <v>45342</v>
      </c>
      <c r="G1018" s="2">
        <v>34200</v>
      </c>
      <c r="H1018">
        <v>0</v>
      </c>
      <c r="I1018" t="s">
        <v>1088</v>
      </c>
      <c r="J1018" t="s">
        <v>27</v>
      </c>
      <c r="K1018" t="s">
        <v>15</v>
      </c>
    </row>
    <row r="1019" spans="1:11" x14ac:dyDescent="0.3">
      <c r="A1019" t="s">
        <v>1089</v>
      </c>
      <c r="B1019" t="s">
        <v>1090</v>
      </c>
      <c r="C1019">
        <v>23767</v>
      </c>
      <c r="D1019">
        <v>33112</v>
      </c>
      <c r="E1019" s="1">
        <v>45215</v>
      </c>
      <c r="F1019" s="1">
        <v>45245</v>
      </c>
      <c r="G1019" s="2">
        <v>60610</v>
      </c>
      <c r="H1019">
        <v>0</v>
      </c>
      <c r="I1019" t="s">
        <v>1091</v>
      </c>
      <c r="J1019" t="s">
        <v>94</v>
      </c>
      <c r="K1019" t="s">
        <v>15</v>
      </c>
    </row>
    <row r="1020" spans="1:11" x14ac:dyDescent="0.3">
      <c r="A1020" t="s">
        <v>491</v>
      </c>
      <c r="B1020" t="s">
        <v>492</v>
      </c>
      <c r="C1020">
        <v>21718</v>
      </c>
      <c r="D1020">
        <v>30873</v>
      </c>
      <c r="E1020" s="1">
        <v>44960</v>
      </c>
      <c r="F1020" s="1">
        <v>45199</v>
      </c>
      <c r="G1020" s="2">
        <v>285995</v>
      </c>
      <c r="H1020">
        <v>23</v>
      </c>
      <c r="I1020" t="s">
        <v>1092</v>
      </c>
      <c r="J1020" t="s">
        <v>82</v>
      </c>
      <c r="K1020" t="s">
        <v>15</v>
      </c>
    </row>
    <row r="1021" spans="1:11" x14ac:dyDescent="0.3">
      <c r="A1021" t="s">
        <v>136</v>
      </c>
      <c r="B1021" t="s">
        <v>137</v>
      </c>
      <c r="C1021">
        <v>23168</v>
      </c>
      <c r="D1021">
        <v>32476</v>
      </c>
      <c r="E1021" s="1">
        <v>45168</v>
      </c>
      <c r="F1021" s="1">
        <v>45258</v>
      </c>
      <c r="G1021" s="2">
        <v>15049.98</v>
      </c>
      <c r="H1021">
        <v>0</v>
      </c>
      <c r="I1021" t="s">
        <v>1093</v>
      </c>
      <c r="J1021" t="s">
        <v>122</v>
      </c>
      <c r="K1021" t="s">
        <v>15</v>
      </c>
    </row>
    <row r="1022" spans="1:11" x14ac:dyDescent="0.3">
      <c r="A1022" t="s">
        <v>136</v>
      </c>
      <c r="B1022" t="s">
        <v>137</v>
      </c>
      <c r="C1022">
        <v>23168</v>
      </c>
      <c r="D1022">
        <v>32476</v>
      </c>
      <c r="E1022" s="1">
        <v>45168</v>
      </c>
      <c r="F1022" s="1">
        <v>45288</v>
      </c>
      <c r="G1022" s="2">
        <v>15049.98</v>
      </c>
      <c r="H1022">
        <v>0</v>
      </c>
      <c r="I1022" t="s">
        <v>1093</v>
      </c>
      <c r="J1022" t="s">
        <v>122</v>
      </c>
      <c r="K1022" t="s">
        <v>15</v>
      </c>
    </row>
    <row r="1023" spans="1:11" x14ac:dyDescent="0.3">
      <c r="A1023" t="s">
        <v>136</v>
      </c>
      <c r="B1023" t="s">
        <v>137</v>
      </c>
      <c r="C1023">
        <v>23168</v>
      </c>
      <c r="D1023">
        <v>32476</v>
      </c>
      <c r="E1023" s="1">
        <v>45168</v>
      </c>
      <c r="F1023" s="1">
        <v>45318</v>
      </c>
      <c r="G1023" s="2">
        <v>15050.04</v>
      </c>
      <c r="H1023">
        <v>0</v>
      </c>
      <c r="I1023" t="s">
        <v>1093</v>
      </c>
      <c r="J1023" t="s">
        <v>122</v>
      </c>
      <c r="K1023" t="s">
        <v>15</v>
      </c>
    </row>
    <row r="1024" spans="1:11" x14ac:dyDescent="0.3">
      <c r="A1024" t="s">
        <v>323</v>
      </c>
      <c r="B1024" t="s">
        <v>324</v>
      </c>
      <c r="C1024">
        <v>23318</v>
      </c>
      <c r="D1024">
        <v>32631</v>
      </c>
      <c r="E1024" s="1">
        <v>45180</v>
      </c>
      <c r="F1024" s="1">
        <v>45300</v>
      </c>
      <c r="G1024" s="2">
        <v>109620</v>
      </c>
      <c r="H1024">
        <v>0</v>
      </c>
      <c r="I1024" t="s">
        <v>1094</v>
      </c>
      <c r="J1024" t="s">
        <v>94</v>
      </c>
      <c r="K1024" t="s">
        <v>15</v>
      </c>
    </row>
    <row r="1025" spans="1:11" x14ac:dyDescent="0.3">
      <c r="A1025" t="s">
        <v>220</v>
      </c>
      <c r="B1025" t="s">
        <v>221</v>
      </c>
      <c r="C1025">
        <v>23335</v>
      </c>
      <c r="D1025">
        <v>32647</v>
      </c>
      <c r="E1025" s="1">
        <v>45181</v>
      </c>
      <c r="F1025" s="1">
        <v>45442</v>
      </c>
      <c r="G1025" s="2">
        <v>478850</v>
      </c>
      <c r="H1025">
        <v>0</v>
      </c>
      <c r="I1025" t="s">
        <v>1095</v>
      </c>
      <c r="J1025" t="s">
        <v>46</v>
      </c>
      <c r="K1025" t="s">
        <v>15</v>
      </c>
    </row>
    <row r="1026" spans="1:11" x14ac:dyDescent="0.3">
      <c r="A1026" t="s">
        <v>51</v>
      </c>
      <c r="B1026" t="s">
        <v>52</v>
      </c>
      <c r="C1026">
        <v>23400</v>
      </c>
      <c r="D1026">
        <v>32711</v>
      </c>
      <c r="E1026" s="1">
        <v>45184</v>
      </c>
      <c r="F1026" s="1">
        <v>45334</v>
      </c>
      <c r="G1026" s="2">
        <v>6754</v>
      </c>
      <c r="H1026">
        <v>0</v>
      </c>
      <c r="I1026" t="s">
        <v>1096</v>
      </c>
      <c r="J1026" t="s">
        <v>19</v>
      </c>
    </row>
    <row r="1027" spans="1:11" x14ac:dyDescent="0.3">
      <c r="A1027" t="s">
        <v>37</v>
      </c>
      <c r="B1027" t="s">
        <v>29</v>
      </c>
      <c r="C1027">
        <v>23686</v>
      </c>
      <c r="D1027">
        <v>33025</v>
      </c>
      <c r="E1027" s="1">
        <v>45204</v>
      </c>
      <c r="F1027" s="1">
        <v>45384</v>
      </c>
      <c r="G1027" s="2">
        <v>13410</v>
      </c>
      <c r="H1027">
        <v>0</v>
      </c>
      <c r="I1027" t="s">
        <v>1097</v>
      </c>
      <c r="J1027" t="s">
        <v>19</v>
      </c>
      <c r="K1027" t="s">
        <v>15</v>
      </c>
    </row>
    <row r="1028" spans="1:11" x14ac:dyDescent="0.3">
      <c r="A1028" t="s">
        <v>816</v>
      </c>
      <c r="B1028" t="s">
        <v>817</v>
      </c>
      <c r="C1028">
        <v>23785</v>
      </c>
      <c r="D1028">
        <v>33130</v>
      </c>
      <c r="E1028" s="1">
        <v>45215</v>
      </c>
      <c r="F1028" s="1">
        <v>45402</v>
      </c>
      <c r="G1028" s="2">
        <v>1680</v>
      </c>
      <c r="H1028">
        <v>0</v>
      </c>
      <c r="I1028" t="s">
        <v>1098</v>
      </c>
      <c r="J1028" t="s">
        <v>42</v>
      </c>
      <c r="K1028" t="s">
        <v>15</v>
      </c>
    </row>
    <row r="1029" spans="1:11" x14ac:dyDescent="0.3">
      <c r="A1029" t="s">
        <v>114</v>
      </c>
      <c r="B1029" t="s">
        <v>115</v>
      </c>
      <c r="C1029">
        <v>22552</v>
      </c>
      <c r="D1029">
        <v>31814</v>
      </c>
      <c r="E1029" s="1">
        <v>45077</v>
      </c>
      <c r="F1029" s="1">
        <v>45229</v>
      </c>
      <c r="G1029" s="2">
        <v>14300</v>
      </c>
      <c r="H1029">
        <v>0</v>
      </c>
      <c r="I1029" t="s">
        <v>1099</v>
      </c>
      <c r="J1029" t="s">
        <v>82</v>
      </c>
      <c r="K1029" t="s">
        <v>15</v>
      </c>
    </row>
    <row r="1030" spans="1:11" x14ac:dyDescent="0.3">
      <c r="A1030" t="s">
        <v>466</v>
      </c>
      <c r="B1030" t="s">
        <v>467</v>
      </c>
      <c r="C1030">
        <v>22911</v>
      </c>
      <c r="D1030">
        <v>32179</v>
      </c>
      <c r="E1030" s="1">
        <v>45138</v>
      </c>
      <c r="F1030" s="1">
        <v>45228</v>
      </c>
      <c r="G1030">
        <v>400</v>
      </c>
      <c r="H1030">
        <v>0</v>
      </c>
      <c r="I1030" t="s">
        <v>1100</v>
      </c>
      <c r="J1030" t="s">
        <v>94</v>
      </c>
      <c r="K1030" t="s">
        <v>15</v>
      </c>
    </row>
    <row r="1031" spans="1:11" x14ac:dyDescent="0.3">
      <c r="A1031" t="s">
        <v>31</v>
      </c>
      <c r="B1031" t="s">
        <v>32</v>
      </c>
      <c r="C1031">
        <v>22986</v>
      </c>
      <c r="D1031">
        <v>32282</v>
      </c>
      <c r="E1031" s="1">
        <v>45153</v>
      </c>
      <c r="F1031" s="1">
        <v>45273</v>
      </c>
      <c r="G1031" s="2">
        <v>26824.97</v>
      </c>
      <c r="H1031">
        <v>0</v>
      </c>
      <c r="I1031" t="s">
        <v>1101</v>
      </c>
      <c r="J1031" t="s">
        <v>19</v>
      </c>
      <c r="K1031" t="s">
        <v>15</v>
      </c>
    </row>
    <row r="1032" spans="1:11" x14ac:dyDescent="0.3">
      <c r="A1032" t="s">
        <v>31</v>
      </c>
      <c r="B1032" t="s">
        <v>32</v>
      </c>
      <c r="C1032">
        <v>22986</v>
      </c>
      <c r="D1032">
        <v>32282</v>
      </c>
      <c r="E1032" s="1">
        <v>45153</v>
      </c>
      <c r="F1032" s="1">
        <v>45303</v>
      </c>
      <c r="G1032" s="2">
        <v>26824.97</v>
      </c>
      <c r="H1032">
        <v>0</v>
      </c>
      <c r="I1032" t="s">
        <v>1101</v>
      </c>
      <c r="J1032" t="s">
        <v>19</v>
      </c>
      <c r="K1032" t="s">
        <v>15</v>
      </c>
    </row>
    <row r="1033" spans="1:11" x14ac:dyDescent="0.3">
      <c r="A1033" t="s">
        <v>31</v>
      </c>
      <c r="B1033" t="s">
        <v>32</v>
      </c>
      <c r="C1033">
        <v>22986</v>
      </c>
      <c r="D1033">
        <v>32282</v>
      </c>
      <c r="E1033" s="1">
        <v>45153</v>
      </c>
      <c r="F1033" s="1">
        <v>45333</v>
      </c>
      <c r="G1033" s="2">
        <v>26825.06</v>
      </c>
      <c r="H1033">
        <v>0</v>
      </c>
      <c r="I1033" t="s">
        <v>1101</v>
      </c>
      <c r="J1033" t="s">
        <v>19</v>
      </c>
      <c r="K1033" t="s">
        <v>15</v>
      </c>
    </row>
    <row r="1034" spans="1:11" x14ac:dyDescent="0.3">
      <c r="A1034" t="s">
        <v>136</v>
      </c>
      <c r="B1034" t="s">
        <v>137</v>
      </c>
      <c r="C1034">
        <v>23011</v>
      </c>
      <c r="D1034">
        <v>32304</v>
      </c>
      <c r="E1034" s="1">
        <v>45154</v>
      </c>
      <c r="F1034" s="1">
        <v>45244</v>
      </c>
      <c r="G1034" s="2">
        <v>1720</v>
      </c>
      <c r="H1034">
        <v>0</v>
      </c>
      <c r="I1034" t="s">
        <v>1102</v>
      </c>
      <c r="J1034" t="s">
        <v>122</v>
      </c>
      <c r="K1034" t="s">
        <v>15</v>
      </c>
    </row>
    <row r="1035" spans="1:11" x14ac:dyDescent="0.3">
      <c r="A1035" t="s">
        <v>136</v>
      </c>
      <c r="B1035" t="s">
        <v>137</v>
      </c>
      <c r="C1035">
        <v>23011</v>
      </c>
      <c r="D1035">
        <v>32304</v>
      </c>
      <c r="E1035" s="1">
        <v>45154</v>
      </c>
      <c r="F1035" s="1">
        <v>45274</v>
      </c>
      <c r="G1035" s="2">
        <v>1720</v>
      </c>
      <c r="H1035">
        <v>0</v>
      </c>
      <c r="I1035" t="s">
        <v>1102</v>
      </c>
      <c r="J1035" t="s">
        <v>122</v>
      </c>
      <c r="K1035" t="s">
        <v>15</v>
      </c>
    </row>
    <row r="1036" spans="1:11" x14ac:dyDescent="0.3">
      <c r="A1036" t="s">
        <v>136</v>
      </c>
      <c r="B1036" t="s">
        <v>137</v>
      </c>
      <c r="C1036">
        <v>23011</v>
      </c>
      <c r="D1036">
        <v>32304</v>
      </c>
      <c r="E1036" s="1">
        <v>45154</v>
      </c>
      <c r="F1036" s="1">
        <v>45304</v>
      </c>
      <c r="G1036" s="2">
        <v>1720</v>
      </c>
      <c r="H1036">
        <v>0</v>
      </c>
      <c r="I1036" t="s">
        <v>1102</v>
      </c>
      <c r="J1036" t="s">
        <v>122</v>
      </c>
      <c r="K1036" t="s">
        <v>15</v>
      </c>
    </row>
    <row r="1037" spans="1:11" x14ac:dyDescent="0.3">
      <c r="A1037" t="s">
        <v>340</v>
      </c>
      <c r="B1037" t="s">
        <v>341</v>
      </c>
      <c r="C1037">
        <v>23052</v>
      </c>
      <c r="D1037">
        <v>32350</v>
      </c>
      <c r="E1037" s="1">
        <v>45160</v>
      </c>
      <c r="F1037" s="1">
        <v>45250</v>
      </c>
      <c r="G1037" s="2">
        <v>1829.25</v>
      </c>
      <c r="H1037">
        <v>0</v>
      </c>
      <c r="I1037" t="s">
        <v>1103</v>
      </c>
      <c r="J1037" t="s">
        <v>161</v>
      </c>
      <c r="K1037" t="s">
        <v>15</v>
      </c>
    </row>
    <row r="1038" spans="1:11" x14ac:dyDescent="0.3">
      <c r="A1038" t="s">
        <v>128</v>
      </c>
      <c r="B1038" t="s">
        <v>129</v>
      </c>
      <c r="C1038">
        <v>23120</v>
      </c>
      <c r="D1038">
        <v>32421</v>
      </c>
      <c r="E1038" s="1">
        <v>45163</v>
      </c>
      <c r="F1038" s="1">
        <v>45283</v>
      </c>
      <c r="G1038" s="2">
        <v>50980.95</v>
      </c>
      <c r="H1038">
        <v>0</v>
      </c>
      <c r="I1038" t="s">
        <v>1104</v>
      </c>
      <c r="J1038" t="s">
        <v>131</v>
      </c>
      <c r="K1038" t="s">
        <v>15</v>
      </c>
    </row>
    <row r="1039" spans="1:11" x14ac:dyDescent="0.3">
      <c r="A1039" t="s">
        <v>1105</v>
      </c>
      <c r="B1039" t="s">
        <v>1106</v>
      </c>
      <c r="C1039">
        <v>23379</v>
      </c>
      <c r="D1039">
        <v>32692</v>
      </c>
      <c r="E1039" s="1">
        <v>45183</v>
      </c>
      <c r="F1039" s="1">
        <v>45442</v>
      </c>
      <c r="G1039" s="2">
        <v>466560</v>
      </c>
      <c r="H1039">
        <v>0</v>
      </c>
      <c r="I1039" t="s">
        <v>1107</v>
      </c>
      <c r="J1039" t="s">
        <v>46</v>
      </c>
      <c r="K1039" t="s">
        <v>15</v>
      </c>
    </row>
    <row r="1040" spans="1:11" x14ac:dyDescent="0.3">
      <c r="A1040" t="s">
        <v>1108</v>
      </c>
      <c r="B1040" t="s">
        <v>1109</v>
      </c>
      <c r="C1040">
        <v>23381</v>
      </c>
      <c r="D1040">
        <v>32694</v>
      </c>
      <c r="E1040" s="1">
        <v>45183</v>
      </c>
      <c r="F1040" s="1">
        <v>45412</v>
      </c>
      <c r="G1040" s="2">
        <v>46200</v>
      </c>
      <c r="H1040">
        <v>0</v>
      </c>
      <c r="I1040" t="s">
        <v>1110</v>
      </c>
      <c r="J1040" t="s">
        <v>77</v>
      </c>
      <c r="K1040" t="s">
        <v>15</v>
      </c>
    </row>
    <row r="1041" spans="1:11" x14ac:dyDescent="0.3">
      <c r="A1041" t="s">
        <v>329</v>
      </c>
      <c r="B1041" t="s">
        <v>330</v>
      </c>
      <c r="C1041">
        <v>23413</v>
      </c>
      <c r="D1041">
        <v>32725</v>
      </c>
      <c r="E1041" s="1">
        <v>45184</v>
      </c>
      <c r="F1041" s="1">
        <v>45454</v>
      </c>
      <c r="G1041" s="2">
        <v>19760</v>
      </c>
      <c r="H1041">
        <v>0</v>
      </c>
      <c r="I1041" t="s">
        <v>1111</v>
      </c>
      <c r="J1041" t="s">
        <v>19</v>
      </c>
      <c r="K1041" t="s">
        <v>15</v>
      </c>
    </row>
    <row r="1042" spans="1:11" x14ac:dyDescent="0.3">
      <c r="A1042" t="s">
        <v>181</v>
      </c>
      <c r="B1042" t="s">
        <v>182</v>
      </c>
      <c r="C1042">
        <v>23647</v>
      </c>
      <c r="D1042">
        <v>32981</v>
      </c>
      <c r="E1042" s="1">
        <v>45198</v>
      </c>
      <c r="F1042" s="1">
        <v>45595</v>
      </c>
      <c r="G1042" s="2">
        <v>137000</v>
      </c>
      <c r="H1042">
        <v>0</v>
      </c>
      <c r="I1042" t="s">
        <v>1013</v>
      </c>
      <c r="J1042" t="s">
        <v>112</v>
      </c>
      <c r="K1042" t="s">
        <v>15</v>
      </c>
    </row>
    <row r="1043" spans="1:11" x14ac:dyDescent="0.3">
      <c r="A1043" t="s">
        <v>809</v>
      </c>
      <c r="B1043" t="s">
        <v>810</v>
      </c>
      <c r="C1043">
        <v>23679</v>
      </c>
      <c r="D1043">
        <v>33017</v>
      </c>
      <c r="E1043" s="1">
        <v>45203</v>
      </c>
      <c r="F1043" s="1">
        <v>45269</v>
      </c>
      <c r="G1043" s="2">
        <v>2250</v>
      </c>
      <c r="H1043">
        <v>0</v>
      </c>
      <c r="I1043" t="s">
        <v>1112</v>
      </c>
      <c r="J1043" t="s">
        <v>122</v>
      </c>
      <c r="K1043" t="s">
        <v>15</v>
      </c>
    </row>
    <row r="1044" spans="1:11" x14ac:dyDescent="0.3">
      <c r="A1044" t="s">
        <v>88</v>
      </c>
      <c r="B1044" t="s">
        <v>89</v>
      </c>
      <c r="C1044">
        <v>23522</v>
      </c>
      <c r="D1044">
        <v>32844</v>
      </c>
      <c r="E1044" s="1">
        <v>45190</v>
      </c>
      <c r="F1044" s="1">
        <v>45340</v>
      </c>
      <c r="G1044" s="2">
        <v>21600</v>
      </c>
      <c r="H1044">
        <v>0</v>
      </c>
      <c r="I1044" t="s">
        <v>1113</v>
      </c>
      <c r="J1044" t="s">
        <v>27</v>
      </c>
      <c r="K1044" t="s">
        <v>15</v>
      </c>
    </row>
    <row r="1045" spans="1:11" x14ac:dyDescent="0.3">
      <c r="A1045" t="s">
        <v>88</v>
      </c>
      <c r="B1045" t="s">
        <v>89</v>
      </c>
      <c r="C1045">
        <v>23522</v>
      </c>
      <c r="D1045">
        <v>32844</v>
      </c>
      <c r="E1045" s="1">
        <v>45190</v>
      </c>
      <c r="F1045" s="1">
        <v>45370</v>
      </c>
      <c r="G1045" s="2">
        <v>21600</v>
      </c>
      <c r="H1045">
        <v>0</v>
      </c>
      <c r="I1045" t="s">
        <v>1113</v>
      </c>
      <c r="J1045" t="s">
        <v>27</v>
      </c>
      <c r="K1045" t="s">
        <v>15</v>
      </c>
    </row>
    <row r="1046" spans="1:11" x14ac:dyDescent="0.3">
      <c r="A1046" t="s">
        <v>314</v>
      </c>
      <c r="B1046" t="s">
        <v>315</v>
      </c>
      <c r="C1046">
        <v>23656</v>
      </c>
      <c r="D1046">
        <v>32990</v>
      </c>
      <c r="E1046" s="1">
        <v>45198</v>
      </c>
      <c r="F1046" s="1">
        <v>45442</v>
      </c>
      <c r="G1046" s="2">
        <v>54000</v>
      </c>
      <c r="H1046">
        <v>0</v>
      </c>
      <c r="I1046" t="s">
        <v>1114</v>
      </c>
      <c r="J1046" t="s">
        <v>206</v>
      </c>
      <c r="K1046" t="s">
        <v>15</v>
      </c>
    </row>
    <row r="1047" spans="1:11" x14ac:dyDescent="0.3">
      <c r="A1047" t="s">
        <v>152</v>
      </c>
      <c r="B1047" t="s">
        <v>153</v>
      </c>
      <c r="C1047">
        <v>23824</v>
      </c>
      <c r="D1047">
        <v>33177</v>
      </c>
      <c r="E1047" s="1">
        <v>45219</v>
      </c>
      <c r="F1047" s="1">
        <v>45369</v>
      </c>
      <c r="G1047" s="2">
        <v>119070</v>
      </c>
      <c r="H1047">
        <v>0</v>
      </c>
      <c r="I1047" t="s">
        <v>1115</v>
      </c>
      <c r="J1047" t="s">
        <v>27</v>
      </c>
      <c r="K1047" t="s">
        <v>15</v>
      </c>
    </row>
    <row r="1048" spans="1:11" x14ac:dyDescent="0.3">
      <c r="A1048" t="s">
        <v>1116</v>
      </c>
      <c r="B1048" t="s">
        <v>1117</v>
      </c>
      <c r="C1048">
        <v>23722</v>
      </c>
      <c r="D1048">
        <v>33064</v>
      </c>
      <c r="E1048" s="1">
        <v>45208</v>
      </c>
      <c r="F1048" s="1">
        <v>45568</v>
      </c>
      <c r="G1048" s="2">
        <v>25714</v>
      </c>
      <c r="H1048">
        <v>0</v>
      </c>
      <c r="I1048" t="s">
        <v>1118</v>
      </c>
      <c r="J1048" t="s">
        <v>94</v>
      </c>
      <c r="K1048" t="s">
        <v>15</v>
      </c>
    </row>
    <row r="1049" spans="1:11" x14ac:dyDescent="0.3">
      <c r="A1049" t="s">
        <v>351</v>
      </c>
      <c r="B1049" t="s">
        <v>352</v>
      </c>
      <c r="C1049">
        <v>23757</v>
      </c>
      <c r="D1049">
        <v>33098</v>
      </c>
      <c r="E1049" s="1">
        <v>45210</v>
      </c>
      <c r="F1049" s="1">
        <v>45240</v>
      </c>
      <c r="G1049" s="2">
        <v>66828</v>
      </c>
      <c r="H1049">
        <v>0</v>
      </c>
      <c r="I1049" t="s">
        <v>1119</v>
      </c>
      <c r="J1049" t="s">
        <v>151</v>
      </c>
      <c r="K1049" t="s">
        <v>15</v>
      </c>
    </row>
    <row r="1050" spans="1:11" x14ac:dyDescent="0.3">
      <c r="A1050" t="s">
        <v>1120</v>
      </c>
      <c r="B1050" t="s">
        <v>1121</v>
      </c>
      <c r="C1050">
        <v>23771</v>
      </c>
      <c r="D1050">
        <v>33116</v>
      </c>
      <c r="E1050" s="1">
        <v>45215</v>
      </c>
      <c r="F1050" s="1">
        <v>45402</v>
      </c>
      <c r="G1050" s="2">
        <v>50160</v>
      </c>
      <c r="H1050">
        <v>0</v>
      </c>
      <c r="I1050" t="s">
        <v>1122</v>
      </c>
      <c r="J1050" t="s">
        <v>42</v>
      </c>
      <c r="K1050" t="s">
        <v>15</v>
      </c>
    </row>
    <row r="1051" spans="1:11" x14ac:dyDescent="0.3">
      <c r="A1051" t="s">
        <v>83</v>
      </c>
      <c r="B1051" t="s">
        <v>84</v>
      </c>
      <c r="C1051">
        <v>20541</v>
      </c>
      <c r="D1051">
        <v>29644</v>
      </c>
      <c r="E1051" s="1">
        <v>44824</v>
      </c>
      <c r="F1051" s="1">
        <v>45076</v>
      </c>
      <c r="G1051" s="2">
        <v>37200</v>
      </c>
      <c r="H1051">
        <v>146</v>
      </c>
      <c r="I1051" t="s">
        <v>1123</v>
      </c>
      <c r="J1051" t="s">
        <v>86</v>
      </c>
      <c r="K1051" t="s">
        <v>15</v>
      </c>
    </row>
    <row r="1052" spans="1:11" x14ac:dyDescent="0.3">
      <c r="A1052" t="s">
        <v>145</v>
      </c>
      <c r="B1052" t="s">
        <v>146</v>
      </c>
      <c r="C1052">
        <v>21828</v>
      </c>
      <c r="D1052">
        <v>30982</v>
      </c>
      <c r="E1052" s="1">
        <v>44969</v>
      </c>
      <c r="F1052" s="1">
        <v>45199</v>
      </c>
      <c r="G1052" s="2">
        <v>120900</v>
      </c>
      <c r="H1052">
        <v>23</v>
      </c>
      <c r="I1052" t="s">
        <v>1124</v>
      </c>
      <c r="J1052" t="s">
        <v>82</v>
      </c>
      <c r="K1052" t="s">
        <v>15</v>
      </c>
    </row>
    <row r="1053" spans="1:11" x14ac:dyDescent="0.3">
      <c r="A1053" t="s">
        <v>145</v>
      </c>
      <c r="B1053" t="s">
        <v>146</v>
      </c>
      <c r="C1053">
        <v>21946</v>
      </c>
      <c r="D1053">
        <v>31102</v>
      </c>
      <c r="E1053" s="1">
        <v>44981</v>
      </c>
      <c r="F1053" s="1">
        <v>45199</v>
      </c>
      <c r="G1053" s="2">
        <v>59600</v>
      </c>
      <c r="H1053">
        <v>23</v>
      </c>
      <c r="I1053" t="s">
        <v>1125</v>
      </c>
      <c r="J1053" t="s">
        <v>82</v>
      </c>
      <c r="K1053" t="s">
        <v>15</v>
      </c>
    </row>
    <row r="1054" spans="1:11" x14ac:dyDescent="0.3">
      <c r="A1054" t="s">
        <v>16</v>
      </c>
      <c r="B1054" t="s">
        <v>17</v>
      </c>
      <c r="C1054">
        <v>22781</v>
      </c>
      <c r="D1054">
        <v>32069</v>
      </c>
      <c r="E1054" s="1">
        <v>45120</v>
      </c>
      <c r="F1054" s="1">
        <v>45300</v>
      </c>
      <c r="G1054" s="2">
        <v>17856</v>
      </c>
      <c r="H1054">
        <v>0</v>
      </c>
      <c r="I1054" t="s">
        <v>1126</v>
      </c>
      <c r="J1054" t="s">
        <v>19</v>
      </c>
      <c r="K1054" t="s">
        <v>15</v>
      </c>
    </row>
    <row r="1055" spans="1:11" x14ac:dyDescent="0.3">
      <c r="A1055" t="s">
        <v>398</v>
      </c>
      <c r="B1055" t="s">
        <v>399</v>
      </c>
      <c r="C1055">
        <v>23200</v>
      </c>
      <c r="D1055">
        <v>32513</v>
      </c>
      <c r="E1055" s="1">
        <v>45170</v>
      </c>
      <c r="F1055" s="1">
        <v>45412</v>
      </c>
      <c r="G1055" s="2">
        <v>124080</v>
      </c>
      <c r="H1055">
        <v>0</v>
      </c>
      <c r="I1055" t="s">
        <v>1127</v>
      </c>
      <c r="J1055" t="s">
        <v>401</v>
      </c>
      <c r="K1055" t="s">
        <v>15</v>
      </c>
    </row>
    <row r="1056" spans="1:11" x14ac:dyDescent="0.3">
      <c r="A1056" t="s">
        <v>31</v>
      </c>
      <c r="B1056" t="s">
        <v>32</v>
      </c>
      <c r="C1056">
        <v>23267</v>
      </c>
      <c r="D1056">
        <v>32585</v>
      </c>
      <c r="E1056" s="1">
        <v>45175</v>
      </c>
      <c r="F1056" s="1">
        <v>45295</v>
      </c>
      <c r="G1056" s="2">
        <v>11474.99</v>
      </c>
      <c r="H1056">
        <v>0</v>
      </c>
      <c r="I1056" t="s">
        <v>1128</v>
      </c>
      <c r="J1056" t="s">
        <v>19</v>
      </c>
      <c r="K1056" t="s">
        <v>15</v>
      </c>
    </row>
    <row r="1057" spans="1:11" x14ac:dyDescent="0.3">
      <c r="A1057" t="s">
        <v>31</v>
      </c>
      <c r="B1057" t="s">
        <v>32</v>
      </c>
      <c r="C1057">
        <v>23267</v>
      </c>
      <c r="D1057">
        <v>32585</v>
      </c>
      <c r="E1057" s="1">
        <v>45175</v>
      </c>
      <c r="F1057" s="1">
        <v>45325</v>
      </c>
      <c r="G1057" s="2">
        <v>11474.99</v>
      </c>
      <c r="H1057">
        <v>0</v>
      </c>
      <c r="I1057" t="s">
        <v>1128</v>
      </c>
      <c r="J1057" t="s">
        <v>19</v>
      </c>
      <c r="K1057" t="s">
        <v>15</v>
      </c>
    </row>
    <row r="1058" spans="1:11" x14ac:dyDescent="0.3">
      <c r="A1058" t="s">
        <v>31</v>
      </c>
      <c r="B1058" t="s">
        <v>32</v>
      </c>
      <c r="C1058">
        <v>23267</v>
      </c>
      <c r="D1058">
        <v>32585</v>
      </c>
      <c r="E1058" s="1">
        <v>45175</v>
      </c>
      <c r="F1058" s="1">
        <v>45355</v>
      </c>
      <c r="G1058" s="2">
        <v>11475.02</v>
      </c>
      <c r="H1058">
        <v>0</v>
      </c>
      <c r="I1058" t="s">
        <v>1128</v>
      </c>
      <c r="J1058" t="s">
        <v>19</v>
      </c>
      <c r="K1058" t="s">
        <v>15</v>
      </c>
    </row>
    <row r="1059" spans="1:11" x14ac:dyDescent="0.3">
      <c r="A1059" t="s">
        <v>1129</v>
      </c>
      <c r="B1059" t="s">
        <v>1130</v>
      </c>
      <c r="C1059">
        <v>23317</v>
      </c>
      <c r="D1059">
        <v>32630</v>
      </c>
      <c r="E1059" s="1">
        <v>45180</v>
      </c>
      <c r="F1059" s="1">
        <v>45402</v>
      </c>
      <c r="G1059" s="2">
        <v>142828.79999999999</v>
      </c>
      <c r="H1059">
        <v>0</v>
      </c>
      <c r="I1059" t="s">
        <v>1131</v>
      </c>
      <c r="J1059" t="s">
        <v>73</v>
      </c>
      <c r="K1059" t="s">
        <v>15</v>
      </c>
    </row>
    <row r="1060" spans="1:11" x14ac:dyDescent="0.3">
      <c r="A1060" t="s">
        <v>119</v>
      </c>
      <c r="B1060" t="s">
        <v>120</v>
      </c>
      <c r="C1060">
        <v>23367</v>
      </c>
      <c r="D1060">
        <v>32682</v>
      </c>
      <c r="E1060" s="1">
        <v>45183</v>
      </c>
      <c r="F1060" s="1">
        <v>45363</v>
      </c>
      <c r="G1060" s="2">
        <v>4740</v>
      </c>
      <c r="H1060">
        <v>0</v>
      </c>
      <c r="I1060" t="s">
        <v>1132</v>
      </c>
      <c r="J1060" t="s">
        <v>122</v>
      </c>
      <c r="K1060" t="s">
        <v>15</v>
      </c>
    </row>
    <row r="1061" spans="1:11" x14ac:dyDescent="0.3">
      <c r="A1061" t="s">
        <v>1133</v>
      </c>
      <c r="B1061" t="s">
        <v>1134</v>
      </c>
      <c r="C1061">
        <v>23485</v>
      </c>
      <c r="D1061">
        <v>32803</v>
      </c>
      <c r="E1061" s="1">
        <v>45188</v>
      </c>
      <c r="F1061" s="1">
        <v>45248</v>
      </c>
      <c r="G1061" s="2">
        <v>7590.95</v>
      </c>
      <c r="H1061">
        <v>0</v>
      </c>
      <c r="I1061" t="s">
        <v>1135</v>
      </c>
      <c r="J1061" t="s">
        <v>14</v>
      </c>
      <c r="K1061" t="s">
        <v>15</v>
      </c>
    </row>
    <row r="1062" spans="1:11" x14ac:dyDescent="0.3">
      <c r="A1062" t="s">
        <v>576</v>
      </c>
      <c r="B1062" t="s">
        <v>577</v>
      </c>
      <c r="C1062">
        <v>23649</v>
      </c>
      <c r="D1062">
        <v>32983</v>
      </c>
      <c r="E1062" s="1">
        <v>45198</v>
      </c>
      <c r="F1062" s="1">
        <v>45442</v>
      </c>
      <c r="G1062" s="2">
        <v>50000</v>
      </c>
      <c r="H1062">
        <v>0</v>
      </c>
      <c r="I1062" t="s">
        <v>1136</v>
      </c>
      <c r="J1062" t="s">
        <v>112</v>
      </c>
      <c r="K1062" t="s">
        <v>15</v>
      </c>
    </row>
    <row r="1063" spans="1:11" x14ac:dyDescent="0.3">
      <c r="A1063" t="s">
        <v>1137</v>
      </c>
      <c r="B1063" t="s">
        <v>1138</v>
      </c>
      <c r="C1063">
        <v>23768</v>
      </c>
      <c r="D1063">
        <v>33113</v>
      </c>
      <c r="E1063" s="1">
        <v>45215</v>
      </c>
      <c r="F1063" s="1">
        <v>45245</v>
      </c>
      <c r="G1063" s="2">
        <v>17100</v>
      </c>
      <c r="H1063">
        <v>0</v>
      </c>
      <c r="I1063" t="s">
        <v>1139</v>
      </c>
      <c r="J1063" t="s">
        <v>94</v>
      </c>
      <c r="K1063" t="s">
        <v>15</v>
      </c>
    </row>
    <row r="1064" spans="1:11" x14ac:dyDescent="0.3">
      <c r="A1064" t="s">
        <v>582</v>
      </c>
      <c r="B1064" t="s">
        <v>583</v>
      </c>
      <c r="C1064">
        <v>23853</v>
      </c>
      <c r="D1064">
        <v>33207</v>
      </c>
      <c r="E1064" s="1">
        <v>45222</v>
      </c>
      <c r="F1064" s="1">
        <v>45372</v>
      </c>
      <c r="G1064" s="2">
        <v>53900</v>
      </c>
      <c r="H1064">
        <v>0</v>
      </c>
      <c r="I1064" t="s">
        <v>1140</v>
      </c>
      <c r="J1064" t="s">
        <v>27</v>
      </c>
    </row>
    <row r="1065" spans="1:11" x14ac:dyDescent="0.3">
      <c r="A1065" t="s">
        <v>16</v>
      </c>
      <c r="B1065" t="s">
        <v>17</v>
      </c>
      <c r="C1065">
        <v>22684</v>
      </c>
      <c r="D1065">
        <v>31959</v>
      </c>
      <c r="E1065" s="1">
        <v>45105</v>
      </c>
      <c r="F1065" s="1">
        <v>45225</v>
      </c>
      <c r="G1065" s="2">
        <v>19284</v>
      </c>
      <c r="H1065">
        <v>0</v>
      </c>
      <c r="I1065" t="s">
        <v>1141</v>
      </c>
      <c r="J1065" t="s">
        <v>19</v>
      </c>
      <c r="K1065" t="s">
        <v>15</v>
      </c>
    </row>
    <row r="1066" spans="1:11" x14ac:dyDescent="0.3">
      <c r="A1066" t="s">
        <v>239</v>
      </c>
      <c r="B1066" t="s">
        <v>240</v>
      </c>
      <c r="C1066">
        <v>22745</v>
      </c>
      <c r="D1066">
        <v>32029</v>
      </c>
      <c r="E1066" s="1">
        <v>45112</v>
      </c>
      <c r="F1066" s="1">
        <v>45232</v>
      </c>
      <c r="G1066" s="2">
        <v>5301.7</v>
      </c>
      <c r="H1066">
        <v>0</v>
      </c>
      <c r="I1066" t="s">
        <v>1142</v>
      </c>
      <c r="J1066" t="s">
        <v>19</v>
      </c>
      <c r="K1066" t="s">
        <v>15</v>
      </c>
    </row>
    <row r="1067" spans="1:11" x14ac:dyDescent="0.3">
      <c r="A1067" t="s">
        <v>252</v>
      </c>
      <c r="B1067" t="s">
        <v>253</v>
      </c>
      <c r="C1067">
        <v>22813</v>
      </c>
      <c r="D1067">
        <v>32099</v>
      </c>
      <c r="E1067" s="1">
        <v>45127</v>
      </c>
      <c r="F1067" s="1">
        <v>45229</v>
      </c>
      <c r="G1067" s="2">
        <v>196095</v>
      </c>
      <c r="H1067">
        <v>0</v>
      </c>
      <c r="I1067" t="s">
        <v>1143</v>
      </c>
      <c r="J1067" t="s">
        <v>206</v>
      </c>
      <c r="K1067" t="s">
        <v>15</v>
      </c>
    </row>
    <row r="1068" spans="1:11" x14ac:dyDescent="0.3">
      <c r="A1068" t="s">
        <v>199</v>
      </c>
      <c r="B1068" t="s">
        <v>200</v>
      </c>
      <c r="C1068">
        <v>23179</v>
      </c>
      <c r="D1068">
        <v>32488</v>
      </c>
      <c r="E1068" s="1">
        <v>45169</v>
      </c>
      <c r="F1068" s="1">
        <v>45260</v>
      </c>
      <c r="G1068" s="2">
        <v>4900</v>
      </c>
      <c r="H1068">
        <v>0</v>
      </c>
      <c r="I1068" t="s">
        <v>1144</v>
      </c>
      <c r="J1068" t="s">
        <v>99</v>
      </c>
      <c r="K1068" t="s">
        <v>15</v>
      </c>
    </row>
    <row r="1069" spans="1:11" x14ac:dyDescent="0.3">
      <c r="A1069" t="s">
        <v>787</v>
      </c>
      <c r="B1069" t="s">
        <v>788</v>
      </c>
      <c r="C1069">
        <v>23222</v>
      </c>
      <c r="D1069">
        <v>32539</v>
      </c>
      <c r="E1069" s="1">
        <v>45173</v>
      </c>
      <c r="F1069" s="1">
        <v>45442</v>
      </c>
      <c r="G1069" s="2">
        <v>19200</v>
      </c>
      <c r="H1069">
        <v>0</v>
      </c>
      <c r="I1069" t="s">
        <v>1145</v>
      </c>
      <c r="J1069" t="s">
        <v>42</v>
      </c>
      <c r="K1069" t="s">
        <v>15</v>
      </c>
    </row>
    <row r="1070" spans="1:11" x14ac:dyDescent="0.3">
      <c r="A1070" t="s">
        <v>889</v>
      </c>
      <c r="B1070" t="s">
        <v>890</v>
      </c>
      <c r="C1070">
        <v>23322</v>
      </c>
      <c r="D1070">
        <v>32634</v>
      </c>
      <c r="E1070" s="1">
        <v>45181</v>
      </c>
      <c r="F1070" s="1">
        <v>45271</v>
      </c>
      <c r="G1070" s="2">
        <v>28879.14</v>
      </c>
      <c r="H1070">
        <v>0</v>
      </c>
      <c r="I1070" t="s">
        <v>1146</v>
      </c>
      <c r="J1070" t="s">
        <v>14</v>
      </c>
      <c r="K1070" t="s">
        <v>15</v>
      </c>
    </row>
    <row r="1071" spans="1:11" x14ac:dyDescent="0.3">
      <c r="A1071" t="s">
        <v>889</v>
      </c>
      <c r="B1071" t="s">
        <v>890</v>
      </c>
      <c r="C1071">
        <v>23322</v>
      </c>
      <c r="D1071">
        <v>32634</v>
      </c>
      <c r="E1071" s="1">
        <v>45181</v>
      </c>
      <c r="F1071" s="1">
        <v>45301</v>
      </c>
      <c r="G1071" s="2">
        <v>28879.14</v>
      </c>
      <c r="H1071">
        <v>0</v>
      </c>
      <c r="I1071" t="s">
        <v>1146</v>
      </c>
      <c r="J1071" t="s">
        <v>14</v>
      </c>
      <c r="K1071" t="s">
        <v>15</v>
      </c>
    </row>
    <row r="1072" spans="1:11" x14ac:dyDescent="0.3">
      <c r="A1072" t="s">
        <v>889</v>
      </c>
      <c r="B1072" t="s">
        <v>890</v>
      </c>
      <c r="C1072">
        <v>23322</v>
      </c>
      <c r="D1072">
        <v>32634</v>
      </c>
      <c r="E1072" s="1">
        <v>45181</v>
      </c>
      <c r="F1072" s="1">
        <v>45331</v>
      </c>
      <c r="G1072" s="2">
        <v>28879.22</v>
      </c>
      <c r="H1072">
        <v>0</v>
      </c>
      <c r="I1072" t="s">
        <v>1146</v>
      </c>
      <c r="J1072" t="s">
        <v>14</v>
      </c>
      <c r="K1072" t="s">
        <v>15</v>
      </c>
    </row>
    <row r="1073" spans="1:11" x14ac:dyDescent="0.3">
      <c r="A1073" t="s">
        <v>37</v>
      </c>
      <c r="B1073" t="s">
        <v>29</v>
      </c>
      <c r="C1073">
        <v>22443</v>
      </c>
      <c r="D1073">
        <v>31695</v>
      </c>
      <c r="E1073" s="1">
        <v>45056</v>
      </c>
      <c r="F1073" s="1">
        <v>45296</v>
      </c>
      <c r="G1073" s="2">
        <v>38880</v>
      </c>
      <c r="H1073">
        <v>0</v>
      </c>
      <c r="I1073" t="s">
        <v>1147</v>
      </c>
      <c r="J1073" t="s">
        <v>19</v>
      </c>
      <c r="K1073" t="s">
        <v>15</v>
      </c>
    </row>
    <row r="1074" spans="1:11" x14ac:dyDescent="0.3">
      <c r="A1074" t="s">
        <v>31</v>
      </c>
      <c r="B1074" t="s">
        <v>32</v>
      </c>
      <c r="C1074">
        <v>22643</v>
      </c>
      <c r="D1074">
        <v>31920</v>
      </c>
      <c r="E1074" s="1">
        <v>45103</v>
      </c>
      <c r="F1074" s="1">
        <v>45253</v>
      </c>
      <c r="G1074" s="2">
        <v>1640</v>
      </c>
      <c r="H1074">
        <v>0</v>
      </c>
      <c r="I1074" t="s">
        <v>1148</v>
      </c>
      <c r="J1074" t="s">
        <v>19</v>
      </c>
      <c r="K1074" t="s">
        <v>15</v>
      </c>
    </row>
    <row r="1075" spans="1:11" x14ac:dyDescent="0.3">
      <c r="A1075" t="s">
        <v>31</v>
      </c>
      <c r="B1075" t="s">
        <v>32</v>
      </c>
      <c r="C1075">
        <v>22643</v>
      </c>
      <c r="D1075">
        <v>31920</v>
      </c>
      <c r="E1075" s="1">
        <v>45103</v>
      </c>
      <c r="F1075" s="1">
        <v>45283</v>
      </c>
      <c r="G1075" s="2">
        <v>1640</v>
      </c>
      <c r="H1075">
        <v>0</v>
      </c>
      <c r="I1075" t="s">
        <v>1148</v>
      </c>
      <c r="J1075" t="s">
        <v>19</v>
      </c>
      <c r="K1075" t="s">
        <v>15</v>
      </c>
    </row>
    <row r="1076" spans="1:11" x14ac:dyDescent="0.3">
      <c r="A1076" t="s">
        <v>34</v>
      </c>
      <c r="B1076" t="s">
        <v>35</v>
      </c>
      <c r="C1076">
        <v>23421</v>
      </c>
      <c r="D1076">
        <v>32733</v>
      </c>
      <c r="E1076" s="1">
        <v>45187</v>
      </c>
      <c r="F1076" s="1">
        <v>45337</v>
      </c>
      <c r="G1076" s="2">
        <v>4852.5</v>
      </c>
      <c r="H1076">
        <v>0</v>
      </c>
      <c r="I1076" t="s">
        <v>1002</v>
      </c>
      <c r="J1076" t="s">
        <v>19</v>
      </c>
      <c r="K1076" t="s">
        <v>15</v>
      </c>
    </row>
    <row r="1077" spans="1:11" x14ac:dyDescent="0.3">
      <c r="A1077" t="s">
        <v>67</v>
      </c>
      <c r="B1077" t="s">
        <v>68</v>
      </c>
      <c r="C1077">
        <v>22779</v>
      </c>
      <c r="D1077">
        <v>32067</v>
      </c>
      <c r="E1077" s="1">
        <v>45120</v>
      </c>
      <c r="F1077" s="1">
        <v>45300</v>
      </c>
      <c r="G1077" s="2">
        <v>9517.7999999999993</v>
      </c>
      <c r="H1077">
        <v>0</v>
      </c>
      <c r="I1077" t="s">
        <v>1150</v>
      </c>
      <c r="J1077" t="s">
        <v>19</v>
      </c>
      <c r="K1077" t="s">
        <v>15</v>
      </c>
    </row>
    <row r="1078" spans="1:11" x14ac:dyDescent="0.3">
      <c r="A1078" t="s">
        <v>34</v>
      </c>
      <c r="B1078" t="s">
        <v>35</v>
      </c>
      <c r="C1078">
        <v>23114</v>
      </c>
      <c r="D1078">
        <v>32413</v>
      </c>
      <c r="E1078" s="1">
        <v>45163</v>
      </c>
      <c r="F1078" s="1">
        <v>45343</v>
      </c>
      <c r="G1078" s="2">
        <v>152533.18</v>
      </c>
      <c r="H1078">
        <v>0</v>
      </c>
      <c r="I1078" t="s">
        <v>1011</v>
      </c>
      <c r="J1078" t="s">
        <v>19</v>
      </c>
      <c r="K1078" t="s">
        <v>15</v>
      </c>
    </row>
    <row r="1079" spans="1:11" x14ac:dyDescent="0.3">
      <c r="A1079" t="s">
        <v>11</v>
      </c>
      <c r="B1079" t="s">
        <v>12</v>
      </c>
      <c r="C1079">
        <v>22886</v>
      </c>
      <c r="D1079">
        <v>32152</v>
      </c>
      <c r="E1079" s="1">
        <v>45132</v>
      </c>
      <c r="F1079" s="1">
        <v>45252</v>
      </c>
      <c r="G1079" s="2">
        <v>4027.5</v>
      </c>
      <c r="H1079">
        <v>0</v>
      </c>
      <c r="I1079" t="s">
        <v>1152</v>
      </c>
      <c r="J1079" t="s">
        <v>14</v>
      </c>
      <c r="K1079" t="s">
        <v>15</v>
      </c>
    </row>
    <row r="1080" spans="1:11" x14ac:dyDescent="0.3">
      <c r="A1080" t="s">
        <v>11</v>
      </c>
      <c r="B1080" t="s">
        <v>12</v>
      </c>
      <c r="C1080">
        <v>22886</v>
      </c>
      <c r="D1080">
        <v>32152</v>
      </c>
      <c r="E1080" s="1">
        <v>45132</v>
      </c>
      <c r="F1080" s="1">
        <v>45282</v>
      </c>
      <c r="G1080" s="2">
        <v>4027.5</v>
      </c>
      <c r="H1080">
        <v>0</v>
      </c>
      <c r="I1080" t="s">
        <v>1152</v>
      </c>
      <c r="J1080" t="s">
        <v>14</v>
      </c>
      <c r="K1080" t="s">
        <v>15</v>
      </c>
    </row>
    <row r="1081" spans="1:11" x14ac:dyDescent="0.3">
      <c r="A1081" t="s">
        <v>787</v>
      </c>
      <c r="B1081" t="s">
        <v>788</v>
      </c>
      <c r="C1081">
        <v>23220</v>
      </c>
      <c r="D1081">
        <v>32537</v>
      </c>
      <c r="E1081" s="1">
        <v>45173</v>
      </c>
      <c r="F1081" s="1">
        <v>45442</v>
      </c>
      <c r="G1081" s="2">
        <v>30496</v>
      </c>
      <c r="H1081">
        <v>0</v>
      </c>
      <c r="I1081" t="s">
        <v>1153</v>
      </c>
      <c r="J1081" t="s">
        <v>42</v>
      </c>
      <c r="K1081" t="s">
        <v>15</v>
      </c>
    </row>
    <row r="1082" spans="1:11" x14ac:dyDescent="0.3">
      <c r="A1082" t="s">
        <v>58</v>
      </c>
      <c r="B1082" t="s">
        <v>59</v>
      </c>
      <c r="C1082">
        <v>23247</v>
      </c>
      <c r="D1082">
        <v>32563</v>
      </c>
      <c r="E1082" s="1">
        <v>45174</v>
      </c>
      <c r="F1082" s="1">
        <v>45264</v>
      </c>
      <c r="G1082" s="2">
        <v>75901</v>
      </c>
      <c r="H1082">
        <v>0</v>
      </c>
      <c r="I1082" t="s">
        <v>1154</v>
      </c>
      <c r="J1082" t="s">
        <v>57</v>
      </c>
      <c r="K1082" t="s">
        <v>15</v>
      </c>
    </row>
    <row r="1083" spans="1:11" x14ac:dyDescent="0.3">
      <c r="A1083" t="s">
        <v>58</v>
      </c>
      <c r="B1083" t="s">
        <v>59</v>
      </c>
      <c r="C1083">
        <v>23247</v>
      </c>
      <c r="D1083">
        <v>32563</v>
      </c>
      <c r="E1083" s="1">
        <v>45174</v>
      </c>
      <c r="F1083" s="1">
        <v>45294</v>
      </c>
      <c r="G1083" s="2">
        <v>75956</v>
      </c>
      <c r="H1083">
        <v>0</v>
      </c>
      <c r="I1083" t="s">
        <v>1154</v>
      </c>
      <c r="J1083" t="s">
        <v>57</v>
      </c>
      <c r="K1083" t="s">
        <v>15</v>
      </c>
    </row>
    <row r="1084" spans="1:11" x14ac:dyDescent="0.3">
      <c r="A1084" t="s">
        <v>1075</v>
      </c>
      <c r="B1084" t="s">
        <v>1076</v>
      </c>
      <c r="C1084">
        <v>23279</v>
      </c>
      <c r="D1084">
        <v>32594</v>
      </c>
      <c r="E1084" s="1">
        <v>45175</v>
      </c>
      <c r="F1084" s="1">
        <v>45402</v>
      </c>
      <c r="G1084" s="2">
        <v>68245.8</v>
      </c>
      <c r="H1084">
        <v>0</v>
      </c>
      <c r="I1084" t="s">
        <v>1155</v>
      </c>
      <c r="J1084" t="s">
        <v>73</v>
      </c>
      <c r="K1084" t="s">
        <v>15</v>
      </c>
    </row>
    <row r="1085" spans="1:11" x14ac:dyDescent="0.3">
      <c r="A1085" t="s">
        <v>1075</v>
      </c>
      <c r="B1085" t="s">
        <v>1076</v>
      </c>
      <c r="C1085">
        <v>23288</v>
      </c>
      <c r="D1085">
        <v>32600</v>
      </c>
      <c r="E1085" s="1">
        <v>45175</v>
      </c>
      <c r="F1085" s="1">
        <v>45402</v>
      </c>
      <c r="G1085" s="2">
        <v>11652</v>
      </c>
      <c r="H1085">
        <v>0</v>
      </c>
      <c r="I1085" t="s">
        <v>1156</v>
      </c>
      <c r="J1085" t="s">
        <v>73</v>
      </c>
      <c r="K1085" t="s">
        <v>15</v>
      </c>
    </row>
    <row r="1086" spans="1:11" x14ac:dyDescent="0.3">
      <c r="A1086" t="s">
        <v>323</v>
      </c>
      <c r="B1086" t="s">
        <v>324</v>
      </c>
      <c r="C1086">
        <v>23345</v>
      </c>
      <c r="D1086">
        <v>32658</v>
      </c>
      <c r="E1086" s="1">
        <v>45182</v>
      </c>
      <c r="F1086" s="1">
        <v>45542</v>
      </c>
      <c r="G1086" s="2">
        <v>122500</v>
      </c>
      <c r="H1086">
        <v>0</v>
      </c>
      <c r="I1086" t="s">
        <v>1157</v>
      </c>
      <c r="J1086" t="s">
        <v>94</v>
      </c>
      <c r="K1086" t="s">
        <v>15</v>
      </c>
    </row>
    <row r="1087" spans="1:11" x14ac:dyDescent="0.3">
      <c r="A1087" t="s">
        <v>181</v>
      </c>
      <c r="B1087" t="s">
        <v>182</v>
      </c>
      <c r="C1087">
        <v>23352</v>
      </c>
      <c r="D1087">
        <v>32665</v>
      </c>
      <c r="E1087" s="1">
        <v>45182</v>
      </c>
      <c r="F1087" s="1">
        <v>45595</v>
      </c>
      <c r="G1087" s="2">
        <v>134754</v>
      </c>
      <c r="H1087">
        <v>0</v>
      </c>
      <c r="I1087" t="s">
        <v>1158</v>
      </c>
      <c r="J1087" t="s">
        <v>112</v>
      </c>
      <c r="K1087" t="s">
        <v>15</v>
      </c>
    </row>
    <row r="1088" spans="1:11" x14ac:dyDescent="0.3">
      <c r="A1088" t="s">
        <v>787</v>
      </c>
      <c r="B1088" t="s">
        <v>788</v>
      </c>
      <c r="C1088">
        <v>23479</v>
      </c>
      <c r="D1088">
        <v>32798</v>
      </c>
      <c r="E1088" s="1">
        <v>45188</v>
      </c>
      <c r="F1088" s="1">
        <v>45442</v>
      </c>
      <c r="G1088" s="2">
        <v>26640</v>
      </c>
      <c r="H1088">
        <v>0</v>
      </c>
      <c r="I1088" t="s">
        <v>1159</v>
      </c>
      <c r="J1088" t="s">
        <v>42</v>
      </c>
      <c r="K1088" t="s">
        <v>15</v>
      </c>
    </row>
    <row r="1089" spans="1:11" x14ac:dyDescent="0.3">
      <c r="A1089" t="s">
        <v>31</v>
      </c>
      <c r="B1089" t="s">
        <v>32</v>
      </c>
      <c r="C1089">
        <v>23581</v>
      </c>
      <c r="D1089">
        <v>32914</v>
      </c>
      <c r="E1089" s="1">
        <v>45196</v>
      </c>
      <c r="F1089" s="1">
        <v>45316</v>
      </c>
      <c r="G1089" s="2">
        <v>42660.46</v>
      </c>
      <c r="H1089">
        <v>0</v>
      </c>
      <c r="I1089" t="s">
        <v>1160</v>
      </c>
      <c r="J1089" t="s">
        <v>19</v>
      </c>
      <c r="K1089" t="s">
        <v>15</v>
      </c>
    </row>
    <row r="1090" spans="1:11" x14ac:dyDescent="0.3">
      <c r="A1090" t="s">
        <v>31</v>
      </c>
      <c r="B1090" t="s">
        <v>32</v>
      </c>
      <c r="C1090">
        <v>23581</v>
      </c>
      <c r="D1090">
        <v>32914</v>
      </c>
      <c r="E1090" s="1">
        <v>45196</v>
      </c>
      <c r="F1090" s="1">
        <v>45346</v>
      </c>
      <c r="G1090" s="2">
        <v>42660.46</v>
      </c>
      <c r="H1090">
        <v>0</v>
      </c>
      <c r="I1090" t="s">
        <v>1160</v>
      </c>
      <c r="J1090" t="s">
        <v>19</v>
      </c>
      <c r="K1090" t="s">
        <v>15</v>
      </c>
    </row>
    <row r="1091" spans="1:11" x14ac:dyDescent="0.3">
      <c r="A1091" t="s">
        <v>31</v>
      </c>
      <c r="B1091" t="s">
        <v>32</v>
      </c>
      <c r="C1091">
        <v>23581</v>
      </c>
      <c r="D1091">
        <v>32914</v>
      </c>
      <c r="E1091" s="1">
        <v>45196</v>
      </c>
      <c r="F1091" s="1">
        <v>45376</v>
      </c>
      <c r="G1091" s="2">
        <v>42660.58</v>
      </c>
      <c r="H1091">
        <v>0</v>
      </c>
      <c r="I1091" t="s">
        <v>1160</v>
      </c>
      <c r="J1091" t="s">
        <v>19</v>
      </c>
      <c r="K1091" t="s">
        <v>15</v>
      </c>
    </row>
    <row r="1092" spans="1:11" x14ac:dyDescent="0.3">
      <c r="A1092" t="s">
        <v>582</v>
      </c>
      <c r="B1092" t="s">
        <v>583</v>
      </c>
      <c r="C1092">
        <v>23588</v>
      </c>
      <c r="D1092">
        <v>32923</v>
      </c>
      <c r="E1092" s="1">
        <v>45196</v>
      </c>
      <c r="F1092" s="1">
        <v>45346</v>
      </c>
      <c r="G1092" s="2">
        <v>53900</v>
      </c>
      <c r="H1092">
        <v>0</v>
      </c>
      <c r="I1092" t="s">
        <v>1161</v>
      </c>
      <c r="J1092" t="s">
        <v>27</v>
      </c>
    </row>
    <row r="1093" spans="1:11" x14ac:dyDescent="0.3">
      <c r="A1093" t="s">
        <v>582</v>
      </c>
      <c r="B1093" t="s">
        <v>583</v>
      </c>
      <c r="C1093">
        <v>23690</v>
      </c>
      <c r="D1093">
        <v>33029</v>
      </c>
      <c r="E1093" s="1">
        <v>45204</v>
      </c>
      <c r="F1093" s="1">
        <v>45354</v>
      </c>
      <c r="G1093" s="2">
        <v>53900</v>
      </c>
      <c r="H1093">
        <v>0</v>
      </c>
      <c r="I1093" t="s">
        <v>1162</v>
      </c>
      <c r="J1093" t="s">
        <v>27</v>
      </c>
    </row>
    <row r="1094" spans="1:11" x14ac:dyDescent="0.3">
      <c r="A1094" t="s">
        <v>809</v>
      </c>
      <c r="B1094" t="s">
        <v>810</v>
      </c>
      <c r="C1094">
        <v>23788</v>
      </c>
      <c r="D1094">
        <v>33133</v>
      </c>
      <c r="E1094" s="1">
        <v>45216</v>
      </c>
      <c r="F1094" s="1">
        <v>45261</v>
      </c>
      <c r="G1094" s="2">
        <v>39290</v>
      </c>
      <c r="H1094">
        <v>0</v>
      </c>
      <c r="I1094" t="s">
        <v>1163</v>
      </c>
      <c r="J1094" t="s">
        <v>122</v>
      </c>
      <c r="K1094" t="s">
        <v>15</v>
      </c>
    </row>
    <row r="1095" spans="1:11" x14ac:dyDescent="0.3">
      <c r="A1095" t="s">
        <v>1164</v>
      </c>
      <c r="B1095" t="s">
        <v>1165</v>
      </c>
      <c r="C1095">
        <v>23781</v>
      </c>
      <c r="D1095">
        <v>33126</v>
      </c>
      <c r="E1095" s="1">
        <v>45215</v>
      </c>
      <c r="F1095" s="1">
        <v>45402</v>
      </c>
      <c r="G1095" s="2">
        <v>39240</v>
      </c>
      <c r="H1095">
        <v>0</v>
      </c>
      <c r="I1095" t="s">
        <v>1166</v>
      </c>
      <c r="J1095" t="s">
        <v>42</v>
      </c>
      <c r="K1095" t="s">
        <v>15</v>
      </c>
    </row>
    <row r="1096" spans="1:11" x14ac:dyDescent="0.3">
      <c r="A1096" t="s">
        <v>88</v>
      </c>
      <c r="B1096" t="s">
        <v>89</v>
      </c>
      <c r="C1096">
        <v>23854</v>
      </c>
      <c r="D1096">
        <v>33208</v>
      </c>
      <c r="E1096" s="1">
        <v>45222</v>
      </c>
      <c r="F1096" s="1">
        <v>45372</v>
      </c>
      <c r="G1096" s="2">
        <v>67500</v>
      </c>
      <c r="H1096">
        <v>0</v>
      </c>
      <c r="I1096" t="s">
        <v>1167</v>
      </c>
      <c r="J1096" t="s">
        <v>27</v>
      </c>
      <c r="K1096" t="s">
        <v>15</v>
      </c>
    </row>
    <row r="1097" spans="1:11" x14ac:dyDescent="0.3">
      <c r="A1097" t="s">
        <v>88</v>
      </c>
      <c r="B1097" t="s">
        <v>89</v>
      </c>
      <c r="C1097">
        <v>23854</v>
      </c>
      <c r="D1097">
        <v>33208</v>
      </c>
      <c r="E1097" s="1">
        <v>45222</v>
      </c>
      <c r="F1097" s="1">
        <v>45402</v>
      </c>
      <c r="G1097" s="2">
        <v>67500</v>
      </c>
      <c r="H1097">
        <v>0</v>
      </c>
      <c r="I1097" t="s">
        <v>1167</v>
      </c>
      <c r="J1097" t="s">
        <v>27</v>
      </c>
      <c r="K1097" t="s">
        <v>15</v>
      </c>
    </row>
    <row r="1098" spans="1:11" x14ac:dyDescent="0.3">
      <c r="A1098" t="s">
        <v>301</v>
      </c>
      <c r="B1098" t="s">
        <v>302</v>
      </c>
      <c r="C1098">
        <v>23678</v>
      </c>
      <c r="D1098">
        <v>33016</v>
      </c>
      <c r="E1098" s="1">
        <v>45203</v>
      </c>
      <c r="F1098" s="1">
        <v>45323</v>
      </c>
      <c r="G1098" s="2">
        <v>5677.43</v>
      </c>
      <c r="H1098">
        <v>0</v>
      </c>
      <c r="I1098" t="s">
        <v>1027</v>
      </c>
      <c r="J1098" t="s">
        <v>57</v>
      </c>
      <c r="K1098" t="s">
        <v>15</v>
      </c>
    </row>
    <row r="1099" spans="1:11" x14ac:dyDescent="0.3">
      <c r="A1099" t="s">
        <v>301</v>
      </c>
      <c r="B1099" t="s">
        <v>302</v>
      </c>
      <c r="C1099">
        <v>23678</v>
      </c>
      <c r="D1099">
        <v>33016</v>
      </c>
      <c r="E1099" s="1">
        <v>45203</v>
      </c>
      <c r="F1099" s="1">
        <v>45353</v>
      </c>
      <c r="G1099" s="2">
        <v>5677.46</v>
      </c>
      <c r="H1099">
        <v>0</v>
      </c>
      <c r="I1099" t="s">
        <v>1027</v>
      </c>
      <c r="J1099" t="s">
        <v>57</v>
      </c>
      <c r="K1099" t="s">
        <v>15</v>
      </c>
    </row>
    <row r="1100" spans="1:11" x14ac:dyDescent="0.3">
      <c r="A1100" t="s">
        <v>28</v>
      </c>
      <c r="B1100" t="s">
        <v>29</v>
      </c>
      <c r="C1100">
        <v>23689</v>
      </c>
      <c r="D1100">
        <v>33028</v>
      </c>
      <c r="E1100" s="1">
        <v>45204</v>
      </c>
      <c r="F1100" s="1">
        <v>45354</v>
      </c>
      <c r="G1100" s="2">
        <v>4980</v>
      </c>
      <c r="H1100">
        <v>0</v>
      </c>
      <c r="I1100" t="s">
        <v>1168</v>
      </c>
      <c r="J1100" t="s">
        <v>19</v>
      </c>
      <c r="K1100" t="s">
        <v>15</v>
      </c>
    </row>
    <row r="1101" spans="1:11" x14ac:dyDescent="0.3">
      <c r="A1101" t="s">
        <v>850</v>
      </c>
      <c r="B1101" t="s">
        <v>851</v>
      </c>
      <c r="C1101">
        <v>23714</v>
      </c>
      <c r="D1101">
        <v>33053</v>
      </c>
      <c r="E1101" s="1">
        <v>45205</v>
      </c>
      <c r="F1101" s="1">
        <v>45412</v>
      </c>
      <c r="G1101" s="2">
        <v>164754</v>
      </c>
      <c r="H1101">
        <v>0</v>
      </c>
      <c r="I1101" t="s">
        <v>1169</v>
      </c>
      <c r="J1101" t="s">
        <v>73</v>
      </c>
      <c r="K1101" t="s">
        <v>15</v>
      </c>
    </row>
    <row r="1102" spans="1:11" x14ac:dyDescent="0.3">
      <c r="A1102" t="s">
        <v>1170</v>
      </c>
      <c r="B1102" t="s">
        <v>1171</v>
      </c>
      <c r="C1102">
        <v>23732</v>
      </c>
      <c r="D1102">
        <v>33074</v>
      </c>
      <c r="E1102" s="1">
        <v>45209</v>
      </c>
      <c r="F1102" s="1">
        <v>45240</v>
      </c>
      <c r="G1102" s="2">
        <v>18900</v>
      </c>
      <c r="H1102">
        <v>0</v>
      </c>
      <c r="I1102" t="s">
        <v>1172</v>
      </c>
      <c r="J1102" t="s">
        <v>57</v>
      </c>
      <c r="K1102" t="s">
        <v>15</v>
      </c>
    </row>
    <row r="1103" spans="1:11" x14ac:dyDescent="0.3">
      <c r="A1103" t="s">
        <v>88</v>
      </c>
      <c r="B1103" t="s">
        <v>89</v>
      </c>
      <c r="C1103">
        <v>23864</v>
      </c>
      <c r="D1103">
        <v>33218</v>
      </c>
      <c r="E1103" s="1">
        <v>45222</v>
      </c>
      <c r="F1103" s="1">
        <v>45342</v>
      </c>
      <c r="G1103" s="2">
        <v>18000</v>
      </c>
      <c r="H1103">
        <v>0</v>
      </c>
      <c r="I1103" t="s">
        <v>1173</v>
      </c>
      <c r="J1103" t="s">
        <v>27</v>
      </c>
      <c r="K1103" t="s">
        <v>15</v>
      </c>
    </row>
    <row r="1104" spans="1:11" x14ac:dyDescent="0.3">
      <c r="A1104" t="s">
        <v>1174</v>
      </c>
      <c r="B1104" t="s">
        <v>1175</v>
      </c>
      <c r="C1104">
        <v>23482</v>
      </c>
      <c r="D1104">
        <v>32801</v>
      </c>
      <c r="E1104" s="1">
        <v>45188</v>
      </c>
      <c r="F1104" s="1">
        <v>45233</v>
      </c>
      <c r="G1104" s="2">
        <v>6908.33</v>
      </c>
      <c r="H1104">
        <v>0</v>
      </c>
      <c r="I1104" t="s">
        <v>1176</v>
      </c>
      <c r="J1104" t="s">
        <v>99</v>
      </c>
      <c r="K1104" t="s">
        <v>15</v>
      </c>
    </row>
    <row r="1105" spans="1:11" x14ac:dyDescent="0.3">
      <c r="A1105" t="s">
        <v>1174</v>
      </c>
      <c r="B1105" t="s">
        <v>1175</v>
      </c>
      <c r="C1105">
        <v>23482</v>
      </c>
      <c r="D1105">
        <v>32801</v>
      </c>
      <c r="E1105" s="1">
        <v>45188</v>
      </c>
      <c r="F1105" s="1">
        <v>45248</v>
      </c>
      <c r="G1105" s="2">
        <v>6908.34</v>
      </c>
      <c r="H1105">
        <v>0</v>
      </c>
      <c r="I1105" t="s">
        <v>1176</v>
      </c>
      <c r="J1105" t="s">
        <v>99</v>
      </c>
      <c r="K1105" t="s">
        <v>15</v>
      </c>
    </row>
    <row r="1106" spans="1:11" x14ac:dyDescent="0.3">
      <c r="A1106" t="s">
        <v>689</v>
      </c>
      <c r="B1106" t="s">
        <v>690</v>
      </c>
      <c r="C1106">
        <v>23499</v>
      </c>
      <c r="D1106">
        <v>32818</v>
      </c>
      <c r="E1106" s="1">
        <v>45189</v>
      </c>
      <c r="F1106" s="1">
        <v>45381</v>
      </c>
      <c r="G1106" s="2">
        <v>343890</v>
      </c>
      <c r="H1106">
        <v>0</v>
      </c>
      <c r="I1106" t="s">
        <v>1177</v>
      </c>
      <c r="J1106" t="s">
        <v>82</v>
      </c>
      <c r="K1106" t="s">
        <v>15</v>
      </c>
    </row>
    <row r="1107" spans="1:11" x14ac:dyDescent="0.3">
      <c r="A1107" t="s">
        <v>1178</v>
      </c>
      <c r="B1107" t="s">
        <v>1179</v>
      </c>
      <c r="C1107">
        <v>23585</v>
      </c>
      <c r="D1107">
        <v>32918</v>
      </c>
      <c r="E1107" s="1">
        <v>45196</v>
      </c>
      <c r="F1107" s="1">
        <v>45226</v>
      </c>
      <c r="G1107" s="2">
        <v>36288</v>
      </c>
      <c r="H1107">
        <v>0</v>
      </c>
      <c r="I1107" t="s">
        <v>1180</v>
      </c>
      <c r="J1107" t="s">
        <v>19</v>
      </c>
      <c r="K1107" t="s">
        <v>15</v>
      </c>
    </row>
    <row r="1108" spans="1:11" x14ac:dyDescent="0.3">
      <c r="A1108" t="s">
        <v>1178</v>
      </c>
      <c r="B1108" t="s">
        <v>1179</v>
      </c>
      <c r="C1108">
        <v>23585</v>
      </c>
      <c r="D1108">
        <v>32918</v>
      </c>
      <c r="E1108" s="1">
        <v>45196</v>
      </c>
      <c r="F1108" s="1">
        <v>45256</v>
      </c>
      <c r="G1108" s="2">
        <v>36288</v>
      </c>
      <c r="H1108">
        <v>0</v>
      </c>
      <c r="I1108" t="s">
        <v>1180</v>
      </c>
      <c r="J1108" t="s">
        <v>19</v>
      </c>
      <c r="K1108" t="s">
        <v>15</v>
      </c>
    </row>
    <row r="1109" spans="1:11" x14ac:dyDescent="0.3">
      <c r="A1109" t="s">
        <v>181</v>
      </c>
      <c r="B1109" t="s">
        <v>182</v>
      </c>
      <c r="C1109">
        <v>23600</v>
      </c>
      <c r="D1109">
        <v>32936</v>
      </c>
      <c r="E1109" s="1">
        <v>45197</v>
      </c>
      <c r="F1109" s="1">
        <v>45595</v>
      </c>
      <c r="G1109" s="2">
        <v>121500</v>
      </c>
      <c r="H1109">
        <v>0</v>
      </c>
      <c r="I1109" t="s">
        <v>1181</v>
      </c>
      <c r="J1109" t="s">
        <v>112</v>
      </c>
      <c r="K1109" t="s">
        <v>15</v>
      </c>
    </row>
    <row r="1110" spans="1:11" x14ac:dyDescent="0.3">
      <c r="A1110" t="s">
        <v>1182</v>
      </c>
      <c r="B1110" t="s">
        <v>1183</v>
      </c>
      <c r="C1110">
        <v>23699</v>
      </c>
      <c r="D1110">
        <v>33036</v>
      </c>
      <c r="E1110" s="1">
        <v>45204</v>
      </c>
      <c r="F1110" s="1">
        <v>45402</v>
      </c>
      <c r="G1110" s="2">
        <v>20180</v>
      </c>
      <c r="H1110">
        <v>0</v>
      </c>
      <c r="I1110" t="s">
        <v>1184</v>
      </c>
      <c r="J1110" t="s">
        <v>42</v>
      </c>
      <c r="K1110" t="s">
        <v>15</v>
      </c>
    </row>
    <row r="1111" spans="1:11" x14ac:dyDescent="0.3">
      <c r="A1111" t="s">
        <v>119</v>
      </c>
      <c r="B1111" t="s">
        <v>120</v>
      </c>
      <c r="C1111">
        <v>23803</v>
      </c>
      <c r="D1111">
        <v>33150</v>
      </c>
      <c r="E1111" s="1">
        <v>45217</v>
      </c>
      <c r="F1111" s="1">
        <v>45397</v>
      </c>
      <c r="G1111" s="2">
        <v>275200</v>
      </c>
      <c r="H1111">
        <v>0</v>
      </c>
      <c r="I1111" t="s">
        <v>1185</v>
      </c>
      <c r="J1111" t="s">
        <v>122</v>
      </c>
      <c r="K1111" t="s">
        <v>15</v>
      </c>
    </row>
    <row r="1112" spans="1:11" x14ac:dyDescent="0.3">
      <c r="A1112" t="s">
        <v>228</v>
      </c>
      <c r="B1112" t="s">
        <v>229</v>
      </c>
      <c r="C1112">
        <v>21984</v>
      </c>
      <c r="D1112">
        <v>31140</v>
      </c>
      <c r="E1112" s="1">
        <v>44984</v>
      </c>
      <c r="F1112" s="1">
        <v>45229</v>
      </c>
      <c r="G1112" s="2">
        <v>443520</v>
      </c>
      <c r="H1112">
        <v>0</v>
      </c>
      <c r="I1112" t="s">
        <v>1186</v>
      </c>
      <c r="J1112" t="s">
        <v>206</v>
      </c>
      <c r="K1112" t="s">
        <v>15</v>
      </c>
    </row>
    <row r="1113" spans="1:11" x14ac:dyDescent="0.3">
      <c r="A1113" t="s">
        <v>255</v>
      </c>
      <c r="B1113" t="s">
        <v>256</v>
      </c>
      <c r="C1113">
        <v>22418</v>
      </c>
      <c r="D1113">
        <v>31663</v>
      </c>
      <c r="E1113" s="1">
        <v>45050</v>
      </c>
      <c r="F1113" s="1">
        <v>45230</v>
      </c>
      <c r="G1113" s="2">
        <v>15940</v>
      </c>
      <c r="H1113">
        <v>0</v>
      </c>
      <c r="I1113" t="s">
        <v>1187</v>
      </c>
      <c r="J1113" t="s">
        <v>122</v>
      </c>
      <c r="K1113" t="s">
        <v>15</v>
      </c>
    </row>
    <row r="1114" spans="1:11" x14ac:dyDescent="0.3">
      <c r="A1114" t="s">
        <v>114</v>
      </c>
      <c r="B1114" t="s">
        <v>115</v>
      </c>
      <c r="C1114">
        <v>22550</v>
      </c>
      <c r="D1114">
        <v>31812</v>
      </c>
      <c r="E1114" s="1">
        <v>45077</v>
      </c>
      <c r="F1114" s="1">
        <v>45229</v>
      </c>
      <c r="G1114" s="2">
        <v>343200</v>
      </c>
      <c r="H1114">
        <v>0</v>
      </c>
      <c r="I1114" t="s">
        <v>1188</v>
      </c>
      <c r="J1114" t="s">
        <v>82</v>
      </c>
      <c r="K1114" t="s">
        <v>15</v>
      </c>
    </row>
    <row r="1115" spans="1:11" x14ac:dyDescent="0.3">
      <c r="A1115" t="s">
        <v>31</v>
      </c>
      <c r="B1115" t="s">
        <v>32</v>
      </c>
      <c r="C1115">
        <v>22784</v>
      </c>
      <c r="D1115">
        <v>32072</v>
      </c>
      <c r="E1115" s="1">
        <v>45120</v>
      </c>
      <c r="F1115" s="1">
        <v>45390</v>
      </c>
      <c r="G1115" s="2">
        <v>28536</v>
      </c>
      <c r="H1115">
        <v>0</v>
      </c>
      <c r="I1115" t="s">
        <v>1189</v>
      </c>
      <c r="J1115" t="s">
        <v>19</v>
      </c>
      <c r="K1115" t="s">
        <v>15</v>
      </c>
    </row>
    <row r="1116" spans="1:11" x14ac:dyDescent="0.3">
      <c r="A1116" t="s">
        <v>39</v>
      </c>
      <c r="B1116" t="s">
        <v>40</v>
      </c>
      <c r="C1116">
        <v>22954</v>
      </c>
      <c r="D1116">
        <v>32233</v>
      </c>
      <c r="E1116" s="1">
        <v>45145</v>
      </c>
      <c r="F1116" s="1">
        <v>45406</v>
      </c>
      <c r="G1116" s="2">
        <v>376828.2</v>
      </c>
      <c r="H1116">
        <v>0</v>
      </c>
      <c r="I1116" t="s">
        <v>1190</v>
      </c>
      <c r="J1116" t="s">
        <v>42</v>
      </c>
      <c r="K1116" t="s">
        <v>15</v>
      </c>
    </row>
    <row r="1117" spans="1:11" x14ac:dyDescent="0.3">
      <c r="A1117" t="s">
        <v>61</v>
      </c>
      <c r="B1117" t="s">
        <v>35</v>
      </c>
      <c r="C1117">
        <v>23571</v>
      </c>
      <c r="D1117">
        <v>32904</v>
      </c>
      <c r="E1117" s="1">
        <v>45195</v>
      </c>
      <c r="F1117" s="1">
        <v>45345</v>
      </c>
      <c r="G1117" s="2">
        <v>45240</v>
      </c>
      <c r="H1117">
        <v>0</v>
      </c>
      <c r="I1117" t="s">
        <v>1084</v>
      </c>
      <c r="J1117" t="s">
        <v>19</v>
      </c>
      <c r="K1117" t="s">
        <v>15</v>
      </c>
    </row>
    <row r="1118" spans="1:11" x14ac:dyDescent="0.3">
      <c r="A1118" t="s">
        <v>34</v>
      </c>
      <c r="B1118" t="s">
        <v>35</v>
      </c>
      <c r="C1118">
        <v>23132</v>
      </c>
      <c r="D1118">
        <v>32438</v>
      </c>
      <c r="E1118" s="1">
        <v>45166</v>
      </c>
      <c r="F1118" s="1">
        <v>45346</v>
      </c>
      <c r="G1118" s="2">
        <v>24153.119999999999</v>
      </c>
      <c r="H1118">
        <v>0</v>
      </c>
      <c r="I1118" t="s">
        <v>198</v>
      </c>
      <c r="J1118" t="s">
        <v>19</v>
      </c>
      <c r="K1118" t="s">
        <v>15</v>
      </c>
    </row>
    <row r="1119" spans="1:11" x14ac:dyDescent="0.3">
      <c r="A1119" t="s">
        <v>70</v>
      </c>
      <c r="B1119" t="s">
        <v>71</v>
      </c>
      <c r="C1119">
        <v>23211</v>
      </c>
      <c r="D1119">
        <v>32525</v>
      </c>
      <c r="E1119" s="1">
        <v>45173</v>
      </c>
      <c r="F1119" s="1">
        <v>45427</v>
      </c>
      <c r="G1119" s="2">
        <v>80160</v>
      </c>
      <c r="H1119">
        <v>0</v>
      </c>
      <c r="I1119" t="s">
        <v>1193</v>
      </c>
      <c r="J1119" t="s">
        <v>73</v>
      </c>
      <c r="K1119" t="s">
        <v>15</v>
      </c>
    </row>
    <row r="1120" spans="1:11" x14ac:dyDescent="0.3">
      <c r="A1120" t="s">
        <v>571</v>
      </c>
      <c r="B1120" t="s">
        <v>572</v>
      </c>
      <c r="C1120">
        <v>23213</v>
      </c>
      <c r="D1120">
        <v>32527</v>
      </c>
      <c r="E1120" s="1">
        <v>45173</v>
      </c>
      <c r="F1120" s="1">
        <v>45233</v>
      </c>
      <c r="G1120" s="2">
        <v>8558.32</v>
      </c>
      <c r="H1120">
        <v>0</v>
      </c>
      <c r="I1120" t="s">
        <v>1194</v>
      </c>
      <c r="J1120" t="s">
        <v>94</v>
      </c>
      <c r="K1120" t="s">
        <v>15</v>
      </c>
    </row>
    <row r="1121" spans="1:11" x14ac:dyDescent="0.3">
      <c r="A1121" t="s">
        <v>571</v>
      </c>
      <c r="B1121" t="s">
        <v>572</v>
      </c>
      <c r="C1121">
        <v>23213</v>
      </c>
      <c r="D1121">
        <v>32527</v>
      </c>
      <c r="E1121" s="1">
        <v>45173</v>
      </c>
      <c r="F1121" s="1">
        <v>45248</v>
      </c>
      <c r="G1121" s="2">
        <v>8558.32</v>
      </c>
      <c r="H1121">
        <v>0</v>
      </c>
      <c r="I1121" t="s">
        <v>1194</v>
      </c>
      <c r="J1121" t="s">
        <v>94</v>
      </c>
      <c r="K1121" t="s">
        <v>15</v>
      </c>
    </row>
    <row r="1122" spans="1:11" x14ac:dyDescent="0.3">
      <c r="A1122" t="s">
        <v>571</v>
      </c>
      <c r="B1122" t="s">
        <v>572</v>
      </c>
      <c r="C1122">
        <v>23213</v>
      </c>
      <c r="D1122">
        <v>32527</v>
      </c>
      <c r="E1122" s="1">
        <v>45173</v>
      </c>
      <c r="F1122" s="1">
        <v>45263</v>
      </c>
      <c r="G1122" s="2">
        <v>8558.32</v>
      </c>
      <c r="H1122">
        <v>0</v>
      </c>
      <c r="I1122" t="s">
        <v>1194</v>
      </c>
      <c r="J1122" t="s">
        <v>94</v>
      </c>
      <c r="K1122" t="s">
        <v>15</v>
      </c>
    </row>
    <row r="1123" spans="1:11" x14ac:dyDescent="0.3">
      <c r="A1123" t="s">
        <v>31</v>
      </c>
      <c r="B1123" t="s">
        <v>32</v>
      </c>
      <c r="C1123">
        <v>23354</v>
      </c>
      <c r="D1123">
        <v>32668</v>
      </c>
      <c r="E1123" s="1">
        <v>45182</v>
      </c>
      <c r="F1123" s="1">
        <v>45302</v>
      </c>
      <c r="G1123" s="2">
        <v>38826.629999999997</v>
      </c>
      <c r="H1123">
        <v>0</v>
      </c>
      <c r="I1123" t="s">
        <v>1195</v>
      </c>
      <c r="J1123" t="s">
        <v>19</v>
      </c>
      <c r="K1123" t="s">
        <v>15</v>
      </c>
    </row>
    <row r="1124" spans="1:11" x14ac:dyDescent="0.3">
      <c r="A1124" t="s">
        <v>31</v>
      </c>
      <c r="B1124" t="s">
        <v>32</v>
      </c>
      <c r="C1124">
        <v>23354</v>
      </c>
      <c r="D1124">
        <v>32668</v>
      </c>
      <c r="E1124" s="1">
        <v>45182</v>
      </c>
      <c r="F1124" s="1">
        <v>45332</v>
      </c>
      <c r="G1124" s="2">
        <v>38826.629999999997</v>
      </c>
      <c r="H1124">
        <v>0</v>
      </c>
      <c r="I1124" t="s">
        <v>1195</v>
      </c>
      <c r="J1124" t="s">
        <v>19</v>
      </c>
      <c r="K1124" t="s">
        <v>15</v>
      </c>
    </row>
    <row r="1125" spans="1:11" x14ac:dyDescent="0.3">
      <c r="A1125" t="s">
        <v>31</v>
      </c>
      <c r="B1125" t="s">
        <v>32</v>
      </c>
      <c r="C1125">
        <v>23354</v>
      </c>
      <c r="D1125">
        <v>32668</v>
      </c>
      <c r="E1125" s="1">
        <v>45182</v>
      </c>
      <c r="F1125" s="1">
        <v>45362</v>
      </c>
      <c r="G1125" s="2">
        <v>38826.74</v>
      </c>
      <c r="H1125">
        <v>0</v>
      </c>
      <c r="I1125" t="s">
        <v>1195</v>
      </c>
      <c r="J1125" t="s">
        <v>19</v>
      </c>
      <c r="K1125" t="s">
        <v>15</v>
      </c>
    </row>
    <row r="1126" spans="1:11" x14ac:dyDescent="0.3">
      <c r="A1126" t="s">
        <v>61</v>
      </c>
      <c r="B1126" t="s">
        <v>35</v>
      </c>
      <c r="C1126">
        <v>23580</v>
      </c>
      <c r="D1126">
        <v>32912</v>
      </c>
      <c r="E1126" s="1">
        <v>45196</v>
      </c>
      <c r="F1126" s="1">
        <v>45346</v>
      </c>
      <c r="G1126" s="2">
        <v>52000</v>
      </c>
      <c r="H1126">
        <v>0</v>
      </c>
      <c r="I1126" t="s">
        <v>726</v>
      </c>
      <c r="J1126" t="s">
        <v>19</v>
      </c>
      <c r="K1126" t="s">
        <v>15</v>
      </c>
    </row>
    <row r="1127" spans="1:11" x14ac:dyDescent="0.3">
      <c r="A1127" t="s">
        <v>314</v>
      </c>
      <c r="B1127" t="s">
        <v>315</v>
      </c>
      <c r="C1127">
        <v>23454</v>
      </c>
      <c r="D1127">
        <v>32766</v>
      </c>
      <c r="E1127" s="1">
        <v>45187</v>
      </c>
      <c r="F1127" s="1">
        <v>45442</v>
      </c>
      <c r="G1127" s="2">
        <v>140800</v>
      </c>
      <c r="H1127">
        <v>0</v>
      </c>
      <c r="I1127" t="s">
        <v>1197</v>
      </c>
      <c r="J1127" t="s">
        <v>206</v>
      </c>
      <c r="K1127" t="s">
        <v>15</v>
      </c>
    </row>
    <row r="1128" spans="1:11" x14ac:dyDescent="0.3">
      <c r="A1128" t="s">
        <v>236</v>
      </c>
      <c r="B1128" t="s">
        <v>237</v>
      </c>
      <c r="C1128">
        <v>23486</v>
      </c>
      <c r="D1128">
        <v>32804</v>
      </c>
      <c r="E1128" s="1">
        <v>45188</v>
      </c>
      <c r="F1128" s="1">
        <v>45308</v>
      </c>
      <c r="G1128" s="2">
        <v>2970</v>
      </c>
      <c r="H1128">
        <v>0</v>
      </c>
      <c r="I1128" t="s">
        <v>1198</v>
      </c>
      <c r="J1128" t="s">
        <v>19</v>
      </c>
      <c r="K1128" t="s">
        <v>15</v>
      </c>
    </row>
    <row r="1129" spans="1:11" x14ac:dyDescent="0.3">
      <c r="A1129" t="s">
        <v>58</v>
      </c>
      <c r="B1129" t="s">
        <v>59</v>
      </c>
      <c r="C1129">
        <v>23513</v>
      </c>
      <c r="D1129">
        <v>32831</v>
      </c>
      <c r="E1129" s="1">
        <v>45189</v>
      </c>
      <c r="F1129" s="1">
        <v>45309</v>
      </c>
      <c r="G1129" s="2">
        <v>15800</v>
      </c>
      <c r="H1129">
        <v>0</v>
      </c>
      <c r="I1129" t="s">
        <v>1199</v>
      </c>
      <c r="J1129" t="s">
        <v>57</v>
      </c>
      <c r="K1129" t="s">
        <v>15</v>
      </c>
    </row>
    <row r="1130" spans="1:11" x14ac:dyDescent="0.3">
      <c r="A1130" t="s">
        <v>88</v>
      </c>
      <c r="B1130" t="s">
        <v>89</v>
      </c>
      <c r="C1130">
        <v>23520</v>
      </c>
      <c r="D1130">
        <v>32842</v>
      </c>
      <c r="E1130" s="1">
        <v>45190</v>
      </c>
      <c r="F1130" s="1">
        <v>45340</v>
      </c>
      <c r="G1130" s="2">
        <v>45900</v>
      </c>
      <c r="H1130">
        <v>0</v>
      </c>
      <c r="I1130" t="s">
        <v>1200</v>
      </c>
      <c r="J1130" t="s">
        <v>27</v>
      </c>
      <c r="K1130" t="s">
        <v>15</v>
      </c>
    </row>
    <row r="1131" spans="1:11" x14ac:dyDescent="0.3">
      <c r="A1131" t="s">
        <v>88</v>
      </c>
      <c r="B1131" t="s">
        <v>89</v>
      </c>
      <c r="C1131">
        <v>23520</v>
      </c>
      <c r="D1131">
        <v>32842</v>
      </c>
      <c r="E1131" s="1">
        <v>45190</v>
      </c>
      <c r="F1131" s="1">
        <v>45370</v>
      </c>
      <c r="G1131" s="2">
        <v>45900</v>
      </c>
      <c r="H1131">
        <v>0</v>
      </c>
      <c r="I1131" t="s">
        <v>1200</v>
      </c>
      <c r="J1131" t="s">
        <v>27</v>
      </c>
      <c r="K1131" t="s">
        <v>15</v>
      </c>
    </row>
    <row r="1132" spans="1:11" x14ac:dyDescent="0.3">
      <c r="A1132" t="s">
        <v>88</v>
      </c>
      <c r="B1132" t="s">
        <v>89</v>
      </c>
      <c r="C1132">
        <v>23545</v>
      </c>
      <c r="D1132">
        <v>32866</v>
      </c>
      <c r="E1132" s="1">
        <v>45191</v>
      </c>
      <c r="F1132" s="1">
        <v>45401</v>
      </c>
      <c r="G1132" s="2">
        <v>71000</v>
      </c>
      <c r="H1132">
        <v>0</v>
      </c>
      <c r="I1132" t="s">
        <v>1201</v>
      </c>
      <c r="J1132" t="s">
        <v>27</v>
      </c>
      <c r="K1132" t="s">
        <v>15</v>
      </c>
    </row>
    <row r="1133" spans="1:11" x14ac:dyDescent="0.3">
      <c r="A1133" t="s">
        <v>1202</v>
      </c>
      <c r="B1133" t="s">
        <v>1203</v>
      </c>
      <c r="C1133">
        <v>23615</v>
      </c>
      <c r="D1133">
        <v>32950</v>
      </c>
      <c r="E1133" s="1">
        <v>45197</v>
      </c>
      <c r="F1133" s="1">
        <v>45453</v>
      </c>
      <c r="G1133" s="2">
        <v>121000</v>
      </c>
      <c r="H1133">
        <v>0</v>
      </c>
      <c r="I1133" t="s">
        <v>1204</v>
      </c>
      <c r="J1133" t="s">
        <v>77</v>
      </c>
      <c r="K1133" t="s">
        <v>15</v>
      </c>
    </row>
    <row r="1134" spans="1:11" x14ac:dyDescent="0.3">
      <c r="A1134" t="s">
        <v>70</v>
      </c>
      <c r="B1134" t="s">
        <v>71</v>
      </c>
      <c r="C1134">
        <v>23754</v>
      </c>
      <c r="D1134">
        <v>33095</v>
      </c>
      <c r="E1134" s="1">
        <v>45210</v>
      </c>
      <c r="F1134" s="1">
        <v>45427</v>
      </c>
      <c r="G1134" s="2">
        <v>131786.4</v>
      </c>
      <c r="H1134">
        <v>0</v>
      </c>
      <c r="I1134" t="s">
        <v>1205</v>
      </c>
      <c r="J1134" t="s">
        <v>73</v>
      </c>
      <c r="K1134" t="s">
        <v>15</v>
      </c>
    </row>
    <row r="1135" spans="1:11" x14ac:dyDescent="0.3">
      <c r="A1135" t="s">
        <v>323</v>
      </c>
      <c r="B1135" t="s">
        <v>324</v>
      </c>
      <c r="C1135">
        <v>23790</v>
      </c>
      <c r="D1135">
        <v>33136</v>
      </c>
      <c r="E1135" s="1">
        <v>45216</v>
      </c>
      <c r="F1135" s="1">
        <v>45336</v>
      </c>
      <c r="G1135" s="2">
        <v>5433</v>
      </c>
      <c r="H1135">
        <v>0</v>
      </c>
      <c r="I1135" t="s">
        <v>1206</v>
      </c>
      <c r="J1135" t="s">
        <v>94</v>
      </c>
      <c r="K1135" t="s">
        <v>15</v>
      </c>
    </row>
    <row r="1136" spans="1:11" x14ac:dyDescent="0.3">
      <c r="A1136" t="s">
        <v>24</v>
      </c>
      <c r="B1136" t="s">
        <v>25</v>
      </c>
      <c r="C1136">
        <v>23813</v>
      </c>
      <c r="D1136">
        <v>33165</v>
      </c>
      <c r="E1136" s="1">
        <v>45218</v>
      </c>
      <c r="F1136" s="1">
        <v>45428</v>
      </c>
      <c r="G1136">
        <v>838.2</v>
      </c>
      <c r="H1136">
        <v>0</v>
      </c>
      <c r="I1136" t="s">
        <v>1207</v>
      </c>
      <c r="J1136" t="s">
        <v>27</v>
      </c>
      <c r="K1136" t="s">
        <v>15</v>
      </c>
    </row>
    <row r="1137" spans="1:11" x14ac:dyDescent="0.3">
      <c r="A1137" t="s">
        <v>88</v>
      </c>
      <c r="B1137" t="s">
        <v>89</v>
      </c>
      <c r="C1137">
        <v>23856</v>
      </c>
      <c r="D1137">
        <v>33210</v>
      </c>
      <c r="E1137" s="1">
        <v>45222</v>
      </c>
      <c r="F1137" s="1">
        <v>45372</v>
      </c>
      <c r="G1137" s="2">
        <v>75000</v>
      </c>
      <c r="H1137">
        <v>0</v>
      </c>
      <c r="I1137" t="s">
        <v>1208</v>
      </c>
      <c r="J1137" t="s">
        <v>27</v>
      </c>
      <c r="K1137" t="s">
        <v>15</v>
      </c>
    </row>
    <row r="1138" spans="1:11" x14ac:dyDescent="0.3">
      <c r="A1138" t="s">
        <v>88</v>
      </c>
      <c r="B1138" t="s">
        <v>89</v>
      </c>
      <c r="C1138">
        <v>23856</v>
      </c>
      <c r="D1138">
        <v>33210</v>
      </c>
      <c r="E1138" s="1">
        <v>45222</v>
      </c>
      <c r="F1138" s="1">
        <v>45402</v>
      </c>
      <c r="G1138" s="2">
        <v>75000</v>
      </c>
      <c r="H1138">
        <v>0</v>
      </c>
      <c r="I1138" t="s">
        <v>1208</v>
      </c>
      <c r="J1138" t="s">
        <v>27</v>
      </c>
      <c r="K1138" t="s">
        <v>15</v>
      </c>
    </row>
    <row r="1139" spans="1:11" x14ac:dyDescent="0.3">
      <c r="A1139" t="s">
        <v>571</v>
      </c>
      <c r="B1139" t="s">
        <v>572</v>
      </c>
      <c r="C1139">
        <v>23213</v>
      </c>
      <c r="D1139">
        <v>32527</v>
      </c>
      <c r="E1139" s="1">
        <v>45173</v>
      </c>
      <c r="F1139" s="1">
        <v>45278</v>
      </c>
      <c r="G1139" s="2">
        <v>8558.32</v>
      </c>
      <c r="H1139">
        <v>0</v>
      </c>
      <c r="I1139" t="s">
        <v>1194</v>
      </c>
      <c r="J1139" t="s">
        <v>94</v>
      </c>
      <c r="K1139" t="s">
        <v>15</v>
      </c>
    </row>
    <row r="1140" spans="1:11" x14ac:dyDescent="0.3">
      <c r="A1140" t="s">
        <v>571</v>
      </c>
      <c r="B1140" t="s">
        <v>572</v>
      </c>
      <c r="C1140">
        <v>23213</v>
      </c>
      <c r="D1140">
        <v>32527</v>
      </c>
      <c r="E1140" s="1">
        <v>45173</v>
      </c>
      <c r="F1140" s="1">
        <v>45293</v>
      </c>
      <c r="G1140" s="2">
        <v>8558.32</v>
      </c>
      <c r="H1140">
        <v>0</v>
      </c>
      <c r="I1140" t="s">
        <v>1194</v>
      </c>
      <c r="J1140" t="s">
        <v>94</v>
      </c>
      <c r="K1140" t="s">
        <v>15</v>
      </c>
    </row>
    <row r="1141" spans="1:11" x14ac:dyDescent="0.3">
      <c r="A1141" t="s">
        <v>571</v>
      </c>
      <c r="B1141" t="s">
        <v>572</v>
      </c>
      <c r="C1141">
        <v>23213</v>
      </c>
      <c r="D1141">
        <v>32527</v>
      </c>
      <c r="E1141" s="1">
        <v>45173</v>
      </c>
      <c r="F1141" s="1">
        <v>45308</v>
      </c>
      <c r="G1141" s="2">
        <v>8558.32</v>
      </c>
      <c r="H1141">
        <v>0</v>
      </c>
      <c r="I1141" t="s">
        <v>1194</v>
      </c>
      <c r="J1141" t="s">
        <v>94</v>
      </c>
      <c r="K1141" t="s">
        <v>15</v>
      </c>
    </row>
    <row r="1142" spans="1:11" x14ac:dyDescent="0.3">
      <c r="A1142" t="s">
        <v>571</v>
      </c>
      <c r="B1142" t="s">
        <v>572</v>
      </c>
      <c r="C1142">
        <v>23213</v>
      </c>
      <c r="D1142">
        <v>32527</v>
      </c>
      <c r="E1142" s="1">
        <v>45173</v>
      </c>
      <c r="F1142" s="1">
        <v>45323</v>
      </c>
      <c r="G1142" s="2">
        <v>8558.44</v>
      </c>
      <c r="H1142">
        <v>0</v>
      </c>
      <c r="I1142" t="s">
        <v>1194</v>
      </c>
      <c r="J1142" t="s">
        <v>94</v>
      </c>
      <c r="K1142" t="s">
        <v>15</v>
      </c>
    </row>
    <row r="1143" spans="1:11" x14ac:dyDescent="0.3">
      <c r="A1143" t="s">
        <v>39</v>
      </c>
      <c r="B1143" t="s">
        <v>40</v>
      </c>
      <c r="C1143">
        <v>23456</v>
      </c>
      <c r="D1143">
        <v>32773</v>
      </c>
      <c r="E1143" s="1">
        <v>45188</v>
      </c>
      <c r="F1143" s="1">
        <v>45493</v>
      </c>
      <c r="G1143" s="2">
        <v>50975.6</v>
      </c>
      <c r="H1143">
        <v>0</v>
      </c>
      <c r="I1143" t="s">
        <v>1209</v>
      </c>
      <c r="J1143" t="s">
        <v>42</v>
      </c>
      <c r="K1143" t="s">
        <v>15</v>
      </c>
    </row>
    <row r="1144" spans="1:11" x14ac:dyDescent="0.3">
      <c r="A1144" t="s">
        <v>39</v>
      </c>
      <c r="B1144" t="s">
        <v>40</v>
      </c>
      <c r="C1144">
        <v>23456</v>
      </c>
      <c r="D1144">
        <v>32773</v>
      </c>
      <c r="E1144" s="1">
        <v>45188</v>
      </c>
      <c r="F1144" s="1">
        <v>45524</v>
      </c>
      <c r="G1144" s="2">
        <v>50975.6</v>
      </c>
      <c r="H1144">
        <v>0</v>
      </c>
      <c r="I1144" t="s">
        <v>1209</v>
      </c>
      <c r="J1144" t="s">
        <v>42</v>
      </c>
      <c r="K1144" t="s">
        <v>15</v>
      </c>
    </row>
    <row r="1145" spans="1:11" x14ac:dyDescent="0.3">
      <c r="A1145" t="s">
        <v>39</v>
      </c>
      <c r="B1145" t="s">
        <v>40</v>
      </c>
      <c r="C1145">
        <v>23456</v>
      </c>
      <c r="D1145">
        <v>32773</v>
      </c>
      <c r="E1145" s="1">
        <v>45188</v>
      </c>
      <c r="F1145" s="1">
        <v>45555</v>
      </c>
      <c r="G1145" s="2">
        <v>50975.6</v>
      </c>
      <c r="H1145">
        <v>0</v>
      </c>
      <c r="I1145" t="s">
        <v>1209</v>
      </c>
      <c r="J1145" t="s">
        <v>42</v>
      </c>
      <c r="K1145" t="s">
        <v>15</v>
      </c>
    </row>
    <row r="1146" spans="1:11" x14ac:dyDescent="0.3">
      <c r="A1146" t="s">
        <v>39</v>
      </c>
      <c r="B1146" t="s">
        <v>40</v>
      </c>
      <c r="C1146">
        <v>23456</v>
      </c>
      <c r="D1146">
        <v>32773</v>
      </c>
      <c r="E1146" s="1">
        <v>45188</v>
      </c>
      <c r="F1146" s="1">
        <v>45585</v>
      </c>
      <c r="G1146" s="2">
        <v>50975.6</v>
      </c>
      <c r="H1146">
        <v>0</v>
      </c>
      <c r="I1146" t="s">
        <v>1209</v>
      </c>
      <c r="J1146" t="s">
        <v>42</v>
      </c>
      <c r="K1146" t="s">
        <v>15</v>
      </c>
    </row>
    <row r="1147" spans="1:11" x14ac:dyDescent="0.3">
      <c r="A1147" t="s">
        <v>39</v>
      </c>
      <c r="B1147" t="s">
        <v>40</v>
      </c>
      <c r="C1147">
        <v>23456</v>
      </c>
      <c r="D1147">
        <v>32773</v>
      </c>
      <c r="E1147" s="1">
        <v>45188</v>
      </c>
      <c r="F1147" s="1">
        <v>45616</v>
      </c>
      <c r="G1147" s="2">
        <v>50975.6</v>
      </c>
      <c r="H1147">
        <v>0</v>
      </c>
      <c r="I1147" t="s">
        <v>1209</v>
      </c>
      <c r="J1147" t="s">
        <v>42</v>
      </c>
      <c r="K1147" t="s">
        <v>15</v>
      </c>
    </row>
    <row r="1148" spans="1:11" x14ac:dyDescent="0.3">
      <c r="A1148" t="s">
        <v>351</v>
      </c>
      <c r="B1148" t="s">
        <v>352</v>
      </c>
      <c r="C1148">
        <v>23613</v>
      </c>
      <c r="D1148">
        <v>32948</v>
      </c>
      <c r="E1148" s="1">
        <v>45197</v>
      </c>
      <c r="F1148" s="1">
        <v>45257</v>
      </c>
      <c r="G1148" s="2">
        <v>86153.600000000006</v>
      </c>
      <c r="H1148">
        <v>0</v>
      </c>
      <c r="I1148" t="s">
        <v>1210</v>
      </c>
      <c r="J1148" t="s">
        <v>151</v>
      </c>
      <c r="K1148" t="s">
        <v>15</v>
      </c>
    </row>
    <row r="1149" spans="1:11" x14ac:dyDescent="0.3">
      <c r="A1149" t="s">
        <v>88</v>
      </c>
      <c r="B1149" t="s">
        <v>89</v>
      </c>
      <c r="C1149">
        <v>23879</v>
      </c>
      <c r="D1149">
        <v>33233</v>
      </c>
      <c r="E1149" s="1">
        <v>45222</v>
      </c>
      <c r="F1149" s="1">
        <v>45372</v>
      </c>
      <c r="G1149" s="2">
        <v>60750</v>
      </c>
      <c r="H1149">
        <v>0</v>
      </c>
      <c r="I1149" t="s">
        <v>1211</v>
      </c>
      <c r="J1149" t="s">
        <v>27</v>
      </c>
      <c r="K1149" t="s">
        <v>15</v>
      </c>
    </row>
    <row r="1150" spans="1:11" x14ac:dyDescent="0.3">
      <c r="A1150" t="s">
        <v>88</v>
      </c>
      <c r="B1150" t="s">
        <v>89</v>
      </c>
      <c r="C1150">
        <v>23879</v>
      </c>
      <c r="D1150">
        <v>33233</v>
      </c>
      <c r="E1150" s="1">
        <v>45222</v>
      </c>
      <c r="F1150" s="1">
        <v>45402</v>
      </c>
      <c r="G1150" s="2">
        <v>60750</v>
      </c>
      <c r="H1150">
        <v>0</v>
      </c>
      <c r="I1150" t="s">
        <v>1211</v>
      </c>
      <c r="J1150" t="s">
        <v>27</v>
      </c>
      <c r="K1150" t="s">
        <v>15</v>
      </c>
    </row>
    <row r="1151" spans="1:11" x14ac:dyDescent="0.3">
      <c r="A1151" t="s">
        <v>292</v>
      </c>
      <c r="B1151" t="s">
        <v>293</v>
      </c>
      <c r="C1151">
        <v>23735</v>
      </c>
      <c r="D1151">
        <v>33077</v>
      </c>
      <c r="E1151" s="1">
        <v>45209</v>
      </c>
      <c r="F1151" s="1">
        <v>45359</v>
      </c>
      <c r="G1151" s="2">
        <v>108000</v>
      </c>
      <c r="H1151">
        <v>0</v>
      </c>
      <c r="I1151" t="s">
        <v>1212</v>
      </c>
      <c r="J1151" t="s">
        <v>77</v>
      </c>
      <c r="K1151" t="s">
        <v>15</v>
      </c>
    </row>
    <row r="1152" spans="1:11" x14ac:dyDescent="0.3">
      <c r="A1152" t="s">
        <v>1213</v>
      </c>
      <c r="B1152" t="s">
        <v>1214</v>
      </c>
      <c r="C1152">
        <v>23818</v>
      </c>
      <c r="D1152">
        <v>33172</v>
      </c>
      <c r="E1152" s="1">
        <v>45218</v>
      </c>
      <c r="F1152" s="1">
        <v>45278</v>
      </c>
      <c r="G1152" s="2">
        <v>6600</v>
      </c>
      <c r="H1152">
        <v>0</v>
      </c>
      <c r="I1152" t="s">
        <v>1215</v>
      </c>
      <c r="J1152" t="s">
        <v>122</v>
      </c>
      <c r="K1152" t="s">
        <v>15</v>
      </c>
    </row>
    <row r="1153" spans="1:11" x14ac:dyDescent="0.3">
      <c r="A1153" t="s">
        <v>255</v>
      </c>
      <c r="B1153" t="s">
        <v>256</v>
      </c>
      <c r="C1153">
        <v>21007</v>
      </c>
      <c r="D1153">
        <v>30153</v>
      </c>
      <c r="E1153" s="1">
        <v>44881</v>
      </c>
      <c r="F1153" s="1">
        <v>45076</v>
      </c>
      <c r="G1153" s="2">
        <v>236800</v>
      </c>
      <c r="H1153">
        <v>146</v>
      </c>
      <c r="I1153" t="s">
        <v>1216</v>
      </c>
      <c r="J1153" t="s">
        <v>122</v>
      </c>
      <c r="K1153" t="s">
        <v>15</v>
      </c>
    </row>
    <row r="1154" spans="1:11" x14ac:dyDescent="0.3">
      <c r="A1154" t="s">
        <v>83</v>
      </c>
      <c r="B1154" t="s">
        <v>84</v>
      </c>
      <c r="C1154">
        <v>21616</v>
      </c>
      <c r="D1154">
        <v>30774</v>
      </c>
      <c r="E1154" s="1">
        <v>44950</v>
      </c>
      <c r="F1154" s="1">
        <v>45199</v>
      </c>
      <c r="G1154" s="2">
        <v>335040</v>
      </c>
      <c r="H1154">
        <v>23</v>
      </c>
      <c r="I1154" t="s">
        <v>1217</v>
      </c>
      <c r="J1154" t="s">
        <v>86</v>
      </c>
      <c r="K1154" t="s">
        <v>15</v>
      </c>
    </row>
    <row r="1155" spans="1:11" x14ac:dyDescent="0.3">
      <c r="A1155" t="s">
        <v>228</v>
      </c>
      <c r="B1155" t="s">
        <v>229</v>
      </c>
      <c r="C1155">
        <v>22211</v>
      </c>
      <c r="D1155">
        <v>31406</v>
      </c>
      <c r="E1155" s="1">
        <v>45014</v>
      </c>
      <c r="F1155" s="1">
        <v>45260</v>
      </c>
      <c r="G1155" s="2">
        <v>528000</v>
      </c>
      <c r="H1155">
        <v>0</v>
      </c>
      <c r="I1155" t="s">
        <v>1218</v>
      </c>
      <c r="J1155" t="s">
        <v>206</v>
      </c>
      <c r="K1155" t="s">
        <v>15</v>
      </c>
    </row>
    <row r="1156" spans="1:11" x14ac:dyDescent="0.3">
      <c r="A1156" t="s">
        <v>37</v>
      </c>
      <c r="B1156" t="s">
        <v>29</v>
      </c>
      <c r="C1156">
        <v>22677</v>
      </c>
      <c r="D1156">
        <v>31952</v>
      </c>
      <c r="E1156" s="1">
        <v>45105</v>
      </c>
      <c r="F1156" s="1">
        <v>45468</v>
      </c>
      <c r="G1156" s="2">
        <v>81900</v>
      </c>
      <c r="H1156">
        <v>0</v>
      </c>
      <c r="I1156" t="s">
        <v>1219</v>
      </c>
      <c r="J1156" t="s">
        <v>19</v>
      </c>
      <c r="K1156" t="s">
        <v>15</v>
      </c>
    </row>
    <row r="1157" spans="1:11" x14ac:dyDescent="0.3">
      <c r="A1157" t="s">
        <v>28</v>
      </c>
      <c r="B1157" t="s">
        <v>29</v>
      </c>
      <c r="C1157">
        <v>23020</v>
      </c>
      <c r="D1157">
        <v>32315</v>
      </c>
      <c r="E1157" s="1">
        <v>45155</v>
      </c>
      <c r="F1157" s="1">
        <v>45275</v>
      </c>
      <c r="G1157" s="2">
        <v>128000</v>
      </c>
      <c r="H1157">
        <v>0</v>
      </c>
      <c r="I1157" t="s">
        <v>1220</v>
      </c>
      <c r="J1157" t="s">
        <v>19</v>
      </c>
      <c r="K1157" t="s">
        <v>15</v>
      </c>
    </row>
    <row r="1158" spans="1:11" x14ac:dyDescent="0.3">
      <c r="A1158" t="s">
        <v>31</v>
      </c>
      <c r="B1158" t="s">
        <v>32</v>
      </c>
      <c r="C1158">
        <v>23154</v>
      </c>
      <c r="D1158">
        <v>32458</v>
      </c>
      <c r="E1158" s="1">
        <v>45167</v>
      </c>
      <c r="F1158" s="1">
        <v>45287</v>
      </c>
      <c r="G1158" s="2">
        <v>26099.97</v>
      </c>
      <c r="H1158">
        <v>0</v>
      </c>
      <c r="I1158" t="s">
        <v>1221</v>
      </c>
      <c r="J1158" t="s">
        <v>19</v>
      </c>
      <c r="K1158" t="s">
        <v>15</v>
      </c>
    </row>
    <row r="1159" spans="1:11" x14ac:dyDescent="0.3">
      <c r="A1159" t="s">
        <v>31</v>
      </c>
      <c r="B1159" t="s">
        <v>32</v>
      </c>
      <c r="C1159">
        <v>23154</v>
      </c>
      <c r="D1159">
        <v>32458</v>
      </c>
      <c r="E1159" s="1">
        <v>45167</v>
      </c>
      <c r="F1159" s="1">
        <v>45317</v>
      </c>
      <c r="G1159" s="2">
        <v>26099.97</v>
      </c>
      <c r="H1159">
        <v>0</v>
      </c>
      <c r="I1159" t="s">
        <v>1221</v>
      </c>
      <c r="J1159" t="s">
        <v>19</v>
      </c>
      <c r="K1159" t="s">
        <v>15</v>
      </c>
    </row>
    <row r="1160" spans="1:11" x14ac:dyDescent="0.3">
      <c r="A1160" t="s">
        <v>31</v>
      </c>
      <c r="B1160" t="s">
        <v>32</v>
      </c>
      <c r="C1160">
        <v>23154</v>
      </c>
      <c r="D1160">
        <v>32458</v>
      </c>
      <c r="E1160" s="1">
        <v>45167</v>
      </c>
      <c r="F1160" s="1">
        <v>45347</v>
      </c>
      <c r="G1160" s="2">
        <v>26100.06</v>
      </c>
      <c r="H1160">
        <v>0</v>
      </c>
      <c r="I1160" t="s">
        <v>1221</v>
      </c>
      <c r="J1160" t="s">
        <v>19</v>
      </c>
      <c r="K1160" t="s">
        <v>15</v>
      </c>
    </row>
    <row r="1161" spans="1:11" x14ac:dyDescent="0.3">
      <c r="A1161" t="s">
        <v>228</v>
      </c>
      <c r="B1161" t="s">
        <v>229</v>
      </c>
      <c r="C1161">
        <v>23252</v>
      </c>
      <c r="D1161">
        <v>32568</v>
      </c>
      <c r="E1161" s="1">
        <v>45174</v>
      </c>
      <c r="F1161" s="1">
        <v>45442</v>
      </c>
      <c r="G1161" s="2">
        <v>283205</v>
      </c>
      <c r="H1161">
        <v>0</v>
      </c>
      <c r="I1161" t="s">
        <v>1222</v>
      </c>
      <c r="J1161" t="s">
        <v>206</v>
      </c>
      <c r="K1161" t="s">
        <v>15</v>
      </c>
    </row>
    <row r="1162" spans="1:11" x14ac:dyDescent="0.3">
      <c r="A1162" t="s">
        <v>181</v>
      </c>
      <c r="B1162" t="s">
        <v>182</v>
      </c>
      <c r="C1162">
        <v>23311</v>
      </c>
      <c r="D1162">
        <v>32624</v>
      </c>
      <c r="E1162" s="1">
        <v>45180</v>
      </c>
      <c r="F1162" s="1">
        <v>45595</v>
      </c>
      <c r="G1162" s="2">
        <v>83500</v>
      </c>
      <c r="H1162">
        <v>0</v>
      </c>
      <c r="I1162" t="s">
        <v>1223</v>
      </c>
      <c r="J1162" t="s">
        <v>112</v>
      </c>
      <c r="K1162" t="s">
        <v>15</v>
      </c>
    </row>
    <row r="1163" spans="1:11" x14ac:dyDescent="0.3">
      <c r="A1163" t="s">
        <v>314</v>
      </c>
      <c r="B1163" t="s">
        <v>315</v>
      </c>
      <c r="C1163">
        <v>23445</v>
      </c>
      <c r="D1163">
        <v>32760</v>
      </c>
      <c r="E1163" s="1">
        <v>45187</v>
      </c>
      <c r="F1163" s="1">
        <v>45442</v>
      </c>
      <c r="G1163" s="2">
        <v>225785</v>
      </c>
      <c r="H1163">
        <v>0</v>
      </c>
      <c r="I1163" t="s">
        <v>1224</v>
      </c>
      <c r="J1163" t="s">
        <v>206</v>
      </c>
      <c r="K1163" t="s">
        <v>15</v>
      </c>
    </row>
    <row r="1164" spans="1:11" x14ac:dyDescent="0.3">
      <c r="A1164" t="s">
        <v>88</v>
      </c>
      <c r="B1164" t="s">
        <v>89</v>
      </c>
      <c r="C1164">
        <v>23547</v>
      </c>
      <c r="D1164">
        <v>32868</v>
      </c>
      <c r="E1164" s="1">
        <v>45191</v>
      </c>
      <c r="F1164" s="1">
        <v>45401</v>
      </c>
      <c r="G1164" s="2">
        <v>23520</v>
      </c>
      <c r="H1164">
        <v>0</v>
      </c>
      <c r="I1164" t="s">
        <v>1225</v>
      </c>
      <c r="J1164" t="s">
        <v>27</v>
      </c>
      <c r="K1164" t="s">
        <v>15</v>
      </c>
    </row>
    <row r="1165" spans="1:11" x14ac:dyDescent="0.3">
      <c r="A1165" t="s">
        <v>582</v>
      </c>
      <c r="B1165" t="s">
        <v>583</v>
      </c>
      <c r="C1165">
        <v>23586</v>
      </c>
      <c r="D1165">
        <v>32919</v>
      </c>
      <c r="E1165" s="1">
        <v>45196</v>
      </c>
      <c r="F1165" s="1">
        <v>45346</v>
      </c>
      <c r="G1165" s="2">
        <v>53900</v>
      </c>
      <c r="H1165">
        <v>0</v>
      </c>
      <c r="I1165" t="s">
        <v>1226</v>
      </c>
      <c r="J1165" t="s">
        <v>27</v>
      </c>
    </row>
    <row r="1166" spans="1:11" x14ac:dyDescent="0.3">
      <c r="A1166" t="s">
        <v>582</v>
      </c>
      <c r="B1166" t="s">
        <v>583</v>
      </c>
      <c r="C1166">
        <v>23645</v>
      </c>
      <c r="D1166">
        <v>32979</v>
      </c>
      <c r="E1166" s="1">
        <v>45198</v>
      </c>
      <c r="F1166" s="1">
        <v>45348</v>
      </c>
      <c r="G1166" s="2">
        <v>46200</v>
      </c>
      <c r="H1166">
        <v>0</v>
      </c>
      <c r="I1166" t="s">
        <v>1032</v>
      </c>
      <c r="J1166" t="s">
        <v>27</v>
      </c>
    </row>
    <row r="1167" spans="1:11" x14ac:dyDescent="0.3">
      <c r="A1167" t="s">
        <v>582</v>
      </c>
      <c r="B1167" t="s">
        <v>583</v>
      </c>
      <c r="C1167">
        <v>23715</v>
      </c>
      <c r="D1167">
        <v>33055</v>
      </c>
      <c r="E1167" s="1">
        <v>45205</v>
      </c>
      <c r="F1167" s="1">
        <v>45355</v>
      </c>
      <c r="G1167" s="2">
        <v>46200</v>
      </c>
      <c r="H1167">
        <v>0</v>
      </c>
      <c r="I1167" t="s">
        <v>1227</v>
      </c>
      <c r="J1167" t="s">
        <v>27</v>
      </c>
    </row>
    <row r="1168" spans="1:11" x14ac:dyDescent="0.3">
      <c r="A1168" t="s">
        <v>58</v>
      </c>
      <c r="B1168" t="s">
        <v>59</v>
      </c>
      <c r="C1168">
        <v>23720</v>
      </c>
      <c r="D1168">
        <v>33061</v>
      </c>
      <c r="E1168" s="1">
        <v>45208</v>
      </c>
      <c r="F1168" s="1">
        <v>45298</v>
      </c>
      <c r="G1168" s="2">
        <v>20797.5</v>
      </c>
      <c r="H1168">
        <v>0</v>
      </c>
      <c r="I1168" t="s">
        <v>1228</v>
      </c>
      <c r="J1168" t="s">
        <v>57</v>
      </c>
      <c r="K1168" t="s">
        <v>15</v>
      </c>
    </row>
    <row r="1169" spans="1:11" x14ac:dyDescent="0.3">
      <c r="A1169" t="s">
        <v>398</v>
      </c>
      <c r="B1169" t="s">
        <v>399</v>
      </c>
      <c r="C1169">
        <v>23747</v>
      </c>
      <c r="D1169">
        <v>33088</v>
      </c>
      <c r="E1169" s="1">
        <v>45209</v>
      </c>
      <c r="F1169" s="1">
        <v>45359</v>
      </c>
      <c r="G1169" s="2">
        <v>2086</v>
      </c>
      <c r="H1169">
        <v>0</v>
      </c>
      <c r="I1169" t="s">
        <v>1229</v>
      </c>
      <c r="J1169" t="s">
        <v>401</v>
      </c>
      <c r="K1169" t="s">
        <v>15</v>
      </c>
    </row>
    <row r="1170" spans="1:11" x14ac:dyDescent="0.3">
      <c r="A1170" t="s">
        <v>351</v>
      </c>
      <c r="B1170" t="s">
        <v>352</v>
      </c>
      <c r="C1170">
        <v>23756</v>
      </c>
      <c r="D1170">
        <v>33097</v>
      </c>
      <c r="E1170" s="1">
        <v>45210</v>
      </c>
      <c r="F1170" s="1">
        <v>45240</v>
      </c>
      <c r="G1170" s="2">
        <v>5147</v>
      </c>
      <c r="H1170">
        <v>0</v>
      </c>
      <c r="I1170" t="s">
        <v>1230</v>
      </c>
      <c r="J1170" t="s">
        <v>151</v>
      </c>
      <c r="K1170" t="s">
        <v>15</v>
      </c>
    </row>
    <row r="1171" spans="1:11" x14ac:dyDescent="0.3">
      <c r="A1171" t="s">
        <v>933</v>
      </c>
      <c r="B1171" t="s">
        <v>934</v>
      </c>
      <c r="C1171">
        <v>23779</v>
      </c>
      <c r="D1171">
        <v>33124</v>
      </c>
      <c r="E1171" s="1">
        <v>45215</v>
      </c>
      <c r="F1171" s="1">
        <v>45402</v>
      </c>
      <c r="G1171">
        <v>840</v>
      </c>
      <c r="H1171">
        <v>0</v>
      </c>
      <c r="I1171" t="s">
        <v>1231</v>
      </c>
      <c r="J1171" t="s">
        <v>42</v>
      </c>
      <c r="K1171" t="s">
        <v>15</v>
      </c>
    </row>
    <row r="1172" spans="1:11" x14ac:dyDescent="0.3">
      <c r="A1172" t="s">
        <v>1232</v>
      </c>
      <c r="B1172" t="s">
        <v>1233</v>
      </c>
      <c r="C1172">
        <v>23744</v>
      </c>
      <c r="D1172">
        <v>33085</v>
      </c>
      <c r="E1172" s="1">
        <v>45209</v>
      </c>
      <c r="F1172" s="1">
        <v>45299</v>
      </c>
      <c r="G1172" s="2">
        <v>15296.5</v>
      </c>
      <c r="H1172">
        <v>0</v>
      </c>
      <c r="I1172" t="s">
        <v>1234</v>
      </c>
      <c r="J1172" t="s">
        <v>161</v>
      </c>
      <c r="K1172" t="s">
        <v>15</v>
      </c>
    </row>
    <row r="1173" spans="1:11" x14ac:dyDescent="0.3">
      <c r="A1173" t="s">
        <v>1235</v>
      </c>
      <c r="B1173" t="s">
        <v>1236</v>
      </c>
      <c r="C1173">
        <v>23761</v>
      </c>
      <c r="D1173">
        <v>33104</v>
      </c>
      <c r="E1173" s="1">
        <v>45210</v>
      </c>
      <c r="F1173" s="1">
        <v>45442</v>
      </c>
      <c r="G1173" s="2">
        <v>31800</v>
      </c>
      <c r="H1173">
        <v>0</v>
      </c>
      <c r="I1173" t="s">
        <v>1237</v>
      </c>
      <c r="J1173" t="s">
        <v>46</v>
      </c>
      <c r="K1173" t="s">
        <v>15</v>
      </c>
    </row>
    <row r="1174" spans="1:11" x14ac:dyDescent="0.3">
      <c r="A1174" t="s">
        <v>16</v>
      </c>
      <c r="B1174" t="s">
        <v>17</v>
      </c>
      <c r="C1174">
        <v>22717</v>
      </c>
      <c r="D1174">
        <v>31991</v>
      </c>
      <c r="E1174" s="1">
        <v>45107</v>
      </c>
      <c r="F1174" s="1">
        <v>45227</v>
      </c>
      <c r="G1174" s="2">
        <v>111360</v>
      </c>
      <c r="H1174">
        <v>0</v>
      </c>
      <c r="I1174" t="s">
        <v>1238</v>
      </c>
      <c r="J1174" t="s">
        <v>19</v>
      </c>
      <c r="K1174" t="s">
        <v>15</v>
      </c>
    </row>
    <row r="1175" spans="1:11" x14ac:dyDescent="0.3">
      <c r="A1175" t="s">
        <v>58</v>
      </c>
      <c r="B1175" t="s">
        <v>59</v>
      </c>
      <c r="C1175">
        <v>22785</v>
      </c>
      <c r="D1175">
        <v>32073</v>
      </c>
      <c r="E1175" s="1">
        <v>45120</v>
      </c>
      <c r="F1175" s="1">
        <v>45240</v>
      </c>
      <c r="G1175" s="2">
        <v>52030</v>
      </c>
      <c r="H1175">
        <v>0</v>
      </c>
      <c r="I1175" t="s">
        <v>1239</v>
      </c>
      <c r="J1175" t="s">
        <v>57</v>
      </c>
      <c r="K1175" t="s">
        <v>15</v>
      </c>
    </row>
    <row r="1176" spans="1:11" x14ac:dyDescent="0.3">
      <c r="A1176" t="s">
        <v>589</v>
      </c>
      <c r="B1176" t="s">
        <v>590</v>
      </c>
      <c r="C1176">
        <v>22946</v>
      </c>
      <c r="D1176">
        <v>32221</v>
      </c>
      <c r="E1176" s="1">
        <v>45142</v>
      </c>
      <c r="F1176" s="1">
        <v>45412</v>
      </c>
      <c r="G1176" s="2">
        <v>2304</v>
      </c>
      <c r="H1176">
        <v>0</v>
      </c>
      <c r="I1176" t="s">
        <v>1240</v>
      </c>
      <c r="J1176" t="s">
        <v>99</v>
      </c>
      <c r="K1176" t="s">
        <v>15</v>
      </c>
    </row>
    <row r="1177" spans="1:11" x14ac:dyDescent="0.3">
      <c r="A1177" t="s">
        <v>51</v>
      </c>
      <c r="B1177" t="s">
        <v>52</v>
      </c>
      <c r="C1177">
        <v>22971</v>
      </c>
      <c r="D1177">
        <v>32260</v>
      </c>
      <c r="E1177" s="1">
        <v>45149</v>
      </c>
      <c r="F1177" s="1">
        <v>45269</v>
      </c>
      <c r="G1177" s="2">
        <v>7270.5</v>
      </c>
      <c r="H1177">
        <v>0</v>
      </c>
      <c r="I1177" t="s">
        <v>1241</v>
      </c>
      <c r="J1177" t="s">
        <v>19</v>
      </c>
    </row>
    <row r="1178" spans="1:11" x14ac:dyDescent="0.3">
      <c r="A1178" t="s">
        <v>704</v>
      </c>
      <c r="B1178" t="s">
        <v>705</v>
      </c>
      <c r="C1178">
        <v>22996</v>
      </c>
      <c r="D1178">
        <v>32290</v>
      </c>
      <c r="E1178" s="1">
        <v>45153</v>
      </c>
      <c r="F1178" s="1">
        <v>45333</v>
      </c>
      <c r="G1178" s="2">
        <v>13871.4</v>
      </c>
      <c r="H1178">
        <v>0</v>
      </c>
      <c r="I1178" t="s">
        <v>1242</v>
      </c>
      <c r="J1178" t="s">
        <v>19</v>
      </c>
      <c r="K1178" t="s">
        <v>15</v>
      </c>
    </row>
    <row r="1179" spans="1:11" x14ac:dyDescent="0.3">
      <c r="A1179" t="s">
        <v>70</v>
      </c>
      <c r="B1179" t="s">
        <v>71</v>
      </c>
      <c r="C1179">
        <v>23210</v>
      </c>
      <c r="D1179">
        <v>32524</v>
      </c>
      <c r="E1179" s="1">
        <v>45173</v>
      </c>
      <c r="F1179" s="1">
        <v>45427</v>
      </c>
      <c r="G1179" s="2">
        <v>485580</v>
      </c>
      <c r="H1179">
        <v>0</v>
      </c>
      <c r="I1179" t="s">
        <v>1243</v>
      </c>
      <c r="J1179" t="s">
        <v>73</v>
      </c>
      <c r="K1179" t="s">
        <v>15</v>
      </c>
    </row>
    <row r="1180" spans="1:11" x14ac:dyDescent="0.3">
      <c r="A1180" t="s">
        <v>323</v>
      </c>
      <c r="B1180" t="s">
        <v>324</v>
      </c>
      <c r="C1180">
        <v>23346</v>
      </c>
      <c r="D1180">
        <v>32659</v>
      </c>
      <c r="E1180" s="1">
        <v>45182</v>
      </c>
      <c r="F1180" s="1">
        <v>45442</v>
      </c>
      <c r="G1180" s="2">
        <v>69360</v>
      </c>
      <c r="H1180">
        <v>0</v>
      </c>
      <c r="I1180" t="s">
        <v>1244</v>
      </c>
      <c r="J1180" t="s">
        <v>94</v>
      </c>
      <c r="K1180" t="s">
        <v>15</v>
      </c>
    </row>
    <row r="1181" spans="1:11" x14ac:dyDescent="0.3">
      <c r="A1181" t="s">
        <v>181</v>
      </c>
      <c r="B1181" t="s">
        <v>182</v>
      </c>
      <c r="C1181">
        <v>23603</v>
      </c>
      <c r="D1181">
        <v>32939</v>
      </c>
      <c r="E1181" s="1">
        <v>45197</v>
      </c>
      <c r="F1181" s="1">
        <v>45595</v>
      </c>
      <c r="G1181" s="2">
        <v>74800</v>
      </c>
      <c r="H1181">
        <v>0</v>
      </c>
      <c r="I1181" t="s">
        <v>1245</v>
      </c>
      <c r="J1181" t="s">
        <v>112</v>
      </c>
      <c r="K1181" t="s">
        <v>15</v>
      </c>
    </row>
    <row r="1182" spans="1:11" x14ac:dyDescent="0.3">
      <c r="A1182" t="s">
        <v>20</v>
      </c>
      <c r="B1182" t="s">
        <v>21</v>
      </c>
      <c r="C1182">
        <v>23653</v>
      </c>
      <c r="D1182">
        <v>32987</v>
      </c>
      <c r="E1182" s="1">
        <v>45198</v>
      </c>
      <c r="F1182" s="1">
        <v>45363</v>
      </c>
      <c r="G1182" s="2">
        <v>4110.22</v>
      </c>
      <c r="H1182">
        <v>0</v>
      </c>
      <c r="I1182" t="s">
        <v>1246</v>
      </c>
      <c r="J1182" t="s">
        <v>23</v>
      </c>
      <c r="K1182" t="s">
        <v>15</v>
      </c>
    </row>
    <row r="1183" spans="1:11" x14ac:dyDescent="0.3">
      <c r="A1183" t="s">
        <v>20</v>
      </c>
      <c r="B1183" t="s">
        <v>21</v>
      </c>
      <c r="C1183">
        <v>23653</v>
      </c>
      <c r="D1183">
        <v>32987</v>
      </c>
      <c r="E1183" s="1">
        <v>45198</v>
      </c>
      <c r="F1183" s="1">
        <v>45378</v>
      </c>
      <c r="G1183" s="2">
        <v>4110.24</v>
      </c>
      <c r="H1183">
        <v>0</v>
      </c>
      <c r="I1183" t="s">
        <v>1246</v>
      </c>
      <c r="J1183" t="s">
        <v>23</v>
      </c>
      <c r="K1183" t="s">
        <v>15</v>
      </c>
    </row>
    <row r="1184" spans="1:11" x14ac:dyDescent="0.3">
      <c r="A1184" t="s">
        <v>20</v>
      </c>
      <c r="B1184" t="s">
        <v>21</v>
      </c>
      <c r="C1184">
        <v>23653</v>
      </c>
      <c r="D1184">
        <v>32987</v>
      </c>
      <c r="E1184" s="1">
        <v>45198</v>
      </c>
      <c r="F1184" s="1">
        <v>45258</v>
      </c>
      <c r="G1184" s="2">
        <v>4110.22</v>
      </c>
      <c r="H1184">
        <v>0</v>
      </c>
      <c r="I1184" t="s">
        <v>1246</v>
      </c>
      <c r="J1184" t="s">
        <v>23</v>
      </c>
      <c r="K1184" t="s">
        <v>15</v>
      </c>
    </row>
    <row r="1185" spans="1:11" x14ac:dyDescent="0.3">
      <c r="A1185" t="s">
        <v>20</v>
      </c>
      <c r="B1185" t="s">
        <v>21</v>
      </c>
      <c r="C1185">
        <v>23653</v>
      </c>
      <c r="D1185">
        <v>32987</v>
      </c>
      <c r="E1185" s="1">
        <v>45198</v>
      </c>
      <c r="F1185" s="1">
        <v>45273</v>
      </c>
      <c r="G1185" s="2">
        <v>4110.22</v>
      </c>
      <c r="H1185">
        <v>0</v>
      </c>
      <c r="I1185" t="s">
        <v>1246</v>
      </c>
      <c r="J1185" t="s">
        <v>23</v>
      </c>
      <c r="K1185" t="s">
        <v>15</v>
      </c>
    </row>
    <row r="1186" spans="1:11" x14ac:dyDescent="0.3">
      <c r="A1186" t="s">
        <v>20</v>
      </c>
      <c r="B1186" t="s">
        <v>21</v>
      </c>
      <c r="C1186">
        <v>23653</v>
      </c>
      <c r="D1186">
        <v>32987</v>
      </c>
      <c r="E1186" s="1">
        <v>45198</v>
      </c>
      <c r="F1186" s="1">
        <v>45288</v>
      </c>
      <c r="G1186" s="2">
        <v>4110.22</v>
      </c>
      <c r="H1186">
        <v>0</v>
      </c>
      <c r="I1186" t="s">
        <v>1246</v>
      </c>
      <c r="J1186" t="s">
        <v>23</v>
      </c>
      <c r="K1186" t="s">
        <v>15</v>
      </c>
    </row>
    <row r="1187" spans="1:11" x14ac:dyDescent="0.3">
      <c r="A1187" t="s">
        <v>20</v>
      </c>
      <c r="B1187" t="s">
        <v>21</v>
      </c>
      <c r="C1187">
        <v>23653</v>
      </c>
      <c r="D1187">
        <v>32987</v>
      </c>
      <c r="E1187" s="1">
        <v>45198</v>
      </c>
      <c r="F1187" s="1">
        <v>45303</v>
      </c>
      <c r="G1187" s="2">
        <v>4110.22</v>
      </c>
      <c r="H1187">
        <v>0</v>
      </c>
      <c r="I1187" t="s">
        <v>1246</v>
      </c>
      <c r="J1187" t="s">
        <v>23</v>
      </c>
      <c r="K1187" t="s">
        <v>15</v>
      </c>
    </row>
    <row r="1188" spans="1:11" x14ac:dyDescent="0.3">
      <c r="A1188" t="s">
        <v>20</v>
      </c>
      <c r="B1188" t="s">
        <v>21</v>
      </c>
      <c r="C1188">
        <v>23653</v>
      </c>
      <c r="D1188">
        <v>32987</v>
      </c>
      <c r="E1188" s="1">
        <v>45198</v>
      </c>
      <c r="F1188" s="1">
        <v>45318</v>
      </c>
      <c r="G1188" s="2">
        <v>4110.22</v>
      </c>
      <c r="H1188">
        <v>0</v>
      </c>
      <c r="I1188" t="s">
        <v>1246</v>
      </c>
      <c r="J1188" t="s">
        <v>23</v>
      </c>
      <c r="K1188" t="s">
        <v>15</v>
      </c>
    </row>
    <row r="1189" spans="1:11" x14ac:dyDescent="0.3">
      <c r="A1189" t="s">
        <v>20</v>
      </c>
      <c r="B1189" t="s">
        <v>21</v>
      </c>
      <c r="C1189">
        <v>23653</v>
      </c>
      <c r="D1189">
        <v>32987</v>
      </c>
      <c r="E1189" s="1">
        <v>45198</v>
      </c>
      <c r="F1189" s="1">
        <v>45333</v>
      </c>
      <c r="G1189" s="2">
        <v>4110.22</v>
      </c>
      <c r="H1189">
        <v>0</v>
      </c>
      <c r="I1189" t="s">
        <v>1246</v>
      </c>
      <c r="J1189" t="s">
        <v>23</v>
      </c>
      <c r="K1189" t="s">
        <v>15</v>
      </c>
    </row>
    <row r="1190" spans="1:11" x14ac:dyDescent="0.3">
      <c r="A1190" t="s">
        <v>20</v>
      </c>
      <c r="B1190" t="s">
        <v>21</v>
      </c>
      <c r="C1190">
        <v>23653</v>
      </c>
      <c r="D1190">
        <v>32987</v>
      </c>
      <c r="E1190" s="1">
        <v>45198</v>
      </c>
      <c r="F1190" s="1">
        <v>45348</v>
      </c>
      <c r="G1190" s="2">
        <v>4110.22</v>
      </c>
      <c r="H1190">
        <v>0</v>
      </c>
      <c r="I1190" t="s">
        <v>1246</v>
      </c>
      <c r="J1190" t="s">
        <v>23</v>
      </c>
      <c r="K1190" t="s">
        <v>15</v>
      </c>
    </row>
    <row r="1191" spans="1:11" x14ac:dyDescent="0.3">
      <c r="A1191" t="s">
        <v>576</v>
      </c>
      <c r="B1191" t="s">
        <v>577</v>
      </c>
      <c r="C1191">
        <v>23807</v>
      </c>
      <c r="D1191">
        <v>33156</v>
      </c>
      <c r="E1191" s="1">
        <v>45217</v>
      </c>
      <c r="F1191" s="1">
        <v>45442</v>
      </c>
      <c r="G1191" s="2">
        <v>326400</v>
      </c>
      <c r="H1191">
        <v>0</v>
      </c>
      <c r="I1191" t="s">
        <v>1247</v>
      </c>
      <c r="J1191" t="s">
        <v>112</v>
      </c>
      <c r="K1191" t="s">
        <v>15</v>
      </c>
    </row>
    <row r="1192" spans="1:11" x14ac:dyDescent="0.3">
      <c r="A1192" t="s">
        <v>889</v>
      </c>
      <c r="B1192" t="s">
        <v>890</v>
      </c>
      <c r="C1192">
        <v>23832</v>
      </c>
      <c r="D1192">
        <v>33187</v>
      </c>
      <c r="E1192" s="1">
        <v>45219</v>
      </c>
      <c r="F1192" s="1">
        <v>45309</v>
      </c>
      <c r="G1192">
        <v>346.2</v>
      </c>
      <c r="H1192">
        <v>0</v>
      </c>
      <c r="I1192" t="s">
        <v>1248</v>
      </c>
      <c r="J1192" t="s">
        <v>14</v>
      </c>
      <c r="K1192" t="s">
        <v>15</v>
      </c>
    </row>
    <row r="1193" spans="1:11" x14ac:dyDescent="0.3">
      <c r="A1193" t="s">
        <v>889</v>
      </c>
      <c r="B1193" t="s">
        <v>890</v>
      </c>
      <c r="C1193">
        <v>23832</v>
      </c>
      <c r="D1193">
        <v>33187</v>
      </c>
      <c r="E1193" s="1">
        <v>45219</v>
      </c>
      <c r="F1193" s="1">
        <v>45339</v>
      </c>
      <c r="G1193">
        <v>346.2</v>
      </c>
      <c r="H1193">
        <v>0</v>
      </c>
      <c r="I1193" t="s">
        <v>1248</v>
      </c>
      <c r="J1193" t="s">
        <v>14</v>
      </c>
      <c r="K1193" t="s">
        <v>15</v>
      </c>
    </row>
    <row r="1194" spans="1:11" x14ac:dyDescent="0.3">
      <c r="A1194" t="s">
        <v>889</v>
      </c>
      <c r="B1194" t="s">
        <v>890</v>
      </c>
      <c r="C1194">
        <v>23832</v>
      </c>
      <c r="D1194">
        <v>33187</v>
      </c>
      <c r="E1194" s="1">
        <v>45219</v>
      </c>
      <c r="F1194" s="1">
        <v>45369</v>
      </c>
      <c r="G1194">
        <v>346.2</v>
      </c>
      <c r="H1194">
        <v>0</v>
      </c>
      <c r="I1194" t="s">
        <v>1248</v>
      </c>
      <c r="J1194" t="s">
        <v>14</v>
      </c>
      <c r="K1194" t="s">
        <v>15</v>
      </c>
    </row>
    <row r="1195" spans="1:11" x14ac:dyDescent="0.3">
      <c r="A1195" t="s">
        <v>88</v>
      </c>
      <c r="B1195" t="s">
        <v>89</v>
      </c>
      <c r="C1195">
        <v>23871</v>
      </c>
      <c r="D1195">
        <v>33225</v>
      </c>
      <c r="E1195" s="1">
        <v>45222</v>
      </c>
      <c r="F1195" s="1">
        <v>45432</v>
      </c>
      <c r="G1195" s="2">
        <v>41413</v>
      </c>
      <c r="H1195">
        <v>0</v>
      </c>
      <c r="I1195" t="s">
        <v>1249</v>
      </c>
      <c r="J1195" t="s">
        <v>27</v>
      </c>
      <c r="K1195" t="s">
        <v>15</v>
      </c>
    </row>
    <row r="1196" spans="1:11" x14ac:dyDescent="0.3">
      <c r="A1196" t="s">
        <v>1250</v>
      </c>
      <c r="B1196" t="s">
        <v>1251</v>
      </c>
      <c r="C1196">
        <v>23774</v>
      </c>
      <c r="D1196">
        <v>33119</v>
      </c>
      <c r="E1196" s="1">
        <v>45215</v>
      </c>
      <c r="F1196" s="1">
        <v>45402</v>
      </c>
      <c r="G1196" s="2">
        <v>23760</v>
      </c>
      <c r="H1196">
        <v>0</v>
      </c>
      <c r="I1196" t="s">
        <v>1252</v>
      </c>
      <c r="J1196" t="s">
        <v>42</v>
      </c>
      <c r="K1196" t="s">
        <v>15</v>
      </c>
    </row>
    <row r="1197" spans="1:11" x14ac:dyDescent="0.3">
      <c r="A1197" t="s">
        <v>1253</v>
      </c>
      <c r="B1197" t="s">
        <v>1254</v>
      </c>
      <c r="C1197">
        <v>23776</v>
      </c>
      <c r="D1197">
        <v>33121</v>
      </c>
      <c r="E1197" s="1">
        <v>45215</v>
      </c>
      <c r="F1197" s="1">
        <v>45402</v>
      </c>
      <c r="G1197" s="2">
        <v>29610</v>
      </c>
      <c r="H1197">
        <v>0</v>
      </c>
      <c r="I1197" t="s">
        <v>1255</v>
      </c>
      <c r="J1197" t="s">
        <v>42</v>
      </c>
      <c r="K1197" t="s">
        <v>15</v>
      </c>
    </row>
    <row r="1198" spans="1:11" x14ac:dyDescent="0.3">
      <c r="A1198" t="s">
        <v>79</v>
      </c>
      <c r="B1198" t="s">
        <v>80</v>
      </c>
      <c r="C1198">
        <v>20096</v>
      </c>
      <c r="D1198">
        <v>29181</v>
      </c>
      <c r="E1198" s="1">
        <v>44782</v>
      </c>
      <c r="F1198" s="1">
        <v>45046</v>
      </c>
      <c r="G1198" s="2">
        <v>10902.48</v>
      </c>
      <c r="H1198">
        <v>176</v>
      </c>
      <c r="I1198" t="s">
        <v>1256</v>
      </c>
      <c r="J1198" t="s">
        <v>82</v>
      </c>
      <c r="K1198" t="s">
        <v>15</v>
      </c>
    </row>
    <row r="1199" spans="1:11" x14ac:dyDescent="0.3">
      <c r="A1199" t="s">
        <v>255</v>
      </c>
      <c r="B1199" t="s">
        <v>256</v>
      </c>
      <c r="C1199">
        <v>20498</v>
      </c>
      <c r="D1199">
        <v>29598</v>
      </c>
      <c r="E1199" s="1">
        <v>44823</v>
      </c>
      <c r="F1199" s="1">
        <v>45076</v>
      </c>
      <c r="G1199" s="2">
        <v>123850</v>
      </c>
      <c r="H1199">
        <v>146</v>
      </c>
      <c r="I1199" t="s">
        <v>1257</v>
      </c>
      <c r="J1199" t="s">
        <v>122</v>
      </c>
      <c r="K1199" t="s">
        <v>15</v>
      </c>
    </row>
    <row r="1200" spans="1:11" x14ac:dyDescent="0.3">
      <c r="A1200" t="s">
        <v>109</v>
      </c>
      <c r="B1200" t="s">
        <v>110</v>
      </c>
      <c r="C1200">
        <v>21498</v>
      </c>
      <c r="D1200">
        <v>30656</v>
      </c>
      <c r="E1200" s="1">
        <v>44936</v>
      </c>
      <c r="F1200" s="1">
        <v>45168</v>
      </c>
      <c r="G1200" s="2">
        <v>207900</v>
      </c>
      <c r="H1200">
        <v>54</v>
      </c>
      <c r="I1200" t="s">
        <v>1258</v>
      </c>
      <c r="J1200" t="s">
        <v>112</v>
      </c>
      <c r="K1200" t="s">
        <v>15</v>
      </c>
    </row>
    <row r="1201" spans="1:11" x14ac:dyDescent="0.3">
      <c r="A1201" t="s">
        <v>132</v>
      </c>
      <c r="B1201" t="s">
        <v>133</v>
      </c>
      <c r="C1201">
        <v>22395</v>
      </c>
      <c r="D1201">
        <v>31636</v>
      </c>
      <c r="E1201" s="1">
        <v>45044</v>
      </c>
      <c r="F1201" s="1">
        <v>45229</v>
      </c>
      <c r="G1201" s="2">
        <v>175590</v>
      </c>
      <c r="H1201">
        <v>0</v>
      </c>
      <c r="I1201" t="s">
        <v>1259</v>
      </c>
      <c r="J1201" t="s">
        <v>135</v>
      </c>
      <c r="K1201" t="s">
        <v>15</v>
      </c>
    </row>
    <row r="1202" spans="1:11" x14ac:dyDescent="0.3">
      <c r="A1202" t="s">
        <v>323</v>
      </c>
      <c r="B1202" t="s">
        <v>324</v>
      </c>
      <c r="C1202">
        <v>22525</v>
      </c>
      <c r="D1202">
        <v>31786</v>
      </c>
      <c r="E1202" s="1">
        <v>45075</v>
      </c>
      <c r="F1202" s="1">
        <v>45229</v>
      </c>
      <c r="G1202" s="2">
        <v>9000</v>
      </c>
      <c r="H1202">
        <v>0</v>
      </c>
      <c r="I1202" t="s">
        <v>1260</v>
      </c>
      <c r="J1202" t="s">
        <v>94</v>
      </c>
      <c r="K1202" t="s">
        <v>15</v>
      </c>
    </row>
    <row r="1203" spans="1:11" x14ac:dyDescent="0.3">
      <c r="A1203" t="s">
        <v>37</v>
      </c>
      <c r="B1203" t="s">
        <v>29</v>
      </c>
      <c r="C1203">
        <v>22893</v>
      </c>
      <c r="D1203">
        <v>32161</v>
      </c>
      <c r="E1203" s="1">
        <v>45134</v>
      </c>
      <c r="F1203" s="1">
        <v>45468</v>
      </c>
      <c r="G1203" s="2">
        <v>58000</v>
      </c>
      <c r="H1203">
        <v>0</v>
      </c>
      <c r="I1203" t="s">
        <v>1261</v>
      </c>
      <c r="J1203" t="s">
        <v>19</v>
      </c>
      <c r="K1203" t="s">
        <v>15</v>
      </c>
    </row>
    <row r="1204" spans="1:11" x14ac:dyDescent="0.3">
      <c r="A1204" t="s">
        <v>54</v>
      </c>
      <c r="B1204" t="s">
        <v>55</v>
      </c>
      <c r="C1204">
        <v>22929</v>
      </c>
      <c r="D1204">
        <v>32201</v>
      </c>
      <c r="E1204" s="1">
        <v>45141</v>
      </c>
      <c r="F1204" s="1">
        <v>45261</v>
      </c>
      <c r="G1204" s="2">
        <v>3619.25</v>
      </c>
      <c r="H1204">
        <v>0</v>
      </c>
      <c r="I1204" t="s">
        <v>1262</v>
      </c>
      <c r="J1204" t="s">
        <v>57</v>
      </c>
      <c r="K1204" t="s">
        <v>15</v>
      </c>
    </row>
    <row r="1205" spans="1:11" x14ac:dyDescent="0.3">
      <c r="A1205" t="s">
        <v>145</v>
      </c>
      <c r="B1205" t="s">
        <v>146</v>
      </c>
      <c r="C1205">
        <v>23029</v>
      </c>
      <c r="D1205">
        <v>32322</v>
      </c>
      <c r="E1205" s="1">
        <v>45155</v>
      </c>
      <c r="F1205" s="1">
        <v>45412</v>
      </c>
      <c r="G1205" s="2">
        <v>187000</v>
      </c>
      <c r="H1205">
        <v>0</v>
      </c>
      <c r="I1205" t="s">
        <v>1263</v>
      </c>
      <c r="J1205" t="s">
        <v>82</v>
      </c>
      <c r="K1205" t="s">
        <v>15</v>
      </c>
    </row>
    <row r="1206" spans="1:11" x14ac:dyDescent="0.3">
      <c r="A1206" t="s">
        <v>34</v>
      </c>
      <c r="B1206" t="s">
        <v>35</v>
      </c>
      <c r="C1206">
        <v>23130</v>
      </c>
      <c r="D1206">
        <v>32436</v>
      </c>
      <c r="E1206" s="1">
        <v>45166</v>
      </c>
      <c r="F1206" s="1">
        <v>45346</v>
      </c>
      <c r="G1206">
        <v>338</v>
      </c>
      <c r="H1206">
        <v>0</v>
      </c>
      <c r="I1206" t="s">
        <v>962</v>
      </c>
      <c r="J1206" t="s">
        <v>19</v>
      </c>
      <c r="K1206" t="s">
        <v>15</v>
      </c>
    </row>
    <row r="1207" spans="1:11" x14ac:dyDescent="0.3">
      <c r="A1207" t="s">
        <v>1265</v>
      </c>
      <c r="B1207" t="s">
        <v>1266</v>
      </c>
      <c r="C1207">
        <v>23202</v>
      </c>
      <c r="D1207">
        <v>32515</v>
      </c>
      <c r="E1207" s="1">
        <v>45172</v>
      </c>
      <c r="F1207" s="1">
        <v>45412</v>
      </c>
      <c r="G1207" s="2">
        <v>339863</v>
      </c>
      <c r="H1207">
        <v>0</v>
      </c>
      <c r="I1207" t="s">
        <v>1267</v>
      </c>
      <c r="J1207" t="s">
        <v>73</v>
      </c>
      <c r="K1207" t="s">
        <v>15</v>
      </c>
    </row>
    <row r="1208" spans="1:11" x14ac:dyDescent="0.3">
      <c r="A1208" t="s">
        <v>88</v>
      </c>
      <c r="B1208" t="s">
        <v>89</v>
      </c>
      <c r="C1208">
        <v>23540</v>
      </c>
      <c r="D1208">
        <v>32861</v>
      </c>
      <c r="E1208" s="1">
        <v>45191</v>
      </c>
      <c r="F1208" s="1">
        <v>45341</v>
      </c>
      <c r="G1208" s="2">
        <v>67500</v>
      </c>
      <c r="H1208">
        <v>0</v>
      </c>
      <c r="I1208" t="s">
        <v>1268</v>
      </c>
      <c r="J1208" t="s">
        <v>27</v>
      </c>
      <c r="K1208" t="s">
        <v>15</v>
      </c>
    </row>
    <row r="1209" spans="1:11" x14ac:dyDescent="0.3">
      <c r="A1209" t="s">
        <v>88</v>
      </c>
      <c r="B1209" t="s">
        <v>89</v>
      </c>
      <c r="C1209">
        <v>23540</v>
      </c>
      <c r="D1209">
        <v>32861</v>
      </c>
      <c r="E1209" s="1">
        <v>45191</v>
      </c>
      <c r="F1209" s="1">
        <v>45371</v>
      </c>
      <c r="G1209" s="2">
        <v>67500</v>
      </c>
      <c r="H1209">
        <v>0</v>
      </c>
      <c r="I1209" t="s">
        <v>1268</v>
      </c>
      <c r="J1209" t="s">
        <v>27</v>
      </c>
      <c r="K1209" t="s">
        <v>15</v>
      </c>
    </row>
    <row r="1210" spans="1:11" x14ac:dyDescent="0.3">
      <c r="A1210" t="s">
        <v>752</v>
      </c>
      <c r="B1210" t="s">
        <v>753</v>
      </c>
      <c r="C1210">
        <v>23561</v>
      </c>
      <c r="D1210">
        <v>32889</v>
      </c>
      <c r="E1210" s="1">
        <v>45194</v>
      </c>
      <c r="F1210" s="1">
        <v>45323</v>
      </c>
      <c r="G1210" s="2">
        <v>172134</v>
      </c>
      <c r="H1210">
        <v>0</v>
      </c>
      <c r="I1210" t="s">
        <v>1269</v>
      </c>
      <c r="J1210" t="s">
        <v>190</v>
      </c>
      <c r="K1210" t="s">
        <v>15</v>
      </c>
    </row>
    <row r="1211" spans="1:11" x14ac:dyDescent="0.3">
      <c r="A1211" t="s">
        <v>31</v>
      </c>
      <c r="B1211" t="s">
        <v>32</v>
      </c>
      <c r="C1211">
        <v>23565</v>
      </c>
      <c r="D1211">
        <v>32896</v>
      </c>
      <c r="E1211" s="1">
        <v>45195</v>
      </c>
      <c r="F1211" s="1">
        <v>45315</v>
      </c>
      <c r="G1211" s="2">
        <v>45884.95</v>
      </c>
      <c r="H1211">
        <v>0</v>
      </c>
      <c r="I1211" t="s">
        <v>1270</v>
      </c>
      <c r="J1211" t="s">
        <v>19</v>
      </c>
      <c r="K1211" t="s">
        <v>15</v>
      </c>
    </row>
    <row r="1212" spans="1:11" x14ac:dyDescent="0.3">
      <c r="A1212" t="s">
        <v>31</v>
      </c>
      <c r="B1212" t="s">
        <v>32</v>
      </c>
      <c r="C1212">
        <v>23565</v>
      </c>
      <c r="D1212">
        <v>32896</v>
      </c>
      <c r="E1212" s="1">
        <v>45195</v>
      </c>
      <c r="F1212" s="1">
        <v>45345</v>
      </c>
      <c r="G1212" s="2">
        <v>45884.95</v>
      </c>
      <c r="H1212">
        <v>0</v>
      </c>
      <c r="I1212" t="s">
        <v>1270</v>
      </c>
      <c r="J1212" t="s">
        <v>19</v>
      </c>
      <c r="K1212" t="s">
        <v>15</v>
      </c>
    </row>
    <row r="1213" spans="1:11" x14ac:dyDescent="0.3">
      <c r="A1213" t="s">
        <v>31</v>
      </c>
      <c r="B1213" t="s">
        <v>32</v>
      </c>
      <c r="C1213">
        <v>23565</v>
      </c>
      <c r="D1213">
        <v>32896</v>
      </c>
      <c r="E1213" s="1">
        <v>45195</v>
      </c>
      <c r="F1213" s="1">
        <v>45375</v>
      </c>
      <c r="G1213" s="2">
        <v>45885.1</v>
      </c>
      <c r="H1213">
        <v>0</v>
      </c>
      <c r="I1213" t="s">
        <v>1270</v>
      </c>
      <c r="J1213" t="s">
        <v>19</v>
      </c>
      <c r="K1213" t="s">
        <v>15</v>
      </c>
    </row>
    <row r="1214" spans="1:11" x14ac:dyDescent="0.3">
      <c r="A1214" t="s">
        <v>301</v>
      </c>
      <c r="B1214" t="s">
        <v>302</v>
      </c>
      <c r="C1214">
        <v>23672</v>
      </c>
      <c r="D1214">
        <v>33008</v>
      </c>
      <c r="E1214" s="1">
        <v>45203</v>
      </c>
      <c r="F1214" s="1">
        <v>45323</v>
      </c>
      <c r="G1214" s="2">
        <v>32800</v>
      </c>
      <c r="H1214">
        <v>0</v>
      </c>
      <c r="I1214" t="s">
        <v>1271</v>
      </c>
      <c r="J1214" t="s">
        <v>57</v>
      </c>
      <c r="K1214" t="s">
        <v>15</v>
      </c>
    </row>
    <row r="1215" spans="1:11" x14ac:dyDescent="0.3">
      <c r="A1215" t="s">
        <v>658</v>
      </c>
      <c r="B1215" t="s">
        <v>659</v>
      </c>
      <c r="C1215">
        <v>23763</v>
      </c>
      <c r="D1215">
        <v>33106</v>
      </c>
      <c r="E1215" s="1">
        <v>45212</v>
      </c>
      <c r="F1215" s="1">
        <v>45242</v>
      </c>
      <c r="G1215" s="2">
        <v>46930</v>
      </c>
      <c r="H1215">
        <v>0</v>
      </c>
      <c r="I1215" t="s">
        <v>1272</v>
      </c>
      <c r="J1215" t="s">
        <v>94</v>
      </c>
      <c r="K1215" t="s">
        <v>15</v>
      </c>
    </row>
    <row r="1216" spans="1:11" x14ac:dyDescent="0.3">
      <c r="A1216" t="s">
        <v>504</v>
      </c>
      <c r="B1216" t="s">
        <v>505</v>
      </c>
      <c r="C1216">
        <v>23797</v>
      </c>
      <c r="D1216">
        <v>33141</v>
      </c>
      <c r="E1216" s="1">
        <v>45216</v>
      </c>
      <c r="F1216" s="1">
        <v>45576</v>
      </c>
      <c r="G1216" s="2">
        <v>230240</v>
      </c>
      <c r="H1216">
        <v>0</v>
      </c>
      <c r="I1216" t="s">
        <v>1273</v>
      </c>
      <c r="J1216" t="s">
        <v>94</v>
      </c>
      <c r="K1216" t="s">
        <v>15</v>
      </c>
    </row>
    <row r="1217" spans="1:11" x14ac:dyDescent="0.3">
      <c r="A1217" t="s">
        <v>11</v>
      </c>
      <c r="B1217" t="s">
        <v>12</v>
      </c>
      <c r="C1217">
        <v>23829</v>
      </c>
      <c r="D1217">
        <v>33184</v>
      </c>
      <c r="E1217" s="1">
        <v>45219</v>
      </c>
      <c r="F1217" s="1">
        <v>45249</v>
      </c>
      <c r="G1217" s="2">
        <v>1200</v>
      </c>
      <c r="H1217">
        <v>0</v>
      </c>
      <c r="I1217" t="s">
        <v>1274</v>
      </c>
      <c r="J1217" t="s">
        <v>14</v>
      </c>
      <c r="K1217" t="s">
        <v>15</v>
      </c>
    </row>
    <row r="1218" spans="1:11" x14ac:dyDescent="0.3">
      <c r="A1218" t="s">
        <v>11</v>
      </c>
      <c r="B1218" t="s">
        <v>12</v>
      </c>
      <c r="C1218">
        <v>23829</v>
      </c>
      <c r="D1218">
        <v>33184</v>
      </c>
      <c r="E1218" s="1">
        <v>45219</v>
      </c>
      <c r="F1218" s="1">
        <v>45279</v>
      </c>
      <c r="G1218" s="2">
        <v>1200</v>
      </c>
      <c r="H1218">
        <v>0</v>
      </c>
      <c r="I1218" t="s">
        <v>1274</v>
      </c>
      <c r="J1218" t="s">
        <v>14</v>
      </c>
      <c r="K1218" t="s">
        <v>15</v>
      </c>
    </row>
    <row r="1219" spans="1:11" x14ac:dyDescent="0.3">
      <c r="A1219" t="s">
        <v>11</v>
      </c>
      <c r="B1219" t="s">
        <v>12</v>
      </c>
      <c r="C1219">
        <v>23829</v>
      </c>
      <c r="D1219">
        <v>33184</v>
      </c>
      <c r="E1219" s="1">
        <v>45219</v>
      </c>
      <c r="F1219" s="1">
        <v>45309</v>
      </c>
      <c r="G1219" s="2">
        <v>1200</v>
      </c>
      <c r="H1219">
        <v>0</v>
      </c>
      <c r="I1219" t="s">
        <v>1274</v>
      </c>
      <c r="J1219" t="s">
        <v>14</v>
      </c>
      <c r="K1219" t="s">
        <v>15</v>
      </c>
    </row>
    <row r="1220" spans="1:11" x14ac:dyDescent="0.3">
      <c r="A1220" t="s">
        <v>236</v>
      </c>
      <c r="B1220" t="s">
        <v>237</v>
      </c>
      <c r="C1220">
        <v>23552</v>
      </c>
      <c r="D1220">
        <v>32881</v>
      </c>
      <c r="E1220" s="1">
        <v>45194</v>
      </c>
      <c r="F1220" s="1">
        <v>45314</v>
      </c>
      <c r="G1220" s="2">
        <v>28754.2</v>
      </c>
      <c r="H1220">
        <v>0</v>
      </c>
      <c r="I1220" t="s">
        <v>1275</v>
      </c>
      <c r="J1220" t="s">
        <v>19</v>
      </c>
      <c r="K1220" t="s">
        <v>15</v>
      </c>
    </row>
    <row r="1221" spans="1:11" x14ac:dyDescent="0.3">
      <c r="A1221" t="s">
        <v>1276</v>
      </c>
      <c r="B1221" t="s">
        <v>1277</v>
      </c>
      <c r="C1221">
        <v>23584</v>
      </c>
      <c r="D1221">
        <v>32917</v>
      </c>
      <c r="E1221" s="1">
        <v>45196</v>
      </c>
      <c r="F1221" s="1">
        <v>45226</v>
      </c>
      <c r="G1221" s="2">
        <v>97200</v>
      </c>
      <c r="H1221">
        <v>0</v>
      </c>
      <c r="I1221" t="s">
        <v>1278</v>
      </c>
      <c r="J1221" t="s">
        <v>19</v>
      </c>
      <c r="K1221" t="s">
        <v>15</v>
      </c>
    </row>
    <row r="1222" spans="1:11" x14ac:dyDescent="0.3">
      <c r="A1222" t="s">
        <v>1279</v>
      </c>
      <c r="B1222" t="s">
        <v>1280</v>
      </c>
      <c r="C1222">
        <v>23702</v>
      </c>
      <c r="D1222">
        <v>33039</v>
      </c>
      <c r="E1222" s="1">
        <v>45204</v>
      </c>
      <c r="F1222" s="1">
        <v>45402</v>
      </c>
      <c r="G1222" s="2">
        <v>95130</v>
      </c>
      <c r="H1222">
        <v>0</v>
      </c>
      <c r="I1222" t="s">
        <v>1281</v>
      </c>
      <c r="J1222" t="s">
        <v>42</v>
      </c>
      <c r="K1222" t="s">
        <v>15</v>
      </c>
    </row>
    <row r="1223" spans="1:11" x14ac:dyDescent="0.3">
      <c r="A1223" t="s">
        <v>289</v>
      </c>
      <c r="B1223" t="s">
        <v>290</v>
      </c>
      <c r="C1223">
        <v>23769</v>
      </c>
      <c r="D1223">
        <v>33114</v>
      </c>
      <c r="E1223" s="1">
        <v>45215</v>
      </c>
      <c r="F1223" s="1">
        <v>45402</v>
      </c>
      <c r="G1223" s="2">
        <v>32250</v>
      </c>
      <c r="H1223">
        <v>0</v>
      </c>
      <c r="I1223" t="s">
        <v>1282</v>
      </c>
      <c r="J1223" t="s">
        <v>73</v>
      </c>
      <c r="K1223" t="s">
        <v>15</v>
      </c>
    </row>
    <row r="1224" spans="1:11" x14ac:dyDescent="0.3">
      <c r="A1224" t="s">
        <v>136</v>
      </c>
      <c r="B1224" t="s">
        <v>137</v>
      </c>
      <c r="C1224">
        <v>23819</v>
      </c>
      <c r="D1224">
        <v>33173</v>
      </c>
      <c r="E1224" s="1">
        <v>45218</v>
      </c>
      <c r="F1224" s="1">
        <v>45368</v>
      </c>
      <c r="G1224" s="2">
        <v>14920</v>
      </c>
      <c r="H1224">
        <v>0</v>
      </c>
      <c r="I1224" t="s">
        <v>1283</v>
      </c>
      <c r="J1224" t="s">
        <v>122</v>
      </c>
      <c r="K1224" t="s">
        <v>15</v>
      </c>
    </row>
    <row r="1225" spans="1:11" x14ac:dyDescent="0.3">
      <c r="A1225" t="s">
        <v>88</v>
      </c>
      <c r="B1225" t="s">
        <v>89</v>
      </c>
      <c r="C1225">
        <v>23870</v>
      </c>
      <c r="D1225">
        <v>33224</v>
      </c>
      <c r="E1225" s="1">
        <v>45222</v>
      </c>
      <c r="F1225" s="1">
        <v>45372</v>
      </c>
      <c r="G1225" s="2">
        <v>56250</v>
      </c>
      <c r="H1225">
        <v>0</v>
      </c>
      <c r="I1225" t="s">
        <v>1284</v>
      </c>
      <c r="J1225" t="s">
        <v>27</v>
      </c>
      <c r="K1225" t="s">
        <v>15</v>
      </c>
    </row>
    <row r="1226" spans="1:11" x14ac:dyDescent="0.3">
      <c r="A1226" t="s">
        <v>88</v>
      </c>
      <c r="B1226" t="s">
        <v>89</v>
      </c>
      <c r="C1226">
        <v>23870</v>
      </c>
      <c r="D1226">
        <v>33224</v>
      </c>
      <c r="E1226" s="1">
        <v>45222</v>
      </c>
      <c r="F1226" s="1">
        <v>45402</v>
      </c>
      <c r="G1226" s="2">
        <v>56250</v>
      </c>
      <c r="H1226">
        <v>0</v>
      </c>
      <c r="I1226" t="s">
        <v>1284</v>
      </c>
      <c r="J1226" t="s">
        <v>27</v>
      </c>
      <c r="K1226" t="s">
        <v>15</v>
      </c>
    </row>
    <row r="1227" spans="1:11" x14ac:dyDescent="0.3">
      <c r="A1227" t="s">
        <v>109</v>
      </c>
      <c r="B1227" t="s">
        <v>110</v>
      </c>
      <c r="C1227">
        <v>22201</v>
      </c>
      <c r="D1227">
        <v>31394</v>
      </c>
      <c r="E1227" s="1">
        <v>45013</v>
      </c>
      <c r="F1227" s="1">
        <v>45133</v>
      </c>
      <c r="G1227" s="2">
        <v>132371.20000000001</v>
      </c>
      <c r="H1227">
        <v>89</v>
      </c>
      <c r="I1227" t="s">
        <v>1285</v>
      </c>
      <c r="J1227" t="s">
        <v>112</v>
      </c>
      <c r="K1227" t="s">
        <v>15</v>
      </c>
    </row>
    <row r="1228" spans="1:11" x14ac:dyDescent="0.3">
      <c r="A1228" t="s">
        <v>323</v>
      </c>
      <c r="B1228" t="s">
        <v>324</v>
      </c>
      <c r="C1228">
        <v>22294</v>
      </c>
      <c r="D1228">
        <v>31506</v>
      </c>
      <c r="E1228" s="1">
        <v>45034</v>
      </c>
      <c r="F1228" s="1">
        <v>45229</v>
      </c>
      <c r="G1228" s="2">
        <v>25280</v>
      </c>
      <c r="H1228">
        <v>0</v>
      </c>
      <c r="I1228" t="s">
        <v>1286</v>
      </c>
      <c r="J1228" t="s">
        <v>94</v>
      </c>
      <c r="K1228" t="s">
        <v>15</v>
      </c>
    </row>
    <row r="1229" spans="1:11" x14ac:dyDescent="0.3">
      <c r="A1229" t="s">
        <v>136</v>
      </c>
      <c r="B1229" t="s">
        <v>137</v>
      </c>
      <c r="C1229">
        <v>22819</v>
      </c>
      <c r="D1229">
        <v>32105</v>
      </c>
      <c r="E1229" s="1">
        <v>45127</v>
      </c>
      <c r="F1229" s="1">
        <v>45248</v>
      </c>
      <c r="G1229" s="2">
        <v>16169.98</v>
      </c>
      <c r="H1229">
        <v>0</v>
      </c>
      <c r="I1229" t="s">
        <v>1287</v>
      </c>
      <c r="J1229" t="s">
        <v>122</v>
      </c>
      <c r="K1229" t="s">
        <v>15</v>
      </c>
    </row>
    <row r="1230" spans="1:11" x14ac:dyDescent="0.3">
      <c r="A1230" t="s">
        <v>136</v>
      </c>
      <c r="B1230" t="s">
        <v>137</v>
      </c>
      <c r="C1230">
        <v>22819</v>
      </c>
      <c r="D1230">
        <v>32105</v>
      </c>
      <c r="E1230" s="1">
        <v>45127</v>
      </c>
      <c r="F1230" s="1">
        <v>45279</v>
      </c>
      <c r="G1230" s="2">
        <v>16170.04</v>
      </c>
      <c r="H1230">
        <v>0</v>
      </c>
      <c r="I1230" t="s">
        <v>1287</v>
      </c>
      <c r="J1230" t="s">
        <v>122</v>
      </c>
      <c r="K1230" t="s">
        <v>15</v>
      </c>
    </row>
    <row r="1231" spans="1:11" x14ac:dyDescent="0.3">
      <c r="A1231" t="s">
        <v>96</v>
      </c>
      <c r="B1231" t="s">
        <v>97</v>
      </c>
      <c r="C1231">
        <v>23080</v>
      </c>
      <c r="D1231">
        <v>32378</v>
      </c>
      <c r="E1231" s="1">
        <v>45162</v>
      </c>
      <c r="F1231" s="1">
        <v>45379</v>
      </c>
      <c r="G1231" s="2">
        <v>31184</v>
      </c>
      <c r="H1231">
        <v>0</v>
      </c>
      <c r="I1231" t="s">
        <v>1288</v>
      </c>
      <c r="J1231" t="s">
        <v>99</v>
      </c>
      <c r="K1231" t="s">
        <v>15</v>
      </c>
    </row>
    <row r="1232" spans="1:11" x14ac:dyDescent="0.3">
      <c r="A1232" t="s">
        <v>136</v>
      </c>
      <c r="B1232" t="s">
        <v>137</v>
      </c>
      <c r="C1232">
        <v>23219</v>
      </c>
      <c r="D1232">
        <v>32535</v>
      </c>
      <c r="E1232" s="1">
        <v>45173</v>
      </c>
      <c r="F1232" s="1">
        <v>45263</v>
      </c>
      <c r="G1232" s="2">
        <v>3150</v>
      </c>
      <c r="H1232">
        <v>0</v>
      </c>
      <c r="I1232" t="s">
        <v>1289</v>
      </c>
      <c r="J1232" t="s">
        <v>122</v>
      </c>
      <c r="K1232" t="s">
        <v>15</v>
      </c>
    </row>
    <row r="1233" spans="1:11" x14ac:dyDescent="0.3">
      <c r="A1233" t="s">
        <v>136</v>
      </c>
      <c r="B1233" t="s">
        <v>137</v>
      </c>
      <c r="C1233">
        <v>23219</v>
      </c>
      <c r="D1233">
        <v>32535</v>
      </c>
      <c r="E1233" s="1">
        <v>45173</v>
      </c>
      <c r="F1233" s="1">
        <v>45293</v>
      </c>
      <c r="G1233" s="2">
        <v>3150</v>
      </c>
      <c r="H1233">
        <v>0</v>
      </c>
      <c r="I1233" t="s">
        <v>1289</v>
      </c>
      <c r="J1233" t="s">
        <v>122</v>
      </c>
      <c r="K1233" t="s">
        <v>15</v>
      </c>
    </row>
    <row r="1234" spans="1:11" x14ac:dyDescent="0.3">
      <c r="A1234" t="s">
        <v>136</v>
      </c>
      <c r="B1234" t="s">
        <v>137</v>
      </c>
      <c r="C1234">
        <v>23219</v>
      </c>
      <c r="D1234">
        <v>32535</v>
      </c>
      <c r="E1234" s="1">
        <v>45173</v>
      </c>
      <c r="F1234" s="1">
        <v>45323</v>
      </c>
      <c r="G1234" s="2">
        <v>3150</v>
      </c>
      <c r="H1234">
        <v>0</v>
      </c>
      <c r="I1234" t="s">
        <v>1289</v>
      </c>
      <c r="J1234" t="s">
        <v>122</v>
      </c>
      <c r="K1234" t="s">
        <v>15</v>
      </c>
    </row>
    <row r="1235" spans="1:11" x14ac:dyDescent="0.3">
      <c r="A1235" t="s">
        <v>39</v>
      </c>
      <c r="B1235" t="s">
        <v>40</v>
      </c>
      <c r="C1235">
        <v>23312</v>
      </c>
      <c r="D1235">
        <v>32625</v>
      </c>
      <c r="E1235" s="1">
        <v>45180</v>
      </c>
      <c r="F1235" s="1">
        <v>45493</v>
      </c>
      <c r="G1235" s="2">
        <v>36531.440000000002</v>
      </c>
      <c r="H1235">
        <v>0</v>
      </c>
      <c r="I1235" t="s">
        <v>1290</v>
      </c>
      <c r="J1235" t="s">
        <v>42</v>
      </c>
      <c r="K1235" t="s">
        <v>15</v>
      </c>
    </row>
    <row r="1236" spans="1:11" x14ac:dyDescent="0.3">
      <c r="A1236" t="s">
        <v>39</v>
      </c>
      <c r="B1236" t="s">
        <v>40</v>
      </c>
      <c r="C1236">
        <v>23312</v>
      </c>
      <c r="D1236">
        <v>32625</v>
      </c>
      <c r="E1236" s="1">
        <v>45180</v>
      </c>
      <c r="F1236" s="1">
        <v>45524</v>
      </c>
      <c r="G1236" s="2">
        <v>36531.440000000002</v>
      </c>
      <c r="H1236">
        <v>0</v>
      </c>
      <c r="I1236" t="s">
        <v>1290</v>
      </c>
      <c r="J1236" t="s">
        <v>42</v>
      </c>
      <c r="K1236" t="s">
        <v>15</v>
      </c>
    </row>
    <row r="1237" spans="1:11" x14ac:dyDescent="0.3">
      <c r="A1237" t="s">
        <v>39</v>
      </c>
      <c r="B1237" t="s">
        <v>40</v>
      </c>
      <c r="C1237">
        <v>23312</v>
      </c>
      <c r="D1237">
        <v>32625</v>
      </c>
      <c r="E1237" s="1">
        <v>45180</v>
      </c>
      <c r="F1237" s="1">
        <v>45555</v>
      </c>
      <c r="G1237" s="2">
        <v>36531.440000000002</v>
      </c>
      <c r="H1237">
        <v>0</v>
      </c>
      <c r="I1237" t="s">
        <v>1290</v>
      </c>
      <c r="J1237" t="s">
        <v>42</v>
      </c>
      <c r="K1237" t="s">
        <v>15</v>
      </c>
    </row>
    <row r="1238" spans="1:11" x14ac:dyDescent="0.3">
      <c r="A1238" t="s">
        <v>39</v>
      </c>
      <c r="B1238" t="s">
        <v>40</v>
      </c>
      <c r="C1238">
        <v>23312</v>
      </c>
      <c r="D1238">
        <v>32625</v>
      </c>
      <c r="E1238" s="1">
        <v>45180</v>
      </c>
      <c r="F1238" s="1">
        <v>45585</v>
      </c>
      <c r="G1238" s="2">
        <v>36531.440000000002</v>
      </c>
      <c r="H1238">
        <v>0</v>
      </c>
      <c r="I1238" t="s">
        <v>1290</v>
      </c>
      <c r="J1238" t="s">
        <v>42</v>
      </c>
      <c r="K1238" t="s">
        <v>15</v>
      </c>
    </row>
    <row r="1239" spans="1:11" x14ac:dyDescent="0.3">
      <c r="A1239" t="s">
        <v>39</v>
      </c>
      <c r="B1239" t="s">
        <v>40</v>
      </c>
      <c r="C1239">
        <v>23312</v>
      </c>
      <c r="D1239">
        <v>32625</v>
      </c>
      <c r="E1239" s="1">
        <v>45180</v>
      </c>
      <c r="F1239" s="1">
        <v>45616</v>
      </c>
      <c r="G1239" s="2">
        <v>36531.440000000002</v>
      </c>
      <c r="H1239">
        <v>0</v>
      </c>
      <c r="I1239" t="s">
        <v>1290</v>
      </c>
      <c r="J1239" t="s">
        <v>42</v>
      </c>
      <c r="K1239" t="s">
        <v>15</v>
      </c>
    </row>
    <row r="1240" spans="1:11" x14ac:dyDescent="0.3">
      <c r="A1240" t="s">
        <v>617</v>
      </c>
      <c r="B1240" t="s">
        <v>618</v>
      </c>
      <c r="C1240">
        <v>23455</v>
      </c>
      <c r="D1240">
        <v>32772</v>
      </c>
      <c r="E1240" s="1">
        <v>45188</v>
      </c>
      <c r="F1240" s="1">
        <v>45402</v>
      </c>
      <c r="G1240" s="2">
        <v>309915.15000000002</v>
      </c>
      <c r="H1240">
        <v>0</v>
      </c>
      <c r="I1240" t="s">
        <v>1291</v>
      </c>
      <c r="J1240" t="s">
        <v>42</v>
      </c>
      <c r="K1240" t="s">
        <v>15</v>
      </c>
    </row>
    <row r="1241" spans="1:11" x14ac:dyDescent="0.3">
      <c r="A1241" t="s">
        <v>533</v>
      </c>
      <c r="B1241" t="s">
        <v>534</v>
      </c>
      <c r="C1241">
        <v>23530</v>
      </c>
      <c r="D1241">
        <v>32851</v>
      </c>
      <c r="E1241" s="1">
        <v>45191</v>
      </c>
      <c r="F1241" s="1">
        <v>45402</v>
      </c>
      <c r="G1241" s="2">
        <v>311371.15000000002</v>
      </c>
      <c r="H1241">
        <v>0</v>
      </c>
      <c r="I1241" t="s">
        <v>1292</v>
      </c>
      <c r="J1241" t="s">
        <v>42</v>
      </c>
      <c r="K1241" t="s">
        <v>15</v>
      </c>
    </row>
    <row r="1242" spans="1:11" x14ac:dyDescent="0.3">
      <c r="A1242" t="s">
        <v>119</v>
      </c>
      <c r="B1242" t="s">
        <v>120</v>
      </c>
      <c r="C1242">
        <v>23723</v>
      </c>
      <c r="D1242">
        <v>33065</v>
      </c>
      <c r="E1242" s="1">
        <v>45208</v>
      </c>
      <c r="F1242" s="1">
        <v>45418</v>
      </c>
      <c r="G1242" s="2">
        <v>24780.12</v>
      </c>
      <c r="H1242">
        <v>0</v>
      </c>
      <c r="I1242" t="s">
        <v>1293</v>
      </c>
      <c r="J1242" t="s">
        <v>122</v>
      </c>
      <c r="K1242" t="s">
        <v>15</v>
      </c>
    </row>
    <row r="1243" spans="1:11" x14ac:dyDescent="0.3">
      <c r="A1243" t="s">
        <v>24</v>
      </c>
      <c r="B1243" t="s">
        <v>25</v>
      </c>
      <c r="C1243">
        <v>23812</v>
      </c>
      <c r="D1243">
        <v>33164</v>
      </c>
      <c r="E1243" s="1">
        <v>45218</v>
      </c>
      <c r="F1243" s="1">
        <v>45338</v>
      </c>
      <c r="G1243" s="2">
        <v>158650</v>
      </c>
      <c r="H1243">
        <v>0</v>
      </c>
      <c r="I1243" t="s">
        <v>1294</v>
      </c>
      <c r="J1243" t="s">
        <v>27</v>
      </c>
      <c r="K1243" t="s">
        <v>15</v>
      </c>
    </row>
    <row r="1244" spans="1:11" x14ac:dyDescent="0.3">
      <c r="A1244" t="s">
        <v>79</v>
      </c>
      <c r="B1244" t="s">
        <v>80</v>
      </c>
      <c r="C1244">
        <v>20718</v>
      </c>
      <c r="D1244">
        <v>29828</v>
      </c>
      <c r="E1244" s="1">
        <v>44840</v>
      </c>
      <c r="F1244" s="1">
        <v>45046</v>
      </c>
      <c r="G1244" s="2">
        <v>47966.400000000001</v>
      </c>
      <c r="H1244">
        <v>176</v>
      </c>
      <c r="I1244" t="s">
        <v>1295</v>
      </c>
      <c r="J1244" t="s">
        <v>82</v>
      </c>
      <c r="K1244" t="s">
        <v>15</v>
      </c>
    </row>
    <row r="1245" spans="1:11" x14ac:dyDescent="0.3">
      <c r="A1245" t="s">
        <v>83</v>
      </c>
      <c r="B1245" t="s">
        <v>84</v>
      </c>
      <c r="C1245">
        <v>20750</v>
      </c>
      <c r="D1245">
        <v>29860</v>
      </c>
      <c r="E1245" s="1">
        <v>44844</v>
      </c>
      <c r="F1245" s="1">
        <v>45076</v>
      </c>
      <c r="G1245" s="2">
        <v>308000</v>
      </c>
      <c r="H1245">
        <v>146</v>
      </c>
      <c r="I1245" t="s">
        <v>1296</v>
      </c>
      <c r="J1245" t="s">
        <v>86</v>
      </c>
      <c r="K1245" t="s">
        <v>15</v>
      </c>
    </row>
    <row r="1246" spans="1:11" x14ac:dyDescent="0.3">
      <c r="A1246" t="s">
        <v>255</v>
      </c>
      <c r="B1246" t="s">
        <v>256</v>
      </c>
      <c r="C1246">
        <v>20835</v>
      </c>
      <c r="D1246">
        <v>29954</v>
      </c>
      <c r="E1246" s="1">
        <v>44853</v>
      </c>
      <c r="F1246" s="1">
        <v>45076</v>
      </c>
      <c r="G1246" s="2">
        <v>445654</v>
      </c>
      <c r="H1246">
        <v>146</v>
      </c>
      <c r="I1246" t="s">
        <v>1297</v>
      </c>
      <c r="J1246" t="s">
        <v>122</v>
      </c>
      <c r="K1246" t="s">
        <v>15</v>
      </c>
    </row>
    <row r="1247" spans="1:11" x14ac:dyDescent="0.3">
      <c r="A1247" t="s">
        <v>83</v>
      </c>
      <c r="B1247" t="s">
        <v>84</v>
      </c>
      <c r="C1247">
        <v>20867</v>
      </c>
      <c r="D1247">
        <v>29996</v>
      </c>
      <c r="E1247" s="1">
        <v>44858</v>
      </c>
      <c r="F1247" s="1">
        <v>45076</v>
      </c>
      <c r="G1247" s="2">
        <v>104000</v>
      </c>
      <c r="H1247">
        <v>146</v>
      </c>
      <c r="I1247" t="s">
        <v>1298</v>
      </c>
      <c r="J1247" t="s">
        <v>86</v>
      </c>
      <c r="K1247" t="s">
        <v>15</v>
      </c>
    </row>
    <row r="1248" spans="1:11" x14ac:dyDescent="0.3">
      <c r="A1248" t="s">
        <v>145</v>
      </c>
      <c r="B1248" t="s">
        <v>146</v>
      </c>
      <c r="C1248">
        <v>21569</v>
      </c>
      <c r="D1248">
        <v>30726</v>
      </c>
      <c r="E1248" s="1">
        <v>44945</v>
      </c>
      <c r="F1248" s="1">
        <v>45199</v>
      </c>
      <c r="G1248" s="2">
        <v>310600</v>
      </c>
      <c r="H1248">
        <v>23</v>
      </c>
      <c r="I1248" t="s">
        <v>1299</v>
      </c>
      <c r="J1248" t="s">
        <v>82</v>
      </c>
      <c r="K1248" t="s">
        <v>15</v>
      </c>
    </row>
    <row r="1249" spans="1:11" x14ac:dyDescent="0.3">
      <c r="A1249" t="s">
        <v>228</v>
      </c>
      <c r="B1249" t="s">
        <v>229</v>
      </c>
      <c r="C1249">
        <v>22271</v>
      </c>
      <c r="D1249">
        <v>31477</v>
      </c>
      <c r="E1249" s="1">
        <v>45027</v>
      </c>
      <c r="F1249" s="1">
        <v>45229</v>
      </c>
      <c r="G1249" s="2">
        <v>218729.25</v>
      </c>
      <c r="H1249">
        <v>0</v>
      </c>
      <c r="I1249" t="s">
        <v>1300</v>
      </c>
      <c r="J1249" t="s">
        <v>206</v>
      </c>
      <c r="K1249" t="s">
        <v>15</v>
      </c>
    </row>
    <row r="1250" spans="1:11" x14ac:dyDescent="0.3">
      <c r="A1250" t="s">
        <v>228</v>
      </c>
      <c r="B1250" t="s">
        <v>229</v>
      </c>
      <c r="C1250">
        <v>22322</v>
      </c>
      <c r="D1250">
        <v>31540</v>
      </c>
      <c r="E1250" s="1">
        <v>45040</v>
      </c>
      <c r="F1250" s="1">
        <v>45290</v>
      </c>
      <c r="G1250" s="2">
        <v>123200</v>
      </c>
      <c r="H1250">
        <v>0</v>
      </c>
      <c r="I1250" t="s">
        <v>1301</v>
      </c>
      <c r="J1250" t="s">
        <v>206</v>
      </c>
      <c r="K1250" t="s">
        <v>15</v>
      </c>
    </row>
    <row r="1251" spans="1:11" x14ac:dyDescent="0.3">
      <c r="A1251" t="s">
        <v>34</v>
      </c>
      <c r="B1251" t="s">
        <v>35</v>
      </c>
      <c r="C1251">
        <v>22759</v>
      </c>
      <c r="D1251">
        <v>32044</v>
      </c>
      <c r="E1251" s="1">
        <v>45113</v>
      </c>
      <c r="F1251" s="1">
        <v>45353</v>
      </c>
      <c r="G1251" s="2">
        <v>152533.64000000001</v>
      </c>
      <c r="H1251">
        <v>0</v>
      </c>
      <c r="I1251" t="s">
        <v>332</v>
      </c>
      <c r="J1251" t="s">
        <v>19</v>
      </c>
      <c r="K1251" t="s">
        <v>15</v>
      </c>
    </row>
    <row r="1252" spans="1:11" x14ac:dyDescent="0.3">
      <c r="A1252" t="s">
        <v>236</v>
      </c>
      <c r="B1252" t="s">
        <v>237</v>
      </c>
      <c r="C1252">
        <v>23056</v>
      </c>
      <c r="D1252">
        <v>32356</v>
      </c>
      <c r="E1252" s="1">
        <v>45161</v>
      </c>
      <c r="F1252" s="1">
        <v>45281</v>
      </c>
      <c r="G1252" s="2">
        <v>12708</v>
      </c>
      <c r="H1252">
        <v>0</v>
      </c>
      <c r="I1252" t="s">
        <v>1303</v>
      </c>
      <c r="J1252" t="s">
        <v>19</v>
      </c>
      <c r="K1252" t="s">
        <v>15</v>
      </c>
    </row>
    <row r="1253" spans="1:11" x14ac:dyDescent="0.3">
      <c r="A1253" t="s">
        <v>145</v>
      </c>
      <c r="B1253" t="s">
        <v>146</v>
      </c>
      <c r="C1253">
        <v>23092</v>
      </c>
      <c r="D1253">
        <v>32391</v>
      </c>
      <c r="E1253" s="1">
        <v>45162</v>
      </c>
      <c r="F1253" s="1">
        <v>45412</v>
      </c>
      <c r="G1253" s="2">
        <v>2082</v>
      </c>
      <c r="H1253">
        <v>0</v>
      </c>
      <c r="I1253" t="s">
        <v>1304</v>
      </c>
      <c r="J1253" t="s">
        <v>82</v>
      </c>
      <c r="K1253" t="s">
        <v>15</v>
      </c>
    </row>
    <row r="1254" spans="1:11" x14ac:dyDescent="0.3">
      <c r="A1254" t="s">
        <v>34</v>
      </c>
      <c r="B1254" t="s">
        <v>35</v>
      </c>
      <c r="C1254">
        <v>23424</v>
      </c>
      <c r="D1254">
        <v>32736</v>
      </c>
      <c r="E1254" s="1">
        <v>45187</v>
      </c>
      <c r="F1254" s="1">
        <v>45367</v>
      </c>
      <c r="G1254">
        <v>665.2</v>
      </c>
      <c r="H1254">
        <v>0</v>
      </c>
      <c r="I1254" t="s">
        <v>433</v>
      </c>
      <c r="J1254" t="s">
        <v>19</v>
      </c>
      <c r="K1254" t="s">
        <v>15</v>
      </c>
    </row>
    <row r="1255" spans="1:11" x14ac:dyDescent="0.3">
      <c r="A1255" t="s">
        <v>88</v>
      </c>
      <c r="B1255" t="s">
        <v>89</v>
      </c>
      <c r="C1255">
        <v>23541</v>
      </c>
      <c r="D1255">
        <v>32862</v>
      </c>
      <c r="E1255" s="1">
        <v>45191</v>
      </c>
      <c r="F1255" s="1">
        <v>45341</v>
      </c>
      <c r="G1255" s="2">
        <v>33750</v>
      </c>
      <c r="H1255">
        <v>0</v>
      </c>
      <c r="I1255" t="s">
        <v>1306</v>
      </c>
      <c r="J1255" t="s">
        <v>27</v>
      </c>
      <c r="K1255" t="s">
        <v>15</v>
      </c>
    </row>
    <row r="1256" spans="1:11" x14ac:dyDescent="0.3">
      <c r="A1256" t="s">
        <v>88</v>
      </c>
      <c r="B1256" t="s">
        <v>89</v>
      </c>
      <c r="C1256">
        <v>23541</v>
      </c>
      <c r="D1256">
        <v>32862</v>
      </c>
      <c r="E1256" s="1">
        <v>45191</v>
      </c>
      <c r="F1256" s="1">
        <v>45371</v>
      </c>
      <c r="G1256" s="2">
        <v>33750</v>
      </c>
      <c r="H1256">
        <v>0</v>
      </c>
      <c r="I1256" t="s">
        <v>1306</v>
      </c>
      <c r="J1256" t="s">
        <v>27</v>
      </c>
      <c r="K1256" t="s">
        <v>15</v>
      </c>
    </row>
    <row r="1257" spans="1:11" x14ac:dyDescent="0.3">
      <c r="A1257" t="s">
        <v>1307</v>
      </c>
      <c r="B1257" t="s">
        <v>1308</v>
      </c>
      <c r="C1257">
        <v>23607</v>
      </c>
      <c r="D1257">
        <v>32943</v>
      </c>
      <c r="E1257" s="1">
        <v>45197</v>
      </c>
      <c r="F1257" s="1">
        <v>45227</v>
      </c>
      <c r="G1257" s="2">
        <v>30120</v>
      </c>
      <c r="H1257">
        <v>0</v>
      </c>
      <c r="I1257" t="s">
        <v>1309</v>
      </c>
      <c r="J1257" t="s">
        <v>122</v>
      </c>
      <c r="K1257" t="s">
        <v>15</v>
      </c>
    </row>
    <row r="1258" spans="1:11" x14ac:dyDescent="0.3">
      <c r="A1258" t="s">
        <v>31</v>
      </c>
      <c r="B1258" t="s">
        <v>32</v>
      </c>
      <c r="C1258">
        <v>23641</v>
      </c>
      <c r="D1258">
        <v>32975</v>
      </c>
      <c r="E1258" s="1">
        <v>45198</v>
      </c>
      <c r="F1258" s="1">
        <v>45318</v>
      </c>
      <c r="G1258" s="2">
        <v>45884.95</v>
      </c>
      <c r="H1258">
        <v>0</v>
      </c>
      <c r="I1258" t="s">
        <v>185</v>
      </c>
      <c r="J1258" t="s">
        <v>19</v>
      </c>
      <c r="K1258" t="s">
        <v>15</v>
      </c>
    </row>
    <row r="1259" spans="1:11" x14ac:dyDescent="0.3">
      <c r="A1259" t="s">
        <v>31</v>
      </c>
      <c r="B1259" t="s">
        <v>32</v>
      </c>
      <c r="C1259">
        <v>23641</v>
      </c>
      <c r="D1259">
        <v>32975</v>
      </c>
      <c r="E1259" s="1">
        <v>45198</v>
      </c>
      <c r="F1259" s="1">
        <v>45348</v>
      </c>
      <c r="G1259" s="2">
        <v>45884.95</v>
      </c>
      <c r="H1259">
        <v>0</v>
      </c>
      <c r="I1259" t="s">
        <v>185</v>
      </c>
      <c r="J1259" t="s">
        <v>19</v>
      </c>
      <c r="K1259" t="s">
        <v>15</v>
      </c>
    </row>
    <row r="1260" spans="1:11" x14ac:dyDescent="0.3">
      <c r="A1260" t="s">
        <v>31</v>
      </c>
      <c r="B1260" t="s">
        <v>32</v>
      </c>
      <c r="C1260">
        <v>23641</v>
      </c>
      <c r="D1260">
        <v>32975</v>
      </c>
      <c r="E1260" s="1">
        <v>45198</v>
      </c>
      <c r="F1260" s="1">
        <v>45378</v>
      </c>
      <c r="G1260" s="2">
        <v>45885.1</v>
      </c>
      <c r="H1260">
        <v>0</v>
      </c>
      <c r="I1260" t="s">
        <v>185</v>
      </c>
      <c r="J1260" t="s">
        <v>19</v>
      </c>
      <c r="K1260" t="s">
        <v>15</v>
      </c>
    </row>
    <row r="1261" spans="1:11" x14ac:dyDescent="0.3">
      <c r="A1261" t="s">
        <v>351</v>
      </c>
      <c r="B1261" t="s">
        <v>352</v>
      </c>
      <c r="C1261">
        <v>23843</v>
      </c>
      <c r="D1261">
        <v>33198</v>
      </c>
      <c r="E1261" s="1">
        <v>45219</v>
      </c>
      <c r="F1261" s="1">
        <v>45249</v>
      </c>
      <c r="G1261" s="2">
        <v>69830.600000000006</v>
      </c>
      <c r="H1261">
        <v>0</v>
      </c>
      <c r="I1261" t="s">
        <v>1310</v>
      </c>
      <c r="J1261" t="s">
        <v>151</v>
      </c>
      <c r="K1261" t="s">
        <v>15</v>
      </c>
    </row>
    <row r="1262" spans="1:11" x14ac:dyDescent="0.3">
      <c r="A1262" t="s">
        <v>88</v>
      </c>
      <c r="B1262" t="s">
        <v>89</v>
      </c>
      <c r="C1262">
        <v>23871</v>
      </c>
      <c r="D1262">
        <v>33225</v>
      </c>
      <c r="E1262" s="1">
        <v>45222</v>
      </c>
      <c r="F1262" s="1">
        <v>45462</v>
      </c>
      <c r="G1262" s="2">
        <v>41413</v>
      </c>
      <c r="H1262">
        <v>0</v>
      </c>
      <c r="I1262" t="s">
        <v>1249</v>
      </c>
      <c r="J1262" t="s">
        <v>27</v>
      </c>
      <c r="K1262" t="s">
        <v>15</v>
      </c>
    </row>
    <row r="1263" spans="1:11" x14ac:dyDescent="0.3">
      <c r="A1263" t="s">
        <v>255</v>
      </c>
      <c r="B1263" t="s">
        <v>256</v>
      </c>
      <c r="C1263">
        <v>21310</v>
      </c>
      <c r="D1263">
        <v>30470</v>
      </c>
      <c r="E1263" s="1">
        <v>44914</v>
      </c>
      <c r="F1263" s="1">
        <v>45076</v>
      </c>
      <c r="G1263" s="2">
        <v>10500</v>
      </c>
      <c r="H1263">
        <v>146</v>
      </c>
      <c r="I1263" t="s">
        <v>1311</v>
      </c>
      <c r="J1263" t="s">
        <v>122</v>
      </c>
      <c r="K1263" t="s">
        <v>15</v>
      </c>
    </row>
    <row r="1264" spans="1:11" x14ac:dyDescent="0.3">
      <c r="A1264" t="s">
        <v>145</v>
      </c>
      <c r="B1264" t="s">
        <v>146</v>
      </c>
      <c r="C1264">
        <v>21577</v>
      </c>
      <c r="D1264">
        <v>30736</v>
      </c>
      <c r="E1264" s="1">
        <v>44945</v>
      </c>
      <c r="F1264" s="1">
        <v>45168</v>
      </c>
      <c r="G1264" s="2">
        <v>176721.48</v>
      </c>
      <c r="H1264">
        <v>54</v>
      </c>
      <c r="I1264" t="s">
        <v>1312</v>
      </c>
      <c r="J1264" t="s">
        <v>82</v>
      </c>
      <c r="K1264" t="s">
        <v>15</v>
      </c>
    </row>
    <row r="1265" spans="1:11" x14ac:dyDescent="0.3">
      <c r="A1265" t="s">
        <v>88</v>
      </c>
      <c r="B1265" t="s">
        <v>89</v>
      </c>
      <c r="C1265">
        <v>22513</v>
      </c>
      <c r="D1265">
        <v>31770</v>
      </c>
      <c r="E1265" s="1">
        <v>45071</v>
      </c>
      <c r="F1265" s="1">
        <v>45221</v>
      </c>
      <c r="G1265" s="2">
        <v>90000</v>
      </c>
      <c r="H1265">
        <v>1</v>
      </c>
      <c r="I1265" t="s">
        <v>1313</v>
      </c>
      <c r="J1265" t="s">
        <v>27</v>
      </c>
      <c r="K1265" t="s">
        <v>15</v>
      </c>
    </row>
    <row r="1266" spans="1:11" x14ac:dyDescent="0.3">
      <c r="A1266" t="s">
        <v>54</v>
      </c>
      <c r="B1266" t="s">
        <v>55</v>
      </c>
      <c r="C1266">
        <v>22532</v>
      </c>
      <c r="D1266">
        <v>31793</v>
      </c>
      <c r="E1266" s="1">
        <v>45076</v>
      </c>
      <c r="F1266" s="1">
        <v>45226</v>
      </c>
      <c r="G1266" s="2">
        <v>5300</v>
      </c>
      <c r="H1266">
        <v>0</v>
      </c>
      <c r="I1266" t="s">
        <v>1314</v>
      </c>
      <c r="J1266" t="s">
        <v>57</v>
      </c>
      <c r="K1266" t="s">
        <v>15</v>
      </c>
    </row>
    <row r="1267" spans="1:11" x14ac:dyDescent="0.3">
      <c r="A1267" t="s">
        <v>43</v>
      </c>
      <c r="B1267" t="s">
        <v>44</v>
      </c>
      <c r="C1267">
        <v>22682</v>
      </c>
      <c r="D1267">
        <v>31957</v>
      </c>
      <c r="E1267" s="1">
        <v>45105</v>
      </c>
      <c r="F1267" s="1">
        <v>45225</v>
      </c>
      <c r="G1267" s="2">
        <v>149846.39999999999</v>
      </c>
      <c r="H1267">
        <v>0</v>
      </c>
      <c r="I1267" t="s">
        <v>1315</v>
      </c>
      <c r="J1267" t="s">
        <v>46</v>
      </c>
      <c r="K1267" t="s">
        <v>15</v>
      </c>
    </row>
    <row r="1268" spans="1:11" x14ac:dyDescent="0.3">
      <c r="A1268" t="s">
        <v>34</v>
      </c>
      <c r="B1268" t="s">
        <v>35</v>
      </c>
      <c r="C1268">
        <v>23517</v>
      </c>
      <c r="D1268">
        <v>32839</v>
      </c>
      <c r="E1268" s="1">
        <v>45190</v>
      </c>
      <c r="F1268" s="1">
        <v>45370</v>
      </c>
      <c r="G1268" s="2">
        <v>24153.119999999999</v>
      </c>
      <c r="H1268">
        <v>0</v>
      </c>
      <c r="I1268" t="s">
        <v>1050</v>
      </c>
      <c r="J1268" t="s">
        <v>19</v>
      </c>
      <c r="K1268" t="s">
        <v>15</v>
      </c>
    </row>
    <row r="1269" spans="1:11" x14ac:dyDescent="0.3">
      <c r="A1269" t="s">
        <v>239</v>
      </c>
      <c r="B1269" t="s">
        <v>240</v>
      </c>
      <c r="C1269">
        <v>22932</v>
      </c>
      <c r="D1269">
        <v>32205</v>
      </c>
      <c r="E1269" s="1">
        <v>45141</v>
      </c>
      <c r="F1269" s="1">
        <v>45231</v>
      </c>
      <c r="G1269" s="2">
        <v>3096</v>
      </c>
      <c r="H1269">
        <v>0</v>
      </c>
      <c r="I1269" t="s">
        <v>1317</v>
      </c>
      <c r="J1269" t="s">
        <v>19</v>
      </c>
      <c r="K1269" t="s">
        <v>15</v>
      </c>
    </row>
    <row r="1270" spans="1:11" x14ac:dyDescent="0.3">
      <c r="A1270" t="s">
        <v>239</v>
      </c>
      <c r="B1270" t="s">
        <v>240</v>
      </c>
      <c r="C1270">
        <v>22932</v>
      </c>
      <c r="D1270">
        <v>32205</v>
      </c>
      <c r="E1270" s="1">
        <v>45141</v>
      </c>
      <c r="F1270" s="1">
        <v>45261</v>
      </c>
      <c r="G1270" s="2">
        <v>3096</v>
      </c>
      <c r="H1270">
        <v>0</v>
      </c>
      <c r="I1270" t="s">
        <v>1317</v>
      </c>
      <c r="J1270" t="s">
        <v>19</v>
      </c>
      <c r="K1270" t="s">
        <v>15</v>
      </c>
    </row>
    <row r="1271" spans="1:11" x14ac:dyDescent="0.3">
      <c r="A1271" t="s">
        <v>239</v>
      </c>
      <c r="B1271" t="s">
        <v>240</v>
      </c>
      <c r="C1271">
        <v>22932</v>
      </c>
      <c r="D1271">
        <v>32205</v>
      </c>
      <c r="E1271" s="1">
        <v>45141</v>
      </c>
      <c r="F1271" s="1">
        <v>45291</v>
      </c>
      <c r="G1271" s="2">
        <v>3096</v>
      </c>
      <c r="H1271">
        <v>0</v>
      </c>
      <c r="I1271" t="s">
        <v>1317</v>
      </c>
      <c r="J1271" t="s">
        <v>19</v>
      </c>
      <c r="K1271" t="s">
        <v>15</v>
      </c>
    </row>
    <row r="1272" spans="1:11" x14ac:dyDescent="0.3">
      <c r="A1272" t="s">
        <v>119</v>
      </c>
      <c r="B1272" t="s">
        <v>120</v>
      </c>
      <c r="C1272">
        <v>23000</v>
      </c>
      <c r="D1272">
        <v>32294</v>
      </c>
      <c r="E1272" s="1">
        <v>45153</v>
      </c>
      <c r="F1272" s="1">
        <v>45363</v>
      </c>
      <c r="G1272" s="2">
        <v>21560</v>
      </c>
      <c r="H1272">
        <v>0</v>
      </c>
      <c r="I1272" t="s">
        <v>1318</v>
      </c>
      <c r="J1272" t="s">
        <v>122</v>
      </c>
      <c r="K1272" t="s">
        <v>15</v>
      </c>
    </row>
    <row r="1273" spans="1:11" x14ac:dyDescent="0.3">
      <c r="A1273" t="s">
        <v>119</v>
      </c>
      <c r="B1273" t="s">
        <v>120</v>
      </c>
      <c r="C1273">
        <v>23368</v>
      </c>
      <c r="D1273">
        <v>32683</v>
      </c>
      <c r="E1273" s="1">
        <v>45183</v>
      </c>
      <c r="F1273" s="1">
        <v>45393</v>
      </c>
      <c r="G1273" s="2">
        <v>11550</v>
      </c>
      <c r="H1273">
        <v>0</v>
      </c>
      <c r="I1273" t="s">
        <v>1319</v>
      </c>
      <c r="J1273" t="s">
        <v>122</v>
      </c>
      <c r="K1273" t="s">
        <v>15</v>
      </c>
    </row>
    <row r="1274" spans="1:11" x14ac:dyDescent="0.3">
      <c r="A1274" t="s">
        <v>67</v>
      </c>
      <c r="B1274" t="s">
        <v>68</v>
      </c>
      <c r="C1274">
        <v>23417</v>
      </c>
      <c r="D1274">
        <v>32729</v>
      </c>
      <c r="E1274" s="1">
        <v>45187</v>
      </c>
      <c r="F1274" s="1">
        <v>45307</v>
      </c>
      <c r="G1274" s="2">
        <v>109620</v>
      </c>
      <c r="H1274">
        <v>0</v>
      </c>
      <c r="I1274" t="s">
        <v>1320</v>
      </c>
      <c r="J1274" t="s">
        <v>19</v>
      </c>
      <c r="K1274" t="s">
        <v>15</v>
      </c>
    </row>
    <row r="1275" spans="1:11" x14ac:dyDescent="0.3">
      <c r="A1275" t="s">
        <v>158</v>
      </c>
      <c r="B1275" t="s">
        <v>159</v>
      </c>
      <c r="C1275">
        <v>23435</v>
      </c>
      <c r="D1275">
        <v>32749</v>
      </c>
      <c r="E1275" s="1">
        <v>45187</v>
      </c>
      <c r="F1275" s="1">
        <v>45278</v>
      </c>
      <c r="G1275" s="2">
        <v>5700</v>
      </c>
      <c r="H1275">
        <v>0</v>
      </c>
      <c r="I1275" t="s">
        <v>1321</v>
      </c>
      <c r="J1275" t="s">
        <v>161</v>
      </c>
      <c r="K1275" t="s">
        <v>15</v>
      </c>
    </row>
    <row r="1276" spans="1:11" x14ac:dyDescent="0.3">
      <c r="A1276" t="s">
        <v>1322</v>
      </c>
      <c r="B1276" t="s">
        <v>1323</v>
      </c>
      <c r="C1276">
        <v>23550</v>
      </c>
      <c r="D1276">
        <v>32872</v>
      </c>
      <c r="E1276" s="1">
        <v>45194</v>
      </c>
      <c r="F1276" s="1">
        <v>45412</v>
      </c>
      <c r="G1276" s="2">
        <v>6072</v>
      </c>
      <c r="H1276">
        <v>0</v>
      </c>
      <c r="I1276" t="s">
        <v>1324</v>
      </c>
      <c r="J1276" t="s">
        <v>42</v>
      </c>
      <c r="K1276" t="s">
        <v>15</v>
      </c>
    </row>
    <row r="1277" spans="1:11" x14ac:dyDescent="0.3">
      <c r="A1277" t="s">
        <v>824</v>
      </c>
      <c r="B1277" t="s">
        <v>594</v>
      </c>
      <c r="C1277">
        <v>23750</v>
      </c>
      <c r="D1277">
        <v>33090</v>
      </c>
      <c r="E1277" s="1">
        <v>45210</v>
      </c>
      <c r="F1277" s="1">
        <v>45420</v>
      </c>
      <c r="G1277" s="2">
        <v>382105.59999999998</v>
      </c>
      <c r="H1277">
        <v>0</v>
      </c>
      <c r="I1277" t="s">
        <v>1325</v>
      </c>
      <c r="J1277" t="s">
        <v>596</v>
      </c>
      <c r="K1277" t="s">
        <v>15</v>
      </c>
    </row>
    <row r="1278" spans="1:11" x14ac:dyDescent="0.3">
      <c r="A1278" t="s">
        <v>967</v>
      </c>
      <c r="B1278" t="s">
        <v>968</v>
      </c>
      <c r="C1278">
        <v>23850</v>
      </c>
      <c r="D1278">
        <v>33203</v>
      </c>
      <c r="E1278" s="1">
        <v>45222</v>
      </c>
      <c r="F1278" s="1">
        <v>45222</v>
      </c>
      <c r="G1278">
        <v>646.25</v>
      </c>
      <c r="H1278">
        <v>0</v>
      </c>
      <c r="I1278" t="s">
        <v>1326</v>
      </c>
      <c r="J1278" t="s">
        <v>596</v>
      </c>
      <c r="K1278" t="s">
        <v>15</v>
      </c>
    </row>
    <row r="1279" spans="1:11" x14ac:dyDescent="0.3">
      <c r="A1279" t="s">
        <v>83</v>
      </c>
      <c r="B1279" t="s">
        <v>84</v>
      </c>
      <c r="C1279">
        <v>21548</v>
      </c>
      <c r="D1279">
        <v>30703</v>
      </c>
      <c r="E1279" s="1">
        <v>44944</v>
      </c>
      <c r="F1279" s="1">
        <v>45199</v>
      </c>
      <c r="G1279" s="2">
        <v>270000</v>
      </c>
      <c r="H1279">
        <v>23</v>
      </c>
      <c r="I1279" t="s">
        <v>1327</v>
      </c>
      <c r="J1279" t="s">
        <v>86</v>
      </c>
      <c r="K1279" t="s">
        <v>15</v>
      </c>
    </row>
    <row r="1280" spans="1:11" x14ac:dyDescent="0.3">
      <c r="A1280" t="s">
        <v>184</v>
      </c>
      <c r="B1280" t="s">
        <v>140</v>
      </c>
      <c r="C1280">
        <v>22711</v>
      </c>
      <c r="D1280">
        <v>31985</v>
      </c>
      <c r="E1280" s="1">
        <v>45106</v>
      </c>
      <c r="F1280" s="1">
        <v>45226</v>
      </c>
      <c r="G1280" s="2">
        <v>8568.18</v>
      </c>
      <c r="H1280">
        <v>0</v>
      </c>
      <c r="I1280" t="s">
        <v>1328</v>
      </c>
      <c r="J1280" t="s">
        <v>135</v>
      </c>
      <c r="K1280" t="s">
        <v>15</v>
      </c>
    </row>
    <row r="1281" spans="1:11" x14ac:dyDescent="0.3">
      <c r="A1281" t="s">
        <v>43</v>
      </c>
      <c r="B1281" t="s">
        <v>44</v>
      </c>
      <c r="C1281">
        <v>22718</v>
      </c>
      <c r="D1281">
        <v>31992</v>
      </c>
      <c r="E1281" s="1">
        <v>45107</v>
      </c>
      <c r="F1281" s="1">
        <v>45227</v>
      </c>
      <c r="G1281" s="2">
        <v>176520.6</v>
      </c>
      <c r="H1281">
        <v>0</v>
      </c>
      <c r="I1281" t="s">
        <v>1329</v>
      </c>
      <c r="J1281" t="s">
        <v>46</v>
      </c>
      <c r="K1281" t="s">
        <v>15</v>
      </c>
    </row>
    <row r="1282" spans="1:11" x14ac:dyDescent="0.3">
      <c r="A1282" t="s">
        <v>96</v>
      </c>
      <c r="B1282" t="s">
        <v>97</v>
      </c>
      <c r="C1282">
        <v>22918</v>
      </c>
      <c r="D1282">
        <v>32188</v>
      </c>
      <c r="E1282" s="1">
        <v>45139</v>
      </c>
      <c r="F1282" s="1">
        <v>45379</v>
      </c>
      <c r="G1282" s="2">
        <v>184414.8</v>
      </c>
      <c r="H1282">
        <v>0</v>
      </c>
      <c r="I1282" t="s">
        <v>522</v>
      </c>
      <c r="J1282" t="s">
        <v>99</v>
      </c>
      <c r="K1282" t="s">
        <v>15</v>
      </c>
    </row>
    <row r="1283" spans="1:11" x14ac:dyDescent="0.3">
      <c r="A1283" t="s">
        <v>340</v>
      </c>
      <c r="B1283" t="s">
        <v>341</v>
      </c>
      <c r="C1283">
        <v>23013</v>
      </c>
      <c r="D1283">
        <v>32309</v>
      </c>
      <c r="E1283" s="1">
        <v>45154</v>
      </c>
      <c r="F1283" s="1">
        <v>45244</v>
      </c>
      <c r="G1283" s="2">
        <v>23737.5</v>
      </c>
      <c r="H1283">
        <v>0</v>
      </c>
      <c r="I1283" t="s">
        <v>1330</v>
      </c>
      <c r="J1283" t="s">
        <v>161</v>
      </c>
      <c r="K1283" t="s">
        <v>15</v>
      </c>
    </row>
    <row r="1284" spans="1:11" x14ac:dyDescent="0.3">
      <c r="A1284" t="s">
        <v>34</v>
      </c>
      <c r="B1284" t="s">
        <v>35</v>
      </c>
      <c r="C1284">
        <v>23114</v>
      </c>
      <c r="D1284">
        <v>32413</v>
      </c>
      <c r="E1284" s="1">
        <v>45163</v>
      </c>
      <c r="F1284" s="1">
        <v>45373</v>
      </c>
      <c r="G1284" s="2">
        <v>152533.18</v>
      </c>
      <c r="H1284">
        <v>0</v>
      </c>
      <c r="I1284" t="s">
        <v>1011</v>
      </c>
      <c r="J1284" t="s">
        <v>19</v>
      </c>
      <c r="K1284" t="s">
        <v>15</v>
      </c>
    </row>
    <row r="1285" spans="1:11" x14ac:dyDescent="0.3">
      <c r="A1285" t="s">
        <v>16</v>
      </c>
      <c r="B1285" t="s">
        <v>17</v>
      </c>
      <c r="C1285">
        <v>23188</v>
      </c>
      <c r="D1285">
        <v>32499</v>
      </c>
      <c r="E1285" s="1">
        <v>45169</v>
      </c>
      <c r="F1285" s="1">
        <v>45289</v>
      </c>
      <c r="G1285" s="2">
        <v>44100</v>
      </c>
      <c r="H1285">
        <v>0</v>
      </c>
      <c r="I1285" t="s">
        <v>1332</v>
      </c>
      <c r="J1285" t="s">
        <v>19</v>
      </c>
      <c r="K1285" t="s">
        <v>15</v>
      </c>
    </row>
    <row r="1286" spans="1:11" x14ac:dyDescent="0.3">
      <c r="A1286" t="s">
        <v>323</v>
      </c>
      <c r="B1286" t="s">
        <v>324</v>
      </c>
      <c r="C1286">
        <v>23347</v>
      </c>
      <c r="D1286">
        <v>32660</v>
      </c>
      <c r="E1286" s="1">
        <v>45182</v>
      </c>
      <c r="F1286" s="1">
        <v>45302</v>
      </c>
      <c r="G1286" s="2">
        <v>4527.5</v>
      </c>
      <c r="H1286">
        <v>0</v>
      </c>
      <c r="I1286" t="s">
        <v>1333</v>
      </c>
      <c r="J1286" t="s">
        <v>94</v>
      </c>
      <c r="K1286" t="s">
        <v>15</v>
      </c>
    </row>
    <row r="1287" spans="1:11" x14ac:dyDescent="0.3">
      <c r="A1287" t="s">
        <v>39</v>
      </c>
      <c r="B1287" t="s">
        <v>40</v>
      </c>
      <c r="C1287">
        <v>23481</v>
      </c>
      <c r="D1287">
        <v>32800</v>
      </c>
      <c r="E1287" s="1">
        <v>45188</v>
      </c>
      <c r="F1287" s="1">
        <v>45402</v>
      </c>
      <c r="G1287" s="2">
        <v>47408.4</v>
      </c>
      <c r="H1287">
        <v>0</v>
      </c>
      <c r="I1287" t="s">
        <v>1334</v>
      </c>
      <c r="J1287" t="s">
        <v>42</v>
      </c>
      <c r="K1287" t="s">
        <v>15</v>
      </c>
    </row>
    <row r="1288" spans="1:11" x14ac:dyDescent="0.3">
      <c r="A1288" t="s">
        <v>34</v>
      </c>
      <c r="B1288" t="s">
        <v>35</v>
      </c>
      <c r="C1288">
        <v>23114</v>
      </c>
      <c r="D1288">
        <v>32413</v>
      </c>
      <c r="E1288" s="1">
        <v>45163</v>
      </c>
      <c r="F1288" s="1">
        <v>45403</v>
      </c>
      <c r="G1288" s="2">
        <v>152533.64000000001</v>
      </c>
      <c r="H1288">
        <v>0</v>
      </c>
      <c r="I1288" t="s">
        <v>1011</v>
      </c>
      <c r="J1288" t="s">
        <v>19</v>
      </c>
      <c r="K1288" t="s">
        <v>15</v>
      </c>
    </row>
    <row r="1289" spans="1:11" x14ac:dyDescent="0.3">
      <c r="A1289" t="s">
        <v>232</v>
      </c>
      <c r="B1289" t="s">
        <v>233</v>
      </c>
      <c r="C1289">
        <v>23713</v>
      </c>
      <c r="D1289">
        <v>33050</v>
      </c>
      <c r="E1289" s="1">
        <v>45204</v>
      </c>
      <c r="F1289" s="1">
        <v>45294</v>
      </c>
      <c r="G1289" s="2">
        <v>18143.98</v>
      </c>
      <c r="H1289">
        <v>0</v>
      </c>
      <c r="I1289" t="s">
        <v>1336</v>
      </c>
      <c r="J1289" t="s">
        <v>122</v>
      </c>
      <c r="K1289" t="s">
        <v>15</v>
      </c>
    </row>
    <row r="1290" spans="1:11" x14ac:dyDescent="0.3">
      <c r="A1290" t="s">
        <v>232</v>
      </c>
      <c r="B1290" t="s">
        <v>233</v>
      </c>
      <c r="C1290">
        <v>23713</v>
      </c>
      <c r="D1290">
        <v>33050</v>
      </c>
      <c r="E1290" s="1">
        <v>45204</v>
      </c>
      <c r="F1290" s="1">
        <v>45324</v>
      </c>
      <c r="G1290" s="2">
        <v>18143.98</v>
      </c>
      <c r="H1290">
        <v>0</v>
      </c>
      <c r="I1290" t="s">
        <v>1336</v>
      </c>
      <c r="J1290" t="s">
        <v>122</v>
      </c>
      <c r="K1290" t="s">
        <v>15</v>
      </c>
    </row>
    <row r="1291" spans="1:11" x14ac:dyDescent="0.3">
      <c r="A1291" t="s">
        <v>232</v>
      </c>
      <c r="B1291" t="s">
        <v>233</v>
      </c>
      <c r="C1291">
        <v>23713</v>
      </c>
      <c r="D1291">
        <v>33050</v>
      </c>
      <c r="E1291" s="1">
        <v>45204</v>
      </c>
      <c r="F1291" s="1">
        <v>45354</v>
      </c>
      <c r="G1291" s="2">
        <v>18144.04</v>
      </c>
      <c r="H1291">
        <v>0</v>
      </c>
      <c r="I1291" t="s">
        <v>1336</v>
      </c>
      <c r="J1291" t="s">
        <v>122</v>
      </c>
      <c r="K1291" t="s">
        <v>15</v>
      </c>
    </row>
    <row r="1292" spans="1:11" x14ac:dyDescent="0.3">
      <c r="A1292" t="s">
        <v>1232</v>
      </c>
      <c r="B1292" t="s">
        <v>1233</v>
      </c>
      <c r="C1292">
        <v>23745</v>
      </c>
      <c r="D1292">
        <v>33086</v>
      </c>
      <c r="E1292" s="1">
        <v>45209</v>
      </c>
      <c r="F1292" s="1">
        <v>45299</v>
      </c>
      <c r="G1292" s="2">
        <v>2017.5</v>
      </c>
      <c r="H1292">
        <v>0</v>
      </c>
      <c r="I1292" t="s">
        <v>1337</v>
      </c>
      <c r="J1292" t="s">
        <v>161</v>
      </c>
      <c r="K1292" t="s">
        <v>15</v>
      </c>
    </row>
    <row r="1293" spans="1:11" x14ac:dyDescent="0.3">
      <c r="A1293" t="s">
        <v>24</v>
      </c>
      <c r="B1293" t="s">
        <v>25</v>
      </c>
      <c r="C1293">
        <v>23815</v>
      </c>
      <c r="D1293">
        <v>33167</v>
      </c>
      <c r="E1293" s="1">
        <v>45218</v>
      </c>
      <c r="F1293" s="1">
        <v>45368</v>
      </c>
      <c r="G1293" s="2">
        <v>4725</v>
      </c>
      <c r="H1293">
        <v>0</v>
      </c>
      <c r="I1293" t="s">
        <v>1338</v>
      </c>
      <c r="J1293" t="s">
        <v>27</v>
      </c>
      <c r="K1293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2D9F-38E9-458D-B02B-441592103935}">
  <sheetPr>
    <tabColor theme="7" tint="0.79998168889431442"/>
  </sheetPr>
  <dimension ref="A1:K79"/>
  <sheetViews>
    <sheetView showGridLines="0" topLeftCell="A2" workbookViewId="0">
      <selection activeCell="B1" sqref="B1:K79"/>
    </sheetView>
  </sheetViews>
  <sheetFormatPr defaultRowHeight="14.4" x14ac:dyDescent="0.3"/>
  <cols>
    <col min="1" max="1" width="11.33203125" customWidth="1"/>
    <col min="2" max="2" width="49.88671875" bestFit="1" customWidth="1"/>
    <col min="3" max="3" width="11.44140625" customWidth="1"/>
    <col min="4" max="4" width="8.5546875" customWidth="1"/>
    <col min="5" max="5" width="10.5546875" bestFit="1" customWidth="1"/>
    <col min="6" max="6" width="12.6640625" customWidth="1"/>
    <col min="7" max="7" width="14" bestFit="1" customWidth="1"/>
    <col min="8" max="8" width="12.109375" customWidth="1"/>
    <col min="9" max="9" width="47.88671875" bestFit="1" customWidth="1"/>
    <col min="10" max="10" width="27.21875" bestFit="1" customWidth="1"/>
    <col min="11" max="11" width="13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79</v>
      </c>
      <c r="B2" t="s">
        <v>80</v>
      </c>
      <c r="C2">
        <v>20603</v>
      </c>
      <c r="D2">
        <v>29709</v>
      </c>
      <c r="E2" s="1">
        <v>44830</v>
      </c>
      <c r="F2" s="1">
        <v>45046</v>
      </c>
      <c r="G2">
        <v>14620</v>
      </c>
      <c r="H2">
        <v>176</v>
      </c>
      <c r="I2" t="s">
        <v>81</v>
      </c>
      <c r="J2" t="s">
        <v>82</v>
      </c>
      <c r="K2" t="s">
        <v>15</v>
      </c>
    </row>
    <row r="3" spans="1:11" x14ac:dyDescent="0.3">
      <c r="A3" t="s">
        <v>83</v>
      </c>
      <c r="B3" t="s">
        <v>84</v>
      </c>
      <c r="C3">
        <v>21707</v>
      </c>
      <c r="D3">
        <v>30862</v>
      </c>
      <c r="E3" s="1">
        <v>44959</v>
      </c>
      <c r="F3" s="1">
        <v>45199</v>
      </c>
      <c r="G3">
        <v>330000</v>
      </c>
      <c r="H3">
        <v>23</v>
      </c>
      <c r="I3" t="s">
        <v>85</v>
      </c>
      <c r="J3" t="s">
        <v>86</v>
      </c>
      <c r="K3" t="s">
        <v>15</v>
      </c>
    </row>
    <row r="4" spans="1:11" x14ac:dyDescent="0.3">
      <c r="A4" t="s">
        <v>88</v>
      </c>
      <c r="B4" t="s">
        <v>89</v>
      </c>
      <c r="C4">
        <v>22518</v>
      </c>
      <c r="D4">
        <v>31775</v>
      </c>
      <c r="E4" s="1">
        <v>45072</v>
      </c>
      <c r="F4" s="1">
        <v>45222</v>
      </c>
      <c r="G4">
        <v>30000</v>
      </c>
      <c r="H4">
        <v>0</v>
      </c>
      <c r="I4" t="s">
        <v>90</v>
      </c>
      <c r="J4" t="s">
        <v>27</v>
      </c>
      <c r="K4" t="s">
        <v>15</v>
      </c>
    </row>
    <row r="5" spans="1:11" x14ac:dyDescent="0.3">
      <c r="A5" t="s">
        <v>109</v>
      </c>
      <c r="B5" t="s">
        <v>110</v>
      </c>
      <c r="C5">
        <v>20704</v>
      </c>
      <c r="D5">
        <v>29813</v>
      </c>
      <c r="E5" s="1">
        <v>44839</v>
      </c>
      <c r="F5" s="1">
        <v>45076</v>
      </c>
      <c r="G5">
        <v>13240</v>
      </c>
      <c r="H5">
        <v>146</v>
      </c>
      <c r="I5" t="s">
        <v>111</v>
      </c>
      <c r="J5" t="s">
        <v>112</v>
      </c>
      <c r="K5" t="s">
        <v>15</v>
      </c>
    </row>
    <row r="6" spans="1:11" x14ac:dyDescent="0.3">
      <c r="A6" t="s">
        <v>109</v>
      </c>
      <c r="B6" t="s">
        <v>110</v>
      </c>
      <c r="C6">
        <v>21297</v>
      </c>
      <c r="D6">
        <v>30457</v>
      </c>
      <c r="E6" s="1">
        <v>44911</v>
      </c>
      <c r="F6" s="1">
        <v>45076</v>
      </c>
      <c r="G6">
        <v>76800</v>
      </c>
      <c r="H6">
        <v>146</v>
      </c>
      <c r="I6" t="s">
        <v>113</v>
      </c>
      <c r="J6" t="s">
        <v>112</v>
      </c>
      <c r="K6" t="s">
        <v>15</v>
      </c>
    </row>
    <row r="7" spans="1:11" x14ac:dyDescent="0.3">
      <c r="A7" t="s">
        <v>109</v>
      </c>
      <c r="B7" t="s">
        <v>110</v>
      </c>
      <c r="C7">
        <v>20909</v>
      </c>
      <c r="D7">
        <v>30052</v>
      </c>
      <c r="E7" s="1">
        <v>44866</v>
      </c>
      <c r="F7" s="1">
        <v>45076</v>
      </c>
      <c r="G7">
        <v>383760</v>
      </c>
      <c r="H7">
        <v>146</v>
      </c>
      <c r="I7" t="s">
        <v>226</v>
      </c>
      <c r="J7" t="s">
        <v>112</v>
      </c>
      <c r="K7" t="s">
        <v>15</v>
      </c>
    </row>
    <row r="8" spans="1:11" x14ac:dyDescent="0.3">
      <c r="A8" t="s">
        <v>145</v>
      </c>
      <c r="B8" t="s">
        <v>146</v>
      </c>
      <c r="C8">
        <v>21510</v>
      </c>
      <c r="D8">
        <v>30674</v>
      </c>
      <c r="E8" s="1">
        <v>44939</v>
      </c>
      <c r="F8" s="1">
        <v>45199</v>
      </c>
      <c r="G8">
        <v>483600</v>
      </c>
      <c r="H8">
        <v>23</v>
      </c>
      <c r="I8" t="s">
        <v>227</v>
      </c>
      <c r="J8" t="s">
        <v>82</v>
      </c>
      <c r="K8" t="s">
        <v>15</v>
      </c>
    </row>
    <row r="9" spans="1:11" x14ac:dyDescent="0.3">
      <c r="A9" t="s">
        <v>255</v>
      </c>
      <c r="B9" t="s">
        <v>256</v>
      </c>
      <c r="C9">
        <v>20626</v>
      </c>
      <c r="D9">
        <v>29735</v>
      </c>
      <c r="E9" s="1">
        <v>44832</v>
      </c>
      <c r="F9" s="1">
        <v>45076</v>
      </c>
      <c r="G9">
        <v>489000</v>
      </c>
      <c r="H9">
        <v>146</v>
      </c>
      <c r="I9" t="s">
        <v>257</v>
      </c>
      <c r="J9" t="s">
        <v>122</v>
      </c>
      <c r="K9" t="s">
        <v>15</v>
      </c>
    </row>
    <row r="10" spans="1:11" x14ac:dyDescent="0.3">
      <c r="A10" t="s">
        <v>109</v>
      </c>
      <c r="B10" t="s">
        <v>110</v>
      </c>
      <c r="C10">
        <v>20376</v>
      </c>
      <c r="D10">
        <v>29467</v>
      </c>
      <c r="E10" s="1">
        <v>44812</v>
      </c>
      <c r="F10" s="1">
        <v>45076</v>
      </c>
      <c r="G10">
        <v>12874</v>
      </c>
      <c r="H10">
        <v>146</v>
      </c>
      <c r="I10" t="s">
        <v>298</v>
      </c>
      <c r="J10" t="s">
        <v>112</v>
      </c>
      <c r="K10" t="s">
        <v>15</v>
      </c>
    </row>
    <row r="11" spans="1:11" x14ac:dyDescent="0.3">
      <c r="A11" t="s">
        <v>356</v>
      </c>
      <c r="B11" t="s">
        <v>357</v>
      </c>
      <c r="C11">
        <v>20575</v>
      </c>
      <c r="D11">
        <v>29680</v>
      </c>
      <c r="E11" s="1">
        <v>44827</v>
      </c>
      <c r="F11" s="1">
        <v>45187</v>
      </c>
      <c r="G11">
        <v>40116.639999999999</v>
      </c>
      <c r="H11">
        <v>35</v>
      </c>
      <c r="I11" t="s">
        <v>358</v>
      </c>
      <c r="J11" t="s">
        <v>94</v>
      </c>
      <c r="K11" t="s">
        <v>15</v>
      </c>
    </row>
    <row r="12" spans="1:11" x14ac:dyDescent="0.3">
      <c r="A12" t="s">
        <v>109</v>
      </c>
      <c r="B12" t="s">
        <v>110</v>
      </c>
      <c r="C12">
        <v>20726</v>
      </c>
      <c r="D12">
        <v>29836</v>
      </c>
      <c r="E12" s="1">
        <v>44841</v>
      </c>
      <c r="F12" s="1">
        <v>45076</v>
      </c>
      <c r="G12">
        <v>109449.53</v>
      </c>
      <c r="H12">
        <v>146</v>
      </c>
      <c r="I12" t="s">
        <v>359</v>
      </c>
      <c r="J12" t="s">
        <v>112</v>
      </c>
      <c r="K12" t="s">
        <v>15</v>
      </c>
    </row>
    <row r="13" spans="1:11" x14ac:dyDescent="0.3">
      <c r="A13" t="s">
        <v>83</v>
      </c>
      <c r="B13" t="s">
        <v>84</v>
      </c>
      <c r="C13">
        <v>21379</v>
      </c>
      <c r="D13">
        <v>30540</v>
      </c>
      <c r="E13" s="1">
        <v>44921</v>
      </c>
      <c r="F13" s="1">
        <v>45168</v>
      </c>
      <c r="G13">
        <v>248695</v>
      </c>
      <c r="H13">
        <v>54</v>
      </c>
      <c r="I13" t="s">
        <v>360</v>
      </c>
      <c r="J13" t="s">
        <v>86</v>
      </c>
      <c r="K13" t="s">
        <v>15</v>
      </c>
    </row>
    <row r="14" spans="1:11" x14ac:dyDescent="0.3">
      <c r="A14" t="s">
        <v>88</v>
      </c>
      <c r="B14" t="s">
        <v>89</v>
      </c>
      <c r="C14">
        <v>22497</v>
      </c>
      <c r="D14">
        <v>31756</v>
      </c>
      <c r="E14" s="1">
        <v>45070</v>
      </c>
      <c r="F14" s="1">
        <v>45220</v>
      </c>
      <c r="G14">
        <v>155910.81</v>
      </c>
      <c r="H14">
        <v>2</v>
      </c>
      <c r="I14" t="s">
        <v>365</v>
      </c>
      <c r="J14" t="s">
        <v>27</v>
      </c>
      <c r="K14" t="s">
        <v>15</v>
      </c>
    </row>
    <row r="15" spans="1:11" x14ac:dyDescent="0.3">
      <c r="A15" t="s">
        <v>88</v>
      </c>
      <c r="B15" t="s">
        <v>89</v>
      </c>
      <c r="C15">
        <v>22498</v>
      </c>
      <c r="D15">
        <v>31757</v>
      </c>
      <c r="E15" s="1">
        <v>45070</v>
      </c>
      <c r="F15" s="1">
        <v>45220</v>
      </c>
      <c r="G15">
        <v>156000</v>
      </c>
      <c r="H15">
        <v>2</v>
      </c>
      <c r="I15" t="s">
        <v>366</v>
      </c>
      <c r="J15" t="s">
        <v>27</v>
      </c>
      <c r="K15" t="s">
        <v>15</v>
      </c>
    </row>
    <row r="16" spans="1:11" x14ac:dyDescent="0.3">
      <c r="A16" t="s">
        <v>369</v>
      </c>
      <c r="B16" t="s">
        <v>370</v>
      </c>
      <c r="C16">
        <v>22766</v>
      </c>
      <c r="D16">
        <v>32053</v>
      </c>
      <c r="E16" s="1">
        <v>45114</v>
      </c>
      <c r="F16" s="1">
        <v>45174</v>
      </c>
      <c r="G16">
        <v>4821.72</v>
      </c>
      <c r="H16">
        <v>48</v>
      </c>
      <c r="I16" t="s">
        <v>371</v>
      </c>
      <c r="J16" t="s">
        <v>122</v>
      </c>
      <c r="K16" t="s">
        <v>15</v>
      </c>
    </row>
    <row r="17" spans="1:11" x14ac:dyDescent="0.3">
      <c r="A17" t="s">
        <v>83</v>
      </c>
      <c r="B17" t="s">
        <v>84</v>
      </c>
      <c r="C17">
        <v>21546</v>
      </c>
      <c r="D17">
        <v>30701</v>
      </c>
      <c r="E17" s="1">
        <v>44944</v>
      </c>
      <c r="F17" s="1">
        <v>45168</v>
      </c>
      <c r="G17">
        <v>15600</v>
      </c>
      <c r="H17">
        <v>54</v>
      </c>
      <c r="I17" t="s">
        <v>388</v>
      </c>
      <c r="J17" t="s">
        <v>86</v>
      </c>
      <c r="K17" t="s">
        <v>15</v>
      </c>
    </row>
    <row r="18" spans="1:11" x14ac:dyDescent="0.3">
      <c r="A18" t="s">
        <v>390</v>
      </c>
      <c r="B18" t="s">
        <v>391</v>
      </c>
      <c r="C18">
        <v>22463</v>
      </c>
      <c r="D18">
        <v>53</v>
      </c>
      <c r="E18" s="1">
        <v>45064</v>
      </c>
      <c r="F18" s="1">
        <v>45094</v>
      </c>
      <c r="G18">
        <v>9451.2900000000009</v>
      </c>
      <c r="H18">
        <v>128</v>
      </c>
      <c r="I18" t="s">
        <v>392</v>
      </c>
      <c r="J18" t="s">
        <v>46</v>
      </c>
      <c r="K18" t="s">
        <v>15</v>
      </c>
    </row>
    <row r="19" spans="1:11" x14ac:dyDescent="0.3">
      <c r="A19" t="s">
        <v>255</v>
      </c>
      <c r="B19" t="s">
        <v>256</v>
      </c>
      <c r="C19">
        <v>20497</v>
      </c>
      <c r="D19">
        <v>29597</v>
      </c>
      <c r="E19" s="1">
        <v>44823</v>
      </c>
      <c r="F19" s="1">
        <v>45076</v>
      </c>
      <c r="G19">
        <v>460000</v>
      </c>
      <c r="H19">
        <v>146</v>
      </c>
      <c r="I19" t="s">
        <v>456</v>
      </c>
      <c r="J19" t="s">
        <v>122</v>
      </c>
      <c r="K19" t="s">
        <v>15</v>
      </c>
    </row>
    <row r="20" spans="1:11" x14ac:dyDescent="0.3">
      <c r="A20" t="s">
        <v>83</v>
      </c>
      <c r="B20" t="s">
        <v>84</v>
      </c>
      <c r="C20">
        <v>21740</v>
      </c>
      <c r="D20">
        <v>30891</v>
      </c>
      <c r="E20" s="1">
        <v>44961</v>
      </c>
      <c r="F20" s="1">
        <v>45199</v>
      </c>
      <c r="G20">
        <v>168960</v>
      </c>
      <c r="H20">
        <v>23</v>
      </c>
      <c r="I20" t="s">
        <v>457</v>
      </c>
      <c r="J20" t="s">
        <v>86</v>
      </c>
      <c r="K20" t="s">
        <v>15</v>
      </c>
    </row>
    <row r="21" spans="1:11" x14ac:dyDescent="0.3">
      <c r="A21" t="s">
        <v>491</v>
      </c>
      <c r="B21" t="s">
        <v>492</v>
      </c>
      <c r="C21">
        <v>21729</v>
      </c>
      <c r="D21">
        <v>30880</v>
      </c>
      <c r="E21" s="1">
        <v>44960</v>
      </c>
      <c r="F21" s="1">
        <v>45199</v>
      </c>
      <c r="G21">
        <v>25218</v>
      </c>
      <c r="H21">
        <v>23</v>
      </c>
      <c r="I21" t="s">
        <v>493</v>
      </c>
      <c r="J21" t="s">
        <v>82</v>
      </c>
      <c r="K21" t="s">
        <v>15</v>
      </c>
    </row>
    <row r="22" spans="1:11" x14ac:dyDescent="0.3">
      <c r="A22" t="s">
        <v>145</v>
      </c>
      <c r="B22" t="s">
        <v>146</v>
      </c>
      <c r="C22">
        <v>21570</v>
      </c>
      <c r="D22">
        <v>30729</v>
      </c>
      <c r="E22" s="1">
        <v>44945</v>
      </c>
      <c r="F22" s="1">
        <v>45199</v>
      </c>
      <c r="G22">
        <v>42600</v>
      </c>
      <c r="H22">
        <v>23</v>
      </c>
      <c r="I22" t="s">
        <v>516</v>
      </c>
      <c r="J22" t="s">
        <v>82</v>
      </c>
      <c r="K22" t="s">
        <v>15</v>
      </c>
    </row>
    <row r="23" spans="1:11" x14ac:dyDescent="0.3">
      <c r="A23" t="s">
        <v>145</v>
      </c>
      <c r="B23" t="s">
        <v>146</v>
      </c>
      <c r="C23">
        <v>21753</v>
      </c>
      <c r="D23">
        <v>30904</v>
      </c>
      <c r="E23" s="1">
        <v>44961</v>
      </c>
      <c r="F23" s="1">
        <v>45199</v>
      </c>
      <c r="G23">
        <v>115573.2</v>
      </c>
      <c r="H23">
        <v>23</v>
      </c>
      <c r="I23" t="s">
        <v>517</v>
      </c>
      <c r="J23" t="s">
        <v>82</v>
      </c>
      <c r="K23" t="s">
        <v>15</v>
      </c>
    </row>
    <row r="24" spans="1:11" x14ac:dyDescent="0.3">
      <c r="A24" t="s">
        <v>491</v>
      </c>
      <c r="B24" t="s">
        <v>492</v>
      </c>
      <c r="C24">
        <v>22104</v>
      </c>
      <c r="D24">
        <v>31282</v>
      </c>
      <c r="E24" s="1">
        <v>45000</v>
      </c>
      <c r="F24" s="1">
        <v>45168</v>
      </c>
      <c r="G24">
        <v>202560</v>
      </c>
      <c r="H24">
        <v>54</v>
      </c>
      <c r="I24" t="s">
        <v>519</v>
      </c>
      <c r="J24" t="s">
        <v>82</v>
      </c>
      <c r="K24" t="s">
        <v>15</v>
      </c>
    </row>
    <row r="25" spans="1:11" x14ac:dyDescent="0.3">
      <c r="A25" t="s">
        <v>549</v>
      </c>
      <c r="B25" t="s">
        <v>550</v>
      </c>
      <c r="C25">
        <v>23827</v>
      </c>
      <c r="D25">
        <v>33182</v>
      </c>
      <c r="E25" s="1">
        <v>45219</v>
      </c>
      <c r="F25" s="1">
        <v>45219</v>
      </c>
      <c r="G25" s="3">
        <v>486000</v>
      </c>
      <c r="H25">
        <v>3</v>
      </c>
      <c r="I25" t="s">
        <v>551</v>
      </c>
      <c r="J25" t="s">
        <v>73</v>
      </c>
      <c r="K25" t="s">
        <v>15</v>
      </c>
    </row>
    <row r="26" spans="1:11" x14ac:dyDescent="0.3">
      <c r="A26" t="s">
        <v>109</v>
      </c>
      <c r="B26" t="s">
        <v>110</v>
      </c>
      <c r="C26">
        <v>21299</v>
      </c>
      <c r="D26">
        <v>30459</v>
      </c>
      <c r="E26" s="1">
        <v>44911</v>
      </c>
      <c r="F26" s="1">
        <v>45168</v>
      </c>
      <c r="G26">
        <v>249200</v>
      </c>
      <c r="H26">
        <v>54</v>
      </c>
      <c r="I26" t="s">
        <v>607</v>
      </c>
      <c r="J26" t="s">
        <v>112</v>
      </c>
      <c r="K26" t="s">
        <v>15</v>
      </c>
    </row>
    <row r="27" spans="1:11" x14ac:dyDescent="0.3">
      <c r="A27" t="s">
        <v>145</v>
      </c>
      <c r="B27" t="s">
        <v>146</v>
      </c>
      <c r="C27">
        <v>21449</v>
      </c>
      <c r="D27">
        <v>30609</v>
      </c>
      <c r="E27" s="1">
        <v>44932</v>
      </c>
      <c r="F27" s="1">
        <v>45199</v>
      </c>
      <c r="G27">
        <v>483600</v>
      </c>
      <c r="H27">
        <v>23</v>
      </c>
      <c r="I27" t="s">
        <v>608</v>
      </c>
      <c r="J27" t="s">
        <v>82</v>
      </c>
      <c r="K27" t="s">
        <v>15</v>
      </c>
    </row>
    <row r="28" spans="1:11" x14ac:dyDescent="0.3">
      <c r="A28" t="s">
        <v>255</v>
      </c>
      <c r="B28" t="s">
        <v>256</v>
      </c>
      <c r="C28">
        <v>20836</v>
      </c>
      <c r="D28">
        <v>29955</v>
      </c>
      <c r="E28" s="1">
        <v>44853</v>
      </c>
      <c r="F28" s="1">
        <v>45076</v>
      </c>
      <c r="G28">
        <v>168938</v>
      </c>
      <c r="H28">
        <v>146</v>
      </c>
      <c r="I28" t="s">
        <v>622</v>
      </c>
      <c r="J28" t="s">
        <v>122</v>
      </c>
      <c r="K28" t="s">
        <v>15</v>
      </c>
    </row>
    <row r="29" spans="1:11" x14ac:dyDescent="0.3">
      <c r="A29" t="s">
        <v>83</v>
      </c>
      <c r="B29" t="s">
        <v>84</v>
      </c>
      <c r="C29">
        <v>20330</v>
      </c>
      <c r="D29">
        <v>29419</v>
      </c>
      <c r="E29" s="1">
        <v>44809</v>
      </c>
      <c r="F29" s="1">
        <v>45076</v>
      </c>
      <c r="G29">
        <v>50995.76</v>
      </c>
      <c r="H29">
        <v>146</v>
      </c>
      <c r="I29" t="s">
        <v>647</v>
      </c>
      <c r="J29" t="s">
        <v>86</v>
      </c>
      <c r="K29" t="s">
        <v>15</v>
      </c>
    </row>
    <row r="30" spans="1:11" x14ac:dyDescent="0.3">
      <c r="A30" t="s">
        <v>491</v>
      </c>
      <c r="B30" t="s">
        <v>492</v>
      </c>
      <c r="C30">
        <v>22008</v>
      </c>
      <c r="D30">
        <v>31164</v>
      </c>
      <c r="E30" s="1">
        <v>44985</v>
      </c>
      <c r="F30" s="1">
        <v>45168</v>
      </c>
      <c r="G30">
        <v>254062.1</v>
      </c>
      <c r="H30">
        <v>54</v>
      </c>
      <c r="I30" t="s">
        <v>713</v>
      </c>
      <c r="J30" t="s">
        <v>82</v>
      </c>
      <c r="K30" t="s">
        <v>15</v>
      </c>
    </row>
    <row r="31" spans="1:11" x14ac:dyDescent="0.3">
      <c r="A31" t="s">
        <v>109</v>
      </c>
      <c r="B31" t="s">
        <v>110</v>
      </c>
      <c r="C31">
        <v>21497</v>
      </c>
      <c r="D31">
        <v>30655</v>
      </c>
      <c r="E31" s="1">
        <v>44936</v>
      </c>
      <c r="F31" s="1">
        <v>45168</v>
      </c>
      <c r="G31">
        <v>207900</v>
      </c>
      <c r="H31">
        <v>54</v>
      </c>
      <c r="I31" t="s">
        <v>715</v>
      </c>
      <c r="J31" t="s">
        <v>112</v>
      </c>
      <c r="K31" t="s">
        <v>15</v>
      </c>
    </row>
    <row r="32" spans="1:11" x14ac:dyDescent="0.3">
      <c r="A32" t="s">
        <v>83</v>
      </c>
      <c r="B32" t="s">
        <v>84</v>
      </c>
      <c r="C32">
        <v>21739</v>
      </c>
      <c r="D32">
        <v>30890</v>
      </c>
      <c r="E32" s="1">
        <v>44961</v>
      </c>
      <c r="F32" s="1">
        <v>45168</v>
      </c>
      <c r="G32">
        <v>22000</v>
      </c>
      <c r="H32">
        <v>54</v>
      </c>
      <c r="I32" t="s">
        <v>730</v>
      </c>
      <c r="J32" t="s">
        <v>86</v>
      </c>
      <c r="K32" t="s">
        <v>15</v>
      </c>
    </row>
    <row r="33" spans="1:11" x14ac:dyDescent="0.3">
      <c r="A33" t="s">
        <v>145</v>
      </c>
      <c r="B33" t="s">
        <v>146</v>
      </c>
      <c r="C33">
        <v>21752</v>
      </c>
      <c r="D33">
        <v>30903</v>
      </c>
      <c r="E33" s="1">
        <v>44961</v>
      </c>
      <c r="F33" s="1">
        <v>45199</v>
      </c>
      <c r="G33">
        <v>5800</v>
      </c>
      <c r="H33">
        <v>23</v>
      </c>
      <c r="I33" t="s">
        <v>731</v>
      </c>
      <c r="J33" t="s">
        <v>82</v>
      </c>
      <c r="K33" t="s">
        <v>15</v>
      </c>
    </row>
    <row r="34" spans="1:11" x14ac:dyDescent="0.3">
      <c r="A34" t="s">
        <v>83</v>
      </c>
      <c r="B34" t="s">
        <v>84</v>
      </c>
      <c r="C34">
        <v>20847</v>
      </c>
      <c r="D34">
        <v>29968</v>
      </c>
      <c r="E34" s="1">
        <v>44854</v>
      </c>
      <c r="F34" s="1">
        <v>45076</v>
      </c>
      <c r="G34">
        <v>158400</v>
      </c>
      <c r="H34">
        <v>146</v>
      </c>
      <c r="I34" t="s">
        <v>743</v>
      </c>
      <c r="J34" t="s">
        <v>86</v>
      </c>
      <c r="K34" t="s">
        <v>15</v>
      </c>
    </row>
    <row r="35" spans="1:11" x14ac:dyDescent="0.3">
      <c r="A35" t="s">
        <v>88</v>
      </c>
      <c r="B35" t="s">
        <v>89</v>
      </c>
      <c r="C35">
        <v>22519</v>
      </c>
      <c r="D35">
        <v>31776</v>
      </c>
      <c r="E35" s="1">
        <v>45072</v>
      </c>
      <c r="F35" s="1">
        <v>45222</v>
      </c>
      <c r="G35">
        <v>48000</v>
      </c>
      <c r="H35">
        <v>0</v>
      </c>
      <c r="I35" t="s">
        <v>450</v>
      </c>
      <c r="J35" t="s">
        <v>27</v>
      </c>
      <c r="K35" t="s">
        <v>15</v>
      </c>
    </row>
    <row r="36" spans="1:11" x14ac:dyDescent="0.3">
      <c r="A36" t="s">
        <v>109</v>
      </c>
      <c r="B36" t="s">
        <v>110</v>
      </c>
      <c r="C36">
        <v>20345</v>
      </c>
      <c r="D36">
        <v>29435</v>
      </c>
      <c r="E36" s="1">
        <v>44810</v>
      </c>
      <c r="F36" s="1">
        <v>45076</v>
      </c>
      <c r="G36">
        <v>451800</v>
      </c>
      <c r="H36">
        <v>146</v>
      </c>
      <c r="I36" t="s">
        <v>758</v>
      </c>
      <c r="J36" t="s">
        <v>112</v>
      </c>
      <c r="K36" t="s">
        <v>15</v>
      </c>
    </row>
    <row r="37" spans="1:11" x14ac:dyDescent="0.3">
      <c r="A37" t="s">
        <v>83</v>
      </c>
      <c r="B37" t="s">
        <v>84</v>
      </c>
      <c r="C37">
        <v>20333</v>
      </c>
      <c r="D37">
        <v>29422</v>
      </c>
      <c r="E37" s="1">
        <v>44809</v>
      </c>
      <c r="F37" s="1">
        <v>45076</v>
      </c>
      <c r="G37">
        <v>198560</v>
      </c>
      <c r="H37">
        <v>146</v>
      </c>
      <c r="I37" t="s">
        <v>768</v>
      </c>
      <c r="J37" t="s">
        <v>86</v>
      </c>
      <c r="K37" t="s">
        <v>15</v>
      </c>
    </row>
    <row r="38" spans="1:11" x14ac:dyDescent="0.3">
      <c r="A38" t="s">
        <v>79</v>
      </c>
      <c r="B38" t="s">
        <v>80</v>
      </c>
      <c r="C38">
        <v>20606</v>
      </c>
      <c r="D38">
        <v>29712</v>
      </c>
      <c r="E38" s="1">
        <v>44830</v>
      </c>
      <c r="F38" s="1">
        <v>45046</v>
      </c>
      <c r="G38">
        <v>35922</v>
      </c>
      <c r="H38">
        <v>176</v>
      </c>
      <c r="I38" t="s">
        <v>801</v>
      </c>
      <c r="J38" t="s">
        <v>82</v>
      </c>
      <c r="K38" t="s">
        <v>15</v>
      </c>
    </row>
    <row r="39" spans="1:11" x14ac:dyDescent="0.3">
      <c r="A39" t="s">
        <v>109</v>
      </c>
      <c r="B39" t="s">
        <v>110</v>
      </c>
      <c r="C39">
        <v>22017</v>
      </c>
      <c r="D39">
        <v>31175</v>
      </c>
      <c r="E39" s="1">
        <v>44987</v>
      </c>
      <c r="F39" s="1">
        <v>45199</v>
      </c>
      <c r="G39">
        <v>432000</v>
      </c>
      <c r="H39">
        <v>23</v>
      </c>
      <c r="I39" t="s">
        <v>802</v>
      </c>
      <c r="J39" t="s">
        <v>112</v>
      </c>
      <c r="K39" t="s">
        <v>15</v>
      </c>
    </row>
    <row r="40" spans="1:11" x14ac:dyDescent="0.3">
      <c r="A40" t="s">
        <v>145</v>
      </c>
      <c r="B40" t="s">
        <v>146</v>
      </c>
      <c r="C40">
        <v>22317</v>
      </c>
      <c r="D40">
        <v>31533</v>
      </c>
      <c r="E40" s="1">
        <v>45035</v>
      </c>
      <c r="F40" s="1">
        <v>45199</v>
      </c>
      <c r="G40">
        <v>104800</v>
      </c>
      <c r="H40">
        <v>23</v>
      </c>
      <c r="I40" t="s">
        <v>803</v>
      </c>
      <c r="J40" t="s">
        <v>82</v>
      </c>
      <c r="K40" t="s">
        <v>15</v>
      </c>
    </row>
    <row r="41" spans="1:11" x14ac:dyDescent="0.3">
      <c r="A41" t="s">
        <v>88</v>
      </c>
      <c r="B41" t="s">
        <v>89</v>
      </c>
      <c r="C41">
        <v>22510</v>
      </c>
      <c r="D41">
        <v>31767</v>
      </c>
      <c r="E41" s="1">
        <v>45071</v>
      </c>
      <c r="F41" s="1">
        <v>45221</v>
      </c>
      <c r="G41">
        <v>231000</v>
      </c>
      <c r="H41">
        <v>1</v>
      </c>
      <c r="I41" t="s">
        <v>450</v>
      </c>
      <c r="J41" t="s">
        <v>27</v>
      </c>
      <c r="K41" t="s">
        <v>15</v>
      </c>
    </row>
    <row r="42" spans="1:11" x14ac:dyDescent="0.3">
      <c r="A42" t="s">
        <v>255</v>
      </c>
      <c r="B42" t="s">
        <v>256</v>
      </c>
      <c r="C42">
        <v>20627</v>
      </c>
      <c r="D42">
        <v>29736</v>
      </c>
      <c r="E42" s="1">
        <v>44832</v>
      </c>
      <c r="F42" s="1">
        <v>45076</v>
      </c>
      <c r="G42">
        <v>305520</v>
      </c>
      <c r="H42">
        <v>146</v>
      </c>
      <c r="I42" t="s">
        <v>820</v>
      </c>
      <c r="J42" t="s">
        <v>122</v>
      </c>
      <c r="K42" t="s">
        <v>15</v>
      </c>
    </row>
    <row r="43" spans="1:11" x14ac:dyDescent="0.3">
      <c r="A43" t="s">
        <v>255</v>
      </c>
      <c r="B43" t="s">
        <v>256</v>
      </c>
      <c r="C43">
        <v>20728</v>
      </c>
      <c r="D43">
        <v>29840</v>
      </c>
      <c r="E43" s="1">
        <v>44844</v>
      </c>
      <c r="F43" s="1">
        <v>45076</v>
      </c>
      <c r="G43">
        <v>174176</v>
      </c>
      <c r="H43">
        <v>146</v>
      </c>
      <c r="I43" t="s">
        <v>821</v>
      </c>
      <c r="J43" t="s">
        <v>122</v>
      </c>
      <c r="K43" t="s">
        <v>15</v>
      </c>
    </row>
    <row r="44" spans="1:11" x14ac:dyDescent="0.3">
      <c r="A44" t="s">
        <v>79</v>
      </c>
      <c r="B44" t="s">
        <v>80</v>
      </c>
      <c r="C44">
        <v>20721</v>
      </c>
      <c r="D44">
        <v>29830</v>
      </c>
      <c r="E44" s="1">
        <v>44840</v>
      </c>
      <c r="F44" s="1">
        <v>45046</v>
      </c>
      <c r="G44">
        <v>12384.84</v>
      </c>
      <c r="H44">
        <v>176</v>
      </c>
      <c r="I44" t="s">
        <v>854</v>
      </c>
      <c r="J44" t="s">
        <v>82</v>
      </c>
      <c r="K44" t="s">
        <v>15</v>
      </c>
    </row>
    <row r="45" spans="1:11" x14ac:dyDescent="0.3">
      <c r="A45" t="s">
        <v>109</v>
      </c>
      <c r="B45" t="s">
        <v>110</v>
      </c>
      <c r="C45">
        <v>21298</v>
      </c>
      <c r="D45">
        <v>30458</v>
      </c>
      <c r="E45" s="1">
        <v>44911</v>
      </c>
      <c r="F45" s="1">
        <v>45076</v>
      </c>
      <c r="G45">
        <v>68000</v>
      </c>
      <c r="H45">
        <v>146</v>
      </c>
      <c r="I45" t="s">
        <v>855</v>
      </c>
      <c r="J45" t="s">
        <v>112</v>
      </c>
      <c r="K45" t="s">
        <v>15</v>
      </c>
    </row>
    <row r="46" spans="1:11" x14ac:dyDescent="0.3">
      <c r="A46" t="s">
        <v>83</v>
      </c>
      <c r="B46" t="s">
        <v>84</v>
      </c>
      <c r="C46">
        <v>21711</v>
      </c>
      <c r="D46">
        <v>30866</v>
      </c>
      <c r="E46" s="1">
        <v>44959</v>
      </c>
      <c r="F46" s="1">
        <v>45199</v>
      </c>
      <c r="G46">
        <v>160000</v>
      </c>
      <c r="H46">
        <v>23</v>
      </c>
      <c r="I46" t="s">
        <v>884</v>
      </c>
      <c r="J46" t="s">
        <v>86</v>
      </c>
      <c r="K46" t="s">
        <v>15</v>
      </c>
    </row>
    <row r="47" spans="1:11" x14ac:dyDescent="0.3">
      <c r="A47" t="s">
        <v>109</v>
      </c>
      <c r="B47" t="s">
        <v>110</v>
      </c>
      <c r="C47">
        <v>20409</v>
      </c>
      <c r="D47">
        <v>29502</v>
      </c>
      <c r="E47" s="1">
        <v>44816</v>
      </c>
      <c r="F47" s="1">
        <v>45076</v>
      </c>
      <c r="G47">
        <v>312576</v>
      </c>
      <c r="H47">
        <v>146</v>
      </c>
      <c r="I47" t="s">
        <v>920</v>
      </c>
      <c r="J47" t="s">
        <v>112</v>
      </c>
      <c r="K47" t="s">
        <v>15</v>
      </c>
    </row>
    <row r="48" spans="1:11" x14ac:dyDescent="0.3">
      <c r="A48" t="s">
        <v>109</v>
      </c>
      <c r="B48" t="s">
        <v>110</v>
      </c>
      <c r="C48">
        <v>20860</v>
      </c>
      <c r="D48">
        <v>29988</v>
      </c>
      <c r="E48" s="1">
        <v>44858</v>
      </c>
      <c r="F48" s="1">
        <v>45076</v>
      </c>
      <c r="G48">
        <v>221820</v>
      </c>
      <c r="H48">
        <v>146</v>
      </c>
      <c r="I48" t="s">
        <v>921</v>
      </c>
      <c r="J48" t="s">
        <v>112</v>
      </c>
      <c r="K48" t="s">
        <v>15</v>
      </c>
    </row>
    <row r="49" spans="1:11" x14ac:dyDescent="0.3">
      <c r="A49" t="s">
        <v>145</v>
      </c>
      <c r="B49" t="s">
        <v>146</v>
      </c>
      <c r="C49">
        <v>21545</v>
      </c>
      <c r="D49">
        <v>30700</v>
      </c>
      <c r="E49" s="1">
        <v>44944</v>
      </c>
      <c r="F49" s="1">
        <v>45199</v>
      </c>
      <c r="G49">
        <v>225000</v>
      </c>
      <c r="H49">
        <v>23</v>
      </c>
      <c r="I49" t="s">
        <v>922</v>
      </c>
      <c r="J49" t="s">
        <v>82</v>
      </c>
      <c r="K49" t="s">
        <v>15</v>
      </c>
    </row>
    <row r="50" spans="1:11" x14ac:dyDescent="0.3">
      <c r="A50" t="s">
        <v>79</v>
      </c>
      <c r="B50" t="s">
        <v>80</v>
      </c>
      <c r="C50">
        <v>20604</v>
      </c>
      <c r="D50">
        <v>29710</v>
      </c>
      <c r="E50" s="1">
        <v>44830</v>
      </c>
      <c r="F50" s="1">
        <v>45046</v>
      </c>
      <c r="G50">
        <v>29847.3</v>
      </c>
      <c r="H50">
        <v>176</v>
      </c>
      <c r="I50" t="s">
        <v>940</v>
      </c>
      <c r="J50" t="s">
        <v>82</v>
      </c>
      <c r="K50" t="s">
        <v>15</v>
      </c>
    </row>
    <row r="51" spans="1:11" x14ac:dyDescent="0.3">
      <c r="A51" t="s">
        <v>255</v>
      </c>
      <c r="B51" t="s">
        <v>256</v>
      </c>
      <c r="C51">
        <v>20897</v>
      </c>
      <c r="D51">
        <v>30033</v>
      </c>
      <c r="E51" s="1">
        <v>44861</v>
      </c>
      <c r="F51" s="1">
        <v>45076</v>
      </c>
      <c r="G51">
        <v>88800</v>
      </c>
      <c r="H51">
        <v>146</v>
      </c>
      <c r="I51" t="s">
        <v>941</v>
      </c>
      <c r="J51" t="s">
        <v>122</v>
      </c>
      <c r="K51" t="s">
        <v>15</v>
      </c>
    </row>
    <row r="52" spans="1:11" x14ac:dyDescent="0.3">
      <c r="A52" t="s">
        <v>491</v>
      </c>
      <c r="B52" t="s">
        <v>492</v>
      </c>
      <c r="C52">
        <v>21956</v>
      </c>
      <c r="D52">
        <v>31111</v>
      </c>
      <c r="E52" s="1">
        <v>44981</v>
      </c>
      <c r="F52" s="1">
        <v>45168</v>
      </c>
      <c r="G52">
        <v>60357.4</v>
      </c>
      <c r="H52">
        <v>54</v>
      </c>
      <c r="I52" t="s">
        <v>971</v>
      </c>
      <c r="J52" t="s">
        <v>82</v>
      </c>
      <c r="K52" t="s">
        <v>15</v>
      </c>
    </row>
    <row r="53" spans="1:11" x14ac:dyDescent="0.3">
      <c r="A53" t="s">
        <v>145</v>
      </c>
      <c r="B53" t="s">
        <v>146</v>
      </c>
      <c r="C53">
        <v>21835</v>
      </c>
      <c r="D53">
        <v>30987</v>
      </c>
      <c r="E53" s="1">
        <v>44969</v>
      </c>
      <c r="F53" s="1">
        <v>45199</v>
      </c>
      <c r="G53">
        <v>22680</v>
      </c>
      <c r="H53">
        <v>23</v>
      </c>
      <c r="I53" t="s">
        <v>987</v>
      </c>
      <c r="J53" t="s">
        <v>82</v>
      </c>
      <c r="K53" t="s">
        <v>15</v>
      </c>
    </row>
    <row r="54" spans="1:11" x14ac:dyDescent="0.3">
      <c r="A54" t="s">
        <v>114</v>
      </c>
      <c r="B54" t="s">
        <v>115</v>
      </c>
      <c r="C54">
        <v>22417</v>
      </c>
      <c r="D54">
        <v>31661</v>
      </c>
      <c r="E54" s="1">
        <v>45050</v>
      </c>
      <c r="F54" s="1">
        <v>45200</v>
      </c>
      <c r="G54">
        <v>27230</v>
      </c>
      <c r="H54">
        <v>22</v>
      </c>
      <c r="I54" t="s">
        <v>990</v>
      </c>
      <c r="J54" t="s">
        <v>82</v>
      </c>
      <c r="K54" t="s">
        <v>15</v>
      </c>
    </row>
    <row r="55" spans="1:11" x14ac:dyDescent="0.3">
      <c r="A55" t="s">
        <v>991</v>
      </c>
      <c r="B55" t="s">
        <v>992</v>
      </c>
      <c r="C55">
        <v>22428</v>
      </c>
      <c r="D55">
        <v>31677</v>
      </c>
      <c r="E55" s="1">
        <v>45054</v>
      </c>
      <c r="F55" s="1">
        <v>45174</v>
      </c>
      <c r="G55">
        <v>97896</v>
      </c>
      <c r="H55">
        <v>48</v>
      </c>
      <c r="I55" t="s">
        <v>993</v>
      </c>
      <c r="J55" t="s">
        <v>23</v>
      </c>
      <c r="K55" t="s">
        <v>15</v>
      </c>
    </row>
    <row r="56" spans="1:11" x14ac:dyDescent="0.3">
      <c r="A56" t="s">
        <v>109</v>
      </c>
      <c r="B56" t="s">
        <v>110</v>
      </c>
      <c r="C56">
        <v>20727</v>
      </c>
      <c r="D56">
        <v>29837</v>
      </c>
      <c r="E56" s="1">
        <v>44841</v>
      </c>
      <c r="F56" s="1">
        <v>45076</v>
      </c>
      <c r="G56">
        <v>189000</v>
      </c>
      <c r="H56">
        <v>146</v>
      </c>
      <c r="I56" t="s">
        <v>1006</v>
      </c>
      <c r="J56" t="s">
        <v>112</v>
      </c>
      <c r="K56" t="s">
        <v>15</v>
      </c>
    </row>
    <row r="57" spans="1:11" x14ac:dyDescent="0.3">
      <c r="A57" t="s">
        <v>109</v>
      </c>
      <c r="B57" t="s">
        <v>110</v>
      </c>
      <c r="C57">
        <v>20859</v>
      </c>
      <c r="D57">
        <v>29987</v>
      </c>
      <c r="E57" s="1">
        <v>44858</v>
      </c>
      <c r="F57" s="1">
        <v>45076</v>
      </c>
      <c r="G57">
        <v>40896</v>
      </c>
      <c r="H57">
        <v>146</v>
      </c>
      <c r="I57" t="s">
        <v>1007</v>
      </c>
      <c r="J57" t="s">
        <v>112</v>
      </c>
      <c r="K57" t="s">
        <v>15</v>
      </c>
    </row>
    <row r="58" spans="1:11" x14ac:dyDescent="0.3">
      <c r="A58" t="s">
        <v>83</v>
      </c>
      <c r="B58" t="s">
        <v>84</v>
      </c>
      <c r="C58">
        <v>21617</v>
      </c>
      <c r="D58">
        <v>30775</v>
      </c>
      <c r="E58" s="1">
        <v>44950</v>
      </c>
      <c r="F58" s="1">
        <v>45168</v>
      </c>
      <c r="G58">
        <v>353500</v>
      </c>
      <c r="H58">
        <v>54</v>
      </c>
      <c r="I58" t="s">
        <v>1028</v>
      </c>
      <c r="J58" t="s">
        <v>86</v>
      </c>
      <c r="K58" t="s">
        <v>15</v>
      </c>
    </row>
    <row r="59" spans="1:11" x14ac:dyDescent="0.3">
      <c r="A59" t="s">
        <v>109</v>
      </c>
      <c r="B59" t="s">
        <v>110</v>
      </c>
      <c r="C59">
        <v>20346</v>
      </c>
      <c r="D59">
        <v>29436</v>
      </c>
      <c r="E59" s="1">
        <v>44810</v>
      </c>
      <c r="F59" s="1">
        <v>45076</v>
      </c>
      <c r="G59">
        <v>31460</v>
      </c>
      <c r="H59">
        <v>146</v>
      </c>
      <c r="I59" t="s">
        <v>1062</v>
      </c>
      <c r="J59" t="s">
        <v>112</v>
      </c>
      <c r="K59" t="s">
        <v>15</v>
      </c>
    </row>
    <row r="60" spans="1:11" x14ac:dyDescent="0.3">
      <c r="A60" t="s">
        <v>79</v>
      </c>
      <c r="B60" t="s">
        <v>80</v>
      </c>
      <c r="C60">
        <v>20095</v>
      </c>
      <c r="D60">
        <v>29180</v>
      </c>
      <c r="E60" s="1">
        <v>44782</v>
      </c>
      <c r="F60" s="1">
        <v>45046</v>
      </c>
      <c r="G60">
        <v>160151.13</v>
      </c>
      <c r="H60">
        <v>176</v>
      </c>
      <c r="I60" t="s">
        <v>1069</v>
      </c>
      <c r="J60" t="s">
        <v>82</v>
      </c>
      <c r="K60" t="s">
        <v>15</v>
      </c>
    </row>
    <row r="61" spans="1:11" x14ac:dyDescent="0.3">
      <c r="A61" t="s">
        <v>491</v>
      </c>
      <c r="B61" t="s">
        <v>492</v>
      </c>
      <c r="C61">
        <v>21718</v>
      </c>
      <c r="D61">
        <v>30873</v>
      </c>
      <c r="E61" s="1">
        <v>44960</v>
      </c>
      <c r="F61" s="1">
        <v>45199</v>
      </c>
      <c r="G61">
        <v>285995</v>
      </c>
      <c r="H61">
        <v>23</v>
      </c>
      <c r="I61" t="s">
        <v>1092</v>
      </c>
      <c r="J61" t="s">
        <v>82</v>
      </c>
      <c r="K61" t="s">
        <v>15</v>
      </c>
    </row>
    <row r="62" spans="1:11" x14ac:dyDescent="0.3">
      <c r="A62" t="s">
        <v>83</v>
      </c>
      <c r="B62" t="s">
        <v>84</v>
      </c>
      <c r="C62">
        <v>20541</v>
      </c>
      <c r="D62">
        <v>29644</v>
      </c>
      <c r="E62" s="1">
        <v>44824</v>
      </c>
      <c r="F62" s="1">
        <v>45076</v>
      </c>
      <c r="G62">
        <v>37200</v>
      </c>
      <c r="H62">
        <v>146</v>
      </c>
      <c r="I62" t="s">
        <v>1123</v>
      </c>
      <c r="J62" t="s">
        <v>86</v>
      </c>
      <c r="K62" t="s">
        <v>15</v>
      </c>
    </row>
    <row r="63" spans="1:11" x14ac:dyDescent="0.3">
      <c r="A63" t="s">
        <v>145</v>
      </c>
      <c r="B63" t="s">
        <v>146</v>
      </c>
      <c r="C63">
        <v>21828</v>
      </c>
      <c r="D63">
        <v>30982</v>
      </c>
      <c r="E63" s="1">
        <v>44969</v>
      </c>
      <c r="F63" s="1">
        <v>45199</v>
      </c>
      <c r="G63">
        <v>120900</v>
      </c>
      <c r="H63">
        <v>23</v>
      </c>
      <c r="I63" t="s">
        <v>1124</v>
      </c>
      <c r="J63" t="s">
        <v>82</v>
      </c>
      <c r="K63" t="s">
        <v>15</v>
      </c>
    </row>
    <row r="64" spans="1:11" x14ac:dyDescent="0.3">
      <c r="A64" t="s">
        <v>145</v>
      </c>
      <c r="B64" t="s">
        <v>146</v>
      </c>
      <c r="C64">
        <v>21946</v>
      </c>
      <c r="D64">
        <v>31102</v>
      </c>
      <c r="E64" s="1">
        <v>44981</v>
      </c>
      <c r="F64" s="1">
        <v>45199</v>
      </c>
      <c r="G64">
        <v>59600</v>
      </c>
      <c r="H64">
        <v>23</v>
      </c>
      <c r="I64" t="s">
        <v>1125</v>
      </c>
      <c r="J64" t="s">
        <v>82</v>
      </c>
      <c r="K64" t="s">
        <v>15</v>
      </c>
    </row>
    <row r="65" spans="1:11" x14ac:dyDescent="0.3">
      <c r="A65" t="s">
        <v>255</v>
      </c>
      <c r="B65" t="s">
        <v>256</v>
      </c>
      <c r="C65">
        <v>21007</v>
      </c>
      <c r="D65">
        <v>30153</v>
      </c>
      <c r="E65" s="1">
        <v>44881</v>
      </c>
      <c r="F65" s="1">
        <v>45076</v>
      </c>
      <c r="G65">
        <v>236800</v>
      </c>
      <c r="H65">
        <v>146</v>
      </c>
      <c r="I65" t="s">
        <v>1216</v>
      </c>
      <c r="J65" t="s">
        <v>122</v>
      </c>
      <c r="K65" t="s">
        <v>15</v>
      </c>
    </row>
    <row r="66" spans="1:11" x14ac:dyDescent="0.3">
      <c r="A66" t="s">
        <v>83</v>
      </c>
      <c r="B66" t="s">
        <v>84</v>
      </c>
      <c r="C66">
        <v>21616</v>
      </c>
      <c r="D66">
        <v>30774</v>
      </c>
      <c r="E66" s="1">
        <v>44950</v>
      </c>
      <c r="F66" s="1">
        <v>45199</v>
      </c>
      <c r="G66">
        <v>335040</v>
      </c>
      <c r="H66">
        <v>23</v>
      </c>
      <c r="I66" t="s">
        <v>1217</v>
      </c>
      <c r="J66" t="s">
        <v>86</v>
      </c>
      <c r="K66" t="s">
        <v>15</v>
      </c>
    </row>
    <row r="67" spans="1:11" x14ac:dyDescent="0.3">
      <c r="A67" t="s">
        <v>79</v>
      </c>
      <c r="B67" t="s">
        <v>80</v>
      </c>
      <c r="C67">
        <v>20096</v>
      </c>
      <c r="D67">
        <v>29181</v>
      </c>
      <c r="E67" s="1">
        <v>44782</v>
      </c>
      <c r="F67" s="1">
        <v>45046</v>
      </c>
      <c r="G67">
        <v>10902.48</v>
      </c>
      <c r="H67">
        <v>176</v>
      </c>
      <c r="I67" t="s">
        <v>1256</v>
      </c>
      <c r="J67" t="s">
        <v>82</v>
      </c>
      <c r="K67" t="s">
        <v>15</v>
      </c>
    </row>
    <row r="68" spans="1:11" x14ac:dyDescent="0.3">
      <c r="A68" t="s">
        <v>255</v>
      </c>
      <c r="B68" t="s">
        <v>256</v>
      </c>
      <c r="C68">
        <v>20498</v>
      </c>
      <c r="D68">
        <v>29598</v>
      </c>
      <c r="E68" s="1">
        <v>44823</v>
      </c>
      <c r="F68" s="1">
        <v>45076</v>
      </c>
      <c r="G68">
        <v>123850</v>
      </c>
      <c r="H68">
        <v>146</v>
      </c>
      <c r="I68" t="s">
        <v>1257</v>
      </c>
      <c r="J68" t="s">
        <v>122</v>
      </c>
      <c r="K68" t="s">
        <v>15</v>
      </c>
    </row>
    <row r="69" spans="1:11" x14ac:dyDescent="0.3">
      <c r="A69" t="s">
        <v>109</v>
      </c>
      <c r="B69" t="s">
        <v>110</v>
      </c>
      <c r="C69">
        <v>21498</v>
      </c>
      <c r="D69">
        <v>30656</v>
      </c>
      <c r="E69" s="1">
        <v>44936</v>
      </c>
      <c r="F69" s="1">
        <v>45168</v>
      </c>
      <c r="G69">
        <v>207900</v>
      </c>
      <c r="H69">
        <v>54</v>
      </c>
      <c r="I69" t="s">
        <v>1258</v>
      </c>
      <c r="J69" t="s">
        <v>112</v>
      </c>
      <c r="K69" t="s">
        <v>15</v>
      </c>
    </row>
    <row r="70" spans="1:11" x14ac:dyDescent="0.3">
      <c r="A70" t="s">
        <v>109</v>
      </c>
      <c r="B70" t="s">
        <v>110</v>
      </c>
      <c r="C70">
        <v>22201</v>
      </c>
      <c r="D70">
        <v>31394</v>
      </c>
      <c r="E70" s="1">
        <v>45013</v>
      </c>
      <c r="F70" s="1">
        <v>45133</v>
      </c>
      <c r="G70">
        <v>132371.20000000001</v>
      </c>
      <c r="H70">
        <v>89</v>
      </c>
      <c r="I70" t="s">
        <v>1285</v>
      </c>
      <c r="J70" t="s">
        <v>112</v>
      </c>
      <c r="K70" t="s">
        <v>15</v>
      </c>
    </row>
    <row r="71" spans="1:11" x14ac:dyDescent="0.3">
      <c r="A71" t="s">
        <v>79</v>
      </c>
      <c r="B71" t="s">
        <v>80</v>
      </c>
      <c r="C71">
        <v>20718</v>
      </c>
      <c r="D71">
        <v>29828</v>
      </c>
      <c r="E71" s="1">
        <v>44840</v>
      </c>
      <c r="F71" s="1">
        <v>45046</v>
      </c>
      <c r="G71">
        <v>47966.400000000001</v>
      </c>
      <c r="H71">
        <v>176</v>
      </c>
      <c r="I71" t="s">
        <v>1295</v>
      </c>
      <c r="J71" t="s">
        <v>82</v>
      </c>
      <c r="K71" t="s">
        <v>15</v>
      </c>
    </row>
    <row r="72" spans="1:11" x14ac:dyDescent="0.3">
      <c r="A72" t="s">
        <v>83</v>
      </c>
      <c r="B72" t="s">
        <v>84</v>
      </c>
      <c r="C72">
        <v>20750</v>
      </c>
      <c r="D72">
        <v>29860</v>
      </c>
      <c r="E72" s="1">
        <v>44844</v>
      </c>
      <c r="F72" s="1">
        <v>45076</v>
      </c>
      <c r="G72">
        <v>308000</v>
      </c>
      <c r="H72">
        <v>146</v>
      </c>
      <c r="I72" t="s">
        <v>1296</v>
      </c>
      <c r="J72" t="s">
        <v>86</v>
      </c>
      <c r="K72" t="s">
        <v>15</v>
      </c>
    </row>
    <row r="73" spans="1:11" x14ac:dyDescent="0.3">
      <c r="A73" t="s">
        <v>255</v>
      </c>
      <c r="B73" t="s">
        <v>256</v>
      </c>
      <c r="C73">
        <v>20835</v>
      </c>
      <c r="D73">
        <v>29954</v>
      </c>
      <c r="E73" s="1">
        <v>44853</v>
      </c>
      <c r="F73" s="1">
        <v>45076</v>
      </c>
      <c r="G73">
        <v>445654</v>
      </c>
      <c r="H73">
        <v>146</v>
      </c>
      <c r="I73" t="s">
        <v>1297</v>
      </c>
      <c r="J73" t="s">
        <v>122</v>
      </c>
      <c r="K73" t="s">
        <v>15</v>
      </c>
    </row>
    <row r="74" spans="1:11" x14ac:dyDescent="0.3">
      <c r="A74" t="s">
        <v>83</v>
      </c>
      <c r="B74" t="s">
        <v>84</v>
      </c>
      <c r="C74">
        <v>20867</v>
      </c>
      <c r="D74">
        <v>29996</v>
      </c>
      <c r="E74" s="1">
        <v>44858</v>
      </c>
      <c r="F74" s="1">
        <v>45076</v>
      </c>
      <c r="G74">
        <v>104000</v>
      </c>
      <c r="H74">
        <v>146</v>
      </c>
      <c r="I74" t="s">
        <v>1298</v>
      </c>
      <c r="J74" t="s">
        <v>86</v>
      </c>
      <c r="K74" t="s">
        <v>15</v>
      </c>
    </row>
    <row r="75" spans="1:11" x14ac:dyDescent="0.3">
      <c r="A75" t="s">
        <v>145</v>
      </c>
      <c r="B75" t="s">
        <v>146</v>
      </c>
      <c r="C75">
        <v>21569</v>
      </c>
      <c r="D75">
        <v>30726</v>
      </c>
      <c r="E75" s="1">
        <v>44945</v>
      </c>
      <c r="F75" s="1">
        <v>45199</v>
      </c>
      <c r="G75">
        <v>310600</v>
      </c>
      <c r="H75">
        <v>23</v>
      </c>
      <c r="I75" t="s">
        <v>1299</v>
      </c>
      <c r="J75" t="s">
        <v>82</v>
      </c>
      <c r="K75" t="s">
        <v>15</v>
      </c>
    </row>
    <row r="76" spans="1:11" x14ac:dyDescent="0.3">
      <c r="A76" t="s">
        <v>255</v>
      </c>
      <c r="B76" t="s">
        <v>256</v>
      </c>
      <c r="C76">
        <v>21310</v>
      </c>
      <c r="D76">
        <v>30470</v>
      </c>
      <c r="E76" s="1">
        <v>44914</v>
      </c>
      <c r="F76" s="1">
        <v>45076</v>
      </c>
      <c r="G76">
        <v>10500</v>
      </c>
      <c r="H76">
        <v>146</v>
      </c>
      <c r="I76" t="s">
        <v>1311</v>
      </c>
      <c r="J76" t="s">
        <v>122</v>
      </c>
      <c r="K76" t="s">
        <v>15</v>
      </c>
    </row>
    <row r="77" spans="1:11" x14ac:dyDescent="0.3">
      <c r="A77" t="s">
        <v>145</v>
      </c>
      <c r="B77" t="s">
        <v>146</v>
      </c>
      <c r="C77">
        <v>21577</v>
      </c>
      <c r="D77">
        <v>30736</v>
      </c>
      <c r="E77" s="1">
        <v>44945</v>
      </c>
      <c r="F77" s="1">
        <v>45168</v>
      </c>
      <c r="G77">
        <v>176721.48</v>
      </c>
      <c r="H77">
        <v>54</v>
      </c>
      <c r="I77" t="s">
        <v>1312</v>
      </c>
      <c r="J77" t="s">
        <v>82</v>
      </c>
      <c r="K77" t="s">
        <v>15</v>
      </c>
    </row>
    <row r="78" spans="1:11" x14ac:dyDescent="0.3">
      <c r="A78" t="s">
        <v>88</v>
      </c>
      <c r="B78" t="s">
        <v>89</v>
      </c>
      <c r="C78">
        <v>22513</v>
      </c>
      <c r="D78">
        <v>31770</v>
      </c>
      <c r="E78" s="1">
        <v>45071</v>
      </c>
      <c r="F78" s="1">
        <v>45221</v>
      </c>
      <c r="G78">
        <v>90000</v>
      </c>
      <c r="H78">
        <v>1</v>
      </c>
      <c r="I78" t="s">
        <v>1313</v>
      </c>
      <c r="J78" t="s">
        <v>27</v>
      </c>
      <c r="K78" t="s">
        <v>15</v>
      </c>
    </row>
    <row r="79" spans="1:11" x14ac:dyDescent="0.3">
      <c r="A79" t="s">
        <v>83</v>
      </c>
      <c r="B79" t="s">
        <v>84</v>
      </c>
      <c r="C79">
        <v>21548</v>
      </c>
      <c r="D79">
        <v>30703</v>
      </c>
      <c r="E79" s="1">
        <v>44944</v>
      </c>
      <c r="F79" s="1">
        <v>45199</v>
      </c>
      <c r="G79">
        <v>270000</v>
      </c>
      <c r="H79">
        <v>23</v>
      </c>
      <c r="I79" t="s">
        <v>1327</v>
      </c>
      <c r="J79" t="s">
        <v>86</v>
      </c>
      <c r="K79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B9A3-810F-4462-9726-498EFCF12EF4}">
  <sheetPr>
    <tabColor theme="8" tint="0.79998168889431442"/>
  </sheetPr>
  <dimension ref="A3:E19"/>
  <sheetViews>
    <sheetView showGridLines="0" tabSelected="1" workbookViewId="0">
      <selection activeCell="B24" sqref="B24"/>
    </sheetView>
  </sheetViews>
  <sheetFormatPr defaultRowHeight="14.4" x14ac:dyDescent="0.3"/>
  <cols>
    <col min="1" max="1" width="49.88671875" bestFit="1" customWidth="1"/>
    <col min="2" max="2" width="16.6640625" bestFit="1" customWidth="1"/>
    <col min="3" max="3" width="50.109375" customWidth="1"/>
    <col min="4" max="4" width="48" customWidth="1"/>
    <col min="5" max="5" width="39.44140625" customWidth="1"/>
  </cols>
  <sheetData>
    <row r="3" spans="1:5" x14ac:dyDescent="0.3">
      <c r="A3" s="8" t="s">
        <v>1339</v>
      </c>
      <c r="B3" s="7" t="s">
        <v>1341</v>
      </c>
      <c r="C3" s="4" t="s">
        <v>1342</v>
      </c>
      <c r="D3" s="4" t="s">
        <v>1343</v>
      </c>
      <c r="E3" s="4" t="s">
        <v>1344</v>
      </c>
    </row>
    <row r="4" spans="1:5" x14ac:dyDescent="0.3">
      <c r="A4" s="9" t="s">
        <v>370</v>
      </c>
      <c r="B4" s="10">
        <v>4821.72</v>
      </c>
      <c r="C4" s="7" t="str">
        <f>IFERROR(VLOOKUP(A4,'[1]ANALISE DE DESEMPENHO'!$A$4:$E$16,3,FALSE),"-")</f>
        <v>CONFISSÃO DE DÍVIDA ASSINADA</v>
      </c>
      <c r="D4" s="7" t="str">
        <f>IFERROR(VLOOKUP(A4,'[1]ANALISE DE DESEMPENHO'!$A$4:$E$16,4,FALSE),"-")</f>
        <v>4 MIL EM 30/10/2023</v>
      </c>
      <c r="E4" s="7" t="str">
        <f>IFERROR(VLOOKUP(A4,'[1]ANALISE DE DESEMPENHO'!$A$4:$E$16,5,FALSE),"-")</f>
        <v>AGUARDANDO PAGAMENTO</v>
      </c>
    </row>
    <row r="5" spans="1:5" ht="100.8" x14ac:dyDescent="0.3">
      <c r="A5" s="9" t="s">
        <v>80</v>
      </c>
      <c r="B5" s="10">
        <v>311794.15000000002</v>
      </c>
      <c r="C5" s="7" t="str">
        <f>IFERROR(VLOOKUP(A5,'[1]ANALISE DE DESEMPENHO'!$A$4:$E$16,3,FALSE),"-")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5" s="7" t="str">
        <f>IFERROR(VLOOKUP(A5,'[1]ANALISE DE DESEMPENHO'!$A$4:$E$16,4,FALSE),"-")</f>
        <v>100 MIL EM 30/09/2023 E RESTANTE 30/04/2024</v>
      </c>
      <c r="E5" s="7" t="str">
        <f>IFERROR(VLOOKUP(A5,'[1]ANALISE DE DESEMPENHO'!$A$4:$E$16,5,FALSE),"-")</f>
        <v>AGUARDANDO PAGAMENTO</v>
      </c>
    </row>
    <row r="6" spans="1:5" ht="86.4" x14ac:dyDescent="0.3">
      <c r="A6" s="9" t="s">
        <v>84</v>
      </c>
      <c r="B6" s="10">
        <v>2760950.76</v>
      </c>
      <c r="C6" s="7" t="str">
        <f>IFERROR(VLOOKUP(A6,'[1]ANALISE DE DESEMPENHO'!$A$4:$E$16,3,FALSE),"-")</f>
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</c>
      <c r="D6" s="7" t="str">
        <f>IFERROR(VLOOKUP(A6,'[1]ANALISE DE DESEMPENHO'!$A$4:$E$16,4,FALSE),"-")</f>
        <v>PAGAMENTO DE 328 PELA SAFRAS EM 25/10/2023</v>
      </c>
      <c r="E6" s="7" t="str">
        <f>IFERROR(VLOOKUP(A6,'[1]ANALISE DE DESEMPENHO'!$A$4:$E$16,5,FALSE),"-")</f>
        <v>ACOMPANHAR A GARANTIA HIPOTECÁRIA</v>
      </c>
    </row>
    <row r="7" spans="1:5" ht="158.4" x14ac:dyDescent="0.3">
      <c r="A7" s="9" t="s">
        <v>110</v>
      </c>
      <c r="B7" s="10">
        <v>3141046.7300000004</v>
      </c>
      <c r="C7" s="7" t="str">
        <f>IFERROR(VLOOKUP(A7,'[1]ANALISE DE DESEMPENHO'!$A$4:$E$16,3,FALSE),"-")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7" s="7" t="str">
        <f>IFERROR(VLOOKUP(A7,'[1]ANALISE DE DESEMPENHO'!$A$4:$E$16,4,FALSE),"-")</f>
        <v>-</v>
      </c>
      <c r="E7" s="7" t="str">
        <f>IFERROR(VLOOKUP(A7,'[1]ANALISE DE DESEMPENHO'!$A$4:$E$16,5,FALSE),"-")</f>
        <v>VERIFICAR COM JURÍDICO ANDAMENTO DA RECUPERAÇÃO JUDICIAL E EXECUÇÃO DA HIPOTECA, E COBRAR APROVAÇÃO DO SINISTRO PELA FARM VALLEY</v>
      </c>
    </row>
    <row r="8" spans="1:5" ht="28.8" x14ac:dyDescent="0.3">
      <c r="A8" s="9" t="s">
        <v>992</v>
      </c>
      <c r="B8" s="10">
        <v>97896</v>
      </c>
      <c r="C8" s="7" t="str">
        <f>IFERROR(VLOOKUP(A8,'[1]ANALISE DE DESEMPENHO'!$A$4:$E$16,3,FALSE),"-")</f>
        <v>CONFISSÃO DE DÍVIDA ASSINADA</v>
      </c>
      <c r="D8" s="7" t="str">
        <f>IFERROR(VLOOKUP(A8,'[1]ANALISE DE DESEMPENHO'!$A$4:$E$16,4,FALSE),"-")</f>
        <v>4 PARCELAS DE 34 MIL PARA OS DIAS 15/10 (PAGA), 15/11, 01/12 e 20/12/2023</v>
      </c>
      <c r="E8" s="7" t="str">
        <f>IFERROR(VLOOKUP(A8,'[1]ANALISE DE DESEMPENHO'!$A$4:$E$16,5,FALSE),"-")</f>
        <v>AGUARDANDO PAGAMENTO</v>
      </c>
    </row>
    <row r="9" spans="1:5" ht="72" x14ac:dyDescent="0.3">
      <c r="A9" s="9" t="s">
        <v>391</v>
      </c>
      <c r="B9" s="10">
        <v>9451.2900000000009</v>
      </c>
      <c r="C9" s="7" t="str">
        <f>IFERROR(VLOOKUP(A9,'[1]ANALISE DE DESEMPENHO'!$A$4:$E$16,3,FALSE),"-")</f>
        <v>CONFISSÃO DE DÍVIDA ASSINADA, PORÉM CLIENTE NÃO CONSEGUIU PAGAR NA DATA DO VENCIMENTO A 2º PARCELA E NOS FICOU DE MANDAR VALORES PARCIAIS, RECOLHIMENTO DE ESTOQUE 4,7 K BRL SERÁ FEITO PELA LAIANE EM 01/11/2023</v>
      </c>
      <c r="D9" s="7" t="str">
        <f>IFERROR(VLOOKUP(A9,'[1]ANALISE DE DESEMPENHO'!$A$4:$E$16,4,FALSE),"-")</f>
        <v>PAGAMENTO 2º PARCELA EM 17/06/2023</v>
      </c>
      <c r="E9" s="7" t="str">
        <f>IFERROR(VLOOKUP(A9,'[1]ANALISE DE DESEMPENHO'!$A$4:$E$16,5,FALSE),"-")</f>
        <v>AGUARDANDO PAGAMENTO</v>
      </c>
    </row>
    <row r="10" spans="1:5" ht="273.60000000000002" x14ac:dyDescent="0.3">
      <c r="A10" s="9" t="s">
        <v>492</v>
      </c>
      <c r="B10" s="10">
        <v>828192.5</v>
      </c>
      <c r="C10" s="7" t="str">
        <f>IFERROR(VLOOKUP(A10,'[1]ANALISE DE DESEMPENHO'!$A$4:$E$16,3,FALSE),"-")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10" s="7" t="str">
        <f>IFERROR(VLOOKUP(A10,'[1]ANALISE DE DESEMPENHO'!$A$4:$E$16,4,FALSE),"-")</f>
        <v>-</v>
      </c>
      <c r="E10" s="7" t="str">
        <f>IFERROR(VLOOKUP(A10,'[1]ANALISE DE DESEMPENHO'!$A$4:$E$16,5,FALSE),"-")</f>
        <v>AGUARDANDO DEFINIÇÃO SOBRE ACEITE DA PROPOSTA DO CLIENTE.</v>
      </c>
    </row>
    <row r="11" spans="1:5" ht="43.2" x14ac:dyDescent="0.3">
      <c r="A11" s="9" t="s">
        <v>357</v>
      </c>
      <c r="B11" s="10">
        <v>40116.639999999999</v>
      </c>
      <c r="C11" s="7" t="str">
        <f>IFERROR(VLOOKUP(A11,'[1]ANALISE DE DESEMPENHO'!$A$4:$E$16,3,FALSE),"-")</f>
        <v>CLIENTE QUITOU 115 MIL EM 02/10/2023, E 60 MIL EM 18/10/2023, FICOU DE QUITAR O TOTAL ATÉ DIA 20/10/2023</v>
      </c>
      <c r="D11" s="7" t="str">
        <f>IFERROR(VLOOKUP(A11,'[1]ANALISE DE DESEMPENHO'!$A$4:$E$16,4,FALSE),"-")</f>
        <v>-</v>
      </c>
      <c r="E11" s="7" t="str">
        <f>IFERROR(VLOOKUP(A11,'[1]ANALISE DE DESEMPENHO'!$A$4:$E$16,5,FALSE),"-")</f>
        <v>-</v>
      </c>
    </row>
    <row r="12" spans="1:5" x14ac:dyDescent="0.3">
      <c r="A12" s="9" t="s">
        <v>89</v>
      </c>
      <c r="B12" s="10">
        <v>710910.81</v>
      </c>
      <c r="C12" s="7" t="str">
        <f>IFERROR(VLOOKUP(A12,'[1]ANALISE DE DESEMPENHO'!$A$4:$E$16,3,FALSE),"-")</f>
        <v>-</v>
      </c>
      <c r="D12" s="7" t="str">
        <f>IFERROR(VLOOKUP(A12,'[1]ANALISE DE DESEMPENHO'!$A$4:$E$16,4,FALSE),"-")</f>
        <v>-</v>
      </c>
      <c r="E12" s="7" t="str">
        <f>IFERROR(VLOOKUP(A12,'[1]ANALISE DE DESEMPENHO'!$A$4:$E$16,5,FALSE),"-")</f>
        <v>-</v>
      </c>
    </row>
    <row r="13" spans="1:5" x14ac:dyDescent="0.3">
      <c r="A13" s="9" t="s">
        <v>550</v>
      </c>
      <c r="B13" s="10">
        <v>486000</v>
      </c>
      <c r="C13" s="7" t="str">
        <f>IFERROR(VLOOKUP(A13,'[1]ANALISE DE DESEMPENHO'!$A$4:$E$16,3,FALSE),"-")</f>
        <v>-</v>
      </c>
      <c r="D13" s="7" t="str">
        <f>IFERROR(VLOOKUP(A13,'[1]ANALISE DE DESEMPENHO'!$A$4:$E$16,4,FALSE),"-")</f>
        <v>-</v>
      </c>
      <c r="E13" s="7" t="str">
        <f>IFERROR(VLOOKUP(A13,'[1]ANALISE DE DESEMPENHO'!$A$4:$E$16,5,FALSE),"-")</f>
        <v>-</v>
      </c>
    </row>
    <row r="14" spans="1:5" ht="100.8" x14ac:dyDescent="0.3">
      <c r="A14" s="9" t="s">
        <v>146</v>
      </c>
      <c r="B14" s="10">
        <v>2151474.6800000002</v>
      </c>
      <c r="C14" s="7" t="str">
        <f>IFERROR(VLOOKUP(A14,'[1]ANALISE DE DESEMPENHO'!$A$4:$E$16,3,FALSE),"-")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</c>
      <c r="D14" s="7" t="str">
        <f>IFERROR(VLOOKUP(A14,'[1]ANALISE DE DESEMPENHO'!$A$4:$E$16,4,FALSE),"-")</f>
        <v>-</v>
      </c>
      <c r="E14" s="7" t="str">
        <f>IFERROR(VLOOKUP(A14,'[1]ANALISE DE DESEMPENHO'!$A$4:$E$16,5,FALSE),"-")</f>
        <v>AGUARDANDO PAGAMENTO</v>
      </c>
    </row>
    <row r="15" spans="1:5" ht="28.8" x14ac:dyDescent="0.3">
      <c r="A15" s="9" t="s">
        <v>256</v>
      </c>
      <c r="B15" s="10">
        <v>2503238</v>
      </c>
      <c r="C15" s="7" t="str">
        <f>IFERROR(VLOOKUP(A15,'[1]ANALISE DE DESEMPENHO'!$A$4:$E$16,3,FALSE),"-")</f>
        <v>CONFISSÃO DE DÍVIDA ASSINADA</v>
      </c>
      <c r="D15" s="7" t="str">
        <f>IFERROR(VLOOKUP(A15,'[1]ANALISE DE DESEMPENHO'!$A$4:$E$16,4,FALSE),"-")</f>
        <v>2X PARCELAS, UMA DE 750 MIL PARA 30/12/2023 E OUTRA DE 1,75 M PARA 30/05/2024</v>
      </c>
      <c r="E15" s="7" t="str">
        <f>IFERROR(VLOOKUP(A15,'[1]ANALISE DE DESEMPENHO'!$A$4:$E$16,5,FALSE),"-")</f>
        <v>AGUARDANDO PAGAMENTO</v>
      </c>
    </row>
    <row r="16" spans="1:5" ht="57.6" x14ac:dyDescent="0.3">
      <c r="A16" s="9" t="s">
        <v>115</v>
      </c>
      <c r="B16" s="10">
        <v>27230</v>
      </c>
      <c r="C16" s="7" t="str">
        <f>IFERROR(VLOOKUP(A16,'[1]ANALISE DE DESEMPENHO'!$A$4:$E$16,3,FALSE),"-")</f>
        <v>CLIENTE INFORMOU QUE O CRISTIAN ESTÁ VERIFICANDO COM O EDUARDO SOBRE ESTE VENCIMENTO E EDUARDO TEM REUNIÃO NO DIA 06/10/2023 COM O CLIENTE E NOS PASSARÁ UMA POSIÇÃO</v>
      </c>
      <c r="D16" s="7" t="str">
        <f>IFERROR(VLOOKUP(A16,'[1]ANALISE DE DESEMPENHO'!$A$4:$E$16,4,FALSE),"-")</f>
        <v>-</v>
      </c>
      <c r="E16" s="7" t="str">
        <f>IFERROR(VLOOKUP(A16,'[1]ANALISE DE DESEMPENHO'!$A$4:$E$16,5,FALSE),"-")</f>
        <v>-</v>
      </c>
    </row>
    <row r="17" spans="1:2" x14ac:dyDescent="0.3">
      <c r="A17" s="5" t="s">
        <v>1340</v>
      </c>
      <c r="B17" s="6">
        <v>13073123.279999999</v>
      </c>
    </row>
    <row r="18" spans="1:2" x14ac:dyDescent="0.3">
      <c r="A18" s="11" t="s">
        <v>1345</v>
      </c>
      <c r="B18" s="12">
        <f>SUM(Tabela1[Valor R$])</f>
        <v>83492672.999999896</v>
      </c>
    </row>
    <row r="19" spans="1:2" x14ac:dyDescent="0.3">
      <c r="A19" s="11" t="s">
        <v>1346</v>
      </c>
      <c r="B19" s="13">
        <f>GETPIVOTDATA("Valor R$",$A$3)/B18</f>
        <v>0.1565780901516953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DESEMPENHO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2023-10-24T12:24:33Z</dcterms:created>
  <dcterms:modified xsi:type="dcterms:W3CDTF">2023-10-24T23:19:18Z</dcterms:modified>
</cp:coreProperties>
</file>