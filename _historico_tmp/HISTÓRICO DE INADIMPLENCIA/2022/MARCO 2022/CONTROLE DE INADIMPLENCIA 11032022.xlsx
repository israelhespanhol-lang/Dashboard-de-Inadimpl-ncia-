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90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ABERTO'!$A$1:$J$1934</definedName>
  </definedName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C5" i="3"/>
  <c r="D5" i="3"/>
  <c r="E5" i="3"/>
  <c r="C6" i="3"/>
  <c r="D6" i="3"/>
  <c r="E6" i="3"/>
  <c r="C7" i="3"/>
  <c r="D7" i="3"/>
  <c r="E7" i="3"/>
  <c r="C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<sst xmlns="http://schemas.openxmlformats.org/spreadsheetml/2006/main" count="7812" uniqueCount="1727">
  <si>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</si>
  <si>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</si>
  <si>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</si>
  <si>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</si>
  <si>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</si>
  <si>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</si>
  <si>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</si>
  <si>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</si>
  <si>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</si>
  <si>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</si>
  <si>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</si>
  <si>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 LTDA</t>
  </si>
  <si>
    <t>NOTA FISCAL Nº 27249</t>
  </si>
  <si>
    <t>MARCOS ROBERTO PEREIRA</t>
  </si>
  <si>
    <t>NOTA FISCAL Nº 27278</t>
  </si>
  <si>
    <t>CL08753</t>
  </si>
  <si>
    <t>TERRA VERDE COM E REPRES DE PRODS AGRIC LTDA</t>
  </si>
  <si>
    <t>NOTA FISCAL Nº 22838</t>
  </si>
  <si>
    <t>ALBERONE NEVES</t>
  </si>
  <si>
    <t>NOTA FISCAL Nº 26436</t>
  </si>
  <si>
    <t>CL08748</t>
  </si>
  <si>
    <t>PLANT QUALITY INSUMOS AGRIC LTDA ME</t>
  </si>
  <si>
    <t>NOTA FISCAL Nº 26459</t>
  </si>
  <si>
    <t>NATHALIA PARISI NAURE</t>
  </si>
  <si>
    <t>CL08571</t>
  </si>
  <si>
    <t>VITAGRICOLA LTDA</t>
  </si>
  <si>
    <t>NOTA FISCAL Nº 26490</t>
  </si>
  <si>
    <t>LUCAS SOARES FERREIRA</t>
  </si>
  <si>
    <t>CL09129</t>
  </si>
  <si>
    <t>AGRODINAMICA COM E REPRES LTDA</t>
  </si>
  <si>
    <t>NOTA FISCAL Nº 26522</t>
  </si>
  <si>
    <t>CARLOS EDUARDO BERNARDES</t>
  </si>
  <si>
    <t>NOTA FISCAL Nº 27935</t>
  </si>
  <si>
    <t>CL09092</t>
  </si>
  <si>
    <t>DOURADO E VIANA LTDA</t>
  </si>
  <si>
    <t>NOTA FISCAL Nº 27952</t>
  </si>
  <si>
    <t>CL09169</t>
  </si>
  <si>
    <t>LUCIO FLAVIO LUTZ CABRAL</t>
  </si>
  <si>
    <t>NOTA FISCAL Nº 27966</t>
  </si>
  <si>
    <t>CL08821</t>
  </si>
  <si>
    <t>PRODUFERTIL COM DE PRODS AGRIC LTDA</t>
  </si>
  <si>
    <t>NOTA FISCAL Nº 27967</t>
  </si>
  <si>
    <t>CL08941</t>
  </si>
  <si>
    <t>NOTA FISCAL Nº 25962</t>
  </si>
  <si>
    <t>NOTA FISCAL Nº 27297</t>
  </si>
  <si>
    <t>NOTA FISCAL Nº 27359</t>
  </si>
  <si>
    <t>NOTA FISCAL Nº 27423</t>
  </si>
  <si>
    <t>CL08661</t>
  </si>
  <si>
    <t>RIO CEDRO COM E REPRES LTDA</t>
  </si>
  <si>
    <t>NOTA FISCAL Nº 25614</t>
  </si>
  <si>
    <t>CLAYRTON DA SILVA</t>
  </si>
  <si>
    <t>CL08924</t>
  </si>
  <si>
    <t>MARCELO LUIZ FETZER</t>
  </si>
  <si>
    <t>NOTA FISCAL Nº 26575</t>
  </si>
  <si>
    <t>CRISTIANE CONTERNO DIPP</t>
  </si>
  <si>
    <t>CL08869</t>
  </si>
  <si>
    <t>MERCADO AGRIC LTDA</t>
  </si>
  <si>
    <t>NOTA FISCAL Nº 26475</t>
  </si>
  <si>
    <t>FERNANDO GONCALVES</t>
  </si>
  <si>
    <t>NOTA FISCAL Nº 27919</t>
  </si>
  <si>
    <t>NOTA FISCAL Nº 25943</t>
  </si>
  <si>
    <t>CL02440</t>
  </si>
  <si>
    <t>IRINEU MARCOS PARMEGGIANI E OUTROS</t>
  </si>
  <si>
    <t>NOTA FISCAL Nº 25961</t>
  </si>
  <si>
    <t>MARTIN WEISMANN</t>
  </si>
  <si>
    <t>CL09030</t>
  </si>
  <si>
    <t>9A AGRONEG COM E REPRES LTDA</t>
  </si>
  <si>
    <t>NOTA FISCAL Nº 26949</t>
  </si>
  <si>
    <t>JULIO CESAR CANHETE</t>
  </si>
  <si>
    <t>NOTA FISCAL Nº 27045</t>
  </si>
  <si>
    <t>CL08689</t>
  </si>
  <si>
    <t>CLAUDIANA DE ALMEIDA RODRIGUES IMP E EXP DE FERT EIRELI</t>
  </si>
  <si>
    <t>NOTA FISCAL Nº 27295</t>
  </si>
  <si>
    <t>ERICK ALEXANDRE DE OLIVEIRA</t>
  </si>
  <si>
    <t>CL09290</t>
  </si>
  <si>
    <t>REIS COMERCIO E REPRESENTACOES LTDA</t>
  </si>
  <si>
    <t>NOTA FISCAL Nº 27362</t>
  </si>
  <si>
    <t>MATHEUS MACEDO</t>
  </si>
  <si>
    <t>CL08666</t>
  </si>
  <si>
    <t>SOLOTEK IND DE ADUBOS E FERT S/A</t>
  </si>
  <si>
    <t>Notas Fiscais de Saída - CL08666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</si>
  <si>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</si>
  <si>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</si>
  <si>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</si>
  <si>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</si>
  <si>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</si>
  <si>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</si>
  <si>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</si>
  <si>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ALEXSANDER CAMPAGNOLO</t>
  </si>
  <si>
    <t>CL08334</t>
  </si>
  <si>
    <t>GARANTIA AGRONEGOCIOS LTDA</t>
  </si>
  <si>
    <t>NOTA FISCAL Nº 27230</t>
  </si>
  <si>
    <t>CARLA VALDEZ</t>
  </si>
  <si>
    <t>NOTA FISCAL Nº 27263</t>
  </si>
  <si>
    <t>CL08746</t>
  </si>
  <si>
    <t>Luiz Fernando Gnoatto Cividini</t>
  </si>
  <si>
    <t>NOTA FISCAL Nº 25363</t>
  </si>
  <si>
    <t>CL06114</t>
  </si>
  <si>
    <t>APOIO DISTRIBUIDORA AGRICOLA LTDA</t>
  </si>
  <si>
    <t>NOTA FISCAL Nº 26460</t>
  </si>
  <si>
    <t>CL01448</t>
  </si>
  <si>
    <t>SUPORTE COMERCIO DE PRODUTOS AGRICOLAS EIRELI</t>
  </si>
  <si>
    <t>NOTA FISCAL Nº 25942</t>
  </si>
  <si>
    <t>CL09143</t>
  </si>
  <si>
    <t>GUILHERME FAVORETTO LOUREIRO</t>
  </si>
  <si>
    <t>NOTA FISCAL Nº 26948</t>
  </si>
  <si>
    <t>NOTA FISCAL Nº 27044</t>
  </si>
  <si>
    <t>NOTA FISCAL Nº 27048</t>
  </si>
  <si>
    <t>CL01398</t>
  </si>
  <si>
    <t>RAZERA AGRIC LTDA</t>
  </si>
  <si>
    <t>NOTA FISCAL Nº 25646</t>
  </si>
  <si>
    <t>NOTA FISCAL Nº 26713</t>
  </si>
  <si>
    <t>CL09020</t>
  </si>
  <si>
    <t>SINERGIA AGRONEGOCIOS LTDA</t>
  </si>
  <si>
    <t>NOTA FISCAL Nº 26773</t>
  </si>
  <si>
    <t>CESAR JOSE CAIXETA</t>
  </si>
  <si>
    <t>CL08007</t>
  </si>
  <si>
    <t>CONTINENTAL AGRONEGOCIOS EIRELI ME</t>
  </si>
  <si>
    <t>NOTA FISCAL Nº 27469</t>
  </si>
  <si>
    <t>NOTA FISCAL Nº 27503</t>
  </si>
  <si>
    <t>CL09168</t>
  </si>
  <si>
    <t>CRISTIAN HOLZ</t>
  </si>
  <si>
    <t>NOTA FISCAL Nº 25550</t>
  </si>
  <si>
    <t>NOTA FISCAL Nº 25556</t>
  </si>
  <si>
    <t>NOTA FISCAL Nº 26623</t>
  </si>
  <si>
    <t>CL08942</t>
  </si>
  <si>
    <t>DINAMICA PRODS AGRIC LTDA</t>
  </si>
  <si>
    <t>NOTA FISCAL Nº 25402</t>
  </si>
  <si>
    <t>CL08193</t>
  </si>
  <si>
    <t>DISAM DIST DE INS AGRIC SULAMERICA LTDA</t>
  </si>
  <si>
    <t>NOTA FISCAL Nº 25458</t>
  </si>
  <si>
    <t>LUCAS ROBERTO WEBER</t>
  </si>
  <si>
    <t>NOTA FISCAL Nº 26037</t>
  </si>
  <si>
    <t>CL09094</t>
  </si>
  <si>
    <t>FARM VALLEY INS AGRIC LTDA</t>
  </si>
  <si>
    <t>NOTA FISCAL Nº 26054</t>
  </si>
  <si>
    <t>CL08660</t>
  </si>
  <si>
    <t>4JA COML AGRIC LTDA</t>
  </si>
  <si>
    <t>NOTA FISCAL Nº 26953</t>
  </si>
  <si>
    <t>NOTA FISCAL Nº 26972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</si>
  <si>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</si>
  <si>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</si>
  <si>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</si>
  <si>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</si>
  <si>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</si>
  <si>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</si>
  <si>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27324</t>
  </si>
  <si>
    <t>CL08552</t>
  </si>
  <si>
    <t>RAFAEL CIALFI ABBONDANZA REPRES EPP</t>
  </si>
  <si>
    <t>Notas Fiscais de Saída - CL08552</t>
  </si>
  <si>
    <t>CL01217</t>
  </si>
  <si>
    <t>FITOVET LTDA</t>
  </si>
  <si>
    <t>NOTA FISCAL Nº 27417</t>
  </si>
  <si>
    <t>Notas Fiscais de Saída - CL08748</t>
  </si>
  <si>
    <t>CL03733</t>
  </si>
  <si>
    <t>NOTA FISCAL Nº 25686</t>
  </si>
  <si>
    <t>CL02802</t>
  </si>
  <si>
    <t>SOLAGRI MAQUINAS E PRODUTOS AGRICOLAS LTDA</t>
  </si>
  <si>
    <t>NOTA FISCAL Nº 26726</t>
  </si>
  <si>
    <t>CL01252</t>
  </si>
  <si>
    <t>Notas Fiscais de Saída - CL01252</t>
  </si>
  <si>
    <t>CL08881</t>
  </si>
  <si>
    <t>JUCELITO BORDIN</t>
  </si>
  <si>
    <t>NOTA FISCAL Nº 27480</t>
  </si>
  <si>
    <t>NOTA FISCAL Nº 27498</t>
  </si>
  <si>
    <t>CL09251</t>
  </si>
  <si>
    <t>NOTA FISCAL Nº 27571</t>
  </si>
  <si>
    <t>NOTA FISCAL Nº 26645</t>
  </si>
  <si>
    <t>NOTA FISCAL Nº 25472</t>
  </si>
  <si>
    <t>NOTA FISCAL Nº 27929</t>
  </si>
  <si>
    <t>CL09185</t>
  </si>
  <si>
    <t>ORLANDO ALVES CARDOSO NETO</t>
  </si>
  <si>
    <t>NOTA FISCAL Nº 27960</t>
  </si>
  <si>
    <t>CL08936</t>
  </si>
  <si>
    <t>AHL DISTRIBUIDORA S/A</t>
  </si>
  <si>
    <t>NOTA FISCAL Nº 25895</t>
  </si>
  <si>
    <t>NOTA FISCAL Nº 25955</t>
  </si>
  <si>
    <t>CL09202</t>
  </si>
  <si>
    <t>TERRA BRASIL COM E REPRES EIRELI</t>
  </si>
  <si>
    <t>NOTA FISCAL Nº 26977</t>
  </si>
  <si>
    <t>CL01010</t>
  </si>
  <si>
    <t>DECIO LUIZ CASSOL &amp; CIA LTDA</t>
  </si>
  <si>
    <t>Notas Fiscais de Saída - CL01010</t>
  </si>
  <si>
    <t>Notas Fiscais de Saída - CL08753</t>
  </si>
  <si>
    <t>NOTA FISCAL Nº 27323</t>
  </si>
  <si>
    <t>CL08641</t>
  </si>
  <si>
    <t>SARTI E SILVA COM DE PROD AGRIC LTDA</t>
  </si>
  <si>
    <t>NOTA FISCAL Nº 27351</t>
  </si>
  <si>
    <t>CL09247</t>
  </si>
  <si>
    <t>AGROSOIL COM E REPRES DE PROD AGRIC LTDA</t>
  </si>
  <si>
    <t>NOTA FISCAL Nº 27416</t>
  </si>
  <si>
    <t>NOTA FISCAL Nº 25624</t>
  </si>
  <si>
    <t>NOTA FISCAL Nº 27509</t>
  </si>
  <si>
    <t>NOTA FISCAL Nº 27511</t>
  </si>
  <si>
    <t>NOTA FISCAL Nº 27545</t>
  </si>
  <si>
    <t>Notas Fiscais de Saída - CL08821</t>
  </si>
  <si>
    <t>NOTA FISCAL Nº 25746</t>
  </si>
  <si>
    <t>Notas Fiscais de Saída - CL01398</t>
  </si>
  <si>
    <t>CL09173</t>
  </si>
  <si>
    <t>MANEJO INSUMOS AGRICOLAS LTDA</t>
  </si>
  <si>
    <t>NOTA FISCAL Nº 26880</t>
  </si>
  <si>
    <t>CL08712</t>
  </si>
  <si>
    <t>AGRO TERESENSE LTDA</t>
  </si>
  <si>
    <t>NOTA FISCAL Nº 25537</t>
  </si>
  <si>
    <t>NOTA FISCAL Nº 25553</t>
  </si>
  <si>
    <t>NOTA FISCAL Nº 25555</t>
  </si>
  <si>
    <t>Notas Fiscais de Saída - CL01448</t>
  </si>
  <si>
    <t>NOTA FISCAL Nº 26611</t>
  </si>
  <si>
    <t>NOTA FISCAL Nº 26447</t>
  </si>
  <si>
    <t>NOTA FISCAL Nº 27939</t>
  </si>
  <si>
    <t>NOTA FISCAL Nº 27941</t>
  </si>
  <si>
    <t>NOTA FISCAL Nº 25893</t>
  </si>
  <si>
    <t>NOTA FISCAL Nº 25907</t>
  </si>
  <si>
    <t>NOTA FISCAL Nº 27320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</si>
  <si>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</si>
  <si>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</si>
  <si>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</si>
  <si>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</si>
  <si>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</si>
  <si>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</si>
  <si>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27475</t>
  </si>
  <si>
    <t>CL06154</t>
  </si>
  <si>
    <t>APOIO RURAL AGROPECUARIA LTDA</t>
  </si>
  <si>
    <t>NOTA FISCAL Nº 25265</t>
  </si>
  <si>
    <t>NOTA FISCAL Nº 25536</t>
  </si>
  <si>
    <t>NOTA FISCAL Nº 26627</t>
  </si>
  <si>
    <t>NOTA FISCAL Nº 26564</t>
  </si>
  <si>
    <t>NOTA FISCAL Nº 25973</t>
  </si>
  <si>
    <t>NOTA FISCAL Nº 26032</t>
  </si>
  <si>
    <t>NOTA FISCAL Nº 27004</t>
  </si>
  <si>
    <t>NOTA FISCAL Nº 27304</t>
  </si>
  <si>
    <t>CL08834</t>
  </si>
  <si>
    <t>AGRO ALTA COM DE INS AGRIC LTDA ME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</si>
  <si>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</si>
  <si>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</si>
  <si>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</si>
  <si>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</si>
  <si>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</si>
  <si>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27529</t>
  </si>
  <si>
    <t>CL09089</t>
  </si>
  <si>
    <t>IVANHOE FRANCISCO DA SILVA</t>
  </si>
  <si>
    <t>NOTA FISCAL Nº 25723</t>
  </si>
  <si>
    <t>TAIRON MARTINS DE C. RIBEIRO</t>
  </si>
  <si>
    <t>NOTA FISCAL Nº 26638</t>
  </si>
  <si>
    <t>CL09276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</si>
  <si>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</si>
  <si>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</si>
  <si>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</si>
  <si>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</si>
  <si>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</si>
  <si>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</si>
  <si>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</si>
  <si>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CL08828</t>
  </si>
  <si>
    <t>EVOLUCAO AGRIC LTDA</t>
  </si>
  <si>
    <t>Notas Fiscais de Saída - CL08828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</si>
  <si>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</si>
  <si>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</si>
  <si>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</si>
  <si>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</si>
  <si>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</si>
  <si>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27665</t>
  </si>
  <si>
    <t>NOTA FISCAL Nº 27666</t>
  </si>
  <si>
    <t>NOTA FISCAL Nº 25615</t>
  </si>
  <si>
    <t>CL09283</t>
  </si>
  <si>
    <t>OTAVIO HENRIQUE FERNANDES BELLI</t>
  </si>
  <si>
    <t>NOTA FISCAL Nº 26614</t>
  </si>
  <si>
    <t>NOTA FISCAL Nº 26569</t>
  </si>
  <si>
    <t>NOTA FISCAL Nº 24942</t>
  </si>
  <si>
    <t>CL08907</t>
  </si>
  <si>
    <t>INDEPENDENCIA AGRICOLA LTDA</t>
  </si>
  <si>
    <t>NOTA FISCAL Nº 25890</t>
  </si>
  <si>
    <t>NOTA FISCAL Nº 26028</t>
  </si>
  <si>
    <t>NOTA FISCAL Nº 26937</t>
  </si>
  <si>
    <t>NOTA FISCAL Nº 27002</t>
  </si>
  <si>
    <t>NOTA FISCAL Nº 27028</t>
  </si>
  <si>
    <t>NOTA FISCAL Nº 27040</t>
  </si>
  <si>
    <t>NOTA FISCAL Nº 27080</t>
  </si>
  <si>
    <t>CL08586</t>
  </si>
  <si>
    <t>AGROSOIL COM E REPRES PROD AGRIC LTDA ME</t>
  </si>
  <si>
    <t>NOTA FISCAL Nº 27348</t>
  </si>
  <si>
    <t>CL08901</t>
  </si>
  <si>
    <t>TIBAGI REPRES COM LTDA</t>
  </si>
  <si>
    <t>NOTA FISCAL Nº 27363</t>
  </si>
  <si>
    <t>NOTA FISCAL Nº 25704</t>
  </si>
  <si>
    <t>NOTA FISCAL Nº 26801</t>
  </si>
  <si>
    <t>NOTA FISCAL Nº 27581</t>
  </si>
  <si>
    <t>NOTA FISCAL Nº 27257</t>
  </si>
  <si>
    <t>Notas Fiscais de Saída - CL09094</t>
  </si>
  <si>
    <t>NOTA FISCAL Nº 26444</t>
  </si>
  <si>
    <t>NOTA FISCAL Nº 24985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</si>
  <si>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</si>
  <si>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</si>
  <si>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</si>
  <si>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</si>
  <si>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</si>
  <si>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</si>
  <si>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</si>
  <si>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</si>
  <si>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</si>
  <si>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</si>
  <si>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 FISCAL Nº 26795</t>
  </si>
  <si>
    <t>NOTA FISCAL Nº 26846</t>
  </si>
  <si>
    <t>NOTA FISCAL Nº 26848</t>
  </si>
  <si>
    <t>NOTA FISCAL Nº 27570</t>
  </si>
  <si>
    <t>CL08833</t>
  </si>
  <si>
    <t>YUCA COMERCIO AGROPECUARIO LTDA</t>
  </si>
  <si>
    <t>NOTA FISCAL Nº 25764</t>
  </si>
  <si>
    <t>NOTA FISCAL Nº 25849</t>
  </si>
  <si>
    <t>NOTA FISCAL Nº 26905</t>
  </si>
  <si>
    <t>CL09174</t>
  </si>
  <si>
    <t>CAMPO FORTE COM ATACADISTA DE DEFENS AGRIC LTDA</t>
  </si>
  <si>
    <t>NOTA FISCAL Nº 22777</t>
  </si>
  <si>
    <t>NOTA FISCAL Nº 26660</t>
  </si>
  <si>
    <t>NOTA FISCAL Nº 26440</t>
  </si>
  <si>
    <t>NOTA FISCAL Nº 27915</t>
  </si>
  <si>
    <t>Notas Fiscais de Saída - CL08660</t>
  </si>
  <si>
    <t>CL09194</t>
  </si>
  <si>
    <t>ANTONIO PEREIRA BARBOSA</t>
  </si>
  <si>
    <t>NOTA FISCAL Nº 27051</t>
  </si>
  <si>
    <t>NOTA FISCAL Nº 27347</t>
  </si>
  <si>
    <t>NOTA FISCAL Nº 25625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</si>
  <si>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</si>
  <si>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</si>
  <si>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</si>
  <si>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</si>
  <si>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</si>
  <si>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</si>
  <si>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</si>
  <si>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NOTA FISCAL Nº 27471</t>
  </si>
  <si>
    <t>NOTA FISCAL Nº 27497</t>
  </si>
  <si>
    <t>NOTA FISCAL Nº 27531</t>
  </si>
  <si>
    <t>NOTA FISCAL Nº 24864</t>
  </si>
  <si>
    <t>CL09258</t>
  </si>
  <si>
    <t>ROCHA AGRONEGOCIO LTDA</t>
  </si>
  <si>
    <t>NOTA FISCAL Nº 25729</t>
  </si>
  <si>
    <t>NOTA FISCAL Nº 25742</t>
  </si>
  <si>
    <t>NOTA FISCAL Nº 27291</t>
  </si>
  <si>
    <t>NOTA FISCAL Nº 25510</t>
  </si>
  <si>
    <t>CL08079</t>
  </si>
  <si>
    <t>NOTA FISCAL Nº 26496</t>
  </si>
  <si>
    <t>NOTA FISCAL Nº 26527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</si>
  <si>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</si>
  <si>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</si>
  <si>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</si>
  <si>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</si>
  <si>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</si>
  <si>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</si>
  <si>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</si>
  <si>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26853</t>
  </si>
  <si>
    <t>NOTA FISCAL Nº 27527</t>
  </si>
  <si>
    <t>NOTA FISCAL Nº 27549</t>
  </si>
  <si>
    <t>CL09088</t>
  </si>
  <si>
    <t>IRON FRANCISCO DA SILVA</t>
  </si>
  <si>
    <t>NOTA FISCAL Nº 25722</t>
  </si>
  <si>
    <t>NOTA FISCAL Nº 26928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</si>
  <si>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</si>
  <si>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</si>
  <si>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</si>
  <si>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</si>
  <si>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</si>
  <si>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</si>
  <si>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CL08976</t>
  </si>
  <si>
    <t>RURAL SOJA AGRONEG COM E REPRES LTDA</t>
  </si>
  <si>
    <t>NOTA FISCAL Nº 26510</t>
  </si>
  <si>
    <t>NOTA FISCAL Nº 25887</t>
  </si>
  <si>
    <t>NOTA FISCAL Nº 25965</t>
  </si>
  <si>
    <t>CL09172</t>
  </si>
  <si>
    <t>NOTA FISCAL Nº 25998</t>
  </si>
  <si>
    <t>NOTA FISCAL Nº 27340</t>
  </si>
  <si>
    <t>NOTA FISCAL Nº 27349</t>
  </si>
  <si>
    <t>NOTA FISCAL Nº 25701</t>
  </si>
  <si>
    <t>CL08556</t>
  </si>
  <si>
    <t>SERRA SEED COM DE PROD AGRIC LTDA</t>
  </si>
  <si>
    <t>Notas Fiscais de Saída - CL08556</t>
  </si>
  <si>
    <t>NOTA FISCAL Nº 27466</t>
  </si>
  <si>
    <t>NOTA FISCAL Nº 27474</t>
  </si>
  <si>
    <t>NOTA FISCAL Nº 27582</t>
  </si>
  <si>
    <t>NOTA FISCAL Nº 25844</t>
  </si>
  <si>
    <t>NOTA FISCAL Nº 25846</t>
  </si>
  <si>
    <t>NOTA FISCAL Nº 25613</t>
  </si>
  <si>
    <t>NOTA FISCAL Nº 26619</t>
  </si>
  <si>
    <t>NOTA FISCAL Nº 26664</t>
  </si>
  <si>
    <t>NOTA FISCAL Nº 25398</t>
  </si>
  <si>
    <t>CL08555</t>
  </si>
  <si>
    <t>RURAL ROSARIO LTDA</t>
  </si>
  <si>
    <t>NOTA FISCAL Nº 27950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</si>
  <si>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</si>
  <si>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</si>
  <si>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</si>
  <si>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</si>
  <si>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</si>
  <si>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27330</t>
  </si>
  <si>
    <t>CL09310</t>
  </si>
  <si>
    <t>CALIXTO &amp; CALIXTO COMERCIO DE PRODUTOS AGROPECUARIOS LTDA</t>
  </si>
  <si>
    <t>NOTA FISCAL Nº 27361</t>
  </si>
  <si>
    <t>Notas Fiscais de Saída - CL02440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</si>
  <si>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</si>
  <si>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</si>
  <si>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</si>
  <si>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</si>
  <si>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</si>
  <si>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</si>
  <si>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CL09160</t>
  </si>
  <si>
    <t>TERRASEMENTES COM E REPRES EIRELI</t>
  </si>
  <si>
    <t>NOTA FISCAL Nº 27260</t>
  </si>
  <si>
    <t>CL09034</t>
  </si>
  <si>
    <t>COMERCIAL MACHADO AGRICOLA LTDA</t>
  </si>
  <si>
    <t>NOTA FISCAL Nº 26586</t>
  </si>
  <si>
    <t>NOTA FISCAL Nº 26615</t>
  </si>
  <si>
    <t>NOTA FISCAL Nº 25359</t>
  </si>
  <si>
    <t>NOTA FISCAL Nº 26563</t>
  </si>
  <si>
    <t>NOTA FISCAL Nº 25949</t>
  </si>
  <si>
    <t>NOTA FISCAL Nº 27327</t>
  </si>
  <si>
    <t>CL08562</t>
  </si>
  <si>
    <t>AGROPEC VERDE MINAS LTDA</t>
  </si>
  <si>
    <t>NOTA FISCAL Nº 27400</t>
  </si>
  <si>
    <t>NOTA FISCAL Nº 27447</t>
  </si>
  <si>
    <t>NOTA FISCAL Nº 25684</t>
  </si>
  <si>
    <t>NOTA FISCAL Nº 26679</t>
  </si>
  <si>
    <t>NOTA FISCAL Nº 26792</t>
  </si>
  <si>
    <t>CL08913</t>
  </si>
  <si>
    <t>VALE AGRIC AGROPEC LTDA</t>
  </si>
  <si>
    <t>NOTA FISCAL Nº 26825</t>
  </si>
  <si>
    <t>NOTA FISCAL Nº 27456</t>
  </si>
  <si>
    <t>NOTA FISCAL Nº 27488</t>
  </si>
  <si>
    <t>NOTA FISCAL Nº 27547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</si>
  <si>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</si>
  <si>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</si>
  <si>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</si>
  <si>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</si>
  <si>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</si>
  <si>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</si>
  <si>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27742</t>
  </si>
  <si>
    <t>CL01008</t>
  </si>
  <si>
    <t>SAGRA INS AGROPEC LTDA</t>
  </si>
  <si>
    <t>NOTA FISCAL Nº 27236</t>
  </si>
  <si>
    <t>CL09237</t>
  </si>
  <si>
    <t>REDUZINO E CRUZ COML LTDA</t>
  </si>
  <si>
    <t>NOTA FISCAL Nº 27268</t>
  </si>
  <si>
    <t>NOTA FISCAL Nº 25906</t>
  </si>
  <si>
    <t>NOTA FISCAL Nº 27292</t>
  </si>
  <si>
    <t>NOTA FISCAL Nº 27334</t>
  </si>
  <si>
    <t>CL09272</t>
  </si>
  <si>
    <t>RODRIGO FOGAS BATISTA</t>
  </si>
  <si>
    <t>NOTA FISCAL Nº 27339</t>
  </si>
  <si>
    <t>NOTA FISCAL Nº 27432</t>
  </si>
  <si>
    <t>NOTA FISCAL Nº 26715</t>
  </si>
  <si>
    <t>CL08650</t>
  </si>
  <si>
    <t>CALLEGARI &amp; GOI LTDA ME</t>
  </si>
  <si>
    <t>NOTA FISCAL Nº 26843</t>
  </si>
  <si>
    <t>NOTA FISCAL Nº 25728</t>
  </si>
  <si>
    <t>NOTA FISCAL Nº 25863</t>
  </si>
  <si>
    <t>CL09207</t>
  </si>
  <si>
    <t>CENTRAL DO ADUBO EIRELI</t>
  </si>
  <si>
    <t>NOTA FISCAL Nº 25870</t>
  </si>
  <si>
    <t>CL08801</t>
  </si>
  <si>
    <t>VANTUIR JOSE RIBEIRO</t>
  </si>
  <si>
    <t>NOTA FISCAL Nº 26238</t>
  </si>
  <si>
    <t>NOTA FISCAL Nº 26264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</si>
  <si>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</si>
  <si>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</si>
  <si>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</si>
  <si>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</si>
  <si>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</si>
  <si>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</si>
  <si>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25548</t>
  </si>
  <si>
    <t>NOTA FISCAL Nº 25593</t>
  </si>
  <si>
    <t>NOTA FISCAL Nº 26621</t>
  </si>
  <si>
    <t>NOTA FISCAL Nº 26635</t>
  </si>
  <si>
    <t>NOTA FISCAL Nº 26473</t>
  </si>
  <si>
    <t>NOTA FISCAL Nº 26558</t>
  </si>
  <si>
    <t>CL01685</t>
  </si>
  <si>
    <t>NOTA FISCAL Nº 25941</t>
  </si>
  <si>
    <t>NOTA FISCAL Nº 25945</t>
  </si>
  <si>
    <t>CL09118</t>
  </si>
  <si>
    <t>ROBSON EMANUEL NUNES FERREIRA</t>
  </si>
  <si>
    <t>NOTA FISCAL Nº 26965</t>
  </si>
  <si>
    <t>NOTA FISCAL Nº 27064</t>
  </si>
  <si>
    <t>NOTA FISCAL Nº 25661</t>
  </si>
  <si>
    <t>NOTA FISCAL Nº 25697</t>
  </si>
  <si>
    <t>CL01711</t>
  </si>
  <si>
    <t>NOTA FISCAL Nº 26681</t>
  </si>
  <si>
    <t>NOTA FISCAL Nº 27500</t>
  </si>
  <si>
    <t>Notas Fiscais de Saída - CL09276</t>
  </si>
  <si>
    <t>NOTA FISCAL Nº 27578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</si>
  <si>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</si>
  <si>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</si>
  <si>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</si>
  <si>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</si>
  <si>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</si>
  <si>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</si>
  <si>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27682</t>
  </si>
  <si>
    <t>NOTA FISCAL Nº 27220</t>
  </si>
  <si>
    <t>NOTA FISCAL Nº 27272</t>
  </si>
  <si>
    <t>NOTA FISCAL Nº 26630</t>
  </si>
  <si>
    <t>NOTA FISCAL Nº 26655</t>
  </si>
  <si>
    <t>NOTA FISCAL Nº 25376</t>
  </si>
  <si>
    <t>NOTA FISCAL Nº 26454</t>
  </si>
  <si>
    <t>NOTA FISCAL Nº 26495</t>
  </si>
  <si>
    <t>NOTA FISCAL Nº 26526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</si>
  <si>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</si>
  <si>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</si>
  <si>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</si>
  <si>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</si>
  <si>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</si>
  <si>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</si>
  <si>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</si>
  <si>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NOTA FISCAL Nº 27505</t>
  </si>
  <si>
    <t>NOTA FISCAL Nº 26927</t>
  </si>
  <si>
    <t>NOTA FISCAL Nº 27615</t>
  </si>
  <si>
    <t>CL08789</t>
  </si>
  <si>
    <t>AGUETONI AGRIC LTDA</t>
  </si>
  <si>
    <t>NOTA FISCAL Nº 27219</t>
  </si>
  <si>
    <t>NOTA FISCAL Nº 27275</t>
  </si>
  <si>
    <t>NOTA FISCAL Nº 26577</t>
  </si>
  <si>
    <t>NOTA FISCAL Nº 25451</t>
  </si>
  <si>
    <t>NOTA FISCAL Nº 26433</t>
  </si>
  <si>
    <t>NOTA FISCAL Nº 27925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</si>
  <si>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</si>
  <si>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</si>
  <si>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</si>
  <si>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</si>
  <si>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</si>
  <si>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</si>
  <si>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</si>
  <si>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</si>
  <si>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</si>
  <si>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</si>
  <si>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</si>
  <si>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</si>
  <si>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</si>
  <si>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</si>
  <si>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</si>
  <si>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</si>
  <si>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27232</t>
  </si>
  <si>
    <t>CL08920</t>
  </si>
  <si>
    <t>JOSE ZITO DE OLIVEIRA</t>
  </si>
  <si>
    <t>NOTA FISCAL Nº 27247</t>
  </si>
  <si>
    <t>CL09221</t>
  </si>
  <si>
    <t>MARCOS RUELA DA SILVA E CIA LTDA</t>
  </si>
  <si>
    <t>Notas Fiscais de Saída - CL09221</t>
  </si>
  <si>
    <t>Notas Fiscais de Saída - CL09030</t>
  </si>
  <si>
    <t>NOTA FISCAL Nº 26665</t>
  </si>
  <si>
    <t>Notas Fiscais de Saída - CL09123</t>
  </si>
  <si>
    <t>NOTA FISCAL Nº 26523</t>
  </si>
  <si>
    <t>NOTA FISCAL Nº 26556</t>
  </si>
  <si>
    <t>NOTA FISCAL Nº 27435</t>
  </si>
  <si>
    <t>NOTA FISCAL Nº 27470</t>
  </si>
  <si>
    <t>Notas Fiscais de Saída - CL08571</t>
  </si>
  <si>
    <t>NOTA FISCAL Nº 27521</t>
  </si>
  <si>
    <t>CL09087</t>
  </si>
  <si>
    <t>INDIOMAR FRANCISCO DA SILVA</t>
  </si>
  <si>
    <t>NOTA FISCAL Nº 25718</t>
  </si>
  <si>
    <t>NOTA FISCAL Nº 25798</t>
  </si>
  <si>
    <t>CL09093</t>
  </si>
  <si>
    <t>KELENYA RODRIGUES DOS SANTOS</t>
  </si>
  <si>
    <t>NOTA FISCAL Nº 25885</t>
  </si>
  <si>
    <t>NOTA FISCAL Nº 27612</t>
  </si>
  <si>
    <t>NOTA FISCAL Nº 26283</t>
  </si>
  <si>
    <t>NOTA FISCAL Nº 25318</t>
  </si>
  <si>
    <t>NOTA FISCAL Nº 27231</t>
  </si>
  <si>
    <t>NOTA FISCAL Nº 27246</t>
  </si>
  <si>
    <t>NOTA FISCAL Nº 26636</t>
  </si>
  <si>
    <t>NOTA FISCAL Nº 25483</t>
  </si>
  <si>
    <t>NOTA FISCAL Nº 27937</t>
  </si>
  <si>
    <t>NOTA FISCAL Nº 25988</t>
  </si>
  <si>
    <t>NOTA FISCAL Nº 26006</t>
  </si>
  <si>
    <t>NOTA FISCAL Nº 26009</t>
  </si>
  <si>
    <t>NOTA FISCAL Nº 26951</t>
  </si>
  <si>
    <t>NOTA FISCAL Nº 27063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</si>
  <si>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</si>
  <si>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</si>
  <si>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</si>
  <si>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</si>
  <si>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</si>
  <si>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</si>
  <si>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27520</t>
  </si>
  <si>
    <t>NOTA FISCAL Nº 27535</t>
  </si>
  <si>
    <t>CL09062</t>
  </si>
  <si>
    <t>FERTIBAHIA COM DE PRODS AGROPEC LTDA</t>
  </si>
  <si>
    <t>NOTA FISCAL Nº 25338</t>
  </si>
  <si>
    <t>NOTA FISCAL Nº 27223</t>
  </si>
  <si>
    <t>NOTA FISCAL Nº 25569</t>
  </si>
  <si>
    <t>NOTA FISCAL Nº 26657</t>
  </si>
  <si>
    <t>NOTA FISCAL Nº 26466</t>
  </si>
  <si>
    <t>CL09235</t>
  </si>
  <si>
    <t>NOTA FISCAL Nº 26499</t>
  </si>
  <si>
    <t>NOTA FISCAL Nº 26034</t>
  </si>
  <si>
    <t>NOTA FISCAL Nº 26064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</si>
  <si>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</si>
  <si>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</si>
  <si>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</si>
  <si>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</si>
  <si>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</si>
  <si>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</si>
  <si>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26690</t>
  </si>
  <si>
    <t>NOTA FISCAL Nº 27493</t>
  </si>
  <si>
    <t>NOTA FISCAL Nº 27568</t>
  </si>
  <si>
    <t>NOTA FISCAL Nº 27587</t>
  </si>
  <si>
    <t>CL09113</t>
  </si>
  <si>
    <t>MELLES REPRES E COM LTDA</t>
  </si>
  <si>
    <t>NOTA FISCAL Nº 25725</t>
  </si>
  <si>
    <t>NOTA FISCAL Nº 26862</t>
  </si>
  <si>
    <t>NOTA FISCAL Nº 27673</t>
  </si>
  <si>
    <t>NOTA FISCAL Nº 26321</t>
  </si>
  <si>
    <t>NOTA FISCAL Nº 26606</t>
  </si>
  <si>
    <t>NOTA FISCAL Nº 26472</t>
  </si>
  <si>
    <t>NOTA FISCAL Nº 26477</t>
  </si>
  <si>
    <t>NOTA FISCAL Nº 26538</t>
  </si>
  <si>
    <t>NOTA FISCAL Nº 27917</t>
  </si>
  <si>
    <t>NOTA FISCAL Nº 27956</t>
  </si>
  <si>
    <t>NOTA FISCAL Nº 24990</t>
  </si>
  <si>
    <t>NOTA FISCAL Nº 25967</t>
  </si>
  <si>
    <t>CL08949</t>
  </si>
  <si>
    <t>DIEGO BORDIN</t>
  </si>
  <si>
    <t>NOTA FISCAL Nº 26945</t>
  </si>
  <si>
    <t>NOTA FISCAL Nº 27043</t>
  </si>
  <si>
    <t>NOTA FISCAL Nº 27077</t>
  </si>
  <si>
    <t>NOTA FISCAL Nº 27405</t>
  </si>
  <si>
    <t>CL09233</t>
  </si>
  <si>
    <t>ADALBERTO JOSE CERETTA E OUTROS</t>
  </si>
  <si>
    <t>NOTA FISCAL Nº 25671</t>
  </si>
  <si>
    <t>CL08531</t>
  </si>
  <si>
    <t>NOTA FISCAL Nº 25702</t>
  </si>
  <si>
    <t>CL08923</t>
  </si>
  <si>
    <t>JULIANO BORTOLI GRISS</t>
  </si>
  <si>
    <t>NOTA FISCAL Nº 26807</t>
  </si>
  <si>
    <t>CL09244</t>
  </si>
  <si>
    <t>EVOLUCAO AGRIC CAFE LTDA</t>
  </si>
  <si>
    <t>NOTA FISCAL Nº 25880</t>
  </si>
  <si>
    <t>NOTA FISCAL Nº 26868</t>
  </si>
  <si>
    <t>NOTA FISCAL Nº 26877</t>
  </si>
  <si>
    <t>NOTA FISCAL Nº 26910</t>
  </si>
  <si>
    <t>NOTA FISCAL Nº 27616</t>
  </si>
  <si>
    <t>NOTA FISCAL Nº 27652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</si>
  <si>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</si>
  <si>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</si>
  <si>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</si>
  <si>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</si>
  <si>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</si>
  <si>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</si>
  <si>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</si>
  <si>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</si>
  <si>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</si>
  <si>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</si>
  <si>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26339</t>
  </si>
  <si>
    <t>NOTA FISCAL Nº 25541</t>
  </si>
  <si>
    <t>NOTA FISCAL Nº 25357</t>
  </si>
  <si>
    <t>NOTA FISCAL Nº 25459</t>
  </si>
  <si>
    <t>NOTA FISCAL Nº 26487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</si>
  <si>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</si>
  <si>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</si>
  <si>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</si>
  <si>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</si>
  <si>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</si>
  <si>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</si>
  <si>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</si>
  <si>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</si>
  <si>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</si>
  <si>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25873</t>
  </si>
  <si>
    <t>NOTA FISCAL Nº 26889</t>
  </si>
  <si>
    <t>NOTA FISCAL Nº 27661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</si>
  <si>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</si>
  <si>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</si>
  <si>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</si>
  <si>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</si>
  <si>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</si>
  <si>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</si>
  <si>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26316</t>
  </si>
  <si>
    <t>CL08899</t>
  </si>
  <si>
    <t>SABOTO &amp; SABOTO LTDA</t>
  </si>
  <si>
    <t>NOTA FISCAL Nº 27245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</si>
  <si>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</si>
  <si>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</si>
  <si>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</si>
  <si>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</si>
  <si>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</si>
  <si>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</si>
  <si>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25414</t>
  </si>
  <si>
    <t>NOTA FISCAL Nº 26036</t>
  </si>
  <si>
    <t>NOTA FISCAL Nº 27019</t>
  </si>
  <si>
    <t>NOTA FISCAL Nº 27431</t>
  </si>
  <si>
    <t>NOTA FISCAL Nº 27463</t>
  </si>
  <si>
    <t>Notas Fiscais de Saída - CL06154</t>
  </si>
  <si>
    <t>CL09256</t>
  </si>
  <si>
    <t>NOVA SEEDS COMERCIO E REPRESENTACAO LTDA</t>
  </si>
  <si>
    <t>NOTA FISCAL Nº 25768</t>
  </si>
  <si>
    <t>NOTA FISCAL Nº 27642</t>
  </si>
  <si>
    <t>Notas Fiscais de Saída - CL08334</t>
  </si>
  <si>
    <t>NOTA FISCAL Nº 26342</t>
  </si>
  <si>
    <t>CL08829</t>
  </si>
  <si>
    <t>NOTA FISCAL Nº 27747</t>
  </si>
  <si>
    <t>NOTA FISCAL Nº 27751</t>
  </si>
  <si>
    <t>NOTA FISCAL Nº 27788</t>
  </si>
  <si>
    <t>CL09179</t>
  </si>
  <si>
    <t>MULTI JARDIM GARDEN CENTER</t>
  </si>
  <si>
    <t>Notas Fiscais de Saída - CL09179</t>
  </si>
  <si>
    <t>PAULO MATOS DE SOUSA JUNIOR</t>
  </si>
  <si>
    <t>NOTA FISCAL Nº 27087</t>
  </si>
  <si>
    <t>NOTA FISCAL Nº 27111</t>
  </si>
  <si>
    <t>NOTA FISCAL Nº 27805</t>
  </si>
  <si>
    <t>NOTA FISCAL Nº 26626</t>
  </si>
  <si>
    <t>CL09298</t>
  </si>
  <si>
    <t>SILVIO CARVALHO DE ARAUJO</t>
  </si>
  <si>
    <t>NOTA FISCAL Nº 26467</t>
  </si>
  <si>
    <t>NOTA FISCAL Nº 26498</t>
  </si>
  <si>
    <t>NOTA FISCAL Nº 26531</t>
  </si>
  <si>
    <t>NOTA FISCAL Nº 25909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</si>
  <si>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</si>
  <si>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</si>
  <si>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</si>
  <si>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</si>
  <si>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</si>
  <si>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</si>
  <si>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</si>
  <si>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</si>
  <si>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</si>
  <si>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</si>
  <si>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</si>
  <si>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</si>
  <si>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</si>
  <si>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</si>
  <si>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NOTA FISCAL Nº 25726</t>
  </si>
  <si>
    <t>NOTA FISCAL Nº 26861</t>
  </si>
  <si>
    <t>NOTA FISCAL Nº 26878</t>
  </si>
  <si>
    <t>NOTA FISCAL Nº 26327</t>
  </si>
  <si>
    <t>NOTA FISCAL Nº 26287</t>
  </si>
  <si>
    <t>CL09154</t>
  </si>
  <si>
    <t>PACK INDUSTRIA E COMERCIO DE PRODUTOS AGROPECUARIOS LTDA</t>
  </si>
  <si>
    <t>Notas Fiscais de Saída - CL09154</t>
  </si>
  <si>
    <t>-Nenhum vendedor-</t>
  </si>
  <si>
    <t>NOTA FISCAL Nº 27283</t>
  </si>
  <si>
    <t>NOTA FISCAL Nº 26625</t>
  </si>
  <si>
    <t>NOTA FISCAL Nº 26511</t>
  </si>
  <si>
    <t>NOTA FISCAL Nº 26528</t>
  </si>
  <si>
    <t>CL09224</t>
  </si>
  <si>
    <t>AGRO COML AGROMANIA LTDA</t>
  </si>
  <si>
    <t>NOTA FISCAL Nº 27955</t>
  </si>
  <si>
    <t>NOTA FISCAL Nº 25959</t>
  </si>
  <si>
    <t>NOTA FISCAL Nº 26062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</si>
  <si>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</si>
  <si>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</si>
  <si>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</si>
  <si>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</si>
  <si>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</si>
  <si>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</si>
  <si>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</si>
  <si>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</si>
  <si>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</si>
  <si>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</si>
  <si>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</si>
  <si>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26217</t>
  </si>
  <si>
    <t>NOTA FISCAL Nº 26285</t>
  </si>
  <si>
    <t>NOTA FISCAL Nº 26334</t>
  </si>
  <si>
    <t>NOTA FISCAL Nº 26352</t>
  </si>
  <si>
    <t>NOTA FISCAL Nº 26662</t>
  </si>
  <si>
    <t>NOTA FISCAL Nº 26442</t>
  </si>
  <si>
    <t>NOTA FISCAL Nº 27946</t>
  </si>
  <si>
    <t>NOTA FISCAL Nº 27954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</si>
  <si>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</si>
  <si>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</si>
  <si>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</si>
  <si>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</si>
  <si>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</si>
  <si>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</si>
  <si>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</si>
  <si>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</si>
  <si>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</si>
  <si>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</si>
  <si>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CL08898</t>
  </si>
  <si>
    <t>AGROOESTE COM E REPRES LTDA</t>
  </si>
  <si>
    <t>NOTA FISCAL Nº 26725</t>
  </si>
  <si>
    <t>NOTA FISCAL Nº 27472</t>
  </si>
  <si>
    <t>NOTA FISCAL Nº 27506</t>
  </si>
  <si>
    <t>NOTA FISCAL Nº 27584</t>
  </si>
  <si>
    <t>NOTA FISCAL Nº 25731</t>
  </si>
  <si>
    <t>NOTA FISCAL Nº 26918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</si>
  <si>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</si>
  <si>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</si>
  <si>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</si>
  <si>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</si>
  <si>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</si>
  <si>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</si>
  <si>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27218</t>
  </si>
  <si>
    <t>NOTA FISCAL Nº 27274</t>
  </si>
  <si>
    <t>NOTA FISCAL Nº 26580</t>
  </si>
  <si>
    <t>NOTA FISCAL Nº 26659</t>
  </si>
  <si>
    <t>NOTA FISCAL Nº 26493</t>
  </si>
  <si>
    <t>NOTA FISCAL Nº 27924</t>
  </si>
  <si>
    <t>NOTA FISCAL Nº 25930</t>
  </si>
  <si>
    <t>NOTA FISCAL Nº 27300</t>
  </si>
  <si>
    <t>NOTA FISCAL Nº 27318</t>
  </si>
  <si>
    <t>NOTA FISCAL Nº 26777</t>
  </si>
  <si>
    <t>CL08511</t>
  </si>
  <si>
    <t>NOTA FISCAL Nº 27464</t>
  </si>
  <si>
    <t>NOTA FISCAL Nº 27573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</si>
  <si>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</si>
  <si>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</si>
  <si>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</si>
  <si>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</si>
  <si>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</si>
  <si>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27697</t>
  </si>
  <si>
    <t>NOTA FISCAL Nº 27738</t>
  </si>
  <si>
    <t>NOTA FISCAL Nº 27779</t>
  </si>
  <si>
    <t>NOTA FISCAL Nº 27284</t>
  </si>
  <si>
    <t>CL09282</t>
  </si>
  <si>
    <t>ESTREITO AGROPECUARIA LTDA</t>
  </si>
  <si>
    <t>NOTA FISCAL Nº 26668</t>
  </si>
  <si>
    <t>NOTA FISCAL Nº 27923</t>
  </si>
  <si>
    <t>NOTA FISCAL Nº 25915</t>
  </si>
  <si>
    <t>NOTA FISCAL Nº 26011</t>
  </si>
  <si>
    <t>NOTA FISCAL Nº 26068</t>
  </si>
  <si>
    <t>NOTA FISCAL Nº 27009</t>
  </si>
  <si>
    <t>NOTA FISCAL Nº 27011</t>
  </si>
  <si>
    <t>NOTA FISCAL Nº 27433</t>
  </si>
  <si>
    <t>NOTA FISCAL Nº 26700</t>
  </si>
  <si>
    <t>NOTA FISCAL Nº 26844</t>
  </si>
  <si>
    <t>NOTA FISCAL Nº 27540</t>
  </si>
  <si>
    <t>NOTA FISCAL Nº 25766</t>
  </si>
  <si>
    <t>NOTA FISCAL Nº 26237</t>
  </si>
  <si>
    <t>NOTA FISCAL Nº 27677</t>
  </si>
  <si>
    <t>Notas Fiscais de Saída - CL08661</t>
  </si>
  <si>
    <t>Notas Fiscais de Saída - CL08949</t>
  </si>
  <si>
    <t>NOTA FISCAL Nº 26471</t>
  </si>
  <si>
    <t>NOTA FISCAL Nº 27916</t>
  </si>
  <si>
    <t>NOTA FISCAL Nº 27957</t>
  </si>
  <si>
    <t>NOTA FISCAL Nº 26010</t>
  </si>
  <si>
    <t>NOTA FISCAL Nº 26067</t>
  </si>
  <si>
    <t>CL08835</t>
  </si>
  <si>
    <t>SERGIO EITELWEIN</t>
  </si>
  <si>
    <t>NOTA FISCAL Nº 27385</t>
  </si>
  <si>
    <t>NOTA FISCAL Nº 27513</t>
  </si>
  <si>
    <t>NOTA FISCAL Nº 27548</t>
  </si>
  <si>
    <t>CL09037</t>
  </si>
  <si>
    <t>AGRIC FORTE PRODS AGROPEC LTDA</t>
  </si>
  <si>
    <t>NOTA FISCAL Nº 25773</t>
  </si>
  <si>
    <t>NOTA FISCAL Nº 25835</t>
  </si>
  <si>
    <t>NOTA FISCAL Nº 27653</t>
  </si>
  <si>
    <t>NOTA FISCAL Nº 26219</t>
  </si>
  <si>
    <t>NOTA FISCAL Nº 26429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</si>
  <si>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</si>
  <si>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</si>
  <si>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</si>
  <si>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</si>
  <si>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</si>
  <si>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</si>
  <si>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</si>
  <si>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CL08982</t>
  </si>
  <si>
    <t>INOVAGRI COM DE PRODS AGRIC LTDA</t>
  </si>
  <si>
    <t>NOTA FISCAL Nº 27194</t>
  </si>
  <si>
    <t>CL08626</t>
  </si>
  <si>
    <t>RIO BRANCO COM E REPRES LTDA</t>
  </si>
  <si>
    <t>NOTA FISCAL Nº 27254</t>
  </si>
  <si>
    <t>NOTA FISCAL Nº 27266</t>
  </si>
  <si>
    <t>NOTA FISCAL Nº 27290</t>
  </si>
  <si>
    <t>NOTA FISCAL Nº 26432</t>
  </si>
  <si>
    <t>NOTA FISCAL Nº 26456</t>
  </si>
  <si>
    <t>CL08177</t>
  </si>
  <si>
    <t>P.C. BERNARDINO SANTOS - EPP</t>
  </si>
  <si>
    <t>NOTA FISCAL Nº 27059</t>
  </si>
  <si>
    <t>NOTA FISCAL Nº 26685</t>
  </si>
  <si>
    <t>NOTA FISCAL Nº 26762</t>
  </si>
  <si>
    <t>NOTA FISCAL Nº 26852</t>
  </si>
  <si>
    <t>NOTA FISCAL Nº 27524</t>
  </si>
  <si>
    <t>NOTA FISCAL Nº 27600</t>
  </si>
  <si>
    <t>NOTA FISCAL Nº 27617</t>
  </si>
  <si>
    <t>NOTA FISCAL Nº 26236</t>
  </si>
  <si>
    <t>NOTA FISCAL Nº 26317</t>
  </si>
  <si>
    <t>NOTA FISCAL Nº 26414</t>
  </si>
  <si>
    <t>NOTA FISCAL Nº 27750</t>
  </si>
  <si>
    <t>NOTA FISCAL Nº 27794</t>
  </si>
  <si>
    <t>NOTA FISCAL Nº 27110</t>
  </si>
  <si>
    <t>NOTA FISCAL Nº 27787</t>
  </si>
  <si>
    <t>NOTA FISCAL Nº 26581</t>
  </si>
  <si>
    <t>NOTA FISCAL Nº 26644</t>
  </si>
  <si>
    <t>NOTA FISCAL Nº 25439</t>
  </si>
  <si>
    <t>NOTA FISCAL Nº 25471</t>
  </si>
  <si>
    <t>NOTA FISCAL Nº 26480</t>
  </si>
  <si>
    <t>Variação cambial atualização 10.2021</t>
  </si>
  <si>
    <t>NOTA FISCAL Nº 27930</t>
  </si>
  <si>
    <t>NOTA FISCAL Nº 27944</t>
  </si>
  <si>
    <t>NOTA FISCAL Nº 25894</t>
  </si>
  <si>
    <t>NOTA FISCAL Nº 25956</t>
  </si>
  <si>
    <t>NOTA FISCAL Nº 27038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</si>
  <si>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</si>
  <si>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</si>
  <si>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</si>
  <si>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</si>
  <si>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</si>
  <si>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</si>
  <si>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</si>
  <si>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</si>
  <si>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26344</t>
  </si>
  <si>
    <t>NOTA FISCAL Nº 26361</t>
  </si>
  <si>
    <t>NOTA FISCAL Nº 27783</t>
  </si>
  <si>
    <t>NOTA FISCAL Nº 26336</t>
  </si>
  <si>
    <t>NOTA FISCAL Nº 27683</t>
  </si>
  <si>
    <t>NOTA FISCAL Nº 27438</t>
  </si>
  <si>
    <t>NOTA FISCAL Nº 26682</t>
  </si>
  <si>
    <t>NOTA FISCAL Nº 27550</t>
  </si>
  <si>
    <t>NOTA FISCAL Nº 25797</t>
  </si>
  <si>
    <t>NOTA FISCAL Nº 25842</t>
  </si>
  <si>
    <t>NOTA FISCAL Nº 26913</t>
  </si>
  <si>
    <t>NOTA FISCAL Nº 26933</t>
  </si>
  <si>
    <t>NOTA FISCAL Nº 26247</t>
  </si>
  <si>
    <t>CL08634</t>
  </si>
  <si>
    <t>AGIFERTIL AGRO COML LTDA</t>
  </si>
  <si>
    <t>Notas Fiscais de Saída - CL08634</t>
  </si>
  <si>
    <t>NOTA FISCAL Nº 26299</t>
  </si>
  <si>
    <t>CL09241</t>
  </si>
  <si>
    <t>ARMANDO FERNANDO MATOS</t>
  </si>
  <si>
    <t>NOTA FISCAL Nº 26301</t>
  </si>
  <si>
    <t>NOTA FISCAL Nº 27700</t>
  </si>
  <si>
    <t>NOTA FISCAL Nº 27775</t>
  </si>
  <si>
    <t>NOTA FISCAL Nº 27791</t>
  </si>
  <si>
    <t>NOTA FISCAL Nº 25100</t>
  </si>
  <si>
    <t>NOTA FISCAL Nº 26597</t>
  </si>
  <si>
    <t>NOTA FISCAL Nº 26483</t>
  </si>
  <si>
    <t>NOTA FISCAL Nº 26565</t>
  </si>
  <si>
    <t>NOTA FISCAL Nº 25912</t>
  </si>
  <si>
    <t>NOTA FISCAL Nº 25689</t>
  </si>
  <si>
    <t>NOTA FISCAL Nº 25691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</si>
  <si>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</si>
  <si>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</si>
  <si>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</si>
  <si>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</si>
  <si>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</si>
  <si>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</si>
  <si>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27746</t>
  </si>
  <si>
    <t>NOTA FISCAL Nº 27784</t>
  </si>
  <si>
    <t>NOTA FISCAL Nº 26455</t>
  </si>
  <si>
    <t>Notas Fiscais de Saída - CL09118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</si>
  <si>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</si>
  <si>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</si>
  <si>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</si>
  <si>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</si>
  <si>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</si>
  <si>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</si>
  <si>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</si>
  <si>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</si>
  <si>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</si>
  <si>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</si>
  <si>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</si>
  <si>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CL09246</t>
  </si>
  <si>
    <t>CLAUDINEI MARCHIORO</t>
  </si>
  <si>
    <t>NOTA FISCAL Nº 25825</t>
  </si>
  <si>
    <t>NOTA FISCAL Nº 26926</t>
  </si>
  <si>
    <t>NOTA FISCAL Nº 27601</t>
  </si>
  <si>
    <t>NOTA FISCAL Nº 27659</t>
  </si>
  <si>
    <t>NOTA FISCAL Nº 27668</t>
  </si>
  <si>
    <t>NOTA FISCAL Nº 23329</t>
  </si>
  <si>
    <t>NOTA FISCAL Nº 26212</t>
  </si>
  <si>
    <t>NOTA FISCAL Nº 26351</t>
  </si>
  <si>
    <t>NOTA FISCAL Nº 26356</t>
  </si>
  <si>
    <t>NOTA FISCAL Nº 27731</t>
  </si>
  <si>
    <t>NOTA FISCAL Nº 27778</t>
  </si>
  <si>
    <t>NOTA FISCAL Nº 26108</t>
  </si>
  <si>
    <t>NOTA FISCAL Nº 26136</t>
  </si>
  <si>
    <t>NOTA FISCAL Nº 26434</t>
  </si>
  <si>
    <t>NOTA FISCAL Nº 25944</t>
  </si>
  <si>
    <t>NOTA FISCAL Nº 26950</t>
  </si>
  <si>
    <t>NOTA FISCAL Nº 26964</t>
  </si>
  <si>
    <t>NOTA FISCAL Nº 27066</t>
  </si>
  <si>
    <t>NOTA FISCAL Nº 27484</t>
  </si>
  <si>
    <t>NOTA FISCAL Nº 27534</t>
  </si>
  <si>
    <t>NOTA FISCAL Nº 27632</t>
  </si>
  <si>
    <t>NOTA FISCAL Nº 27772</t>
  </si>
  <si>
    <t>NOTA FISCAL Nº 26138</t>
  </si>
  <si>
    <t>Notas Fiscais de Saída - CL06114</t>
  </si>
  <si>
    <t>NOTA FISCAL Nº 27833</t>
  </si>
  <si>
    <t>NOTA FISCAL Nº 27886</t>
  </si>
  <si>
    <t>NOTA FISCAL Nº 27892</t>
  </si>
  <si>
    <t>NOTA FISCAL Nº 25352</t>
  </si>
  <si>
    <t>NOTA FISCAL Nº 25437</t>
  </si>
  <si>
    <t>NOTA FISCAL Nº 26530</t>
  </si>
  <si>
    <t>NOTA FISCAL Nº 25908</t>
  </si>
  <si>
    <t>NOTA FISCAL Nº 25933</t>
  </si>
  <si>
    <t>CL09078</t>
  </si>
  <si>
    <t>EVALDO RAITER</t>
  </si>
  <si>
    <t>NOTA FISCAL Nº 25690</t>
  </si>
  <si>
    <t>NOTA FISCAL Nº 26689</t>
  </si>
  <si>
    <t>NOTA FISCAL Nº 27889</t>
  </si>
  <si>
    <t>NOTA FISCAL Nº 25063</t>
  </si>
  <si>
    <t>NOTA FISCAL Nº 26168</t>
  </si>
  <si>
    <t>NOTA FISCAL Nº 26196</t>
  </si>
  <si>
    <t>NOTA FISCAL Nº 27860</t>
  </si>
  <si>
    <t>NOTA FISCAL Nº 25874</t>
  </si>
  <si>
    <t>NOTA FISCAL Nº 27654</t>
  </si>
  <si>
    <t>NOTA FISCAL Nº 26269</t>
  </si>
  <si>
    <t>NOTA FISCAL Nº 26289</t>
  </si>
  <si>
    <t>NOTA FISCAL Nº 27743</t>
  </si>
  <si>
    <t>NOTA FISCAL Nº 25576</t>
  </si>
  <si>
    <t>NOTA FISCAL Nº 26535</t>
  </si>
  <si>
    <t>NOTA FISCAL Nº 27945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</si>
  <si>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</si>
  <si>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</si>
  <si>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</si>
  <si>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</si>
  <si>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</si>
  <si>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</si>
  <si>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</si>
  <si>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</si>
  <si>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</si>
  <si>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</si>
  <si>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</si>
  <si>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</si>
  <si>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</si>
  <si>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27748</t>
  </si>
  <si>
    <t>NOTA FISCAL Nº 27769</t>
  </si>
  <si>
    <t>Variação cambial atualização 09.2021</t>
  </si>
  <si>
    <t>NOTA FISCAL Nº 27800</t>
  </si>
  <si>
    <t>CL08781</t>
  </si>
  <si>
    <t>RIO PRATUDAO AGROPEC LTDA</t>
  </si>
  <si>
    <t>NOTA FISCAL Nº 26133</t>
  </si>
  <si>
    <t>EMERSON FERNANDES BARROS</t>
  </si>
  <si>
    <t>NOTA FISCAL Nº 27699</t>
  </si>
  <si>
    <t>NOTA FISCAL Nº 27128</t>
  </si>
  <si>
    <t>NOTA FISCAL Nº 27149</t>
  </si>
  <si>
    <t>NOTA FISCAL Nº 27182</t>
  </si>
  <si>
    <t>NOTA FISCAL Nº 27856</t>
  </si>
  <si>
    <t>NOTA FISCAL Nº 27902</t>
  </si>
  <si>
    <t>NOTA FISCAL Nº 27145</t>
  </si>
  <si>
    <t>NOTA FISCAL Nº 27176</t>
  </si>
  <si>
    <t>NOTA FISCAL Nº 27823</t>
  </si>
  <si>
    <t>NOTA FISCAL Nº 27105</t>
  </si>
  <si>
    <t>NOTA FISCAL Nº 27107</t>
  </si>
  <si>
    <t>NOTA FISCAL Nº 27817</t>
  </si>
  <si>
    <t>NOTA FISCAL Nº 27835</t>
  </si>
  <si>
    <t>NOTA FISCAL Nº 25575</t>
  </si>
  <si>
    <t>NOTA FISCAL Nº 26624</t>
  </si>
  <si>
    <t>NOTA FISCAL Nº 26463</t>
  </si>
  <si>
    <t>NOTA FISCAL Nº 27364</t>
  </si>
  <si>
    <t>NOTA FISCAL Nº 27173</t>
  </si>
  <si>
    <t>NOTA FISCAL Nº 25256</t>
  </si>
  <si>
    <t>NOTA FISCAL Nº 25317</t>
  </si>
  <si>
    <t>NOTA FISCAL Nº 25581</t>
  </si>
  <si>
    <t>NOTA FISCAL Nº 26603</t>
  </si>
  <si>
    <t>NOTA FISCAL Nº 27951</t>
  </si>
  <si>
    <t>NOTA FISCAL Nº 25901</t>
  </si>
  <si>
    <t>NOTA FISCAL Nº 25963</t>
  </si>
  <si>
    <t>NOTA FISCAL Nº 26043</t>
  </si>
  <si>
    <t>NOTA FISCAL Nº 27360</t>
  </si>
  <si>
    <t>NOTA FISCAL Nº 26774</t>
  </si>
  <si>
    <t>NOTA FISCAL Nº 26823</t>
  </si>
  <si>
    <t>NOTA FISCAL Nº 27468</t>
  </si>
  <si>
    <t>CL08757</t>
  </si>
  <si>
    <t>NOTA FISCAL Nº 27519</t>
  </si>
  <si>
    <t>NOTA FISCAL Nº 26873</t>
  </si>
  <si>
    <t>NOTA FISCAL Nº 27629</t>
  </si>
  <si>
    <t>NOTA FISCAL Nº 26261</t>
  </si>
  <si>
    <t>NOTA FISCAL Nº 25101</t>
  </si>
  <si>
    <t>Notas Fiscais de Saída - CL08834</t>
  </si>
  <si>
    <t>NOTA FISCAL Nº 27180</t>
  </si>
  <si>
    <t>NOTA FISCAL Nº 26095</t>
  </si>
  <si>
    <t>NOTA FISCAL Nº 26180</t>
  </si>
  <si>
    <t>NOTA FISCAL Nº 27131</t>
  </si>
  <si>
    <t>NOTA FISCAL Nº 27256</t>
  </si>
  <si>
    <t>Notas Fiscais de Saída - CL09160</t>
  </si>
  <si>
    <t>NOTA FISCAL Nº 25568</t>
  </si>
  <si>
    <t>NOTA FISCAL Nº 25602</t>
  </si>
  <si>
    <t>NOTA FISCAL Nº 26445</t>
  </si>
  <si>
    <t>NOTA FISCAL Nº 27715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</si>
  <si>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</si>
  <si>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</si>
  <si>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</si>
  <si>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</si>
  <si>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</si>
  <si>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</si>
  <si>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</si>
  <si>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</si>
  <si>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</si>
  <si>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</si>
  <si>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</si>
  <si>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NOTA FISCAL Nº 27477</t>
  </si>
  <si>
    <t>NOTA FISCAL Nº 25807</t>
  </si>
  <si>
    <t>NOTA FISCAL Nº 25877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</si>
  <si>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</si>
  <si>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</si>
  <si>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</si>
  <si>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</si>
  <si>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</si>
  <si>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</si>
  <si>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</si>
  <si>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26239</t>
  </si>
  <si>
    <t>NOTA FISCAL Nº 26255</t>
  </si>
  <si>
    <t>NOTA FISCAL Nº 26359</t>
  </si>
  <si>
    <t>NOTA FISCAL Nº 26100</t>
  </si>
  <si>
    <t>NOTA FISCAL Nº 26104</t>
  </si>
  <si>
    <t>CL09277</t>
  </si>
  <si>
    <t>MARCELO ZUCCHI VIDOTTI</t>
  </si>
  <si>
    <t>NOTA FISCAL Nº 26170</t>
  </si>
  <si>
    <t>NOTA FISCAL Nº 27867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</si>
  <si>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</si>
  <si>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</si>
  <si>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</si>
  <si>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</si>
  <si>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</si>
  <si>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</si>
  <si>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</si>
  <si>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</si>
  <si>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26716</t>
  </si>
  <si>
    <t>NOTA FISCAL Nº 27454</t>
  </si>
  <si>
    <t>NOTA FISCAL Nº 27565</t>
  </si>
  <si>
    <t>NOTA FISCAL Nº 26208</t>
  </si>
  <si>
    <t>NOTA FISCAL Nº 25494</t>
  </si>
  <si>
    <t>NOTA FISCAL Nº 26578</t>
  </si>
  <si>
    <t>NOTA FISCAL Nº 26461</t>
  </si>
  <si>
    <t>NOTA FISCAL Nº 26484</t>
  </si>
  <si>
    <t>NOTA FISCAL Nº 26546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</si>
  <si>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</si>
  <si>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</si>
  <si>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</si>
  <si>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</si>
  <si>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</si>
  <si>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</si>
  <si>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27593</t>
  </si>
  <si>
    <t>NOTA FISCAL Nº 26900</t>
  </si>
  <si>
    <t>NOTA FISCAL Nº 27669</t>
  </si>
  <si>
    <t>NOTA FISCAL Nº 26302</t>
  </si>
  <si>
    <t>NOTA FISCAL Nº 26319</t>
  </si>
  <si>
    <t>NOTA FISCAL Nº 26367</t>
  </si>
  <si>
    <t>NOTA FISCAL Nº 27687</t>
  </si>
  <si>
    <t>NOTA FISCAL Nº 26186</t>
  </si>
  <si>
    <t>NOTA FISCAL Nº 26135</t>
  </si>
  <si>
    <t>NOTA FISCAL Nº 25594</t>
  </si>
  <si>
    <t>NOTA FISCAL Nº 26506</t>
  </si>
  <si>
    <t>NOTA FISCAL Nº 26524</t>
  </si>
  <si>
    <t>NOTA FISCAL Nº 26557</t>
  </si>
  <si>
    <t>NOTA FISCAL Nº 27936</t>
  </si>
  <si>
    <t>NOTA FISCAL Nº 27436</t>
  </si>
  <si>
    <t>NOTA FISCAL Nº 25647</t>
  </si>
  <si>
    <t>NOTA FISCAL Nº 25680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</si>
  <si>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</si>
  <si>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</si>
  <si>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</si>
  <si>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</si>
  <si>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</si>
  <si>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</si>
  <si>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</si>
  <si>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</si>
  <si>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</si>
  <si>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27717</t>
  </si>
  <si>
    <t>NOTA FISCAL Nº 27752</t>
  </si>
  <si>
    <t>NOTA FISCAL Nº 27806</t>
  </si>
  <si>
    <t>NOTA FISCAL Nº 26079</t>
  </si>
  <si>
    <t>NOTA FISCAL Nº 27129</t>
  </si>
  <si>
    <t>NOTA FISCAL Nº 27825</t>
  </si>
  <si>
    <t>NOTA FISCAL Nº 27674</t>
  </si>
  <si>
    <t>NOTA FISCAL Nº 27727</t>
  </si>
  <si>
    <t>NOTA FISCAL Nº 26148</t>
  </si>
  <si>
    <t>NOTA FISCAL Nº 27737</t>
  </si>
  <si>
    <t>CL02936</t>
  </si>
  <si>
    <t>COOPERATIVA AGRICOLA SUL BRASIL MARILIA</t>
  </si>
  <si>
    <t>Notas Fiscais de Saída - CL02936</t>
  </si>
  <si>
    <t>NOTA FISCAL Nº 27810</t>
  </si>
  <si>
    <t>NOTA FISCAL Nº 26111</t>
  </si>
  <si>
    <t>NOTA FISCAL Nº 26182</t>
  </si>
  <si>
    <t>CL08796</t>
  </si>
  <si>
    <t>FLORICULTURA URSULA LTDA</t>
  </si>
  <si>
    <t>NOTA FISCAL Nº 27164</t>
  </si>
  <si>
    <t>Notas Fiscais de Saída - CL08689</t>
  </si>
  <si>
    <t>NOTA FISCAL Nº 26875</t>
  </si>
  <si>
    <t>NOTA FISCAL Nº 27610</t>
  </si>
  <si>
    <t>NOTA FISCAL Nº 26364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</si>
  <si>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</si>
  <si>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</si>
  <si>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</si>
  <si>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</si>
  <si>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</si>
  <si>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25862</t>
  </si>
  <si>
    <t>NOTA FISCAL Nº 26884</t>
  </si>
  <si>
    <t>CL08945</t>
  </si>
  <si>
    <t>ROSALDO JOSE DE ANDRADE</t>
  </si>
  <si>
    <t>NOTA FISCAL Nº 27780</t>
  </si>
  <si>
    <t>MARIO JORGE GANS</t>
  </si>
  <si>
    <t>NOTA FISCAL Nº 27102</t>
  </si>
  <si>
    <t>NOTA FISCAL Nº 27840</t>
  </si>
  <si>
    <t>NOTA FISCAL Nº 27908</t>
  </si>
  <si>
    <t>NOTA FISCAL Nº 25851</t>
  </si>
  <si>
    <t>NOTA FISCAL Nº 26427</t>
  </si>
  <si>
    <t>NOTA FISCAL Nº 27782</t>
  </si>
  <si>
    <t>NOTA FISCAL Nº 25076</t>
  </si>
  <si>
    <t>NOTA FISCAL Nº 27155</t>
  </si>
  <si>
    <t>NOTA FISCAL Nº 27816</t>
  </si>
  <si>
    <t>Notas Fiscais de Saída - CL09129</t>
  </si>
  <si>
    <t>NOTA FISCAL Nº 26184</t>
  </si>
  <si>
    <t>NOTA FISCAL Nº 26209</t>
  </si>
  <si>
    <t>NOTA FISCAL Nº 27872</t>
  </si>
  <si>
    <t>NOTA FISCAL Nº 26355</t>
  </si>
  <si>
    <t>NOTA FISCAL Nº 27777</t>
  </si>
  <si>
    <t>NOTA FISCAL Nº 27749</t>
  </si>
  <si>
    <t>NOTA FISCAL Nº 27759</t>
  </si>
  <si>
    <t>CL09137</t>
  </si>
  <si>
    <t>SEG AGRIC DISTR AGRO COML LTDA</t>
  </si>
  <si>
    <t>NOTA FISCAL Nº 27760</t>
  </si>
  <si>
    <t>NOTA FISCAL Nº 26202</t>
  </si>
  <si>
    <t>NOTA FISCAL Nº 26596</t>
  </si>
  <si>
    <t>NOTA FISCAL Nº 25455</t>
  </si>
  <si>
    <t>NOTA FISCAL Nº 26568</t>
  </si>
  <si>
    <t>NOTA FISCAL Nº 25935</t>
  </si>
  <si>
    <t>NOTA FISCAL Nº 26051</t>
  </si>
  <si>
    <t>NOTA FISCAL Nº 25710</t>
  </si>
  <si>
    <t>NOTA FISCAL Nº 26677</t>
  </si>
  <si>
    <t>NOTA FISCAL Nº 26719</t>
  </si>
  <si>
    <t>NOTA FISCAL Nº 27495</t>
  </si>
  <si>
    <t>NOTA FISCAL Nº 25830</t>
  </si>
  <si>
    <t>NOTA FISCAL Nº 25201</t>
  </si>
  <si>
    <t>NOTA FISCAL Nº 26426</t>
  </si>
  <si>
    <t>NOTA FISCAL Nº 27710</t>
  </si>
  <si>
    <t>NOTA FISCAL Nº 26085</t>
  </si>
  <si>
    <t>NOTA FISCAL Nº 26087</t>
  </si>
  <si>
    <t>NOTA FISCAL Nº 27911</t>
  </si>
  <si>
    <t>NOTA FISCAL Nº 27235</t>
  </si>
  <si>
    <t>NOTA FISCAL Nº 26686</t>
  </si>
  <si>
    <t>NOTA FISCAL Nº 26688</t>
  </si>
  <si>
    <t>NOTA FISCAL Nº 26793</t>
  </si>
  <si>
    <t>NOTA FISCAL Nº 26851</t>
  </si>
  <si>
    <t>NOTA FISCAL Nº 25761</t>
  </si>
  <si>
    <t>NOTA FISCAL Nº 26309</t>
  </si>
  <si>
    <t>NOTA FISCAL Nº 27770</t>
  </si>
  <si>
    <t>NOTA FISCAL Nº 26090</t>
  </si>
  <si>
    <t>NOTA FISCAL Nº 27289</t>
  </si>
  <si>
    <t>NOTA FISCAL Nº 25452</t>
  </si>
  <si>
    <t>NOTA FISCAL Nº 27914</t>
  </si>
  <si>
    <t>NOTA FISCAL Nº 26975</t>
  </si>
  <si>
    <t>NOTA FISCAL Nº 27022</t>
  </si>
  <si>
    <t>NOTA FISCAL Nº 25608</t>
  </si>
  <si>
    <t>NOTA FISCAL Nº 26485</t>
  </si>
  <si>
    <t>NOTA FISCAL Nº 25951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</si>
  <si>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</si>
  <si>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</si>
  <si>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</si>
  <si>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</si>
  <si>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</si>
  <si>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26248</t>
  </si>
  <si>
    <t>Notas Fiscais de Saída - CL09194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</si>
  <si>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</si>
  <si>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</si>
  <si>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</si>
  <si>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</si>
  <si>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</si>
  <si>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27813</t>
  </si>
  <si>
    <t>NOTA FISCAL Nº 27880</t>
  </si>
  <si>
    <t>NOTA FISCAL Nº 27901</t>
  </si>
  <si>
    <t>NOTA FISCAL Nº 26150</t>
  </si>
  <si>
    <t>NOTA FISCAL Nº 26206</t>
  </si>
  <si>
    <t>NOTA FISCAL Nº 26121</t>
  </si>
  <si>
    <t>NOTA FISCAL Nº 27101</t>
  </si>
  <si>
    <t>NOTA FISCAL Nº 27112</t>
  </si>
  <si>
    <t>NOTA FISCAL Nº 27877</t>
  </si>
  <si>
    <t>NOTA FISCAL Nº 24832</t>
  </si>
  <si>
    <t>NOTA FISCAL Nº 25883</t>
  </si>
  <si>
    <t>NOTA FISCAL Nº 26891</t>
  </si>
  <si>
    <t>NOTA FISCAL Nº 27613</t>
  </si>
  <si>
    <t>NOTA FISCAL Nº 26314</t>
  </si>
  <si>
    <t>NOTA FISCAL Nº 27755</t>
  </si>
  <si>
    <t>NOTA FISCAL Nº 26141</t>
  </si>
  <si>
    <t>NOTA FISCAL Nº 27099</t>
  </si>
  <si>
    <t>NOTA FISCAL Nº 27875</t>
  </si>
  <si>
    <t>NOTA FISCAL Nº 27146</t>
  </si>
  <si>
    <t>Notas Fiscais de Saída - CL05643</t>
  </si>
  <si>
    <t>NOTA FISCAL Nº 27926</t>
  </si>
  <si>
    <t>NOTA FISCAL Nº 25934</t>
  </si>
  <si>
    <t>NOTA FISCAL Nº 25970</t>
  </si>
  <si>
    <t>NOTA FISCAL Nº 27402</t>
  </si>
  <si>
    <t>NOTA FISCAL Nº 25675</t>
  </si>
  <si>
    <t>NOTA FISCAL Nº 26831</t>
  </si>
  <si>
    <t>NOTA FISCAL Nº 27460</t>
  </si>
  <si>
    <t>NOTA FISCAL Nº 27588</t>
  </si>
  <si>
    <t>NOTA FISCAL Nº 25765</t>
  </si>
  <si>
    <t>NOTA FISCAL Nº 25829</t>
  </si>
  <si>
    <t>NOTA FISCAL Nº 26254</t>
  </si>
  <si>
    <t>NOTA FISCAL Nº 26266</t>
  </si>
  <si>
    <t>NOTA FISCAL Nº 26394</t>
  </si>
  <si>
    <t>NOTA FISCAL Nº 27689</t>
  </si>
  <si>
    <t>NOTA FISCAL Nº 27709</t>
  </si>
  <si>
    <t>NOTA FISCAL Nº 27766</t>
  </si>
  <si>
    <t>NOTA FISCAL Nº 26084</t>
  </si>
  <si>
    <t>CL09230</t>
  </si>
  <si>
    <t>CLAUDIMIR JUSTI</t>
  </si>
  <si>
    <t>NOTA FISCAL Nº 26132</t>
  </si>
  <si>
    <t>NOTA FISCAL Nº 27188</t>
  </si>
  <si>
    <t>NOTA FISCAL Nº 27745</t>
  </si>
  <si>
    <t>NOTA FISCAL Nº 27897</t>
  </si>
  <si>
    <t>NOTA FISCAL Nº 26088</t>
  </si>
  <si>
    <t>NOTA FISCAL Nº 27100</t>
  </si>
  <si>
    <t>NOTA FISCAL Nº 27160</t>
  </si>
  <si>
    <t>NOTA FISCAL Nº 26628</t>
  </si>
  <si>
    <t>NOTA FISCAL Nº 26656</t>
  </si>
  <si>
    <t>NOTA FISCAL Nº 26500</t>
  </si>
  <si>
    <t>NOTA FISCAL Nº 26048</t>
  </si>
  <si>
    <t>NOTA FISCAL Nº 27020</t>
  </si>
  <si>
    <t>NOTA FISCAL Nº 27353</t>
  </si>
  <si>
    <t>NOTA FISCAL Nº 27404</t>
  </si>
  <si>
    <t>CL09142</t>
  </si>
  <si>
    <t>JEAN CARLOS BERNARDI</t>
  </si>
  <si>
    <t>Notas Fiscais de Saída - CL09142</t>
  </si>
  <si>
    <t>NOTA FISCAL Nº 27368</t>
  </si>
  <si>
    <t>NOTA FISCAL Nº 27370</t>
  </si>
  <si>
    <t>Notas Fiscais de Saída - CL08982</t>
  </si>
  <si>
    <t>NOTA FISCAL Nº 26849</t>
  </si>
  <si>
    <t>NOTA FISCAL Nº 25780</t>
  </si>
  <si>
    <t>NOTA FISCAL Nº 26307</t>
  </si>
  <si>
    <t>NOTA FISCAL Nº 27124</t>
  </si>
  <si>
    <t>NOTA FISCAL Nº 27818</t>
  </si>
  <si>
    <t>NOTA FISCAL Nº 27912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</si>
  <si>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</si>
  <si>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</si>
  <si>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</si>
  <si>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</si>
  <si>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</si>
  <si>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</si>
  <si>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</si>
  <si>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27879</t>
  </si>
  <si>
    <t>NOTA FISCAL Nº 27907</t>
  </si>
  <si>
    <t>NOTA FISCAL Nº 27576</t>
  </si>
  <si>
    <t>NOTA FISCAL Nº 26859</t>
  </si>
  <si>
    <t>NOTA FISCAL Nº 27868</t>
  </si>
  <si>
    <t>NOTA FISCAL Nº 25760</t>
  </si>
  <si>
    <t>NOTA FISCAL Nº 26929</t>
  </si>
  <si>
    <t>NOTA FISCAL Nº 27645</t>
  </si>
  <si>
    <t>NOTA FISCAL Nº 27651</t>
  </si>
  <si>
    <t>NOTA FISCAL Nº 26424</t>
  </si>
  <si>
    <t>NOTA FISCAL Nº 27767</t>
  </si>
  <si>
    <t>NOTA FISCAL Nº 26119</t>
  </si>
  <si>
    <t>NOTA FISCAL Nº 26192</t>
  </si>
  <si>
    <t>NOTA FISCAL Nº 27861</t>
  </si>
  <si>
    <t>NOTA FISCAL Nº 26503</t>
  </si>
  <si>
    <t>NOTA FISCAL Nº 25888</t>
  </si>
  <si>
    <t>NOTA FISCAL Nº 26003</t>
  </si>
  <si>
    <t>NOTA FISCAL Nº 26030</t>
  </si>
  <si>
    <t>NOTA FISCAL Nº 27050</t>
  </si>
  <si>
    <t>CL09239</t>
  </si>
  <si>
    <t>ALEXANDRE SATIRO DOS SANTOS</t>
  </si>
  <si>
    <t>NOTA FISCAL Nº 27440</t>
  </si>
  <si>
    <t>NOTA FISCAL Nº 27526</t>
  </si>
  <si>
    <t>NOTA FISCAL Nº 27602</t>
  </si>
  <si>
    <t>NOTA FISCAL Nº 27628</t>
  </si>
  <si>
    <t>NOTA FISCAL Nº 26422</t>
  </si>
  <si>
    <t>NOTA FISCAL Nº 27732</t>
  </si>
  <si>
    <t>NOTA FISCAL Nº 27789</t>
  </si>
  <si>
    <t>NOTA FISCAL Nº 27483</t>
  </si>
  <si>
    <t>NOTA FISCAL Nº 25843</t>
  </si>
  <si>
    <t>Notas Fiscais de Saída - CL08833</t>
  </si>
  <si>
    <t>NOTA FISCAL Nº 26298</t>
  </si>
  <si>
    <t>NOTA FISCAL Nº 26315</t>
  </si>
  <si>
    <t>NOTA FISCAL Nº 27716</t>
  </si>
  <si>
    <t>NOTA FISCAL Nº 27736</t>
  </si>
  <si>
    <t>NOTA FISCAL Nº 26139</t>
  </si>
  <si>
    <t>NOTA FISCAL Nº 27198</t>
  </si>
  <si>
    <t>NOTA FISCAL Nº 27844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</si>
  <si>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</si>
  <si>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</si>
  <si>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</si>
  <si>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</si>
  <si>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</si>
  <si>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</si>
  <si>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</si>
  <si>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</si>
  <si>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NOTA FISCAL Nº 26322</t>
  </si>
  <si>
    <t>NOTA FISCAL Nº 27106</t>
  </si>
  <si>
    <t>NOTA FISCAL Nº 27849</t>
  </si>
  <si>
    <t>NOTA FISCAL Nº 27883</t>
  </si>
  <si>
    <t>NOTA FISCAL Nº 25503</t>
  </si>
  <si>
    <t>NOTA FISCAL Nº 25349</t>
  </si>
  <si>
    <t>NOTA FISCAL Nº 25360</t>
  </si>
  <si>
    <t>NOTA FISCAL Nº 26537</t>
  </si>
  <si>
    <t>NOTA FISCAL Nº 25904</t>
  </si>
  <si>
    <t>NOTA FISCAL Nº 26001</t>
  </si>
  <si>
    <t>NOTA FISCAL Nº 27326</t>
  </si>
  <si>
    <t>NOTA FISCAL Nº 27399</t>
  </si>
  <si>
    <t>NOTA FISCAL Nº 25668</t>
  </si>
  <si>
    <t>NOTA FISCAL Nº 26408</t>
  </si>
  <si>
    <t>NOTA FISCAL Nº 27714</t>
  </si>
  <si>
    <t>NOTA FISCAL Nº 27724</t>
  </si>
  <si>
    <t>NOTA FISCAL Nº 26083</t>
  </si>
  <si>
    <t>NOTA FISCAL Nº 26106</t>
  </si>
  <si>
    <t>NOTA FISCAL Nº 27855</t>
  </si>
  <si>
    <t>NOTA FISCAL Nº 27288</t>
  </si>
  <si>
    <t>NOTA FISCAL Nº 25513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</si>
  <si>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</si>
  <si>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</si>
  <si>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</si>
  <si>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</si>
  <si>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</si>
  <si>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</si>
  <si>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</si>
  <si>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</si>
  <si>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</si>
  <si>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</si>
  <si>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</si>
  <si>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26867</t>
  </si>
  <si>
    <t>NOTA FISCAL Nº 27609</t>
  </si>
  <si>
    <t>NOTA FISCAL Nº 26400</t>
  </si>
  <si>
    <t>NOTA FISCAL Nº 26407</t>
  </si>
  <si>
    <t>NOTA FISCAL Nº 27713</t>
  </si>
  <si>
    <t>NOTA FISCAL Nº 26107</t>
  </si>
  <si>
    <t>NOTA FISCAL Nº 26201</t>
  </si>
  <si>
    <t>NOTA FISCAL Nº 27167</t>
  </si>
  <si>
    <t>Notas Fiscais de Saída - CL08029</t>
  </si>
  <si>
    <t>NOTA FISCAL Nº 27807</t>
  </si>
  <si>
    <t>NOTA FISCAL Nº 27085</t>
  </si>
  <si>
    <t>NOTA FISCAL Nº 27148</t>
  </si>
  <si>
    <t>NOTA FISCAL Nº 27874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</si>
  <si>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</si>
  <si>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</si>
  <si>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</si>
  <si>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</si>
  <si>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</si>
  <si>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</si>
  <si>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27624</t>
  </si>
  <si>
    <t>NOTA FISCAL Nº 26221</t>
  </si>
  <si>
    <t>NOTA FISCAL Nº 27675</t>
  </si>
  <si>
    <t>NOTA FISCAL Nº 27728</t>
  </si>
  <si>
    <t>NOTA FISCAL Nº 26149</t>
  </si>
  <si>
    <t>NOTA FISCAL Nº 26172</t>
  </si>
  <si>
    <t>NOTA FISCAL Nº 27819</t>
  </si>
  <si>
    <t>NOTA FISCAL Nº 27865</t>
  </si>
  <si>
    <t>NOTA FISCAL Nº 27881</t>
  </si>
  <si>
    <t>NOTA FISCAL Nº 27846</t>
  </si>
  <si>
    <t>NOTA FISCAL Nº 27871</t>
  </si>
  <si>
    <t>NOTA FISCAL Nº 27878</t>
  </si>
  <si>
    <t>NOTA FISCAL Nº 25762</t>
  </si>
  <si>
    <t>NOTA FISCAL Nº 26308</t>
  </si>
  <si>
    <t>NOTA FISCAL Nº 26379</t>
  </si>
  <si>
    <t>NOTA FISCAL Nº 26397</t>
  </si>
  <si>
    <t>NOTA FISCAL Nº 27233</t>
  </si>
  <si>
    <t>NOTA FISCAL Nº 27267</t>
  </si>
  <si>
    <t>NOTA FISCAL Nº 26622</t>
  </si>
  <si>
    <t>NOTA FISCAL Nº 26492</t>
  </si>
  <si>
    <t>NOTA FISCAL Nº 26494</t>
  </si>
  <si>
    <t>NOTA FISCAL Nº 26519</t>
  </si>
  <si>
    <t>NOTA FISCAL Nº 26973</t>
  </si>
  <si>
    <t>NOTA FISCAL Nº 27027</t>
  </si>
  <si>
    <t>NOTA FISCAL Nº 27301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</si>
  <si>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</si>
  <si>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</si>
  <si>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</si>
  <si>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</si>
  <si>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</si>
  <si>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</si>
  <si>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</si>
  <si>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</si>
  <si>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</si>
  <si>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NOTA FISCAL Nº 27898</t>
  </si>
  <si>
    <t>NOTA FISCAL Nº 27910</t>
  </si>
  <si>
    <t>NOTA FISCAL Nº 26632</t>
  </si>
  <si>
    <t>NOTA FISCAL Nº 25923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</si>
  <si>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</si>
  <si>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</si>
  <si>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</si>
  <si>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</si>
  <si>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</si>
  <si>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</si>
  <si>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26678</t>
  </si>
  <si>
    <t>NOTA FISCAL Nº 26717</t>
  </si>
  <si>
    <t>NOTA FISCAL Nº 26724</t>
  </si>
  <si>
    <t>NOTA FISCAL Nº 27539</t>
  </si>
  <si>
    <t>NOTA FISCAL Nº 25741</t>
  </si>
  <si>
    <t>NOTA FISCAL Nº 25865</t>
  </si>
  <si>
    <t>NOTA FISCAL Nº 26258</t>
  </si>
  <si>
    <t>NOTA FISCAL Nº 26341</t>
  </si>
  <si>
    <t>NOTA FISCAL Nº 27723</t>
  </si>
  <si>
    <t>NOTA FISCAL Nº 27803</t>
  </si>
  <si>
    <t>NOTA FISCAL Nº 27832</t>
  </si>
  <si>
    <t>NOTA FISCAL Nº 27839</t>
  </si>
  <si>
    <t>NOTA FISCAL Nº 27089</t>
  </si>
  <si>
    <t>NOTA FISCAL Nº 27095</t>
  </si>
  <si>
    <t>NOTA FISCAL Nº 27152</t>
  </si>
  <si>
    <t>NOTA FISCAL Nº 27151</t>
  </si>
  <si>
    <t>NOTA FISCAL Nº 27888</t>
  </si>
  <si>
    <t>Notas Fiscais de Saída - CL09027</t>
  </si>
  <si>
    <t>NOTA FISCAL Nº 25845</t>
  </si>
  <si>
    <t>NOTA FISCAL Nº 25861</t>
  </si>
  <si>
    <t>NOTA FISCAL Nº 26888</t>
  </si>
  <si>
    <t>NOTA FISCAL Nº 27606</t>
  </si>
  <si>
    <t>NOTA FISCAL Nº 27634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</si>
  <si>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</si>
  <si>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</si>
  <si>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</si>
  <si>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</si>
  <si>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</si>
  <si>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27730</t>
  </si>
  <si>
    <t>NOTA FISCAL Nº 25104</t>
  </si>
  <si>
    <t>NOTA FISCAL Nº 27093</t>
  </si>
  <si>
    <t>NOTA FISCAL Nº 27848</t>
  </si>
  <si>
    <t>NOTA FISCAL Nº 27822</t>
  </si>
  <si>
    <t>NOTA FISCAL Nº 26604</t>
  </si>
  <si>
    <t>NOTA FISCAL Nº 26663</t>
  </si>
  <si>
    <t>NOTA FISCAL Nº 26476</t>
  </si>
  <si>
    <t>NOTA FISCAL Nº 26024</t>
  </si>
  <si>
    <t>NOTA FISCAL Nº 26025</t>
  </si>
  <si>
    <t>NOTA FISCAL Nº 25650</t>
  </si>
  <si>
    <t>NOTA FISCAL Nº 25717</t>
  </si>
  <si>
    <t>NOTA FISCAL Nº 26698</t>
  </si>
  <si>
    <t>NOTA FISCAL Nº 26804</t>
  </si>
  <si>
    <t>NOTA FISCAL Nº 27486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</si>
  <si>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</si>
  <si>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</si>
  <si>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</si>
  <si>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</si>
  <si>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</si>
  <si>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26094</t>
  </si>
  <si>
    <t>NOTA FISCAL Nº 26181</t>
  </si>
  <si>
    <t>NOTA FISCAL Nº 27863</t>
  </si>
  <si>
    <t>NOTA FISCAL Nº 27899</t>
  </si>
  <si>
    <t>NOTA FISCAL Nº 26617</t>
  </si>
  <si>
    <t>NOTA FISCAL Nº 25426</t>
  </si>
  <si>
    <t>NOTA FISCAL Nº 26489</t>
  </si>
  <si>
    <t>NOTA FISCAL Nº 26540</t>
  </si>
  <si>
    <t>NOTA FISCAL Nº 26559</t>
  </si>
  <si>
    <t>CL09102</t>
  </si>
  <si>
    <t>NOTA FISCAL Nº 25987</t>
  </si>
  <si>
    <t>NOTA FISCAL Nº 26042</t>
  </si>
  <si>
    <t>NOTA FISCAL Nº 27395</t>
  </si>
  <si>
    <t>NOTA FISCAL Nº 26822</t>
  </si>
  <si>
    <t>NOTA FISCAL Nº 25869</t>
  </si>
  <si>
    <t>NOTA FISCAL Nº 27611</t>
  </si>
  <si>
    <t>NOTA FISCAL Nº 26370</t>
  </si>
  <si>
    <t>NOTA FISCAL Nº 26389</t>
  </si>
  <si>
    <t>NOTA FISCAL Nº 26420</t>
  </si>
  <si>
    <t>NOTA FISCAL Nº 27701</t>
  </si>
  <si>
    <t>NOTA FISCAL Nº 27734</t>
  </si>
  <si>
    <t>NOTA FISCAL Nº 27790</t>
  </si>
  <si>
    <t>NOTA FISCAL Nº 27084</t>
  </si>
  <si>
    <t>NOTA FISCAL Nº 27130</t>
  </si>
  <si>
    <t>CL09286</t>
  </si>
  <si>
    <t>ARANHA &amp; SALOMAO LTDA</t>
  </si>
  <si>
    <t>NOTA FISCAL Nº 26421</t>
  </si>
  <si>
    <t>NOTA FISCAL Nº 27696</t>
  </si>
  <si>
    <t>NOTA FISCAL Nº 27698</t>
  </si>
  <si>
    <t>NOTA FISCAL Nº 27739</t>
  </si>
  <si>
    <t>NOTA FISCAL Nº 26097</t>
  </si>
  <si>
    <t>NOTA FISCAL Nº 27166</t>
  </si>
  <si>
    <t>NOTA FISCAL Nº 27168</t>
  </si>
  <si>
    <t>NOTA FISCAL Nº 26924</t>
  </si>
  <si>
    <t>NOTA FISCAL Nº 27619</t>
  </si>
  <si>
    <t>Notas Fiscais de Saída - CL09264</t>
  </si>
  <si>
    <t>NOTA FISCAL Nº 26243</t>
  </si>
  <si>
    <t>NOTA FISCAL Nº 26360</t>
  </si>
  <si>
    <t>NOTA FISCAL Nº 27676</t>
  </si>
  <si>
    <t>NOTA FISCAL Nº 27707</t>
  </si>
  <si>
    <t>NOTA FISCAL Nº 27091</t>
  </si>
  <si>
    <t>NOTA FISCAL Nº 27104</t>
  </si>
  <si>
    <t>NOTA FISCAL Nº 27834</t>
  </si>
  <si>
    <t>NOTA FISCAL Nº 27824</t>
  </si>
  <si>
    <t>NOTA FISCAL Nº 27108</t>
  </si>
  <si>
    <t>NOTA FISCAL Nº 27132</t>
  </si>
  <si>
    <t>NOTA FISCAL Nº 27175</t>
  </si>
  <si>
    <t>NOTA FISCAL Nº 27186</t>
  </si>
  <si>
    <t>NOTA FISCAL Nº 27814</t>
  </si>
  <si>
    <t>NOTA FISCAL Nº 27893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</si>
  <si>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</si>
  <si>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</si>
  <si>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</si>
  <si>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</si>
  <si>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</si>
  <si>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27756</t>
  </si>
  <si>
    <t>NOTA FISCAL Nº 27771</t>
  </si>
  <si>
    <t>NOTA FISCAL Nº 26109</t>
  </si>
  <si>
    <t>NOTA FISCAL Nº 27857</t>
  </si>
  <si>
    <t>NOTA FISCAL Nº 27903</t>
  </si>
  <si>
    <t>Royalties sobre venda de produtos 02.2022</t>
  </si>
  <si>
    <t>NOTA FISCAL Nº 27744</t>
  </si>
  <si>
    <t>NOTA FISCAL Nº 27762</t>
  </si>
  <si>
    <t>NOTA FISCAL Nº 27216</t>
  </si>
  <si>
    <t>NOTA FISCAL Nº 26639</t>
  </si>
  <si>
    <t>NOTA FISCAL Nº 26488</t>
  </si>
  <si>
    <t>NOTA FISCAL Nº 27312</t>
  </si>
  <si>
    <t>NOTA FISCAL Nº 25648</t>
  </si>
  <si>
    <t>NOTA FISCAL Nº 25698</t>
  </si>
  <si>
    <t>NOTA FISCAL Nº 26683</t>
  </si>
  <si>
    <t>NOTA FISCAL Nº 26696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</si>
  <si>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</si>
  <si>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</si>
  <si>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</si>
  <si>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</si>
  <si>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</si>
  <si>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26093</t>
  </si>
  <si>
    <t>NOTA FISCAL Nº 27828</t>
  </si>
  <si>
    <t>NOTA FISCAL Nº 27845</t>
  </si>
  <si>
    <t>NOTA FISCAL Nº 27859</t>
  </si>
  <si>
    <t>NOTA FISCAL Nº 26228</t>
  </si>
  <si>
    <t>NOTA FISCAL Nº 27719</t>
  </si>
  <si>
    <t>NOTA FISCAL Nº 27821</t>
  </si>
  <si>
    <t>NOTA FISCAL Nº 26428</t>
  </si>
  <si>
    <t>NOTA FISCAL Nº 27708</t>
  </si>
  <si>
    <t>NOTA FISCAL Nº 27764</t>
  </si>
  <si>
    <t>NOTA FISCAL Nº 27781</t>
  </si>
  <si>
    <t>NOTA FISCAL Nº 27798</t>
  </si>
  <si>
    <t>NOTA FISCAL Nº 27141</t>
  </si>
  <si>
    <t>NOTA FISCAL Nº 27172</t>
  </si>
  <si>
    <t>Notas Fiscais de Saída - CL08712</t>
  </si>
  <si>
    <t>NOTA FISCAL Nº 27158</t>
  </si>
  <si>
    <t>NOTA FISCAL Nº 27202</t>
  </si>
  <si>
    <t>NOTA FISCAL Nº 26169</t>
  </si>
  <si>
    <t>NOTA FISCAL Nº 26188</t>
  </si>
  <si>
    <t>CL08651</t>
  </si>
  <si>
    <t>BRENNTAG QUIMICA BRASIL LTDA</t>
  </si>
  <si>
    <t>NOTA FISCAL Nº 27866</t>
  </si>
  <si>
    <t>NOTA FISCAL Nº 27896</t>
  </si>
  <si>
    <t>NOTA FISCAL Nº 25590</t>
  </si>
  <si>
    <t>NOTA FISCAL Nº 26640</t>
  </si>
  <si>
    <t>NOTA FISCAL Nº 26555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</si>
  <si>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</si>
  <si>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</si>
  <si>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</si>
  <si>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</si>
  <si>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</si>
  <si>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</si>
  <si>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</si>
  <si>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</si>
  <si>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</si>
  <si>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</si>
  <si>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</si>
  <si>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</si>
  <si>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</si>
  <si>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</si>
  <si>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</si>
  <si>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27159</t>
  </si>
  <si>
    <t>CL08886</t>
  </si>
  <si>
    <t>LUCIANA SCHUCHARDT</t>
  </si>
  <si>
    <t>NOTA FISCAL Nº 27820</t>
  </si>
  <si>
    <t>NOTA FISCAL Nº 27885</t>
  </si>
  <si>
    <t>NOTA FISCAL Nº 27285</t>
  </si>
  <si>
    <t>NOTA FISCAL Nº 26571</t>
  </si>
  <si>
    <t>Notas Fiscais de Saída - CL09034</t>
  </si>
  <si>
    <t>NOTA FISCAL Nº 26661</t>
  </si>
  <si>
    <t>NOTA FISCAL Nº 25358</t>
  </si>
  <si>
    <t>NOTA FISCAL Nº 26443</t>
  </si>
  <si>
    <t>NOTA FISCAL Nº 27922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</si>
  <si>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</si>
  <si>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</si>
  <si>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</si>
  <si>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</si>
  <si>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</si>
  <si>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</si>
  <si>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</si>
  <si>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</si>
  <si>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</si>
  <si>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</si>
  <si>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</si>
  <si>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26089</t>
  </si>
  <si>
    <t>NOTA FISCAL Nº 27841</t>
  </si>
  <si>
    <t>NOTA FISCAL Nº 26371</t>
  </si>
  <si>
    <t>NOTA FISCAL Nº 27718</t>
  </si>
  <si>
    <t>NOTA FISCAL Nº 26140</t>
  </si>
  <si>
    <t>NOTA FISCAL Nº 27842</t>
  </si>
  <si>
    <t>NOTA FISCAL Nº 27248</t>
  </si>
  <si>
    <t>NOTA FISCAL Nº 27264</t>
  </si>
  <si>
    <t>NOTA FISCAL Nº 26574</t>
  </si>
  <si>
    <t>NOTA FISCAL Nº 26458</t>
  </si>
  <si>
    <t>NOTA FISCAL Nº 26543</t>
  </si>
  <si>
    <t>NOTA FISCAL Nº 26023</t>
  </si>
  <si>
    <t>NOTA FISCAL Nº 27580</t>
  </si>
  <si>
    <t>NOTA FISCAL Nº 25739</t>
  </si>
  <si>
    <t>NOTA FISCAL Nº 25754</t>
  </si>
  <si>
    <t>NOTA FISCAL Nº 25786</t>
  </si>
  <si>
    <t>NOTA FISCAL Nº 27773</t>
  </si>
  <si>
    <t>NOTA FISCAL Nº 26110</t>
  </si>
  <si>
    <t>NOTA FISCAL Nº 27873</t>
  </si>
  <si>
    <t>NOTA FISCAL Nº 25263</t>
  </si>
  <si>
    <t>NOTA FISCAL Nº 27255</t>
  </si>
  <si>
    <t>NOTA FISCAL Nº 26502</t>
  </si>
  <si>
    <t>NOTA FISCAL Nº 25889</t>
  </si>
  <si>
    <t>NOTA FISCAL Nº 26978</t>
  </si>
  <si>
    <t>NOTA FISCAL Nº 26802</t>
  </si>
  <si>
    <t>NOTA FISCAL Nº 27504</t>
  </si>
  <si>
    <t>NOTA FISCAL Nº 26303</t>
  </si>
  <si>
    <t>NOTA FISCAL Nº 26166</t>
  </si>
  <si>
    <t>NOTA FISCAL Nº 26193</t>
  </si>
  <si>
    <t>NOTA FISCAL Nº 27185</t>
  </si>
  <si>
    <t>NOTA FISCAL Nº 27853</t>
  </si>
  <si>
    <t>NOTA FISCAL Nº 27862</t>
  </si>
  <si>
    <t>NOTA FISCAL Nº 27894</t>
  </si>
  <si>
    <t>NOTA FISCAL Nº 27259</t>
  </si>
  <si>
    <t>NOTA FISCAL Nº 25603</t>
  </si>
  <si>
    <t>NOTA FISCAL Nº 26595</t>
  </si>
  <si>
    <t>NOTA FISCAL Nº 26610</t>
  </si>
  <si>
    <t>Notas Fiscais de Saída - CL08789</t>
  </si>
  <si>
    <t>NOTA FISCAL Nº 27403</t>
  </si>
  <si>
    <t>NOTA FISCAL Nº 26670</t>
  </si>
  <si>
    <t>NOTA FISCAL Nº 26706</t>
  </si>
  <si>
    <t>NOTA FISCAL Nº 26780</t>
  </si>
  <si>
    <t>NOTA FISCAL Nº 26811</t>
  </si>
  <si>
    <t>NOTA FISCAL Nº 27476</t>
  </si>
  <si>
    <t>NOTA FISCAL Nº 25776</t>
  </si>
  <si>
    <t>NOTA FISCAL Nº 27690</t>
  </si>
  <si>
    <t>NOTA FISCAL Nº 27726</t>
  </si>
  <si>
    <t>NOTA FISCAL Nº 27599</t>
  </si>
  <si>
    <t>NOTA FISCAL Nº 27637</t>
  </si>
  <si>
    <t>NOTA FISCAL Nº 27670</t>
  </si>
  <si>
    <t>NOTA FISCAL Nº 26286</t>
  </si>
  <si>
    <t>NOTA FISCAL Nº 27768</t>
  </si>
  <si>
    <t>NOTA FISCAL Nº 26099</t>
  </si>
  <si>
    <t>NOTA FISCAL Nº 26118</t>
  </si>
  <si>
    <t>NOTA FISCAL Nº 27838</t>
  </si>
  <si>
    <t>NOTA FISCAL Nº 27870</t>
  </si>
  <si>
    <t>NOTA FISCAL Nº 27190</t>
  </si>
  <si>
    <t>NOTA FISCAL Nº 26669</t>
  </si>
  <si>
    <t>NOTA FISCAL Nº 26441</t>
  </si>
  <si>
    <t>NOTA FISCAL Nº 26486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</si>
  <si>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</si>
  <si>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</si>
  <si>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</si>
  <si>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</si>
  <si>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</si>
  <si>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</si>
  <si>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</si>
  <si>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27515</t>
  </si>
  <si>
    <t>NOTA FISCAL Nº 27685</t>
  </si>
  <si>
    <t>NOTA FISCAL Nº 27711</t>
  </si>
  <si>
    <t>NOTA FISCAL Nº 26137</t>
  </si>
  <si>
    <t>NOTA FISCAL Nº 27136</t>
  </si>
  <si>
    <t>CL09103</t>
  </si>
  <si>
    <t>NOTA FISCAL Nº 27195</t>
  </si>
  <si>
    <t>NOTA FISCAL Nº 27876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</si>
  <si>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</si>
  <si>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</si>
  <si>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</si>
  <si>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</si>
  <si>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</si>
  <si>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</si>
  <si>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</si>
  <si>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</si>
  <si>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COBRAR RETORNO DO CLIENTE QUANTO A CONTRA PROPOSTA</t>
  </si>
  <si>
    <t>FEITO CONTRA PROPOSTA RENEGOCIAÇÃO  DOS VENCIMENTOS ATÉ ABRIL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</si>
</sst>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2" xfId="0" applyFont="1" applyBorder="1" applyAlignment="1">
      <alignment horizontal="left"/>
    </xf>
    <xf numFmtId="44" fontId="2" fillId="0" borderId="2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10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AGRO ALTA COM DE INS AGRIC LTDA ME</v>
          </cell>
          <cell r="B4">
            <v>28003.31</v>
          </cell>
          <cell r="C4" t="str">
            <v>PAGAMENTO PROGRAMADO PARA O DIA 10/03/2022</v>
          </cell>
          <cell r="D4" t="str">
            <v>-</v>
          </cell>
          <cell r="E4" t="str">
            <v>AGUARDANDO PAGAMENTO</v>
          </cell>
        </row>
        <row r="5">
          <cell r="A5" t="str">
            <v>AGROSOIL COM E REPRES DE PROD AGRIC LTDA</v>
          </cell>
          <cell r="B5">
            <v>12660.02</v>
          </cell>
          <cell r="C5" t="str">
            <v>PROGRAMADO O PAGAMENTO PARA DIA 11/03/2022</v>
          </cell>
          <cell r="D5" t="str">
            <v>-</v>
          </cell>
          <cell r="E5" t="str">
            <v>AGUARDANDO PAGAMENTO</v>
          </cell>
        </row>
        <row r="6">
          <cell r="A6" t="str">
            <v>AGROSOIL COM E REPRES PROD AGRIC LTDA ME</v>
          </cell>
          <cell r="B6">
            <v>21022.5</v>
          </cell>
          <cell r="C6" t="str">
            <v>PROGRAMADO O PAGAMENTO PARA DIA 11/03/2022</v>
          </cell>
          <cell r="D6" t="str">
            <v>-</v>
          </cell>
          <cell r="E6" t="str">
            <v>AGUARDANDO PAGAMENTO</v>
          </cell>
        </row>
        <row r="7">
          <cell r="A7" t="str">
            <v>CAMPO FORTE COM ATACADISTA DE DEFENS AGRIC LTDA</v>
          </cell>
          <cell r="B7">
            <v>116085.4</v>
          </cell>
          <cell r="C7" t="str">
            <v>CONFISSÃO DE DIVIDA ASSINADA E CPR</v>
          </cell>
          <cell r="D7" t="str">
            <v>4 PARCELAS RESTANTES (05/01/22, 04/02/22, 06/03/22 e 05/04/22)</v>
          </cell>
          <cell r="E7" t="str">
            <v>AGUARDAR PAGAMENTOS E EXECUTAR CPR QUE VENCE EM 16/03/2022, JUNTO COM A CPR DA ANA CLARA, CASO NÃO SEJA PAGO ATÉ O VENCIMENTO DA CPR</v>
          </cell>
        </row>
        <row r="8">
          <cell r="A8" t="str">
            <v>FERTIBAHIA COM DE PRODS AGROPEC LTDA</v>
          </cell>
          <cell r="B8">
            <v>23424.06</v>
          </cell>
          <cell r="C8" t="str">
            <v>CONFISSAO DE DIVIDA ASSINADA</v>
          </cell>
          <cell r="D8" t="str">
            <v>2 PARCELAS RESTANTES (12/03, 27/03)</v>
          </cell>
          <cell r="E8" t="str">
            <v>AGUARDANDO PAGAMENTO</v>
          </cell>
        </row>
        <row r="9">
          <cell r="A9" t="str">
            <v>L F DE FREITAS ME</v>
          </cell>
          <cell r="B9">
            <v>60058.03</v>
          </cell>
          <cell r="C9" t="str">
            <v>QUITOU 10 MIL DO SALDO DEVEDOR EM 21/02. PROXIMOS VENCIMENTOS DIA 11/03</v>
          </cell>
          <cell r="D9" t="str">
            <v>PLANO DE PAGAMENTO DE 20 MIL POR SEMANA. QUITARIA TUDO A SEMANA DO DIA 14/03</v>
          </cell>
          <cell r="E9" t="str">
            <v>COBRAR RETORNO DA PREVISÃO DE PAGAMENTO E DATA E/OU MARCAR REUNIÃO COM O CLIENTE</v>
          </cell>
        </row>
        <row r="10">
          <cell r="A10" t="str">
            <v>TERRA VERDE COM E REPRES DE PRODS AGRIC LTDA</v>
          </cell>
          <cell r="B10">
            <v>35738.26</v>
          </cell>
          <cell r="C10" t="str">
            <v>ENVIADO MINUTA ALTERADO PARA O CLAYRTON REPASSAR AO CLIENTE</v>
          </cell>
          <cell r="D10" t="str">
            <v>-</v>
          </cell>
          <cell r="E10" t="str">
            <v>AGUARDANDO RETORNO DO CLAYRTON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31.387449421294" createdVersion="5" refreshedVersion="5" minRefreshableVersion="3" recordCount="11">
  <cacheSource type="worksheet">
    <worksheetSource ref="A1:J12" sheet="TOTAL INADIMPLENTES"/>
  </cacheSource>
  <cacheFields count="10">
    <cacheField name="Codigo PN" numFmtId="0">
      <sharedItems/>
    </cacheField>
    <cacheField name="Razao Social" numFmtId="0">
      <sharedItems count="6">
        <s v="TERRA VERDE COM E REPRES DE PRODS AGRIC LTDA"/>
        <s v="CAMPO FORTE COM ATACADISTA DE DEFENS AGRIC LTDA"/>
        <s v="L F DE FREITAS ME"/>
        <s v="AGROSOIL COM E REPRES DE PROD AGRIC LTDA"/>
        <s v="AGROSOIL COM E REPRES PROD AGRIC LTDA ME"/>
        <s v="FERTIBAHIA COM DE PRODS AGROPEC LTDA"/>
      </sharedItems>
    </cacheField>
    <cacheField name="No.Docto." numFmtId="0">
      <sharedItems containsSemiMixedTypes="0" containsString="0" containsNumber="1" containsInteger="1" minValue="14047" maxValue="17965"/>
    </cacheField>
    <cacheField name="No. NF" numFmtId="0">
      <sharedItems containsSemiMixedTypes="0" containsString="0" containsNumber="1" containsInteger="1" minValue="22777" maxValue="26980"/>
    </cacheField>
    <cacheField name="Emissão" numFmtId="14">
      <sharedItems containsSemiMixedTypes="0" containsNonDate="0" containsDate="1" containsString="0" minDate="2020-09-29T00:00:00" maxDate="2021-12-07T00:00:00"/>
    </cacheField>
    <cacheField name="Vencimento" numFmtId="14">
      <sharedItems containsSemiMixedTypes="0" containsNonDate="0" containsDate="1" containsString="0" minDate="2021-05-30T00:00:00" maxDate="2022-03-07T00:00:00"/>
    </cacheField>
    <cacheField name="Valor R$" numFmtId="0">
      <sharedItems containsSemiMixedTypes="0" containsString="0" containsNumber="1" minValue="380" maxValue="83900"/>
    </cacheField>
    <cacheField name="Dias Atraso" numFmtId="0">
      <sharedItems containsSemiMixedTypes="0" containsString="0" containsNumber="1" containsInteger="1" minValue="4" maxValue="28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s v="CL08753"/>
    <x v="0"/>
    <n v="14107"/>
    <n v="22838"/>
    <d v="2020-10-02T00:00:00"/>
    <d v="2021-10-30T00:00:00"/>
    <n v="32978.26"/>
    <n v="131"/>
    <s v="NOTA FISCAL Nº 22838"/>
    <s v="ALBERONE NEVES"/>
  </r>
  <r>
    <s v="CL09174"/>
    <x v="1"/>
    <n v="14047"/>
    <n v="22777"/>
    <d v="2020-09-29T00:00:00"/>
    <d v="2021-05-30T00:00:00"/>
    <n v="32185.4"/>
    <n v="284"/>
    <s v="NOTA FISCAL Nº 22777"/>
    <s v="ANDERSON REZZADORI"/>
  </r>
  <r>
    <s v="CL09033"/>
    <x v="2"/>
    <n v="17738"/>
    <n v="26731"/>
    <d v="2021-11-11T00:00:00"/>
    <d v="2022-02-09T00:00:00"/>
    <n v="2691.02"/>
    <n v="29"/>
    <s v="NOTA FISCAL Nº 26731"/>
    <s v="LUCAS SOARES FERREIRA"/>
  </r>
  <r>
    <s v="CL08753"/>
    <x v="0"/>
    <n v="17629"/>
    <n v="26631"/>
    <d v="2021-11-05T00:00:00"/>
    <d v="2021-11-05T00:00:00"/>
    <n v="2760"/>
    <n v="125"/>
    <s v="NOTA FISCAL Nº 26631"/>
    <s v="ALBERONE NEVES"/>
  </r>
  <r>
    <s v="CL09247"/>
    <x v="3"/>
    <n v="17617"/>
    <n v="26619"/>
    <d v="2021-11-05T00:00:00"/>
    <d v="2022-03-05T00:00:00"/>
    <n v="12660.02"/>
    <n v="5"/>
    <s v="NOTA FISCAL Nº 26619"/>
    <s v="FERNANDO GONCALVES"/>
  </r>
  <r>
    <s v="CL08586"/>
    <x v="4"/>
    <n v="17965"/>
    <n v="26980"/>
    <d v="2021-12-06T00:00:00"/>
    <d v="2022-03-06T00:00:00"/>
    <n v="21022.5"/>
    <n v="4"/>
    <s v="NOTA FISCAL Nº 26980"/>
    <s v="MARCOS ROBERTO PEREIRA"/>
  </r>
  <r>
    <s v="CL09062"/>
    <x v="5"/>
    <n v="16389"/>
    <n v="25338"/>
    <d v="2021-07-30T00:00:00"/>
    <d v="2021-12-27T00:00:00"/>
    <n v="23424.06"/>
    <n v="73"/>
    <s v="NOTA FISCAL Nº 25338"/>
    <s v="ERICK ALEXANDRE DE OLIVEIRA"/>
  </r>
  <r>
    <s v="CL09033"/>
    <x v="2"/>
    <n v="16577"/>
    <n v="25541"/>
    <d v="2021-08-18T00:00:00"/>
    <d v="2022-02-14T00:00:00"/>
    <n v="12313.01"/>
    <n v="24"/>
    <s v="NOTA FISCAL Nº 25541"/>
    <s v="LUCAS SOARES FERREIRA"/>
  </r>
  <r>
    <s v="CL09174"/>
    <x v="1"/>
    <n v="14573"/>
    <n v="23329"/>
    <d v="2020-11-23T00:00:00"/>
    <d v="2021-06-30T00:00:00"/>
    <n v="83900"/>
    <n v="253"/>
    <s v="NOTA FISCAL Nº 23329"/>
    <s v="ANDERSON REZZADORI"/>
  </r>
  <r>
    <s v="CL09033"/>
    <x v="2"/>
    <n v="16814"/>
    <n v="25786"/>
    <d v="2021-09-15T00:00:00"/>
    <d v="2022-02-12T00:00:00"/>
    <n v="44674"/>
    <n v="26"/>
    <s v="NOTA FISCAL Nº 25786"/>
    <s v="LUCAS SOARES FERREIRA"/>
  </r>
  <r>
    <s v="CL09033"/>
    <x v="2"/>
    <n v="17737"/>
    <n v="26730"/>
    <d v="2021-11-11T00:00:00"/>
    <d v="2022-02-09T00:00:00"/>
    <n v="380"/>
    <n v="29"/>
    <s v="NOTA FISCAL Nº 26730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3"/>
        <item x="4"/>
        <item x="1"/>
        <item x="5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outline="0" axis="axisValues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934"/>
  <sheetViews>
    <sheetView showGridLines="0" zoomScale="80" zoomScaleNormal="80" workbookViewId="0">
      <selection activeCell="B1632" sqref="B1632"/>
    </sheetView>
  </sheetViews>
  <sheetFormatPr defaultColWidth="9.5703125" defaultRowHeight="15" x14ac:dyDescent="0.25"/>
  <cols>
    <col min="1" max="1" width="13.7109375" bestFit="1" customWidth="1"/>
    <col min="2" max="2" width="76.42578125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43.85546875" bestFit="1" customWidth="1"/>
    <col min="10" max="10" width="32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1" t="s">
        <v>321</v>
      </c>
      <c r="B2" s="1" t="s">
        <v>322</v>
      </c>
      <c r="C2" s="1">
        <v>17738</v>
      </c>
      <c r="D2" s="1">
        <v>26731</v>
      </c>
      <c r="E2" s="2">
        <v>44511</v>
      </c>
      <c r="F2" s="2">
        <v>44631</v>
      </c>
      <c r="G2" s="3">
        <v>12611.65</v>
      </c>
      <c r="H2" s="1">
        <v>0</v>
      </c>
      <c r="I2" s="1" t="s">
        <v>323</v>
      </c>
      <c r="J2" s="1" t="s">
        <v>27</v>
      </c>
    </row>
    <row r="3" spans="1:10" hidden="1" x14ac:dyDescent="0.25">
      <c r="A3" s="1" t="s">
        <v>321</v>
      </c>
      <c r="B3" s="1" t="s">
        <v>322</v>
      </c>
      <c r="C3" s="1">
        <v>17740</v>
      </c>
      <c r="D3" s="1">
        <v>26733</v>
      </c>
      <c r="E3" s="2">
        <v>44511</v>
      </c>
      <c r="F3" s="2">
        <v>44631</v>
      </c>
      <c r="G3" s="3">
        <v>1268</v>
      </c>
      <c r="H3" s="1">
        <v>0</v>
      </c>
      <c r="I3" s="1" t="s">
        <v>324</v>
      </c>
      <c r="J3" s="1" t="s">
        <v>27</v>
      </c>
    </row>
    <row r="4" spans="1:10" hidden="1" x14ac:dyDescent="0.25">
      <c r="A4" s="1" t="s">
        <v>180</v>
      </c>
      <c r="B4" s="1" t="s">
        <v>181</v>
      </c>
      <c r="C4" s="1">
        <v>16552</v>
      </c>
      <c r="D4" s="1">
        <v>25510</v>
      </c>
      <c r="E4" s="2">
        <v>44421</v>
      </c>
      <c r="F4" s="2">
        <v>44631</v>
      </c>
      <c r="G4" s="3">
        <v>159928</v>
      </c>
      <c r="H4" s="1">
        <v>0</v>
      </c>
      <c r="I4" s="1" t="s">
        <v>337</v>
      </c>
      <c r="J4" s="1" t="s">
        <v>88</v>
      </c>
    </row>
    <row r="5" spans="1:10" hidden="1" x14ac:dyDescent="0.25">
      <c r="A5" s="1" t="s">
        <v>15</v>
      </c>
      <c r="B5" s="1" t="s">
        <v>16</v>
      </c>
      <c r="C5" s="1">
        <v>14107</v>
      </c>
      <c r="D5" s="1">
        <v>22838</v>
      </c>
      <c r="E5" s="2">
        <v>44106</v>
      </c>
      <c r="F5" s="2">
        <v>44499</v>
      </c>
      <c r="G5" s="3">
        <v>32978.26</v>
      </c>
      <c r="H5" s="1">
        <v>131</v>
      </c>
      <c r="I5" s="1" t="s">
        <v>17</v>
      </c>
      <c r="J5" s="1" t="s">
        <v>18</v>
      </c>
    </row>
    <row r="6" spans="1:10" hidden="1" x14ac:dyDescent="0.25">
      <c r="A6" s="1" t="s">
        <v>321</v>
      </c>
      <c r="B6" s="1" t="s">
        <v>322</v>
      </c>
      <c r="C6" s="1">
        <v>17739</v>
      </c>
      <c r="D6" s="1">
        <v>26732</v>
      </c>
      <c r="E6" s="2">
        <v>44511</v>
      </c>
      <c r="F6" s="2">
        <v>44631</v>
      </c>
      <c r="G6" s="3">
        <v>3691.1</v>
      </c>
      <c r="H6" s="1">
        <v>0</v>
      </c>
      <c r="I6" s="1" t="s">
        <v>1113</v>
      </c>
      <c r="J6" s="1" t="s">
        <v>27</v>
      </c>
    </row>
    <row r="7" spans="1:10" hidden="1" x14ac:dyDescent="0.25">
      <c r="A7" s="1" t="s">
        <v>180</v>
      </c>
      <c r="B7" s="1" t="s">
        <v>181</v>
      </c>
      <c r="C7" s="1">
        <v>16555</v>
      </c>
      <c r="D7" s="1">
        <v>25513</v>
      </c>
      <c r="E7" s="2">
        <v>44421</v>
      </c>
      <c r="F7" s="2">
        <v>44631</v>
      </c>
      <c r="G7" s="3">
        <v>33000</v>
      </c>
      <c r="H7" s="1">
        <v>0</v>
      </c>
      <c r="I7" s="1" t="s">
        <v>1379</v>
      </c>
      <c r="J7" s="1" t="s">
        <v>88</v>
      </c>
    </row>
    <row r="8" spans="1:10" hidden="1" x14ac:dyDescent="0.25">
      <c r="A8" s="1" t="s">
        <v>20</v>
      </c>
      <c r="B8" s="1" t="s">
        <v>21</v>
      </c>
      <c r="C8" s="1">
        <v>17229</v>
      </c>
      <c r="D8" s="1">
        <v>26228</v>
      </c>
      <c r="E8" s="2">
        <v>44481</v>
      </c>
      <c r="F8" s="2">
        <v>44631</v>
      </c>
      <c r="G8" s="3">
        <v>19792.25</v>
      </c>
      <c r="H8" s="1">
        <v>0</v>
      </c>
      <c r="I8" s="1" t="s">
        <v>1582</v>
      </c>
      <c r="J8" s="1" t="s">
        <v>23</v>
      </c>
    </row>
    <row r="9" spans="1:10" hidden="1" x14ac:dyDescent="0.25">
      <c r="A9" s="1" t="s">
        <v>321</v>
      </c>
      <c r="B9" s="1" t="s">
        <v>322</v>
      </c>
      <c r="C9" s="1">
        <v>17737</v>
      </c>
      <c r="D9" s="1">
        <v>26730</v>
      </c>
      <c r="E9" s="2">
        <v>44511</v>
      </c>
      <c r="F9" s="2">
        <v>44631</v>
      </c>
      <c r="G9" s="1">
        <v>380</v>
      </c>
      <c r="H9" s="1">
        <v>0</v>
      </c>
      <c r="I9" s="1" t="s">
        <v>1707</v>
      </c>
      <c r="J9" s="1" t="s">
        <v>27</v>
      </c>
    </row>
    <row r="10" spans="1:10" hidden="1" x14ac:dyDescent="0.25">
      <c r="A10" s="1" t="s">
        <v>277</v>
      </c>
      <c r="B10" s="1" t="s">
        <v>278</v>
      </c>
      <c r="C10" s="1">
        <v>18341</v>
      </c>
      <c r="D10" s="1">
        <v>27348</v>
      </c>
      <c r="E10" s="2">
        <v>44572</v>
      </c>
      <c r="F10" s="2">
        <v>44632</v>
      </c>
      <c r="G10" s="3">
        <v>2850</v>
      </c>
      <c r="H10" s="1">
        <v>0</v>
      </c>
      <c r="I10" s="1" t="s">
        <v>279</v>
      </c>
      <c r="J10" s="1" t="s">
        <v>13</v>
      </c>
    </row>
    <row r="11" spans="1:10" hidden="1" x14ac:dyDescent="0.25">
      <c r="A11" s="1" t="s">
        <v>304</v>
      </c>
      <c r="B11" s="1" t="s">
        <v>305</v>
      </c>
      <c r="C11" s="1">
        <v>16791</v>
      </c>
      <c r="D11" s="1">
        <v>25764</v>
      </c>
      <c r="E11" s="2">
        <v>44452</v>
      </c>
      <c r="F11" s="2">
        <v>44632</v>
      </c>
      <c r="G11" s="3">
        <v>45750.1</v>
      </c>
      <c r="H11" s="1">
        <v>0</v>
      </c>
      <c r="I11" s="1" t="s">
        <v>306</v>
      </c>
      <c r="J11" s="1" t="s">
        <v>27</v>
      </c>
    </row>
    <row r="12" spans="1:10" hidden="1" x14ac:dyDescent="0.25">
      <c r="A12" s="1" t="s">
        <v>277</v>
      </c>
      <c r="B12" s="1" t="s">
        <v>278</v>
      </c>
      <c r="C12" s="1">
        <v>18340</v>
      </c>
      <c r="D12" s="1">
        <v>27347</v>
      </c>
      <c r="E12" s="2">
        <v>44572</v>
      </c>
      <c r="F12" s="2">
        <v>44632</v>
      </c>
      <c r="G12" s="3">
        <v>2422.5</v>
      </c>
      <c r="H12" s="1">
        <v>0</v>
      </c>
      <c r="I12" s="1" t="s">
        <v>319</v>
      </c>
      <c r="J12" s="1" t="s">
        <v>13</v>
      </c>
    </row>
    <row r="13" spans="1:10" hidden="1" x14ac:dyDescent="0.25">
      <c r="A13" s="1" t="s">
        <v>277</v>
      </c>
      <c r="B13" s="1" t="s">
        <v>278</v>
      </c>
      <c r="C13" s="1">
        <v>18342</v>
      </c>
      <c r="D13" s="1">
        <v>27349</v>
      </c>
      <c r="E13" s="2">
        <v>44572</v>
      </c>
      <c r="F13" s="2">
        <v>44632</v>
      </c>
      <c r="G13" s="3">
        <v>33450</v>
      </c>
      <c r="H13" s="1">
        <v>0</v>
      </c>
      <c r="I13" s="1" t="s">
        <v>369</v>
      </c>
      <c r="J13" s="1" t="s">
        <v>13</v>
      </c>
    </row>
    <row r="14" spans="1:10" hidden="1" x14ac:dyDescent="0.25">
      <c r="A14" s="1" t="s">
        <v>277</v>
      </c>
      <c r="B14" s="1" t="s">
        <v>278</v>
      </c>
      <c r="C14" s="1">
        <v>17753</v>
      </c>
      <c r="D14" s="1">
        <v>26752</v>
      </c>
      <c r="E14" s="2">
        <v>44512</v>
      </c>
      <c r="F14" s="2">
        <v>44632</v>
      </c>
      <c r="G14" s="3">
        <v>25830</v>
      </c>
      <c r="H14" s="1">
        <v>0</v>
      </c>
      <c r="I14" s="1" t="s">
        <v>396</v>
      </c>
      <c r="J14" s="1" t="s">
        <v>13</v>
      </c>
    </row>
    <row r="15" spans="1:10" hidden="1" x14ac:dyDescent="0.25">
      <c r="A15" s="1" t="s">
        <v>684</v>
      </c>
      <c r="B15" s="1" t="s">
        <v>685</v>
      </c>
      <c r="C15" s="1">
        <v>16795</v>
      </c>
      <c r="D15" s="1">
        <v>25768</v>
      </c>
      <c r="E15" s="2">
        <v>44452</v>
      </c>
      <c r="F15" s="2">
        <v>44632</v>
      </c>
      <c r="G15" s="3">
        <v>48000</v>
      </c>
      <c r="H15" s="1">
        <v>0</v>
      </c>
      <c r="I15" s="1" t="s">
        <v>686</v>
      </c>
      <c r="J15" s="1" t="s">
        <v>77</v>
      </c>
    </row>
    <row r="16" spans="1:10" hidden="1" x14ac:dyDescent="0.25">
      <c r="A16" s="1" t="s">
        <v>24</v>
      </c>
      <c r="B16" s="1" t="s">
        <v>25</v>
      </c>
      <c r="C16" s="1">
        <v>17251</v>
      </c>
      <c r="D16" s="1">
        <v>26247</v>
      </c>
      <c r="E16" s="2">
        <v>44482</v>
      </c>
      <c r="F16" s="2">
        <v>44632</v>
      </c>
      <c r="G16" s="3">
        <v>30000</v>
      </c>
      <c r="H16" s="1">
        <v>0</v>
      </c>
      <c r="I16" s="1" t="s">
        <v>904</v>
      </c>
      <c r="J16" s="1" t="s">
        <v>27</v>
      </c>
    </row>
    <row r="17" spans="1:10" hidden="1" x14ac:dyDescent="0.25">
      <c r="A17" s="1" t="s">
        <v>140</v>
      </c>
      <c r="B17" s="1" t="s">
        <v>141</v>
      </c>
      <c r="C17" s="1">
        <v>18710</v>
      </c>
      <c r="D17" s="1">
        <v>27724</v>
      </c>
      <c r="E17" s="2">
        <v>44603</v>
      </c>
      <c r="F17" s="2">
        <v>44633</v>
      </c>
      <c r="G17" s="3">
        <v>39339.96</v>
      </c>
      <c r="H17" s="1">
        <v>0</v>
      </c>
      <c r="I17" s="1" t="s">
        <v>1374</v>
      </c>
      <c r="J17" s="1" t="s">
        <v>73</v>
      </c>
    </row>
    <row r="18" spans="1:10" hidden="1" x14ac:dyDescent="0.25">
      <c r="A18" s="1" t="s">
        <v>528</v>
      </c>
      <c r="B18" s="1" t="s">
        <v>529</v>
      </c>
      <c r="C18" s="1">
        <v>17297</v>
      </c>
      <c r="D18" s="1">
        <v>26295</v>
      </c>
      <c r="E18" s="2">
        <v>44484</v>
      </c>
      <c r="F18" s="2">
        <v>44634</v>
      </c>
      <c r="G18" s="3">
        <v>8072</v>
      </c>
      <c r="H18" s="1">
        <v>0</v>
      </c>
      <c r="I18" s="1" t="s">
        <v>530</v>
      </c>
      <c r="J18" s="1" t="s">
        <v>58</v>
      </c>
    </row>
    <row r="19" spans="1:10" hidden="1" x14ac:dyDescent="0.25">
      <c r="A19" s="1" t="s">
        <v>535</v>
      </c>
      <c r="B19" s="1" t="s">
        <v>536</v>
      </c>
      <c r="C19" s="1">
        <v>18099</v>
      </c>
      <c r="D19" s="1">
        <v>27111</v>
      </c>
      <c r="E19" s="2">
        <v>44544</v>
      </c>
      <c r="F19" s="2">
        <v>44634</v>
      </c>
      <c r="G19" s="1">
        <v>840</v>
      </c>
      <c r="H19" s="1">
        <v>0</v>
      </c>
      <c r="I19" s="1" t="s">
        <v>699</v>
      </c>
      <c r="J19" s="1" t="s">
        <v>58</v>
      </c>
    </row>
    <row r="20" spans="1:10" hidden="1" x14ac:dyDescent="0.25">
      <c r="A20" s="1" t="s">
        <v>535</v>
      </c>
      <c r="B20" s="1" t="s">
        <v>536</v>
      </c>
      <c r="C20" s="1">
        <v>18098</v>
      </c>
      <c r="D20" s="1">
        <v>27110</v>
      </c>
      <c r="E20" s="2">
        <v>44544</v>
      </c>
      <c r="F20" s="2">
        <v>44634</v>
      </c>
      <c r="G20" s="1">
        <v>770</v>
      </c>
      <c r="H20" s="1">
        <v>0</v>
      </c>
      <c r="I20" s="1" t="s">
        <v>871</v>
      </c>
      <c r="J20" s="1" t="s">
        <v>58</v>
      </c>
    </row>
    <row r="21" spans="1:10" hidden="1" x14ac:dyDescent="0.25">
      <c r="A21" s="1" t="s">
        <v>321</v>
      </c>
      <c r="B21" s="1" t="s">
        <v>322</v>
      </c>
      <c r="C21" s="1">
        <v>16814</v>
      </c>
      <c r="D21" s="1">
        <v>25786</v>
      </c>
      <c r="E21" s="2">
        <v>44454</v>
      </c>
      <c r="F21" s="2">
        <v>44634</v>
      </c>
      <c r="G21" s="3">
        <v>44674</v>
      </c>
      <c r="H21" s="1">
        <v>0</v>
      </c>
      <c r="I21" s="1" t="s">
        <v>1657</v>
      </c>
      <c r="J21" s="1" t="s">
        <v>27</v>
      </c>
    </row>
    <row r="22" spans="1:10" hidden="1" x14ac:dyDescent="0.25">
      <c r="A22" s="1" t="s">
        <v>188</v>
      </c>
      <c r="B22" s="1" t="s">
        <v>189</v>
      </c>
      <c r="C22" s="1">
        <v>18413</v>
      </c>
      <c r="D22" s="1">
        <v>27416</v>
      </c>
      <c r="E22" s="2">
        <v>44575</v>
      </c>
      <c r="F22" s="2">
        <v>44635</v>
      </c>
      <c r="G22" s="3">
        <v>6999.99</v>
      </c>
      <c r="H22" s="1">
        <v>0</v>
      </c>
      <c r="I22" s="1" t="s">
        <v>190</v>
      </c>
      <c r="J22" s="1" t="s">
        <v>58</v>
      </c>
    </row>
    <row r="23" spans="1:10" hidden="1" x14ac:dyDescent="0.25">
      <c r="A23" s="1" t="s">
        <v>10</v>
      </c>
      <c r="B23" s="1" t="s">
        <v>11</v>
      </c>
      <c r="C23" s="1">
        <v>16572</v>
      </c>
      <c r="D23" s="1">
        <v>25536</v>
      </c>
      <c r="E23" s="2">
        <v>44425</v>
      </c>
      <c r="F23" s="2">
        <v>44635</v>
      </c>
      <c r="G23" s="3">
        <v>9850.14</v>
      </c>
      <c r="H23" s="1">
        <v>0</v>
      </c>
      <c r="I23" s="1" t="s">
        <v>224</v>
      </c>
      <c r="J23" s="1" t="s">
        <v>13</v>
      </c>
    </row>
    <row r="24" spans="1:10" hidden="1" x14ac:dyDescent="0.25">
      <c r="A24" s="1" t="s">
        <v>78</v>
      </c>
      <c r="B24" s="1" t="s">
        <v>79</v>
      </c>
      <c r="C24" s="1">
        <v>18397</v>
      </c>
      <c r="D24" s="1">
        <v>27405</v>
      </c>
      <c r="E24" s="2">
        <v>44575</v>
      </c>
      <c r="F24" s="2">
        <v>44635</v>
      </c>
      <c r="G24" s="3">
        <v>113104.04</v>
      </c>
      <c r="H24" s="1">
        <v>0</v>
      </c>
      <c r="I24" s="1" t="s">
        <v>618</v>
      </c>
      <c r="J24" s="1" t="s">
        <v>68</v>
      </c>
    </row>
    <row r="25" spans="1:10" hidden="1" x14ac:dyDescent="0.25">
      <c r="A25" s="1" t="s">
        <v>10</v>
      </c>
      <c r="B25" s="1" t="s">
        <v>11</v>
      </c>
      <c r="C25" s="1">
        <v>16854</v>
      </c>
      <c r="D25" s="1">
        <v>25827</v>
      </c>
      <c r="E25" s="2">
        <v>44455</v>
      </c>
      <c r="F25" s="2">
        <v>44635</v>
      </c>
      <c r="G25" s="3">
        <v>6047.99</v>
      </c>
      <c r="H25" s="1">
        <v>0</v>
      </c>
      <c r="I25" s="1" t="s">
        <v>658</v>
      </c>
      <c r="J25" s="1" t="s">
        <v>13</v>
      </c>
    </row>
    <row r="26" spans="1:10" hidden="1" x14ac:dyDescent="0.25">
      <c r="A26" s="1" t="s">
        <v>173</v>
      </c>
      <c r="B26" s="1" t="s">
        <v>174</v>
      </c>
      <c r="C26" s="1">
        <v>16330</v>
      </c>
      <c r="D26" s="1">
        <v>25256</v>
      </c>
      <c r="E26" s="2">
        <v>44396</v>
      </c>
      <c r="F26" s="2">
        <v>44635</v>
      </c>
      <c r="G26" s="3">
        <v>201000</v>
      </c>
      <c r="H26" s="1">
        <v>0</v>
      </c>
      <c r="I26" s="1" t="s">
        <v>1033</v>
      </c>
      <c r="J26" s="1" t="s">
        <v>68</v>
      </c>
    </row>
    <row r="27" spans="1:10" hidden="1" x14ac:dyDescent="0.25">
      <c r="A27" s="1" t="s">
        <v>78</v>
      </c>
      <c r="B27" s="1" t="s">
        <v>79</v>
      </c>
      <c r="C27" s="1">
        <v>18394</v>
      </c>
      <c r="D27" s="1">
        <v>27402</v>
      </c>
      <c r="E27" s="2">
        <v>44575</v>
      </c>
      <c r="F27" s="2">
        <v>44635</v>
      </c>
      <c r="G27" s="3">
        <v>130917.37</v>
      </c>
      <c r="H27" s="1">
        <v>0</v>
      </c>
      <c r="I27" s="1" t="s">
        <v>1264</v>
      </c>
      <c r="J27" s="1" t="s">
        <v>68</v>
      </c>
    </row>
    <row r="28" spans="1:10" hidden="1" x14ac:dyDescent="0.25">
      <c r="A28" s="1" t="s">
        <v>231</v>
      </c>
      <c r="B28" s="1" t="s">
        <v>232</v>
      </c>
      <c r="C28" s="1">
        <v>16856</v>
      </c>
      <c r="D28" s="1">
        <v>25829</v>
      </c>
      <c r="E28" s="2">
        <v>44455</v>
      </c>
      <c r="F28" s="2">
        <v>44635</v>
      </c>
      <c r="G28" s="3">
        <v>29503.4</v>
      </c>
      <c r="H28" s="1">
        <v>0</v>
      </c>
      <c r="I28" s="1" t="s">
        <v>1270</v>
      </c>
      <c r="J28" s="1" t="s">
        <v>13</v>
      </c>
    </row>
    <row r="29" spans="1:10" hidden="1" x14ac:dyDescent="0.25">
      <c r="A29" s="1" t="s">
        <v>78</v>
      </c>
      <c r="B29" s="1" t="s">
        <v>79</v>
      </c>
      <c r="C29" s="1">
        <v>18396</v>
      </c>
      <c r="D29" s="1">
        <v>27404</v>
      </c>
      <c r="E29" s="2">
        <v>44575</v>
      </c>
      <c r="F29" s="2">
        <v>44635</v>
      </c>
      <c r="G29" s="3">
        <v>134995.15</v>
      </c>
      <c r="H29" s="1">
        <v>0</v>
      </c>
      <c r="I29" s="1" t="s">
        <v>1293</v>
      </c>
      <c r="J29" s="1" t="s">
        <v>68</v>
      </c>
    </row>
    <row r="30" spans="1:10" hidden="1" x14ac:dyDescent="0.25">
      <c r="A30" s="1" t="s">
        <v>10</v>
      </c>
      <c r="B30" s="1" t="s">
        <v>11</v>
      </c>
      <c r="C30" s="1">
        <v>16853</v>
      </c>
      <c r="D30" s="1">
        <v>25826</v>
      </c>
      <c r="E30" s="2">
        <v>44455</v>
      </c>
      <c r="F30" s="2">
        <v>44635</v>
      </c>
      <c r="G30" s="3">
        <v>65733.27</v>
      </c>
      <c r="H30" s="1">
        <v>0</v>
      </c>
      <c r="I30" s="1" t="s">
        <v>1636</v>
      </c>
      <c r="J30" s="1" t="s">
        <v>13</v>
      </c>
    </row>
    <row r="31" spans="1:10" hidden="1" x14ac:dyDescent="0.25">
      <c r="A31" s="1" t="s">
        <v>78</v>
      </c>
      <c r="B31" s="1" t="s">
        <v>79</v>
      </c>
      <c r="C31" s="1">
        <v>18395</v>
      </c>
      <c r="D31" s="1">
        <v>27403</v>
      </c>
      <c r="E31" s="2">
        <v>44575</v>
      </c>
      <c r="F31" s="2">
        <v>44635</v>
      </c>
      <c r="G31" s="3">
        <v>134995.15</v>
      </c>
      <c r="H31" s="1">
        <v>0</v>
      </c>
      <c r="I31" s="1" t="s">
        <v>1680</v>
      </c>
      <c r="J31" s="1" t="s">
        <v>68</v>
      </c>
    </row>
    <row r="32" spans="1:10" hidden="1" x14ac:dyDescent="0.25">
      <c r="A32" s="1" t="s">
        <v>325</v>
      </c>
      <c r="B32" s="1" t="s">
        <v>326</v>
      </c>
      <c r="C32" s="1">
        <v>17763</v>
      </c>
      <c r="D32" s="1">
        <v>26763</v>
      </c>
      <c r="E32" s="2">
        <v>44516</v>
      </c>
      <c r="F32" s="2">
        <v>44636</v>
      </c>
      <c r="G32" s="3">
        <v>2086</v>
      </c>
      <c r="H32" s="1">
        <v>0</v>
      </c>
      <c r="I32" s="1" t="s">
        <v>327</v>
      </c>
      <c r="J32" s="1" t="s">
        <v>88</v>
      </c>
    </row>
    <row r="33" spans="1:10" hidden="1" x14ac:dyDescent="0.25">
      <c r="A33" s="1" t="s">
        <v>221</v>
      </c>
      <c r="B33" s="1" t="s">
        <v>222</v>
      </c>
      <c r="C33" s="1">
        <v>16861</v>
      </c>
      <c r="D33" s="1">
        <v>25836</v>
      </c>
      <c r="E33" s="2">
        <v>44456</v>
      </c>
      <c r="F33" s="2">
        <v>44636</v>
      </c>
      <c r="G33" s="3">
        <v>74560</v>
      </c>
      <c r="H33" s="1">
        <v>0</v>
      </c>
      <c r="I33" s="1" t="s">
        <v>526</v>
      </c>
      <c r="J33" s="1" t="s">
        <v>27</v>
      </c>
    </row>
    <row r="34" spans="1:10" hidden="1" x14ac:dyDescent="0.25">
      <c r="A34" s="1" t="s">
        <v>304</v>
      </c>
      <c r="B34" s="1" t="s">
        <v>305</v>
      </c>
      <c r="C34" s="1">
        <v>16862</v>
      </c>
      <c r="D34" s="1">
        <v>25838</v>
      </c>
      <c r="E34" s="2">
        <v>44456</v>
      </c>
      <c r="F34" s="2">
        <v>44636</v>
      </c>
      <c r="G34" s="3">
        <v>18300.04</v>
      </c>
      <c r="H34" s="1">
        <v>0</v>
      </c>
      <c r="I34" s="1" t="s">
        <v>749</v>
      </c>
      <c r="J34" s="1" t="s">
        <v>27</v>
      </c>
    </row>
    <row r="35" spans="1:10" hidden="1" x14ac:dyDescent="0.25">
      <c r="A35" s="1" t="s">
        <v>97</v>
      </c>
      <c r="B35" s="1" t="s">
        <v>98</v>
      </c>
      <c r="C35" s="1">
        <v>16860</v>
      </c>
      <c r="D35" s="1">
        <v>25835</v>
      </c>
      <c r="E35" s="2">
        <v>44456</v>
      </c>
      <c r="F35" s="2">
        <v>44636</v>
      </c>
      <c r="G35" s="3">
        <v>74560</v>
      </c>
      <c r="H35" s="1">
        <v>0</v>
      </c>
      <c r="I35" s="1" t="s">
        <v>836</v>
      </c>
      <c r="J35" s="1" t="s">
        <v>27</v>
      </c>
    </row>
    <row r="36" spans="1:10" hidden="1" x14ac:dyDescent="0.25">
      <c r="A36" s="1" t="s">
        <v>85</v>
      </c>
      <c r="B36" s="1" t="s">
        <v>86</v>
      </c>
      <c r="C36" s="1">
        <v>17786</v>
      </c>
      <c r="D36" s="1">
        <v>26790</v>
      </c>
      <c r="E36" s="2">
        <v>44517</v>
      </c>
      <c r="F36" s="2">
        <v>44637</v>
      </c>
      <c r="G36" s="3">
        <v>5272.49</v>
      </c>
      <c r="H36" s="1">
        <v>0</v>
      </c>
      <c r="I36" s="1" t="s">
        <v>87</v>
      </c>
      <c r="J36" s="1" t="s">
        <v>88</v>
      </c>
    </row>
    <row r="37" spans="1:10" hidden="1" x14ac:dyDescent="0.25">
      <c r="A37" s="1" t="s">
        <v>304</v>
      </c>
      <c r="B37" s="1" t="s">
        <v>305</v>
      </c>
      <c r="C37" s="1">
        <v>17311</v>
      </c>
      <c r="D37" s="1">
        <v>26309</v>
      </c>
      <c r="E37" s="2">
        <v>44487</v>
      </c>
      <c r="F37" s="2">
        <v>44637</v>
      </c>
      <c r="G37" s="3">
        <v>93600</v>
      </c>
      <c r="H37" s="1">
        <v>0</v>
      </c>
      <c r="I37" s="1" t="s">
        <v>1218</v>
      </c>
      <c r="J37" s="1" t="s">
        <v>27</v>
      </c>
    </row>
    <row r="38" spans="1:10" hidden="1" x14ac:dyDescent="0.25">
      <c r="A38" s="1" t="s">
        <v>1238</v>
      </c>
      <c r="B38" s="1" t="s">
        <v>1239</v>
      </c>
      <c r="C38" s="1"/>
      <c r="D38" s="1">
        <v>176646</v>
      </c>
      <c r="E38" s="2">
        <v>44547</v>
      </c>
      <c r="F38" s="2">
        <v>44637</v>
      </c>
      <c r="G38" s="3">
        <v>2400</v>
      </c>
      <c r="H38" s="1">
        <v>0</v>
      </c>
      <c r="I38" s="1" t="s">
        <v>1240</v>
      </c>
      <c r="J38" s="1" t="s">
        <v>730</v>
      </c>
    </row>
    <row r="39" spans="1:10" hidden="1" x14ac:dyDescent="0.25">
      <c r="A39" s="1" t="s">
        <v>97</v>
      </c>
      <c r="B39" s="1" t="s">
        <v>98</v>
      </c>
      <c r="C39" s="1">
        <v>18132</v>
      </c>
      <c r="D39" s="1">
        <v>27146</v>
      </c>
      <c r="E39" s="2">
        <v>44547</v>
      </c>
      <c r="F39" s="2">
        <v>44637</v>
      </c>
      <c r="G39" s="3">
        <v>29250</v>
      </c>
      <c r="H39" s="1">
        <v>0</v>
      </c>
      <c r="I39" s="1" t="s">
        <v>1259</v>
      </c>
      <c r="J39" s="1" t="s">
        <v>27</v>
      </c>
    </row>
    <row r="40" spans="1:10" hidden="1" x14ac:dyDescent="0.25">
      <c r="A40" s="1" t="s">
        <v>24</v>
      </c>
      <c r="B40" s="1" t="s">
        <v>25</v>
      </c>
      <c r="C40" s="1">
        <v>17309</v>
      </c>
      <c r="D40" s="1">
        <v>26307</v>
      </c>
      <c r="E40" s="2">
        <v>44487</v>
      </c>
      <c r="F40" s="2">
        <v>44637</v>
      </c>
      <c r="G40" s="3">
        <v>30000</v>
      </c>
      <c r="H40" s="1">
        <v>0</v>
      </c>
      <c r="I40" s="1" t="s">
        <v>1302</v>
      </c>
      <c r="J40" s="1" t="s">
        <v>27</v>
      </c>
    </row>
    <row r="41" spans="1:10" hidden="1" x14ac:dyDescent="0.25">
      <c r="A41" s="1" t="s">
        <v>338</v>
      </c>
      <c r="B41" s="1" t="s">
        <v>305</v>
      </c>
      <c r="C41" s="1">
        <v>17310</v>
      </c>
      <c r="D41" s="1">
        <v>26308</v>
      </c>
      <c r="E41" s="2">
        <v>44487</v>
      </c>
      <c r="F41" s="2">
        <v>44637</v>
      </c>
      <c r="G41" s="3">
        <v>52650</v>
      </c>
      <c r="H41" s="1">
        <v>0</v>
      </c>
      <c r="I41" s="1" t="s">
        <v>1423</v>
      </c>
      <c r="J41" s="1" t="s">
        <v>27</v>
      </c>
    </row>
    <row r="42" spans="1:10" hidden="1" x14ac:dyDescent="0.25">
      <c r="A42" s="1" t="s">
        <v>70</v>
      </c>
      <c r="B42" s="1" t="s">
        <v>71</v>
      </c>
      <c r="C42" s="1">
        <v>17794</v>
      </c>
      <c r="D42" s="1">
        <v>26796</v>
      </c>
      <c r="E42" s="2">
        <v>44518</v>
      </c>
      <c r="F42" s="2">
        <v>44638</v>
      </c>
      <c r="G42" s="3">
        <v>6199.99</v>
      </c>
      <c r="H42" s="1">
        <v>0</v>
      </c>
      <c r="I42" s="1" t="s">
        <v>218</v>
      </c>
      <c r="J42" s="1" t="s">
        <v>73</v>
      </c>
    </row>
    <row r="43" spans="1:10" hidden="1" x14ac:dyDescent="0.25">
      <c r="A43" s="1" t="s">
        <v>70</v>
      </c>
      <c r="B43" s="1" t="s">
        <v>71</v>
      </c>
      <c r="C43" s="1">
        <v>17793</v>
      </c>
      <c r="D43" s="1">
        <v>26795</v>
      </c>
      <c r="E43" s="2">
        <v>44518</v>
      </c>
      <c r="F43" s="2">
        <v>44638</v>
      </c>
      <c r="G43" s="3">
        <v>10333.32</v>
      </c>
      <c r="H43" s="1">
        <v>0</v>
      </c>
      <c r="I43" s="1" t="s">
        <v>300</v>
      </c>
      <c r="J43" s="1" t="s">
        <v>73</v>
      </c>
    </row>
    <row r="44" spans="1:10" hidden="1" x14ac:dyDescent="0.25">
      <c r="A44" s="1" t="s">
        <v>70</v>
      </c>
      <c r="B44" s="1" t="s">
        <v>71</v>
      </c>
      <c r="C44" s="1">
        <v>17572</v>
      </c>
      <c r="D44" s="1">
        <v>26579</v>
      </c>
      <c r="E44" s="2">
        <v>44503</v>
      </c>
      <c r="F44" s="2">
        <v>44638</v>
      </c>
      <c r="G44" s="3">
        <v>6199.99</v>
      </c>
      <c r="H44" s="1">
        <v>0</v>
      </c>
      <c r="I44" s="1" t="s">
        <v>358</v>
      </c>
      <c r="J44" s="1" t="s">
        <v>73</v>
      </c>
    </row>
    <row r="45" spans="1:10" hidden="1" x14ac:dyDescent="0.25">
      <c r="A45" s="1" t="s">
        <v>221</v>
      </c>
      <c r="B45" s="1" t="s">
        <v>222</v>
      </c>
      <c r="C45" s="1">
        <v>17331</v>
      </c>
      <c r="D45" s="1">
        <v>26335</v>
      </c>
      <c r="E45" s="2">
        <v>44488</v>
      </c>
      <c r="F45" s="2">
        <v>44638</v>
      </c>
      <c r="G45" s="3">
        <v>37800</v>
      </c>
      <c r="H45" s="1">
        <v>0</v>
      </c>
      <c r="I45" s="1" t="s">
        <v>531</v>
      </c>
      <c r="J45" s="1" t="s">
        <v>27</v>
      </c>
    </row>
    <row r="46" spans="1:10" hidden="1" x14ac:dyDescent="0.25">
      <c r="A46" s="1" t="s">
        <v>10</v>
      </c>
      <c r="B46" s="1" t="s">
        <v>11</v>
      </c>
      <c r="C46" s="1">
        <v>16606</v>
      </c>
      <c r="D46" s="1">
        <v>25569</v>
      </c>
      <c r="E46" s="2">
        <v>44428</v>
      </c>
      <c r="F46" s="2">
        <v>44638</v>
      </c>
      <c r="G46" s="3">
        <v>72500.14</v>
      </c>
      <c r="H46" s="1">
        <v>0</v>
      </c>
      <c r="I46" s="1" t="s">
        <v>582</v>
      </c>
      <c r="J46" s="1" t="s">
        <v>13</v>
      </c>
    </row>
    <row r="47" spans="1:10" hidden="1" x14ac:dyDescent="0.25">
      <c r="A47" s="1" t="s">
        <v>70</v>
      </c>
      <c r="B47" s="1" t="s">
        <v>71</v>
      </c>
      <c r="C47" s="1">
        <v>17334</v>
      </c>
      <c r="D47" s="1">
        <v>26339</v>
      </c>
      <c r="E47" s="2">
        <v>44488</v>
      </c>
      <c r="F47" s="2">
        <v>44638</v>
      </c>
      <c r="G47" s="3">
        <v>2657.33</v>
      </c>
      <c r="H47" s="1">
        <v>0</v>
      </c>
      <c r="I47" s="1" t="s">
        <v>645</v>
      </c>
      <c r="J47" s="1" t="s">
        <v>73</v>
      </c>
    </row>
    <row r="48" spans="1:10" hidden="1" x14ac:dyDescent="0.25">
      <c r="A48" s="1" t="s">
        <v>70</v>
      </c>
      <c r="B48" s="1" t="s">
        <v>71</v>
      </c>
      <c r="C48" s="1">
        <v>17338</v>
      </c>
      <c r="D48" s="1">
        <v>26342</v>
      </c>
      <c r="E48" s="2">
        <v>44488</v>
      </c>
      <c r="F48" s="2">
        <v>44638</v>
      </c>
      <c r="G48" s="3">
        <v>25303.86</v>
      </c>
      <c r="H48" s="1">
        <v>0</v>
      </c>
      <c r="I48" s="1" t="s">
        <v>689</v>
      </c>
      <c r="J48" s="1" t="s">
        <v>73</v>
      </c>
    </row>
    <row r="49" spans="1:10" hidden="1" x14ac:dyDescent="0.25">
      <c r="A49" s="1" t="s">
        <v>24</v>
      </c>
      <c r="B49" s="1" t="s">
        <v>25</v>
      </c>
      <c r="C49" s="1">
        <v>17330</v>
      </c>
      <c r="D49" s="1">
        <v>26334</v>
      </c>
      <c r="E49" s="2">
        <v>44488</v>
      </c>
      <c r="F49" s="2">
        <v>44638</v>
      </c>
      <c r="G49" s="3">
        <v>37800</v>
      </c>
      <c r="H49" s="1">
        <v>0</v>
      </c>
      <c r="I49" s="1" t="s">
        <v>753</v>
      </c>
      <c r="J49" s="1" t="s">
        <v>27</v>
      </c>
    </row>
    <row r="50" spans="1:10" hidden="1" x14ac:dyDescent="0.25">
      <c r="A50" s="1" t="s">
        <v>221</v>
      </c>
      <c r="B50" s="1" t="s">
        <v>222</v>
      </c>
      <c r="C50" s="1">
        <v>17348</v>
      </c>
      <c r="D50" s="1">
        <v>26352</v>
      </c>
      <c r="E50" s="2">
        <v>44488</v>
      </c>
      <c r="F50" s="2">
        <v>44638</v>
      </c>
      <c r="G50" s="3">
        <v>37800</v>
      </c>
      <c r="H50" s="1">
        <v>0</v>
      </c>
      <c r="I50" s="1" t="s">
        <v>754</v>
      </c>
      <c r="J50" s="1" t="s">
        <v>27</v>
      </c>
    </row>
    <row r="51" spans="1:10" hidden="1" x14ac:dyDescent="0.25">
      <c r="A51" s="1" t="s">
        <v>70</v>
      </c>
      <c r="B51" s="1" t="s">
        <v>71</v>
      </c>
      <c r="C51" s="1">
        <v>17573</v>
      </c>
      <c r="D51" s="1">
        <v>26580</v>
      </c>
      <c r="E51" s="2">
        <v>44503</v>
      </c>
      <c r="F51" s="2">
        <v>44638</v>
      </c>
      <c r="G51" s="3">
        <v>10333.32</v>
      </c>
      <c r="H51" s="1">
        <v>0</v>
      </c>
      <c r="I51" s="1" t="s">
        <v>785</v>
      </c>
      <c r="J51" s="1" t="s">
        <v>73</v>
      </c>
    </row>
    <row r="52" spans="1:10" hidden="1" x14ac:dyDescent="0.25">
      <c r="A52" s="1" t="s">
        <v>847</v>
      </c>
      <c r="B52" s="1" t="s">
        <v>848</v>
      </c>
      <c r="C52" s="1">
        <v>17340</v>
      </c>
      <c r="D52" s="1">
        <v>26344</v>
      </c>
      <c r="E52" s="2">
        <v>44488</v>
      </c>
      <c r="F52" s="2">
        <v>44638</v>
      </c>
      <c r="G52" s="3">
        <v>11978.6</v>
      </c>
      <c r="H52" s="1">
        <v>0</v>
      </c>
      <c r="I52" s="1" t="s">
        <v>892</v>
      </c>
      <c r="J52" s="1" t="s">
        <v>73</v>
      </c>
    </row>
    <row r="53" spans="1:10" hidden="1" x14ac:dyDescent="0.25">
      <c r="A53" s="1" t="s">
        <v>221</v>
      </c>
      <c r="B53" s="1" t="s">
        <v>222</v>
      </c>
      <c r="C53" s="1">
        <v>17332</v>
      </c>
      <c r="D53" s="1">
        <v>26336</v>
      </c>
      <c r="E53" s="2">
        <v>44488</v>
      </c>
      <c r="F53" s="2">
        <v>44638</v>
      </c>
      <c r="G53" s="3">
        <v>37800</v>
      </c>
      <c r="H53" s="1">
        <v>0</v>
      </c>
      <c r="I53" s="1" t="s">
        <v>895</v>
      </c>
      <c r="J53" s="1" t="s">
        <v>27</v>
      </c>
    </row>
    <row r="54" spans="1:10" hidden="1" x14ac:dyDescent="0.25">
      <c r="A54" s="1" t="s">
        <v>70</v>
      </c>
      <c r="B54" s="1" t="s">
        <v>71</v>
      </c>
      <c r="C54" s="1">
        <v>17339</v>
      </c>
      <c r="D54" s="1">
        <v>26343</v>
      </c>
      <c r="E54" s="2">
        <v>44488</v>
      </c>
      <c r="F54" s="2">
        <v>44638</v>
      </c>
      <c r="G54" s="3">
        <v>2732.44</v>
      </c>
      <c r="H54" s="1">
        <v>0</v>
      </c>
      <c r="I54" s="1" t="s">
        <v>1006</v>
      </c>
      <c r="J54" s="1" t="s">
        <v>73</v>
      </c>
    </row>
    <row r="55" spans="1:10" hidden="1" x14ac:dyDescent="0.25">
      <c r="A55" s="1" t="s">
        <v>231</v>
      </c>
      <c r="B55" s="1" t="s">
        <v>232</v>
      </c>
      <c r="C55" s="1">
        <v>17353</v>
      </c>
      <c r="D55" s="1">
        <v>26355</v>
      </c>
      <c r="E55" s="2">
        <v>44488</v>
      </c>
      <c r="F55" s="2">
        <v>44638</v>
      </c>
      <c r="G55" s="3">
        <v>2250</v>
      </c>
      <c r="H55" s="1">
        <v>0</v>
      </c>
      <c r="I55" s="1" t="s">
        <v>1188</v>
      </c>
      <c r="J55" s="1" t="s">
        <v>13</v>
      </c>
    </row>
    <row r="56" spans="1:10" hidden="1" x14ac:dyDescent="0.25">
      <c r="A56" s="1" t="s">
        <v>847</v>
      </c>
      <c r="B56" s="1" t="s">
        <v>848</v>
      </c>
      <c r="C56" s="1">
        <v>17811</v>
      </c>
      <c r="D56" s="1">
        <v>26814</v>
      </c>
      <c r="E56" s="2">
        <v>44518</v>
      </c>
      <c r="F56" s="2">
        <v>44638</v>
      </c>
      <c r="G56" s="3">
        <v>20585</v>
      </c>
      <c r="H56" s="1">
        <v>0</v>
      </c>
      <c r="I56" s="1" t="s">
        <v>1299</v>
      </c>
      <c r="J56" s="1" t="s">
        <v>73</v>
      </c>
    </row>
    <row r="57" spans="1:10" hidden="1" x14ac:dyDescent="0.25">
      <c r="A57" s="1" t="s">
        <v>70</v>
      </c>
      <c r="B57" s="1" t="s">
        <v>71</v>
      </c>
      <c r="C57" s="1">
        <v>17337</v>
      </c>
      <c r="D57" s="1">
        <v>26341</v>
      </c>
      <c r="E57" s="2">
        <v>44488</v>
      </c>
      <c r="F57" s="2">
        <v>44638</v>
      </c>
      <c r="G57" s="1">
        <v>195.56</v>
      </c>
      <c r="H57" s="1">
        <v>0</v>
      </c>
      <c r="I57" s="1" t="s">
        <v>1461</v>
      </c>
      <c r="J57" s="1" t="s">
        <v>73</v>
      </c>
    </row>
    <row r="58" spans="1:10" hidden="1" x14ac:dyDescent="0.25">
      <c r="A58" s="1" t="s">
        <v>147</v>
      </c>
      <c r="B58" s="1" t="s">
        <v>148</v>
      </c>
      <c r="C58" s="1">
        <v>17801</v>
      </c>
      <c r="D58" s="1">
        <v>26804</v>
      </c>
      <c r="E58" s="2">
        <v>44518</v>
      </c>
      <c r="F58" s="2">
        <v>44638</v>
      </c>
      <c r="G58" s="3">
        <v>128666.5</v>
      </c>
      <c r="H58" s="1">
        <v>0</v>
      </c>
      <c r="I58" s="1" t="s">
        <v>1495</v>
      </c>
      <c r="J58" s="1" t="s">
        <v>23</v>
      </c>
    </row>
    <row r="59" spans="1:10" hidden="1" x14ac:dyDescent="0.25">
      <c r="A59" s="1" t="s">
        <v>78</v>
      </c>
      <c r="B59" s="1" t="s">
        <v>79</v>
      </c>
      <c r="C59" s="1">
        <v>18446</v>
      </c>
      <c r="D59" s="1">
        <v>27446</v>
      </c>
      <c r="E59" s="2">
        <v>44579</v>
      </c>
      <c r="F59" s="2">
        <v>44639</v>
      </c>
      <c r="G59" s="3">
        <v>123836.09</v>
      </c>
      <c r="H59" s="1">
        <v>0</v>
      </c>
      <c r="I59" s="1" t="s">
        <v>234</v>
      </c>
      <c r="J59" s="1" t="s">
        <v>68</v>
      </c>
    </row>
    <row r="60" spans="1:10" hidden="1" x14ac:dyDescent="0.25">
      <c r="A60" s="1" t="s">
        <v>78</v>
      </c>
      <c r="B60" s="1" t="s">
        <v>79</v>
      </c>
      <c r="C60" s="1">
        <v>18447</v>
      </c>
      <c r="D60" s="1">
        <v>27447</v>
      </c>
      <c r="E60" s="2">
        <v>44579</v>
      </c>
      <c r="F60" s="2">
        <v>44639</v>
      </c>
      <c r="G60" s="3">
        <v>126628.8</v>
      </c>
      <c r="H60" s="1">
        <v>0</v>
      </c>
      <c r="I60" s="1" t="s">
        <v>416</v>
      </c>
      <c r="J60" s="1" t="s">
        <v>68</v>
      </c>
    </row>
    <row r="61" spans="1:10" hidden="1" x14ac:dyDescent="0.25">
      <c r="A61" s="1" t="s">
        <v>420</v>
      </c>
      <c r="B61" s="1" t="s">
        <v>421</v>
      </c>
      <c r="C61" s="1">
        <v>17822</v>
      </c>
      <c r="D61" s="1">
        <v>26825</v>
      </c>
      <c r="E61" s="2">
        <v>44519</v>
      </c>
      <c r="F61" s="2">
        <v>44639</v>
      </c>
      <c r="G61" s="3">
        <v>71918</v>
      </c>
      <c r="H61" s="1">
        <v>0</v>
      </c>
      <c r="I61" s="1" t="s">
        <v>422</v>
      </c>
      <c r="J61" s="1" t="s">
        <v>23</v>
      </c>
    </row>
    <row r="62" spans="1:10" hidden="1" x14ac:dyDescent="0.25">
      <c r="A62" s="1" t="s">
        <v>70</v>
      </c>
      <c r="B62" s="1" t="s">
        <v>71</v>
      </c>
      <c r="C62" s="1">
        <v>16878</v>
      </c>
      <c r="D62" s="1">
        <v>25863</v>
      </c>
      <c r="E62" s="2">
        <v>44459</v>
      </c>
      <c r="F62" s="2">
        <v>44639</v>
      </c>
      <c r="G62" s="1">
        <v>927.76</v>
      </c>
      <c r="H62" s="1">
        <v>0</v>
      </c>
      <c r="I62" s="1" t="s">
        <v>451</v>
      </c>
      <c r="J62" s="1" t="s">
        <v>73</v>
      </c>
    </row>
    <row r="63" spans="1:10" hidden="1" x14ac:dyDescent="0.25">
      <c r="A63" s="1" t="s">
        <v>452</v>
      </c>
      <c r="B63" s="1" t="s">
        <v>453</v>
      </c>
      <c r="C63" s="1">
        <v>16885</v>
      </c>
      <c r="D63" s="1">
        <v>25870</v>
      </c>
      <c r="E63" s="2">
        <v>44459</v>
      </c>
      <c r="F63" s="2">
        <v>44639</v>
      </c>
      <c r="G63" s="3">
        <v>19950</v>
      </c>
      <c r="H63" s="1">
        <v>0</v>
      </c>
      <c r="I63" s="1" t="s">
        <v>454</v>
      </c>
      <c r="J63" s="1" t="s">
        <v>27</v>
      </c>
    </row>
    <row r="64" spans="1:10" hidden="1" x14ac:dyDescent="0.25">
      <c r="A64" s="1" t="s">
        <v>70</v>
      </c>
      <c r="B64" s="1" t="s">
        <v>71</v>
      </c>
      <c r="C64" s="1">
        <v>16883</v>
      </c>
      <c r="D64" s="1">
        <v>25868</v>
      </c>
      <c r="E64" s="2">
        <v>44459</v>
      </c>
      <c r="F64" s="2">
        <v>44639</v>
      </c>
      <c r="G64" s="3">
        <v>4082.24</v>
      </c>
      <c r="H64" s="1">
        <v>0</v>
      </c>
      <c r="I64" s="1" t="s">
        <v>486</v>
      </c>
      <c r="J64" s="1" t="s">
        <v>73</v>
      </c>
    </row>
    <row r="65" spans="1:10" hidden="1" x14ac:dyDescent="0.25">
      <c r="A65" s="1" t="s">
        <v>10</v>
      </c>
      <c r="B65" s="1" t="s">
        <v>11</v>
      </c>
      <c r="C65" s="1">
        <v>17397</v>
      </c>
      <c r="D65" s="1">
        <v>26401</v>
      </c>
      <c r="E65" s="2">
        <v>44489</v>
      </c>
      <c r="F65" s="2">
        <v>44639</v>
      </c>
      <c r="G65" s="3">
        <v>5973.33</v>
      </c>
      <c r="H65" s="1">
        <v>0</v>
      </c>
      <c r="I65" s="1" t="s">
        <v>533</v>
      </c>
      <c r="J65" s="1" t="s">
        <v>13</v>
      </c>
    </row>
    <row r="66" spans="1:10" hidden="1" x14ac:dyDescent="0.25">
      <c r="A66" s="1" t="s">
        <v>535</v>
      </c>
      <c r="B66" s="1" t="s">
        <v>536</v>
      </c>
      <c r="C66" s="1">
        <v>18235</v>
      </c>
      <c r="D66" s="1">
        <v>27247</v>
      </c>
      <c r="E66" s="2">
        <v>44564</v>
      </c>
      <c r="F66" s="2">
        <v>44639</v>
      </c>
      <c r="G66" s="3">
        <v>37366.18</v>
      </c>
      <c r="H66" s="1">
        <v>0</v>
      </c>
      <c r="I66" s="1" t="s">
        <v>537</v>
      </c>
      <c r="J66" s="1" t="s">
        <v>58</v>
      </c>
    </row>
    <row r="67" spans="1:10" x14ac:dyDescent="0.25">
      <c r="A67" s="1" t="s">
        <v>554</v>
      </c>
      <c r="B67" s="1" t="s">
        <v>555</v>
      </c>
      <c r="C67" s="1">
        <v>16888</v>
      </c>
      <c r="D67" s="1">
        <v>25873</v>
      </c>
      <c r="E67" s="2">
        <v>44459</v>
      </c>
      <c r="F67" s="2">
        <v>44639</v>
      </c>
      <c r="G67" s="3">
        <v>17643.75</v>
      </c>
      <c r="H67" s="1">
        <v>0</v>
      </c>
      <c r="I67" s="1" t="s">
        <v>659</v>
      </c>
      <c r="J67" s="1" t="s">
        <v>27</v>
      </c>
    </row>
    <row r="68" spans="1:10" hidden="1" x14ac:dyDescent="0.25">
      <c r="A68" s="1" t="s">
        <v>24</v>
      </c>
      <c r="B68" s="1" t="s">
        <v>25</v>
      </c>
      <c r="C68" s="1">
        <v>17881</v>
      </c>
      <c r="D68" s="1">
        <v>26889</v>
      </c>
      <c r="E68" s="2">
        <v>44527</v>
      </c>
      <c r="F68" s="2">
        <v>44639</v>
      </c>
      <c r="G68" s="3">
        <v>37800</v>
      </c>
      <c r="H68" s="1">
        <v>0</v>
      </c>
      <c r="I68" s="1" t="s">
        <v>660</v>
      </c>
      <c r="J68" s="1" t="s">
        <v>27</v>
      </c>
    </row>
    <row r="69" spans="1:10" hidden="1" x14ac:dyDescent="0.25">
      <c r="A69" s="1" t="s">
        <v>97</v>
      </c>
      <c r="B69" s="1" t="s">
        <v>98</v>
      </c>
      <c r="C69" s="1">
        <v>17381</v>
      </c>
      <c r="D69" s="1">
        <v>26386</v>
      </c>
      <c r="E69" s="2">
        <v>44489</v>
      </c>
      <c r="F69" s="2">
        <v>44639</v>
      </c>
      <c r="G69" s="3">
        <v>37800</v>
      </c>
      <c r="H69" s="1">
        <v>0</v>
      </c>
      <c r="I69" s="1" t="s">
        <v>665</v>
      </c>
      <c r="J69" s="1" t="s">
        <v>27</v>
      </c>
    </row>
    <row r="70" spans="1:10" hidden="1" x14ac:dyDescent="0.25">
      <c r="A70" s="1" t="s">
        <v>78</v>
      </c>
      <c r="B70" s="1" t="s">
        <v>79</v>
      </c>
      <c r="C70" s="1">
        <v>18442</v>
      </c>
      <c r="D70" s="1">
        <v>27443</v>
      </c>
      <c r="E70" s="2">
        <v>44579</v>
      </c>
      <c r="F70" s="2">
        <v>44639</v>
      </c>
      <c r="G70" s="3">
        <v>130740.44</v>
      </c>
      <c r="H70" s="1">
        <v>0</v>
      </c>
      <c r="I70" s="1" t="s">
        <v>768</v>
      </c>
      <c r="J70" s="1" t="s">
        <v>68</v>
      </c>
    </row>
    <row r="71" spans="1:10" hidden="1" x14ac:dyDescent="0.25">
      <c r="A71" s="1" t="s">
        <v>712</v>
      </c>
      <c r="B71" s="1" t="s">
        <v>713</v>
      </c>
      <c r="C71" s="1">
        <v>18150</v>
      </c>
      <c r="D71" s="1">
        <v>27161</v>
      </c>
      <c r="E71" s="2">
        <v>44549</v>
      </c>
      <c r="F71" s="2">
        <v>44639</v>
      </c>
      <c r="G71" s="3">
        <v>5320</v>
      </c>
      <c r="H71" s="1">
        <v>0</v>
      </c>
      <c r="I71" s="1" t="s">
        <v>846</v>
      </c>
      <c r="J71" s="1" t="s">
        <v>88</v>
      </c>
    </row>
    <row r="72" spans="1:10" hidden="1" x14ac:dyDescent="0.25">
      <c r="A72" s="1" t="s">
        <v>20</v>
      </c>
      <c r="B72" s="1" t="s">
        <v>21</v>
      </c>
      <c r="C72" s="1">
        <v>16892</v>
      </c>
      <c r="D72" s="1">
        <v>25877</v>
      </c>
      <c r="E72" s="2">
        <v>44459</v>
      </c>
      <c r="F72" s="2">
        <v>44639</v>
      </c>
      <c r="G72" s="3">
        <v>4520</v>
      </c>
      <c r="H72" s="1">
        <v>0</v>
      </c>
      <c r="I72" s="1" t="s">
        <v>1075</v>
      </c>
      <c r="J72" s="1" t="s">
        <v>23</v>
      </c>
    </row>
    <row r="73" spans="1:10" hidden="1" x14ac:dyDescent="0.25">
      <c r="A73" s="1" t="s">
        <v>70</v>
      </c>
      <c r="B73" s="1" t="s">
        <v>71</v>
      </c>
      <c r="C73" s="1">
        <v>16882</v>
      </c>
      <c r="D73" s="1">
        <v>25867</v>
      </c>
      <c r="E73" s="2">
        <v>44459</v>
      </c>
      <c r="F73" s="2">
        <v>44639</v>
      </c>
      <c r="G73" s="3">
        <v>14742.56</v>
      </c>
      <c r="H73" s="1">
        <v>0</v>
      </c>
      <c r="I73" s="1" t="s">
        <v>1137</v>
      </c>
      <c r="J73" s="1" t="s">
        <v>73</v>
      </c>
    </row>
    <row r="74" spans="1:10" hidden="1" x14ac:dyDescent="0.25">
      <c r="A74" s="1" t="s">
        <v>535</v>
      </c>
      <c r="B74" s="1" t="s">
        <v>536</v>
      </c>
      <c r="C74" s="1">
        <v>17385</v>
      </c>
      <c r="D74" s="1">
        <v>26390</v>
      </c>
      <c r="E74" s="2">
        <v>44489</v>
      </c>
      <c r="F74" s="2">
        <v>44639</v>
      </c>
      <c r="G74" s="3">
        <v>13178.32</v>
      </c>
      <c r="H74" s="1">
        <v>0</v>
      </c>
      <c r="I74" s="1" t="s">
        <v>1140</v>
      </c>
      <c r="J74" s="1" t="s">
        <v>58</v>
      </c>
    </row>
    <row r="75" spans="1:10" hidden="1" x14ac:dyDescent="0.25">
      <c r="A75" s="1" t="s">
        <v>1157</v>
      </c>
      <c r="B75" s="1" t="s">
        <v>1158</v>
      </c>
      <c r="C75" s="1">
        <v>18154</v>
      </c>
      <c r="D75" s="1">
        <v>27164</v>
      </c>
      <c r="E75" s="2">
        <v>44549</v>
      </c>
      <c r="F75" s="2">
        <v>44639</v>
      </c>
      <c r="G75" s="3">
        <v>18438.75</v>
      </c>
      <c r="H75" s="1">
        <v>0</v>
      </c>
      <c r="I75" s="1" t="s">
        <v>1159</v>
      </c>
      <c r="J75" s="1" t="s">
        <v>88</v>
      </c>
    </row>
    <row r="76" spans="1:10" hidden="1" x14ac:dyDescent="0.25">
      <c r="A76" s="1" t="s">
        <v>70</v>
      </c>
      <c r="B76" s="1" t="s">
        <v>71</v>
      </c>
      <c r="C76" s="1">
        <v>16877</v>
      </c>
      <c r="D76" s="1">
        <v>25862</v>
      </c>
      <c r="E76" s="2">
        <v>44459</v>
      </c>
      <c r="F76" s="2">
        <v>44639</v>
      </c>
      <c r="G76" s="3">
        <v>10888.96</v>
      </c>
      <c r="H76" s="1">
        <v>0</v>
      </c>
      <c r="I76" s="1" t="s">
        <v>1169</v>
      </c>
      <c r="J76" s="1" t="s">
        <v>73</v>
      </c>
    </row>
    <row r="77" spans="1:10" hidden="1" x14ac:dyDescent="0.25">
      <c r="A77" s="1" t="s">
        <v>97</v>
      </c>
      <c r="B77" s="1" t="s">
        <v>98</v>
      </c>
      <c r="C77" s="1">
        <v>17883</v>
      </c>
      <c r="D77" s="1">
        <v>26891</v>
      </c>
      <c r="E77" s="2">
        <v>44527</v>
      </c>
      <c r="F77" s="2">
        <v>44639</v>
      </c>
      <c r="G77" s="3">
        <v>37800</v>
      </c>
      <c r="H77" s="1">
        <v>0</v>
      </c>
      <c r="I77" s="1" t="s">
        <v>1252</v>
      </c>
      <c r="J77" s="1" t="s">
        <v>27</v>
      </c>
    </row>
    <row r="78" spans="1:10" hidden="1" x14ac:dyDescent="0.25">
      <c r="A78" s="1" t="s">
        <v>1332</v>
      </c>
      <c r="B78" s="1" t="s">
        <v>1333</v>
      </c>
      <c r="C78" s="1">
        <v>18439</v>
      </c>
      <c r="D78" s="1">
        <v>27440</v>
      </c>
      <c r="E78" s="2">
        <v>44579</v>
      </c>
      <c r="F78" s="2">
        <v>44639</v>
      </c>
      <c r="G78" s="3">
        <v>5622</v>
      </c>
      <c r="H78" s="1">
        <v>0</v>
      </c>
      <c r="I78" s="1" t="s">
        <v>1334</v>
      </c>
      <c r="J78" s="1" t="s">
        <v>88</v>
      </c>
    </row>
    <row r="79" spans="1:10" hidden="1" x14ac:dyDescent="0.25">
      <c r="A79" s="1" t="s">
        <v>10</v>
      </c>
      <c r="B79" s="1" t="s">
        <v>11</v>
      </c>
      <c r="C79" s="1">
        <v>17396</v>
      </c>
      <c r="D79" s="1">
        <v>26400</v>
      </c>
      <c r="E79" s="2">
        <v>44489</v>
      </c>
      <c r="F79" s="2">
        <v>44639</v>
      </c>
      <c r="G79" s="3">
        <v>33365.300000000003</v>
      </c>
      <c r="H79" s="1">
        <v>0</v>
      </c>
      <c r="I79" s="1" t="s">
        <v>1393</v>
      </c>
      <c r="J79" s="1" t="s">
        <v>13</v>
      </c>
    </row>
    <row r="80" spans="1:10" hidden="1" x14ac:dyDescent="0.25">
      <c r="A80" s="1" t="s">
        <v>371</v>
      </c>
      <c r="B80" s="1" t="s">
        <v>372</v>
      </c>
      <c r="C80" s="1">
        <v>18157</v>
      </c>
      <c r="D80" s="1">
        <v>27167</v>
      </c>
      <c r="E80" s="2">
        <v>44549</v>
      </c>
      <c r="F80" s="2">
        <v>44639</v>
      </c>
      <c r="G80" s="3">
        <v>2677.5</v>
      </c>
      <c r="H80" s="1">
        <v>0</v>
      </c>
      <c r="I80" s="1" t="s">
        <v>1398</v>
      </c>
      <c r="J80" s="1" t="s">
        <v>88</v>
      </c>
    </row>
    <row r="81" spans="1:10" hidden="1" x14ac:dyDescent="0.25">
      <c r="A81" s="1" t="s">
        <v>20</v>
      </c>
      <c r="B81" s="1" t="s">
        <v>21</v>
      </c>
      <c r="C81" s="1">
        <v>16893</v>
      </c>
      <c r="D81" s="1">
        <v>25878</v>
      </c>
      <c r="E81" s="2">
        <v>44459</v>
      </c>
      <c r="F81" s="2">
        <v>44639</v>
      </c>
      <c r="G81" s="3">
        <v>23654.53</v>
      </c>
      <c r="H81" s="1">
        <v>0</v>
      </c>
      <c r="I81" s="1" t="s">
        <v>1405</v>
      </c>
      <c r="J81" s="1" t="s">
        <v>23</v>
      </c>
    </row>
    <row r="82" spans="1:10" hidden="1" x14ac:dyDescent="0.25">
      <c r="A82" s="1" t="s">
        <v>304</v>
      </c>
      <c r="B82" s="1" t="s">
        <v>305</v>
      </c>
      <c r="C82" s="1">
        <v>17393</v>
      </c>
      <c r="D82" s="1">
        <v>26397</v>
      </c>
      <c r="E82" s="2">
        <v>44489</v>
      </c>
      <c r="F82" s="2">
        <v>44639</v>
      </c>
      <c r="G82" s="3">
        <v>30600</v>
      </c>
      <c r="H82" s="1">
        <v>0</v>
      </c>
      <c r="I82" s="1" t="s">
        <v>1425</v>
      </c>
      <c r="J82" s="1" t="s">
        <v>27</v>
      </c>
    </row>
    <row r="83" spans="1:10" hidden="1" x14ac:dyDescent="0.25">
      <c r="A83" s="1" t="s">
        <v>70</v>
      </c>
      <c r="B83" s="1" t="s">
        <v>71</v>
      </c>
      <c r="C83" s="1">
        <v>16880</v>
      </c>
      <c r="D83" s="1">
        <v>25865</v>
      </c>
      <c r="E83" s="2">
        <v>44459</v>
      </c>
      <c r="F83" s="2">
        <v>44639</v>
      </c>
      <c r="G83" s="1">
        <v>288.88</v>
      </c>
      <c r="H83" s="1">
        <v>0</v>
      </c>
      <c r="I83" s="1" t="s">
        <v>1459</v>
      </c>
      <c r="J83" s="1" t="s">
        <v>73</v>
      </c>
    </row>
    <row r="84" spans="1:10" hidden="1" x14ac:dyDescent="0.25">
      <c r="A84" s="1" t="s">
        <v>70</v>
      </c>
      <c r="B84" s="1" t="s">
        <v>71</v>
      </c>
      <c r="C84" s="1">
        <v>16876</v>
      </c>
      <c r="D84" s="1">
        <v>25861</v>
      </c>
      <c r="E84" s="2">
        <v>44459</v>
      </c>
      <c r="F84" s="2">
        <v>44639</v>
      </c>
      <c r="G84" s="3">
        <v>9914.56</v>
      </c>
      <c r="H84" s="1">
        <v>0</v>
      </c>
      <c r="I84" s="1" t="s">
        <v>1473</v>
      </c>
      <c r="J84" s="1" t="s">
        <v>73</v>
      </c>
    </row>
    <row r="85" spans="1:10" hidden="1" x14ac:dyDescent="0.25">
      <c r="A85" s="1" t="s">
        <v>70</v>
      </c>
      <c r="B85" s="1" t="s">
        <v>71</v>
      </c>
      <c r="C85" s="1">
        <v>16884</v>
      </c>
      <c r="D85" s="1">
        <v>25869</v>
      </c>
      <c r="E85" s="2">
        <v>44459</v>
      </c>
      <c r="F85" s="2">
        <v>44639</v>
      </c>
      <c r="G85" s="3">
        <v>1514.64</v>
      </c>
      <c r="H85" s="1">
        <v>0</v>
      </c>
      <c r="I85" s="1" t="s">
        <v>1516</v>
      </c>
      <c r="J85" s="1" t="s">
        <v>73</v>
      </c>
    </row>
    <row r="86" spans="1:10" hidden="1" x14ac:dyDescent="0.25">
      <c r="A86" s="1" t="s">
        <v>535</v>
      </c>
      <c r="B86" s="1" t="s">
        <v>536</v>
      </c>
      <c r="C86" s="1">
        <v>17384</v>
      </c>
      <c r="D86" s="1">
        <v>26389</v>
      </c>
      <c r="E86" s="2">
        <v>44489</v>
      </c>
      <c r="F86" s="2">
        <v>44639</v>
      </c>
      <c r="G86" s="1">
        <v>211.12</v>
      </c>
      <c r="H86" s="1">
        <v>0</v>
      </c>
      <c r="I86" s="1" t="s">
        <v>1519</v>
      </c>
      <c r="J86" s="1" t="s">
        <v>58</v>
      </c>
    </row>
    <row r="87" spans="1:10" hidden="1" x14ac:dyDescent="0.25">
      <c r="A87" s="1" t="s">
        <v>221</v>
      </c>
      <c r="B87" s="1" t="s">
        <v>222</v>
      </c>
      <c r="C87" s="1">
        <v>17380</v>
      </c>
      <c r="D87" s="1">
        <v>26385</v>
      </c>
      <c r="E87" s="2">
        <v>44489</v>
      </c>
      <c r="F87" s="2">
        <v>44639</v>
      </c>
      <c r="G87" s="3">
        <v>37800</v>
      </c>
      <c r="H87" s="1">
        <v>0</v>
      </c>
      <c r="I87" s="1" t="s">
        <v>1618</v>
      </c>
      <c r="J87" s="1" t="s">
        <v>27</v>
      </c>
    </row>
    <row r="88" spans="1:10" x14ac:dyDescent="0.25">
      <c r="A88" s="1" t="s">
        <v>554</v>
      </c>
      <c r="B88" s="1" t="s">
        <v>555</v>
      </c>
      <c r="C88" s="1">
        <v>16900</v>
      </c>
      <c r="D88" s="1">
        <v>25885</v>
      </c>
      <c r="E88" s="2">
        <v>44460</v>
      </c>
      <c r="F88" s="2">
        <v>44640</v>
      </c>
      <c r="G88" s="3">
        <v>6008.66</v>
      </c>
      <c r="H88" s="1">
        <v>0</v>
      </c>
      <c r="I88" s="1" t="s">
        <v>556</v>
      </c>
      <c r="J88" s="1" t="s">
        <v>27</v>
      </c>
    </row>
    <row r="89" spans="1:10" hidden="1" x14ac:dyDescent="0.25">
      <c r="A89" s="1" t="s">
        <v>97</v>
      </c>
      <c r="B89" s="1" t="s">
        <v>98</v>
      </c>
      <c r="C89" s="1">
        <v>17429</v>
      </c>
      <c r="D89" s="1">
        <v>26430</v>
      </c>
      <c r="E89" s="2">
        <v>44490</v>
      </c>
      <c r="F89" s="2">
        <v>44640</v>
      </c>
      <c r="G89" s="3">
        <v>18057.5</v>
      </c>
      <c r="H89" s="1">
        <v>0</v>
      </c>
      <c r="I89" s="1" t="s">
        <v>782</v>
      </c>
      <c r="J89" s="1" t="s">
        <v>27</v>
      </c>
    </row>
    <row r="90" spans="1:10" hidden="1" x14ac:dyDescent="0.25">
      <c r="A90" s="1" t="s">
        <v>221</v>
      </c>
      <c r="B90" s="1" t="s">
        <v>222</v>
      </c>
      <c r="C90" s="1">
        <v>17428</v>
      </c>
      <c r="D90" s="1">
        <v>26429</v>
      </c>
      <c r="E90" s="2">
        <v>44490</v>
      </c>
      <c r="F90" s="2">
        <v>44640</v>
      </c>
      <c r="G90" s="3">
        <v>9902.5</v>
      </c>
      <c r="H90" s="1">
        <v>0</v>
      </c>
      <c r="I90" s="1" t="s">
        <v>839</v>
      </c>
      <c r="J90" s="1" t="s">
        <v>27</v>
      </c>
    </row>
    <row r="91" spans="1:10" x14ac:dyDescent="0.25">
      <c r="A91" s="1" t="s">
        <v>554</v>
      </c>
      <c r="B91" s="1" t="s">
        <v>555</v>
      </c>
      <c r="C91" s="1">
        <v>17424</v>
      </c>
      <c r="D91" s="1">
        <v>26425</v>
      </c>
      <c r="E91" s="2">
        <v>44490</v>
      </c>
      <c r="F91" s="2">
        <v>44640</v>
      </c>
      <c r="G91" s="3">
        <v>41160</v>
      </c>
      <c r="H91" s="1">
        <v>0</v>
      </c>
      <c r="I91" s="1" t="s">
        <v>927</v>
      </c>
      <c r="J91" s="1" t="s">
        <v>27</v>
      </c>
    </row>
    <row r="92" spans="1:10" hidden="1" x14ac:dyDescent="0.25">
      <c r="A92" s="1" t="s">
        <v>140</v>
      </c>
      <c r="B92" s="1" t="s">
        <v>141</v>
      </c>
      <c r="C92" s="1">
        <v>18165</v>
      </c>
      <c r="D92" s="1">
        <v>27176</v>
      </c>
      <c r="E92" s="2">
        <v>44550</v>
      </c>
      <c r="F92" s="2">
        <v>44640</v>
      </c>
      <c r="G92" s="3">
        <v>1493.33</v>
      </c>
      <c r="H92" s="1">
        <v>0</v>
      </c>
      <c r="I92" s="1" t="s">
        <v>1022</v>
      </c>
      <c r="J92" s="1" t="s">
        <v>73</v>
      </c>
    </row>
    <row r="93" spans="1:10" hidden="1" x14ac:dyDescent="0.25">
      <c r="A93" s="1" t="s">
        <v>70</v>
      </c>
      <c r="B93" s="1" t="s">
        <v>71</v>
      </c>
      <c r="C93" s="1">
        <v>18169</v>
      </c>
      <c r="D93" s="1">
        <v>27180</v>
      </c>
      <c r="E93" s="2">
        <v>44550</v>
      </c>
      <c r="F93" s="2">
        <v>44640</v>
      </c>
      <c r="G93" s="1">
        <v>840</v>
      </c>
      <c r="H93" s="1">
        <v>0</v>
      </c>
      <c r="I93" s="1" t="s">
        <v>1052</v>
      </c>
      <c r="J93" s="1" t="s">
        <v>73</v>
      </c>
    </row>
    <row r="94" spans="1:10" hidden="1" x14ac:dyDescent="0.25">
      <c r="A94" s="1" t="s">
        <v>70</v>
      </c>
      <c r="B94" s="1" t="s">
        <v>71</v>
      </c>
      <c r="C94" s="1">
        <v>18168</v>
      </c>
      <c r="D94" s="1">
        <v>27179</v>
      </c>
      <c r="E94" s="2">
        <v>44550</v>
      </c>
      <c r="F94" s="2">
        <v>44640</v>
      </c>
      <c r="G94" s="1">
        <v>840</v>
      </c>
      <c r="H94" s="1">
        <v>0</v>
      </c>
      <c r="I94" s="1" t="s">
        <v>1160</v>
      </c>
      <c r="J94" s="1" t="s">
        <v>73</v>
      </c>
    </row>
    <row r="95" spans="1:10" hidden="1" x14ac:dyDescent="0.25">
      <c r="A95" s="1" t="s">
        <v>24</v>
      </c>
      <c r="B95" s="1" t="s">
        <v>25</v>
      </c>
      <c r="C95" s="1">
        <v>17425</v>
      </c>
      <c r="D95" s="1">
        <v>26426</v>
      </c>
      <c r="E95" s="2">
        <v>44490</v>
      </c>
      <c r="F95" s="2">
        <v>44640</v>
      </c>
      <c r="G95" s="3">
        <v>37800</v>
      </c>
      <c r="H95" s="1">
        <v>0</v>
      </c>
      <c r="I95" s="1" t="s">
        <v>1207</v>
      </c>
      <c r="J95" s="1" t="s">
        <v>27</v>
      </c>
    </row>
    <row r="96" spans="1:10" hidden="1" x14ac:dyDescent="0.25">
      <c r="A96" s="1" t="s">
        <v>70</v>
      </c>
      <c r="B96" s="1" t="s">
        <v>71</v>
      </c>
      <c r="C96" s="1">
        <v>18167</v>
      </c>
      <c r="D96" s="1">
        <v>27178</v>
      </c>
      <c r="E96" s="2">
        <v>44550</v>
      </c>
      <c r="F96" s="2">
        <v>44640</v>
      </c>
      <c r="G96" s="3">
        <v>14222.82</v>
      </c>
      <c r="H96" s="1">
        <v>0</v>
      </c>
      <c r="I96" s="1" t="s">
        <v>1160</v>
      </c>
      <c r="J96" s="1" t="s">
        <v>73</v>
      </c>
    </row>
    <row r="97" spans="1:10" hidden="1" x14ac:dyDescent="0.25">
      <c r="A97" s="1" t="s">
        <v>70</v>
      </c>
      <c r="B97" s="1" t="s">
        <v>71</v>
      </c>
      <c r="C97" s="1">
        <v>17404</v>
      </c>
      <c r="D97" s="1">
        <v>26408</v>
      </c>
      <c r="E97" s="2">
        <v>44490</v>
      </c>
      <c r="F97" s="2">
        <v>44640</v>
      </c>
      <c r="G97" s="3">
        <v>10499.99</v>
      </c>
      <c r="H97" s="1">
        <v>0</v>
      </c>
      <c r="I97" s="1" t="s">
        <v>1372</v>
      </c>
      <c r="J97" s="1" t="s">
        <v>73</v>
      </c>
    </row>
    <row r="98" spans="1:10" hidden="1" x14ac:dyDescent="0.25">
      <c r="A98" s="1" t="s">
        <v>70</v>
      </c>
      <c r="B98" s="1" t="s">
        <v>71</v>
      </c>
      <c r="C98" s="1">
        <v>17403</v>
      </c>
      <c r="D98" s="1">
        <v>26407</v>
      </c>
      <c r="E98" s="2">
        <v>44490</v>
      </c>
      <c r="F98" s="2">
        <v>44640</v>
      </c>
      <c r="G98" s="3">
        <v>12139.99</v>
      </c>
      <c r="H98" s="1">
        <v>0</v>
      </c>
      <c r="I98" s="1" t="s">
        <v>1394</v>
      </c>
      <c r="J98" s="1" t="s">
        <v>73</v>
      </c>
    </row>
    <row r="99" spans="1:10" hidden="1" x14ac:dyDescent="0.25">
      <c r="A99" s="1" t="s">
        <v>70</v>
      </c>
      <c r="B99" s="1" t="s">
        <v>71</v>
      </c>
      <c r="C99" s="1">
        <v>18166</v>
      </c>
      <c r="D99" s="1">
        <v>27177</v>
      </c>
      <c r="E99" s="2">
        <v>44550</v>
      </c>
      <c r="F99" s="2">
        <v>44640</v>
      </c>
      <c r="G99" s="1">
        <v>86.56</v>
      </c>
      <c r="H99" s="1">
        <v>0</v>
      </c>
      <c r="I99" s="1" t="s">
        <v>1160</v>
      </c>
      <c r="J99" s="1" t="s">
        <v>73</v>
      </c>
    </row>
    <row r="100" spans="1:10" hidden="1" x14ac:dyDescent="0.25">
      <c r="A100" s="1" t="s">
        <v>140</v>
      </c>
      <c r="B100" s="1" t="s">
        <v>141</v>
      </c>
      <c r="C100" s="1">
        <v>18164</v>
      </c>
      <c r="D100" s="1">
        <v>27175</v>
      </c>
      <c r="E100" s="2">
        <v>44550</v>
      </c>
      <c r="F100" s="2">
        <v>44640</v>
      </c>
      <c r="G100" s="3">
        <v>1160</v>
      </c>
      <c r="H100" s="1">
        <v>0</v>
      </c>
      <c r="I100" s="1" t="s">
        <v>1548</v>
      </c>
      <c r="J100" s="1" t="s">
        <v>73</v>
      </c>
    </row>
    <row r="101" spans="1:10" hidden="1" x14ac:dyDescent="0.25">
      <c r="A101" s="1" t="s">
        <v>244</v>
      </c>
      <c r="B101" s="1" t="s">
        <v>98</v>
      </c>
      <c r="C101" s="1">
        <v>17427</v>
      </c>
      <c r="D101" s="1">
        <v>26428</v>
      </c>
      <c r="E101" s="2">
        <v>44490</v>
      </c>
      <c r="F101" s="2">
        <v>44640</v>
      </c>
      <c r="G101" s="3">
        <v>51300</v>
      </c>
      <c r="H101" s="1">
        <v>0</v>
      </c>
      <c r="I101" s="1" t="s">
        <v>1585</v>
      </c>
      <c r="J101" s="1" t="s">
        <v>27</v>
      </c>
    </row>
    <row r="102" spans="1:10" hidden="1" x14ac:dyDescent="0.25">
      <c r="A102" s="1" t="s">
        <v>70</v>
      </c>
      <c r="B102" s="1" t="s">
        <v>71</v>
      </c>
      <c r="C102" s="1">
        <v>18286</v>
      </c>
      <c r="D102" s="1">
        <v>27295</v>
      </c>
      <c r="E102" s="2">
        <v>44566</v>
      </c>
      <c r="F102" s="2">
        <v>44641</v>
      </c>
      <c r="G102" s="3">
        <v>10147.77</v>
      </c>
      <c r="H102" s="1">
        <v>0</v>
      </c>
      <c r="I102" s="1" t="s">
        <v>72</v>
      </c>
      <c r="J102" s="1" t="s">
        <v>73</v>
      </c>
    </row>
    <row r="103" spans="1:10" hidden="1" x14ac:dyDescent="0.25">
      <c r="A103" s="1" t="s">
        <v>24</v>
      </c>
      <c r="B103" s="1" t="s">
        <v>25</v>
      </c>
      <c r="C103" s="1">
        <v>16974</v>
      </c>
      <c r="D103" s="1">
        <v>25971</v>
      </c>
      <c r="E103" s="2">
        <v>44462</v>
      </c>
      <c r="F103" s="2">
        <v>44641</v>
      </c>
      <c r="G103" s="3">
        <v>35210</v>
      </c>
      <c r="H103" s="1">
        <v>0</v>
      </c>
      <c r="I103" s="1" t="s">
        <v>290</v>
      </c>
      <c r="J103" s="1" t="s">
        <v>27</v>
      </c>
    </row>
    <row r="104" spans="1:10" hidden="1" x14ac:dyDescent="0.25">
      <c r="A104" s="1" t="s">
        <v>20</v>
      </c>
      <c r="B104" s="1" t="s">
        <v>21</v>
      </c>
      <c r="C104" s="1">
        <v>16931</v>
      </c>
      <c r="D104" s="1">
        <v>25924</v>
      </c>
      <c r="E104" s="2">
        <v>44461</v>
      </c>
      <c r="F104" s="2">
        <v>44641</v>
      </c>
      <c r="G104" s="3">
        <v>9597.02</v>
      </c>
      <c r="H104" s="1">
        <v>0</v>
      </c>
      <c r="I104" s="1" t="s">
        <v>386</v>
      </c>
      <c r="J104" s="1" t="s">
        <v>23</v>
      </c>
    </row>
    <row r="105" spans="1:10" hidden="1" x14ac:dyDescent="0.25">
      <c r="A105" s="1" t="s">
        <v>70</v>
      </c>
      <c r="B105" s="1" t="s">
        <v>71</v>
      </c>
      <c r="C105" s="1">
        <v>18287</v>
      </c>
      <c r="D105" s="1">
        <v>27296</v>
      </c>
      <c r="E105" s="2">
        <v>44566</v>
      </c>
      <c r="F105" s="2">
        <v>44641</v>
      </c>
      <c r="G105" s="3">
        <v>4083.33</v>
      </c>
      <c r="H105" s="1">
        <v>0</v>
      </c>
      <c r="I105" s="1" t="s">
        <v>570</v>
      </c>
      <c r="J105" s="1" t="s">
        <v>73</v>
      </c>
    </row>
    <row r="106" spans="1:10" hidden="1" x14ac:dyDescent="0.25">
      <c r="A106" s="1" t="s">
        <v>97</v>
      </c>
      <c r="B106" s="1" t="s">
        <v>98</v>
      </c>
      <c r="C106" s="1">
        <v>17434</v>
      </c>
      <c r="D106" s="1">
        <v>26437</v>
      </c>
      <c r="E106" s="2">
        <v>44491</v>
      </c>
      <c r="F106" s="2">
        <v>44641</v>
      </c>
      <c r="G106" s="3">
        <v>37800</v>
      </c>
      <c r="H106" s="1">
        <v>0</v>
      </c>
      <c r="I106" s="1" t="s">
        <v>635</v>
      </c>
      <c r="J106" s="1" t="s">
        <v>27</v>
      </c>
    </row>
    <row r="107" spans="1:10" hidden="1" x14ac:dyDescent="0.25">
      <c r="A107" s="1" t="s">
        <v>10</v>
      </c>
      <c r="B107" s="1" t="s">
        <v>11</v>
      </c>
      <c r="C107" s="1">
        <v>16924</v>
      </c>
      <c r="D107" s="1">
        <v>25909</v>
      </c>
      <c r="E107" s="2">
        <v>44461</v>
      </c>
      <c r="F107" s="2">
        <v>44641</v>
      </c>
      <c r="G107" s="3">
        <v>105000</v>
      </c>
      <c r="H107" s="1">
        <v>0</v>
      </c>
      <c r="I107" s="1" t="s">
        <v>707</v>
      </c>
      <c r="J107" s="1" t="s">
        <v>13</v>
      </c>
    </row>
    <row r="108" spans="1:10" hidden="1" x14ac:dyDescent="0.25">
      <c r="A108" s="1" t="s">
        <v>847</v>
      </c>
      <c r="B108" s="1" t="s">
        <v>848</v>
      </c>
      <c r="C108" s="1">
        <v>18182</v>
      </c>
      <c r="D108" s="1">
        <v>27194</v>
      </c>
      <c r="E108" s="2">
        <v>44551</v>
      </c>
      <c r="F108" s="2">
        <v>44641</v>
      </c>
      <c r="G108" s="3">
        <v>1644</v>
      </c>
      <c r="H108" s="1">
        <v>0</v>
      </c>
      <c r="I108" s="1" t="s">
        <v>849</v>
      </c>
      <c r="J108" s="1" t="s">
        <v>73</v>
      </c>
    </row>
    <row r="109" spans="1:10" hidden="1" x14ac:dyDescent="0.25">
      <c r="A109" s="1" t="s">
        <v>198</v>
      </c>
      <c r="B109" s="1" t="s">
        <v>199</v>
      </c>
      <c r="C109" s="1">
        <v>16943</v>
      </c>
      <c r="D109" s="1">
        <v>25936</v>
      </c>
      <c r="E109" s="2">
        <v>44461</v>
      </c>
      <c r="F109" s="2">
        <v>44641</v>
      </c>
      <c r="G109" s="3">
        <v>32830.06</v>
      </c>
      <c r="H109" s="1">
        <v>0</v>
      </c>
      <c r="I109" s="1" t="s">
        <v>932</v>
      </c>
      <c r="J109" s="1" t="s">
        <v>13</v>
      </c>
    </row>
    <row r="110" spans="1:10" hidden="1" x14ac:dyDescent="0.25">
      <c r="A110" s="1" t="s">
        <v>24</v>
      </c>
      <c r="B110" s="1" t="s">
        <v>25</v>
      </c>
      <c r="C110" s="1">
        <v>16950</v>
      </c>
      <c r="D110" s="1">
        <v>25944</v>
      </c>
      <c r="E110" s="2">
        <v>44461</v>
      </c>
      <c r="F110" s="2">
        <v>44641</v>
      </c>
      <c r="G110" s="3">
        <v>8155</v>
      </c>
      <c r="H110" s="1">
        <v>0</v>
      </c>
      <c r="I110" s="1" t="s">
        <v>959</v>
      </c>
      <c r="J110" s="1" t="s">
        <v>27</v>
      </c>
    </row>
    <row r="111" spans="1:10" hidden="1" x14ac:dyDescent="0.25">
      <c r="A111" s="1" t="s">
        <v>198</v>
      </c>
      <c r="B111" s="1" t="s">
        <v>199</v>
      </c>
      <c r="C111" s="1">
        <v>16942</v>
      </c>
      <c r="D111" s="1">
        <v>25935</v>
      </c>
      <c r="E111" s="2">
        <v>44461</v>
      </c>
      <c r="F111" s="2">
        <v>44641</v>
      </c>
      <c r="G111" s="3">
        <v>23450</v>
      </c>
      <c r="H111" s="1">
        <v>0</v>
      </c>
      <c r="I111" s="1" t="s">
        <v>1199</v>
      </c>
      <c r="J111" s="1" t="s">
        <v>13</v>
      </c>
    </row>
    <row r="112" spans="1:10" hidden="1" x14ac:dyDescent="0.25">
      <c r="A112" s="1" t="s">
        <v>847</v>
      </c>
      <c r="B112" s="1" t="s">
        <v>848</v>
      </c>
      <c r="C112" s="1">
        <v>18177</v>
      </c>
      <c r="D112" s="1">
        <v>27188</v>
      </c>
      <c r="E112" s="2">
        <v>44551</v>
      </c>
      <c r="F112" s="2">
        <v>44641</v>
      </c>
      <c r="G112" s="3">
        <v>1902.6</v>
      </c>
      <c r="H112" s="1">
        <v>0</v>
      </c>
      <c r="I112" s="1" t="s">
        <v>1281</v>
      </c>
      <c r="J112" s="1" t="s">
        <v>73</v>
      </c>
    </row>
    <row r="113" spans="1:10" hidden="1" x14ac:dyDescent="0.25">
      <c r="A113" s="1" t="s">
        <v>20</v>
      </c>
      <c r="B113" s="1" t="s">
        <v>21</v>
      </c>
      <c r="C113" s="1">
        <v>16930</v>
      </c>
      <c r="D113" s="1">
        <v>25923</v>
      </c>
      <c r="E113" s="2">
        <v>44461</v>
      </c>
      <c r="F113" s="2">
        <v>44641</v>
      </c>
      <c r="G113" s="3">
        <v>1283.3399999999999</v>
      </c>
      <c r="H113" s="1">
        <v>0</v>
      </c>
      <c r="I113" s="1" t="s">
        <v>1447</v>
      </c>
      <c r="J113" s="1" t="s">
        <v>23</v>
      </c>
    </row>
    <row r="114" spans="1:10" hidden="1" x14ac:dyDescent="0.25">
      <c r="A114" s="1" t="s">
        <v>1714</v>
      </c>
      <c r="B114" s="1" t="s">
        <v>848</v>
      </c>
      <c r="C114" s="1">
        <v>18184</v>
      </c>
      <c r="D114" s="1">
        <v>27195</v>
      </c>
      <c r="E114" s="2">
        <v>44551</v>
      </c>
      <c r="F114" s="2">
        <v>44641</v>
      </c>
      <c r="G114" s="1">
        <v>744</v>
      </c>
      <c r="H114" s="1">
        <v>0</v>
      </c>
      <c r="I114" s="1" t="s">
        <v>1715</v>
      </c>
      <c r="J114" s="1" t="s">
        <v>73</v>
      </c>
    </row>
    <row r="115" spans="1:10" hidden="1" x14ac:dyDescent="0.25">
      <c r="A115" s="1" t="s">
        <v>70</v>
      </c>
      <c r="B115" s="1" t="s">
        <v>71</v>
      </c>
      <c r="C115" s="1">
        <v>18505</v>
      </c>
      <c r="D115" s="1">
        <v>27503</v>
      </c>
      <c r="E115" s="2">
        <v>44582</v>
      </c>
      <c r="F115" s="2">
        <v>44642</v>
      </c>
      <c r="G115" s="3">
        <v>1600</v>
      </c>
      <c r="H115" s="1">
        <v>0</v>
      </c>
      <c r="I115" s="1" t="s">
        <v>119</v>
      </c>
      <c r="J115" s="1" t="s">
        <v>73</v>
      </c>
    </row>
    <row r="116" spans="1:10" hidden="1" x14ac:dyDescent="0.25">
      <c r="A116" s="1" t="s">
        <v>70</v>
      </c>
      <c r="B116" s="1" t="s">
        <v>71</v>
      </c>
      <c r="C116" s="1">
        <v>18510</v>
      </c>
      <c r="D116" s="1">
        <v>27508</v>
      </c>
      <c r="E116" s="2">
        <v>44582</v>
      </c>
      <c r="F116" s="2">
        <v>44642</v>
      </c>
      <c r="G116" s="3">
        <v>21746.92</v>
      </c>
      <c r="H116" s="1">
        <v>0</v>
      </c>
      <c r="I116" s="1" t="s">
        <v>237</v>
      </c>
      <c r="J116" s="1" t="s">
        <v>73</v>
      </c>
    </row>
    <row r="117" spans="1:10" hidden="1" x14ac:dyDescent="0.25">
      <c r="A117" s="1" t="s">
        <v>70</v>
      </c>
      <c r="B117" s="1" t="s">
        <v>71</v>
      </c>
      <c r="C117" s="1">
        <v>17991</v>
      </c>
      <c r="D117" s="1">
        <v>27002</v>
      </c>
      <c r="E117" s="2">
        <v>44537</v>
      </c>
      <c r="F117" s="2">
        <v>44642</v>
      </c>
      <c r="G117" s="3">
        <v>8074.44</v>
      </c>
      <c r="H117" s="1">
        <v>0</v>
      </c>
      <c r="I117" s="1" t="s">
        <v>273</v>
      </c>
      <c r="J117" s="1" t="s">
        <v>73</v>
      </c>
    </row>
    <row r="118" spans="1:10" hidden="1" x14ac:dyDescent="0.25">
      <c r="A118" s="1" t="s">
        <v>140</v>
      </c>
      <c r="B118" s="1" t="s">
        <v>141</v>
      </c>
      <c r="C118" s="1">
        <v>17850</v>
      </c>
      <c r="D118" s="1">
        <v>26854</v>
      </c>
      <c r="E118" s="2">
        <v>44522</v>
      </c>
      <c r="F118" s="2">
        <v>44642</v>
      </c>
      <c r="G118" s="3">
        <v>39333.29</v>
      </c>
      <c r="H118" s="1">
        <v>0</v>
      </c>
      <c r="I118" s="1" t="s">
        <v>397</v>
      </c>
      <c r="J118" s="1" t="s">
        <v>73</v>
      </c>
    </row>
    <row r="119" spans="1:10" hidden="1" x14ac:dyDescent="0.25">
      <c r="A119" s="1" t="s">
        <v>47</v>
      </c>
      <c r="B119" s="1" t="s">
        <v>48</v>
      </c>
      <c r="C119" s="1">
        <v>16952</v>
      </c>
      <c r="D119" s="1">
        <v>25949</v>
      </c>
      <c r="E119" s="2">
        <v>44462</v>
      </c>
      <c r="F119" s="2">
        <v>44642</v>
      </c>
      <c r="G119" s="3">
        <v>6000</v>
      </c>
      <c r="H119" s="1">
        <v>0</v>
      </c>
      <c r="I119" s="1" t="s">
        <v>411</v>
      </c>
      <c r="J119" s="1" t="s">
        <v>50</v>
      </c>
    </row>
    <row r="120" spans="1:10" hidden="1" x14ac:dyDescent="0.25">
      <c r="A120" s="1" t="s">
        <v>78</v>
      </c>
      <c r="B120" s="1" t="s">
        <v>79</v>
      </c>
      <c r="C120" s="1">
        <v>18495</v>
      </c>
      <c r="D120" s="1">
        <v>27493</v>
      </c>
      <c r="E120" s="2">
        <v>44582</v>
      </c>
      <c r="F120" s="2">
        <v>44642</v>
      </c>
      <c r="G120" s="3">
        <v>119207.18</v>
      </c>
      <c r="H120" s="1">
        <v>0</v>
      </c>
      <c r="I120" s="1" t="s">
        <v>596</v>
      </c>
      <c r="J120" s="1" t="s">
        <v>68</v>
      </c>
    </row>
    <row r="121" spans="1:10" hidden="1" x14ac:dyDescent="0.25">
      <c r="A121" s="1" t="s">
        <v>140</v>
      </c>
      <c r="B121" s="1" t="s">
        <v>141</v>
      </c>
      <c r="C121" s="1">
        <v>17851</v>
      </c>
      <c r="D121" s="1">
        <v>26855</v>
      </c>
      <c r="E121" s="2">
        <v>44522</v>
      </c>
      <c r="F121" s="2">
        <v>44642</v>
      </c>
      <c r="G121" s="3">
        <v>35833.300000000003</v>
      </c>
      <c r="H121" s="1">
        <v>0</v>
      </c>
      <c r="I121" s="1" t="s">
        <v>640</v>
      </c>
      <c r="J121" s="1" t="s">
        <v>73</v>
      </c>
    </row>
    <row r="122" spans="1:10" hidden="1" x14ac:dyDescent="0.25">
      <c r="A122" s="1" t="s">
        <v>78</v>
      </c>
      <c r="B122" s="1" t="s">
        <v>79</v>
      </c>
      <c r="C122" s="1">
        <v>18494</v>
      </c>
      <c r="D122" s="1">
        <v>27492</v>
      </c>
      <c r="E122" s="2">
        <v>44582</v>
      </c>
      <c r="F122" s="2">
        <v>44642</v>
      </c>
      <c r="G122" s="3">
        <v>103098.1</v>
      </c>
      <c r="H122" s="1">
        <v>0</v>
      </c>
      <c r="I122" s="1" t="s">
        <v>720</v>
      </c>
      <c r="J122" s="1" t="s">
        <v>68</v>
      </c>
    </row>
    <row r="123" spans="1:10" hidden="1" x14ac:dyDescent="0.25">
      <c r="A123" s="1" t="s">
        <v>70</v>
      </c>
      <c r="B123" s="1" t="s">
        <v>71</v>
      </c>
      <c r="C123" s="1">
        <v>17997</v>
      </c>
      <c r="D123" s="1">
        <v>27009</v>
      </c>
      <c r="E123" s="2">
        <v>44537</v>
      </c>
      <c r="F123" s="2">
        <v>44642</v>
      </c>
      <c r="G123" s="3">
        <v>8153.99</v>
      </c>
      <c r="H123" s="1">
        <v>0</v>
      </c>
      <c r="I123" s="1" t="s">
        <v>812</v>
      </c>
      <c r="J123" s="1" t="s">
        <v>73</v>
      </c>
    </row>
    <row r="124" spans="1:10" hidden="1" x14ac:dyDescent="0.25">
      <c r="A124" s="1" t="s">
        <v>735</v>
      </c>
      <c r="B124" s="1" t="s">
        <v>736</v>
      </c>
      <c r="C124" s="1">
        <v>17840</v>
      </c>
      <c r="D124" s="1">
        <v>26844</v>
      </c>
      <c r="E124" s="2">
        <v>44522</v>
      </c>
      <c r="F124" s="2">
        <v>44642</v>
      </c>
      <c r="G124" s="3">
        <v>11481.99</v>
      </c>
      <c r="H124" s="1">
        <v>0</v>
      </c>
      <c r="I124" s="1" t="s">
        <v>816</v>
      </c>
      <c r="J124" s="1" t="s">
        <v>88</v>
      </c>
    </row>
    <row r="125" spans="1:10" hidden="1" x14ac:dyDescent="0.25">
      <c r="A125" s="1" t="s">
        <v>712</v>
      </c>
      <c r="B125" s="1" t="s">
        <v>713</v>
      </c>
      <c r="C125" s="1">
        <v>17828</v>
      </c>
      <c r="D125" s="1">
        <v>26831</v>
      </c>
      <c r="E125" s="2">
        <v>44522</v>
      </c>
      <c r="F125" s="2">
        <v>44642</v>
      </c>
      <c r="G125" s="3">
        <v>8875</v>
      </c>
      <c r="H125" s="1">
        <v>0</v>
      </c>
      <c r="I125" s="1" t="s">
        <v>1266</v>
      </c>
      <c r="J125" s="1" t="s">
        <v>88</v>
      </c>
    </row>
    <row r="126" spans="1:10" hidden="1" x14ac:dyDescent="0.25">
      <c r="A126" s="1" t="s">
        <v>140</v>
      </c>
      <c r="B126" s="1" t="s">
        <v>141</v>
      </c>
      <c r="C126" s="1">
        <v>17857</v>
      </c>
      <c r="D126" s="1">
        <v>26859</v>
      </c>
      <c r="E126" s="2">
        <v>44522</v>
      </c>
      <c r="F126" s="2">
        <v>44642</v>
      </c>
      <c r="G126" s="3">
        <v>6100</v>
      </c>
      <c r="H126" s="1">
        <v>0</v>
      </c>
      <c r="I126" s="1" t="s">
        <v>1316</v>
      </c>
      <c r="J126" s="1" t="s">
        <v>73</v>
      </c>
    </row>
    <row r="127" spans="1:10" hidden="1" x14ac:dyDescent="0.25">
      <c r="A127" s="1" t="s">
        <v>321</v>
      </c>
      <c r="B127" s="1" t="s">
        <v>322</v>
      </c>
      <c r="C127" s="1">
        <v>18506</v>
      </c>
      <c r="D127" s="1">
        <v>27504</v>
      </c>
      <c r="E127" s="2">
        <v>44582</v>
      </c>
      <c r="F127" s="2">
        <v>44642</v>
      </c>
      <c r="G127" s="3">
        <v>2853.33</v>
      </c>
      <c r="H127" s="1">
        <v>0</v>
      </c>
      <c r="I127" s="1" t="s">
        <v>1667</v>
      </c>
      <c r="J127" s="1" t="s">
        <v>27</v>
      </c>
    </row>
    <row r="128" spans="1:10" hidden="1" x14ac:dyDescent="0.25">
      <c r="A128" s="1" t="s">
        <v>20</v>
      </c>
      <c r="B128" s="1" t="s">
        <v>21</v>
      </c>
      <c r="C128" s="1">
        <v>17443</v>
      </c>
      <c r="D128" s="1">
        <v>26447</v>
      </c>
      <c r="E128" s="2">
        <v>44492</v>
      </c>
      <c r="F128" s="2">
        <v>44643</v>
      </c>
      <c r="G128" s="3">
        <v>18858.25</v>
      </c>
      <c r="H128" s="1">
        <v>0</v>
      </c>
      <c r="I128" s="1" t="s">
        <v>208</v>
      </c>
      <c r="J128" s="1" t="s">
        <v>23</v>
      </c>
    </row>
    <row r="129" spans="1:10" hidden="1" x14ac:dyDescent="0.25">
      <c r="A129" s="1" t="s">
        <v>371</v>
      </c>
      <c r="B129" s="1" t="s">
        <v>372</v>
      </c>
      <c r="C129" s="1">
        <v>18942</v>
      </c>
      <c r="D129" s="1">
        <v>27956</v>
      </c>
      <c r="E129" s="2">
        <v>44628</v>
      </c>
      <c r="F129" s="2">
        <v>44643</v>
      </c>
      <c r="G129" s="3">
        <v>8481</v>
      </c>
      <c r="H129" s="1">
        <v>0</v>
      </c>
      <c r="I129" s="1" t="s">
        <v>610</v>
      </c>
      <c r="J129" s="1" t="s">
        <v>88</v>
      </c>
    </row>
    <row r="130" spans="1:10" hidden="1" x14ac:dyDescent="0.25">
      <c r="A130" s="1" t="s">
        <v>694</v>
      </c>
      <c r="B130" s="1" t="s">
        <v>695</v>
      </c>
      <c r="C130" s="1">
        <v>18774</v>
      </c>
      <c r="D130" s="1">
        <v>27795</v>
      </c>
      <c r="E130" s="2">
        <v>44613</v>
      </c>
      <c r="F130" s="2">
        <v>44643</v>
      </c>
      <c r="G130" s="3">
        <v>2421.25</v>
      </c>
      <c r="H130" s="1">
        <v>0</v>
      </c>
      <c r="I130" s="1" t="s">
        <v>696</v>
      </c>
      <c r="J130" s="1" t="s">
        <v>697</v>
      </c>
    </row>
    <row r="131" spans="1:10" hidden="1" x14ac:dyDescent="0.25">
      <c r="A131" s="1" t="s">
        <v>694</v>
      </c>
      <c r="B131" s="1" t="s">
        <v>695</v>
      </c>
      <c r="C131" s="1">
        <v>18773</v>
      </c>
      <c r="D131" s="1">
        <v>27794</v>
      </c>
      <c r="E131" s="2">
        <v>44613</v>
      </c>
      <c r="F131" s="2">
        <v>44643</v>
      </c>
      <c r="G131" s="3">
        <v>4440</v>
      </c>
      <c r="H131" s="1">
        <v>0</v>
      </c>
      <c r="I131" s="1" t="s">
        <v>870</v>
      </c>
      <c r="J131" s="1" t="s">
        <v>697</v>
      </c>
    </row>
    <row r="132" spans="1:10" hidden="1" x14ac:dyDescent="0.25">
      <c r="A132" s="1" t="s">
        <v>694</v>
      </c>
      <c r="B132" s="1" t="s">
        <v>695</v>
      </c>
      <c r="C132" s="1">
        <v>18772</v>
      </c>
      <c r="D132" s="1">
        <v>27793</v>
      </c>
      <c r="E132" s="2">
        <v>44613</v>
      </c>
      <c r="F132" s="2">
        <v>44643</v>
      </c>
      <c r="G132" s="1">
        <v>743.75</v>
      </c>
      <c r="H132" s="1">
        <v>0</v>
      </c>
      <c r="I132" s="1" t="s">
        <v>696</v>
      </c>
      <c r="J132" s="1" t="s">
        <v>697</v>
      </c>
    </row>
    <row r="133" spans="1:10" hidden="1" x14ac:dyDescent="0.25">
      <c r="A133" s="1" t="s">
        <v>1151</v>
      </c>
      <c r="B133" s="1" t="s">
        <v>1152</v>
      </c>
      <c r="C133" s="1">
        <v>18771</v>
      </c>
      <c r="D133" s="1">
        <v>27792</v>
      </c>
      <c r="E133" s="2">
        <v>44613</v>
      </c>
      <c r="F133" s="2">
        <v>44643</v>
      </c>
      <c r="G133" s="3">
        <v>7719.5</v>
      </c>
      <c r="H133" s="1">
        <v>0</v>
      </c>
      <c r="I133" s="1" t="s">
        <v>1153</v>
      </c>
      <c r="J133" s="1" t="s">
        <v>697</v>
      </c>
    </row>
    <row r="134" spans="1:10" hidden="1" x14ac:dyDescent="0.25">
      <c r="A134" s="1" t="s">
        <v>147</v>
      </c>
      <c r="B134" s="1" t="s">
        <v>148</v>
      </c>
      <c r="C134" s="1">
        <v>17872</v>
      </c>
      <c r="D134" s="1">
        <v>26875</v>
      </c>
      <c r="E134" s="2">
        <v>44523</v>
      </c>
      <c r="F134" s="2">
        <v>44643</v>
      </c>
      <c r="G134" s="3">
        <v>70560</v>
      </c>
      <c r="H134" s="1">
        <v>0</v>
      </c>
      <c r="I134" s="1" t="s">
        <v>1161</v>
      </c>
      <c r="J134" s="1" t="s">
        <v>23</v>
      </c>
    </row>
    <row r="135" spans="1:10" hidden="1" x14ac:dyDescent="0.25">
      <c r="A135" s="1" t="s">
        <v>20</v>
      </c>
      <c r="B135" s="1" t="s">
        <v>21</v>
      </c>
      <c r="C135" s="1">
        <v>17451</v>
      </c>
      <c r="D135" s="1">
        <v>26459</v>
      </c>
      <c r="E135" s="2">
        <v>44494</v>
      </c>
      <c r="F135" s="2">
        <v>44644</v>
      </c>
      <c r="G135" s="3">
        <v>18426.75</v>
      </c>
      <c r="H135" s="1">
        <v>0</v>
      </c>
      <c r="I135" s="1" t="s">
        <v>22</v>
      </c>
      <c r="J135" s="1" t="s">
        <v>23</v>
      </c>
    </row>
    <row r="136" spans="1:10" hidden="1" x14ac:dyDescent="0.25">
      <c r="A136" s="1" t="s">
        <v>97</v>
      </c>
      <c r="B136" s="1" t="s">
        <v>98</v>
      </c>
      <c r="C136" s="1">
        <v>17452</v>
      </c>
      <c r="D136" s="1">
        <v>26460</v>
      </c>
      <c r="E136" s="2">
        <v>44494</v>
      </c>
      <c r="F136" s="2">
        <v>44644</v>
      </c>
      <c r="G136" s="3">
        <v>37800</v>
      </c>
      <c r="H136" s="1">
        <v>0</v>
      </c>
      <c r="I136" s="1" t="s">
        <v>99</v>
      </c>
      <c r="J136" s="1" t="s">
        <v>27</v>
      </c>
    </row>
    <row r="137" spans="1:10" hidden="1" x14ac:dyDescent="0.25">
      <c r="A137" s="1" t="s">
        <v>244</v>
      </c>
      <c r="B137" s="1" t="s">
        <v>98</v>
      </c>
      <c r="C137" s="1">
        <v>17446</v>
      </c>
      <c r="D137" s="1">
        <v>26454</v>
      </c>
      <c r="E137" s="2">
        <v>44494</v>
      </c>
      <c r="F137" s="2">
        <v>44644</v>
      </c>
      <c r="G137" s="3">
        <v>18532</v>
      </c>
      <c r="H137" s="1">
        <v>0</v>
      </c>
      <c r="I137" s="1" t="s">
        <v>497</v>
      </c>
      <c r="J137" s="1" t="s">
        <v>27</v>
      </c>
    </row>
    <row r="138" spans="1:10" hidden="1" x14ac:dyDescent="0.25">
      <c r="A138" s="1" t="s">
        <v>702</v>
      </c>
      <c r="B138" s="1" t="s">
        <v>703</v>
      </c>
      <c r="C138" s="1">
        <v>17460</v>
      </c>
      <c r="D138" s="1">
        <v>26467</v>
      </c>
      <c r="E138" s="2">
        <v>44494</v>
      </c>
      <c r="F138" s="2">
        <v>44644</v>
      </c>
      <c r="G138" s="3">
        <v>18675</v>
      </c>
      <c r="H138" s="1">
        <v>0</v>
      </c>
      <c r="I138" s="1" t="s">
        <v>704</v>
      </c>
      <c r="J138" s="1" t="s">
        <v>115</v>
      </c>
    </row>
    <row r="139" spans="1:10" hidden="1" x14ac:dyDescent="0.25">
      <c r="A139" s="1" t="s">
        <v>24</v>
      </c>
      <c r="B139" s="1" t="s">
        <v>25</v>
      </c>
      <c r="C139" s="1">
        <v>17453</v>
      </c>
      <c r="D139" s="1">
        <v>26461</v>
      </c>
      <c r="E139" s="2">
        <v>44494</v>
      </c>
      <c r="F139" s="2">
        <v>44644</v>
      </c>
      <c r="G139" s="3">
        <v>37800</v>
      </c>
      <c r="H139" s="1">
        <v>0</v>
      </c>
      <c r="I139" s="1" t="s">
        <v>1106</v>
      </c>
      <c r="J139" s="1" t="s">
        <v>27</v>
      </c>
    </row>
    <row r="140" spans="1:10" hidden="1" x14ac:dyDescent="0.25">
      <c r="A140" s="1" t="s">
        <v>33</v>
      </c>
      <c r="B140" s="1" t="s">
        <v>34</v>
      </c>
      <c r="C140" s="1">
        <v>18784</v>
      </c>
      <c r="D140" s="1">
        <v>27803</v>
      </c>
      <c r="E140" s="2">
        <v>44614</v>
      </c>
      <c r="F140" s="2">
        <v>44644</v>
      </c>
      <c r="G140" s="3">
        <v>3906</v>
      </c>
      <c r="H140" s="1">
        <v>0</v>
      </c>
      <c r="I140" s="1" t="s">
        <v>1463</v>
      </c>
      <c r="J140" s="1" t="s">
        <v>18</v>
      </c>
    </row>
    <row r="141" spans="1:10" hidden="1" x14ac:dyDescent="0.25">
      <c r="A141" s="1" t="s">
        <v>20</v>
      </c>
      <c r="B141" s="1" t="s">
        <v>21</v>
      </c>
      <c r="C141" s="1">
        <v>17450</v>
      </c>
      <c r="D141" s="1">
        <v>26458</v>
      </c>
      <c r="E141" s="2">
        <v>44494</v>
      </c>
      <c r="F141" s="2">
        <v>44644</v>
      </c>
      <c r="G141" s="3">
        <v>2000</v>
      </c>
      <c r="H141" s="1">
        <v>0</v>
      </c>
      <c r="I141" s="1" t="s">
        <v>1651</v>
      </c>
      <c r="J141" s="1" t="s">
        <v>23</v>
      </c>
    </row>
    <row r="142" spans="1:10" hidden="1" x14ac:dyDescent="0.25">
      <c r="A142" s="1" t="s">
        <v>24</v>
      </c>
      <c r="B142" s="1" t="s">
        <v>25</v>
      </c>
      <c r="C142" s="1">
        <v>17484</v>
      </c>
      <c r="D142" s="1">
        <v>26490</v>
      </c>
      <c r="E142" s="2">
        <v>44495</v>
      </c>
      <c r="F142" s="2">
        <v>44645</v>
      </c>
      <c r="G142" s="3">
        <v>1287</v>
      </c>
      <c r="H142" s="1">
        <v>0</v>
      </c>
      <c r="I142" s="1" t="s">
        <v>26</v>
      </c>
      <c r="J142" s="1" t="s">
        <v>27</v>
      </c>
    </row>
    <row r="143" spans="1:10" hidden="1" x14ac:dyDescent="0.25">
      <c r="A143" s="1" t="s">
        <v>70</v>
      </c>
      <c r="B143" s="1" t="s">
        <v>71</v>
      </c>
      <c r="C143" s="1">
        <v>17719</v>
      </c>
      <c r="D143" s="1">
        <v>26713</v>
      </c>
      <c r="E143" s="2">
        <v>44510</v>
      </c>
      <c r="F143" s="2">
        <v>44645</v>
      </c>
      <c r="G143" s="3">
        <v>27128.36</v>
      </c>
      <c r="H143" s="1">
        <v>0</v>
      </c>
      <c r="I143" s="1" t="s">
        <v>111</v>
      </c>
      <c r="J143" s="1" t="s">
        <v>73</v>
      </c>
    </row>
    <row r="144" spans="1:10" hidden="1" x14ac:dyDescent="0.25">
      <c r="A144" s="1" t="s">
        <v>338</v>
      </c>
      <c r="B144" s="1" t="s">
        <v>305</v>
      </c>
      <c r="C144" s="1">
        <v>17490</v>
      </c>
      <c r="D144" s="1">
        <v>26496</v>
      </c>
      <c r="E144" s="2">
        <v>44495</v>
      </c>
      <c r="F144" s="2">
        <v>44645</v>
      </c>
      <c r="G144" s="3">
        <v>10981.8</v>
      </c>
      <c r="H144" s="1">
        <v>0</v>
      </c>
      <c r="I144" s="1" t="s">
        <v>339</v>
      </c>
      <c r="J144" s="1" t="s">
        <v>27</v>
      </c>
    </row>
    <row r="145" spans="1:10" hidden="1" x14ac:dyDescent="0.25">
      <c r="A145" s="1" t="s">
        <v>304</v>
      </c>
      <c r="B145" s="1" t="s">
        <v>305</v>
      </c>
      <c r="C145" s="1">
        <v>17489</v>
      </c>
      <c r="D145" s="1">
        <v>26495</v>
      </c>
      <c r="E145" s="2">
        <v>44495</v>
      </c>
      <c r="F145" s="2">
        <v>44645</v>
      </c>
      <c r="G145" s="3">
        <v>1971</v>
      </c>
      <c r="H145" s="1">
        <v>0</v>
      </c>
      <c r="I145" s="1" t="s">
        <v>498</v>
      </c>
      <c r="J145" s="1" t="s">
        <v>27</v>
      </c>
    </row>
    <row r="146" spans="1:10" hidden="1" x14ac:dyDescent="0.25">
      <c r="A146" s="1" t="s">
        <v>10</v>
      </c>
      <c r="B146" s="1" t="s">
        <v>11</v>
      </c>
      <c r="C146" s="1">
        <v>17499</v>
      </c>
      <c r="D146" s="1">
        <v>26505</v>
      </c>
      <c r="E146" s="2">
        <v>44495</v>
      </c>
      <c r="F146" s="2">
        <v>44645</v>
      </c>
      <c r="G146" s="3">
        <v>28666.639999999999</v>
      </c>
      <c r="H146" s="1">
        <v>0</v>
      </c>
      <c r="I146" s="1" t="s">
        <v>543</v>
      </c>
      <c r="J146" s="1" t="s">
        <v>13</v>
      </c>
    </row>
    <row r="147" spans="1:10" hidden="1" x14ac:dyDescent="0.25">
      <c r="A147" s="1" t="s">
        <v>78</v>
      </c>
      <c r="B147" s="1" t="s">
        <v>79</v>
      </c>
      <c r="C147" s="1">
        <v>16380</v>
      </c>
      <c r="D147" s="1">
        <v>25318</v>
      </c>
      <c r="E147" s="2">
        <v>44405</v>
      </c>
      <c r="F147" s="2">
        <v>44645</v>
      </c>
      <c r="G147" s="3">
        <v>37200</v>
      </c>
      <c r="H147" s="1">
        <v>0</v>
      </c>
      <c r="I147" s="1" t="s">
        <v>559</v>
      </c>
      <c r="J147" s="1" t="s">
        <v>68</v>
      </c>
    </row>
    <row r="148" spans="1:10" hidden="1" x14ac:dyDescent="0.25">
      <c r="A148" s="1" t="s">
        <v>338</v>
      </c>
      <c r="B148" s="1" t="s">
        <v>305</v>
      </c>
      <c r="C148" s="1">
        <v>17470</v>
      </c>
      <c r="D148" s="1">
        <v>26477</v>
      </c>
      <c r="E148" s="2">
        <v>44495</v>
      </c>
      <c r="F148" s="2">
        <v>44645</v>
      </c>
      <c r="G148" s="3">
        <v>58500</v>
      </c>
      <c r="H148" s="1">
        <v>0</v>
      </c>
      <c r="I148" s="1" t="s">
        <v>607</v>
      </c>
      <c r="J148" s="1" t="s">
        <v>27</v>
      </c>
    </row>
    <row r="149" spans="1:10" hidden="1" x14ac:dyDescent="0.25">
      <c r="A149" s="1" t="s">
        <v>221</v>
      </c>
      <c r="B149" s="1" t="s">
        <v>222</v>
      </c>
      <c r="C149" s="1">
        <v>17481</v>
      </c>
      <c r="D149" s="1">
        <v>26487</v>
      </c>
      <c r="E149" s="2">
        <v>44495</v>
      </c>
      <c r="F149" s="2">
        <v>44645</v>
      </c>
      <c r="G149" s="1">
        <v>532</v>
      </c>
      <c r="H149" s="1">
        <v>0</v>
      </c>
      <c r="I149" s="1" t="s">
        <v>649</v>
      </c>
      <c r="J149" s="1" t="s">
        <v>27</v>
      </c>
    </row>
    <row r="150" spans="1:10" hidden="1" x14ac:dyDescent="0.25">
      <c r="A150" s="1" t="s">
        <v>857</v>
      </c>
      <c r="B150" s="1" t="s">
        <v>858</v>
      </c>
      <c r="C150" s="1">
        <v>18048</v>
      </c>
      <c r="D150" s="1">
        <v>27059</v>
      </c>
      <c r="E150" s="2">
        <v>44540</v>
      </c>
      <c r="F150" s="2">
        <v>44645</v>
      </c>
      <c r="G150" s="3">
        <v>38804.5</v>
      </c>
      <c r="H150" s="1">
        <v>0</v>
      </c>
      <c r="I150" s="1" t="s">
        <v>859</v>
      </c>
      <c r="J150" s="1" t="s">
        <v>73</v>
      </c>
    </row>
    <row r="151" spans="1:10" hidden="1" x14ac:dyDescent="0.25">
      <c r="A151" s="1" t="s">
        <v>847</v>
      </c>
      <c r="B151" s="1" t="s">
        <v>848</v>
      </c>
      <c r="C151" s="1">
        <v>17687</v>
      </c>
      <c r="D151" s="1">
        <v>26685</v>
      </c>
      <c r="E151" s="2">
        <v>44510</v>
      </c>
      <c r="F151" s="2">
        <v>44645</v>
      </c>
      <c r="G151" s="3">
        <v>4509</v>
      </c>
      <c r="H151" s="1">
        <v>0</v>
      </c>
      <c r="I151" s="1" t="s">
        <v>860</v>
      </c>
      <c r="J151" s="1" t="s">
        <v>73</v>
      </c>
    </row>
    <row r="152" spans="1:10" hidden="1" x14ac:dyDescent="0.25">
      <c r="A152" s="1" t="s">
        <v>528</v>
      </c>
      <c r="B152" s="1" t="s">
        <v>529</v>
      </c>
      <c r="C152" s="1">
        <v>17474</v>
      </c>
      <c r="D152" s="1">
        <v>26480</v>
      </c>
      <c r="E152" s="2">
        <v>44495</v>
      </c>
      <c r="F152" s="2">
        <v>44645</v>
      </c>
      <c r="G152" s="3">
        <v>124500</v>
      </c>
      <c r="H152" s="1">
        <v>0</v>
      </c>
      <c r="I152" s="1" t="s">
        <v>877</v>
      </c>
      <c r="J152" s="1" t="s">
        <v>58</v>
      </c>
    </row>
    <row r="153" spans="1:10" hidden="1" x14ac:dyDescent="0.25">
      <c r="A153" s="1" t="s">
        <v>97</v>
      </c>
      <c r="B153" s="1" t="s">
        <v>98</v>
      </c>
      <c r="C153" s="1">
        <v>17477</v>
      </c>
      <c r="D153" s="1">
        <v>26483</v>
      </c>
      <c r="E153" s="2">
        <v>44495</v>
      </c>
      <c r="F153" s="2">
        <v>44645</v>
      </c>
      <c r="G153" s="3">
        <v>1872</v>
      </c>
      <c r="H153" s="1">
        <v>0</v>
      </c>
      <c r="I153" s="1" t="s">
        <v>917</v>
      </c>
      <c r="J153" s="1" t="s">
        <v>27</v>
      </c>
    </row>
    <row r="154" spans="1:10" hidden="1" x14ac:dyDescent="0.25">
      <c r="A154" s="1" t="s">
        <v>78</v>
      </c>
      <c r="B154" s="1" t="s">
        <v>79</v>
      </c>
      <c r="C154" s="1">
        <v>16379</v>
      </c>
      <c r="D154" s="1">
        <v>25317</v>
      </c>
      <c r="E154" s="2">
        <v>44405</v>
      </c>
      <c r="F154" s="2">
        <v>44645</v>
      </c>
      <c r="G154" s="3">
        <v>243200</v>
      </c>
      <c r="H154" s="1">
        <v>0</v>
      </c>
      <c r="I154" s="1" t="s">
        <v>1034</v>
      </c>
      <c r="J154" s="1" t="s">
        <v>68</v>
      </c>
    </row>
    <row r="155" spans="1:10" hidden="1" x14ac:dyDescent="0.25">
      <c r="A155" s="1" t="s">
        <v>70</v>
      </c>
      <c r="B155" s="1" t="s">
        <v>71</v>
      </c>
      <c r="C155" s="1">
        <v>17688</v>
      </c>
      <c r="D155" s="1">
        <v>26686</v>
      </c>
      <c r="E155" s="2">
        <v>44510</v>
      </c>
      <c r="F155" s="2">
        <v>44645</v>
      </c>
      <c r="G155" s="3">
        <v>1166.67</v>
      </c>
      <c r="H155" s="1">
        <v>0</v>
      </c>
      <c r="I155" s="1" t="s">
        <v>1213</v>
      </c>
      <c r="J155" s="1" t="s">
        <v>73</v>
      </c>
    </row>
    <row r="156" spans="1:10" hidden="1" x14ac:dyDescent="0.25">
      <c r="A156" s="1" t="s">
        <v>70</v>
      </c>
      <c r="B156" s="1" t="s">
        <v>71</v>
      </c>
      <c r="C156" s="1">
        <v>17690</v>
      </c>
      <c r="D156" s="1">
        <v>26688</v>
      </c>
      <c r="E156" s="2">
        <v>44510</v>
      </c>
      <c r="F156" s="2">
        <v>44645</v>
      </c>
      <c r="G156" s="1">
        <v>750</v>
      </c>
      <c r="H156" s="1">
        <v>0</v>
      </c>
      <c r="I156" s="1" t="s">
        <v>1214</v>
      </c>
      <c r="J156" s="1" t="s">
        <v>73</v>
      </c>
    </row>
    <row r="157" spans="1:10" hidden="1" x14ac:dyDescent="0.25">
      <c r="A157" s="1" t="s">
        <v>24</v>
      </c>
      <c r="B157" s="1" t="s">
        <v>25</v>
      </c>
      <c r="C157" s="1">
        <v>17494</v>
      </c>
      <c r="D157" s="1">
        <v>26500</v>
      </c>
      <c r="E157" s="2">
        <v>44495</v>
      </c>
      <c r="F157" s="2">
        <v>44645</v>
      </c>
      <c r="G157" s="3">
        <v>37800</v>
      </c>
      <c r="H157" s="1">
        <v>0</v>
      </c>
      <c r="I157" s="1" t="s">
        <v>1289</v>
      </c>
      <c r="J157" s="1" t="s">
        <v>27</v>
      </c>
    </row>
    <row r="158" spans="1:10" hidden="1" x14ac:dyDescent="0.25">
      <c r="A158" s="1" t="s">
        <v>10</v>
      </c>
      <c r="B158" s="1" t="s">
        <v>11</v>
      </c>
      <c r="C158" s="1">
        <v>17496</v>
      </c>
      <c r="D158" s="1">
        <v>26503</v>
      </c>
      <c r="E158" s="2">
        <v>44495</v>
      </c>
      <c r="F158" s="2">
        <v>44645</v>
      </c>
      <c r="G158" s="3">
        <v>12666.7</v>
      </c>
      <c r="H158" s="1">
        <v>0</v>
      </c>
      <c r="I158" s="1" t="s">
        <v>1327</v>
      </c>
      <c r="J158" s="1" t="s">
        <v>13</v>
      </c>
    </row>
    <row r="159" spans="1:10" hidden="1" x14ac:dyDescent="0.25">
      <c r="A159" s="1" t="s">
        <v>304</v>
      </c>
      <c r="B159" s="1" t="s">
        <v>305</v>
      </c>
      <c r="C159" s="1">
        <v>17469</v>
      </c>
      <c r="D159" s="1">
        <v>26476</v>
      </c>
      <c r="E159" s="2">
        <v>44495</v>
      </c>
      <c r="F159" s="2">
        <v>44645</v>
      </c>
      <c r="G159" s="3">
        <v>43875</v>
      </c>
      <c r="H159" s="1">
        <v>0</v>
      </c>
      <c r="I159" s="1" t="s">
        <v>1489</v>
      </c>
      <c r="J159" s="1" t="s">
        <v>27</v>
      </c>
    </row>
    <row r="160" spans="1:10" hidden="1" x14ac:dyDescent="0.25">
      <c r="A160" s="1" t="s">
        <v>1620</v>
      </c>
      <c r="B160" s="1" t="s">
        <v>1621</v>
      </c>
      <c r="C160" s="1">
        <v>18798</v>
      </c>
      <c r="D160" s="1">
        <v>27820</v>
      </c>
      <c r="E160" s="2">
        <v>44615</v>
      </c>
      <c r="F160" s="2">
        <v>44645</v>
      </c>
      <c r="G160" s="3">
        <v>1564.5</v>
      </c>
      <c r="H160" s="1">
        <v>0</v>
      </c>
      <c r="I160" s="1" t="s">
        <v>1622</v>
      </c>
      <c r="J160" s="1" t="s">
        <v>88</v>
      </c>
    </row>
    <row r="161" spans="1:10" hidden="1" x14ac:dyDescent="0.25">
      <c r="A161" s="1" t="s">
        <v>10</v>
      </c>
      <c r="B161" s="1" t="s">
        <v>11</v>
      </c>
      <c r="C161" s="1">
        <v>17495</v>
      </c>
      <c r="D161" s="1">
        <v>26502</v>
      </c>
      <c r="E161" s="2">
        <v>44495</v>
      </c>
      <c r="F161" s="2">
        <v>44645</v>
      </c>
      <c r="G161" s="3">
        <v>26289.97</v>
      </c>
      <c r="H161" s="1">
        <v>0</v>
      </c>
      <c r="I161" s="1" t="s">
        <v>1663</v>
      </c>
      <c r="J161" s="1" t="s">
        <v>13</v>
      </c>
    </row>
    <row r="162" spans="1:10" hidden="1" x14ac:dyDescent="0.25">
      <c r="A162" s="1" t="s">
        <v>78</v>
      </c>
      <c r="B162" s="1" t="s">
        <v>79</v>
      </c>
      <c r="C162" s="1">
        <v>18531</v>
      </c>
      <c r="D162" s="1">
        <v>27531</v>
      </c>
      <c r="E162" s="2">
        <v>44586</v>
      </c>
      <c r="F162" s="2">
        <v>44646</v>
      </c>
      <c r="G162" s="3">
        <v>161090.76999999999</v>
      </c>
      <c r="H162" s="1">
        <v>0</v>
      </c>
      <c r="I162" s="1" t="s">
        <v>330</v>
      </c>
      <c r="J162" s="1" t="s">
        <v>68</v>
      </c>
    </row>
    <row r="163" spans="1:10" hidden="1" x14ac:dyDescent="0.25">
      <c r="A163" s="1" t="s">
        <v>70</v>
      </c>
      <c r="B163" s="1" t="s">
        <v>71</v>
      </c>
      <c r="C163" s="1">
        <v>18526</v>
      </c>
      <c r="D163" s="1">
        <v>27527</v>
      </c>
      <c r="E163" s="2">
        <v>44586</v>
      </c>
      <c r="F163" s="2">
        <v>44646</v>
      </c>
      <c r="G163" s="3">
        <v>3360</v>
      </c>
      <c r="H163" s="1">
        <v>0</v>
      </c>
      <c r="I163" s="1" t="s">
        <v>349</v>
      </c>
      <c r="J163" s="1" t="s">
        <v>73</v>
      </c>
    </row>
    <row r="164" spans="1:10" hidden="1" x14ac:dyDescent="0.25">
      <c r="A164" s="1" t="s">
        <v>244</v>
      </c>
      <c r="B164" s="1" t="s">
        <v>98</v>
      </c>
      <c r="C164" s="1">
        <v>17526</v>
      </c>
      <c r="D164" s="1">
        <v>26531</v>
      </c>
      <c r="E164" s="2">
        <v>44496</v>
      </c>
      <c r="F164" s="2">
        <v>44646</v>
      </c>
      <c r="G164" s="3">
        <v>24000</v>
      </c>
      <c r="H164" s="1">
        <v>0</v>
      </c>
      <c r="I164" s="1" t="s">
        <v>706</v>
      </c>
      <c r="J164" s="1" t="s">
        <v>27</v>
      </c>
    </row>
    <row r="165" spans="1:10" hidden="1" x14ac:dyDescent="0.25">
      <c r="A165" s="1" t="s">
        <v>78</v>
      </c>
      <c r="B165" s="1" t="s">
        <v>79</v>
      </c>
      <c r="C165" s="1">
        <v>18528</v>
      </c>
      <c r="D165" s="1">
        <v>27528</v>
      </c>
      <c r="E165" s="2">
        <v>44586</v>
      </c>
      <c r="F165" s="2">
        <v>44646</v>
      </c>
      <c r="G165" s="3">
        <v>122428.99</v>
      </c>
      <c r="H165" s="1">
        <v>0</v>
      </c>
      <c r="I165" s="1" t="s">
        <v>721</v>
      </c>
      <c r="J165" s="1" t="s">
        <v>68</v>
      </c>
    </row>
    <row r="166" spans="1:10" hidden="1" x14ac:dyDescent="0.25">
      <c r="A166" s="1" t="s">
        <v>78</v>
      </c>
      <c r="B166" s="1" t="s">
        <v>79</v>
      </c>
      <c r="C166" s="1">
        <v>18530</v>
      </c>
      <c r="D166" s="1">
        <v>27530</v>
      </c>
      <c r="E166" s="2">
        <v>44586</v>
      </c>
      <c r="F166" s="2">
        <v>44646</v>
      </c>
      <c r="G166" s="3">
        <v>106217.43</v>
      </c>
      <c r="H166" s="1">
        <v>0</v>
      </c>
      <c r="I166" s="1" t="s">
        <v>922</v>
      </c>
      <c r="J166" s="1" t="s">
        <v>68</v>
      </c>
    </row>
    <row r="167" spans="1:10" hidden="1" x14ac:dyDescent="0.25">
      <c r="A167" s="1" t="s">
        <v>97</v>
      </c>
      <c r="B167" s="1" t="s">
        <v>98</v>
      </c>
      <c r="C167" s="1">
        <v>17530</v>
      </c>
      <c r="D167" s="1">
        <v>26537</v>
      </c>
      <c r="E167" s="2">
        <v>44496</v>
      </c>
      <c r="F167" s="2">
        <v>44646</v>
      </c>
      <c r="G167" s="3">
        <v>24000</v>
      </c>
      <c r="H167" s="1">
        <v>0</v>
      </c>
      <c r="I167" s="1" t="s">
        <v>1366</v>
      </c>
      <c r="J167" s="1" t="s">
        <v>27</v>
      </c>
    </row>
    <row r="168" spans="1:10" hidden="1" x14ac:dyDescent="0.25">
      <c r="A168" s="1" t="s">
        <v>147</v>
      </c>
      <c r="B168" s="1" t="s">
        <v>148</v>
      </c>
      <c r="C168" s="1">
        <v>17880</v>
      </c>
      <c r="D168" s="1">
        <v>26888</v>
      </c>
      <c r="E168" s="2">
        <v>44526</v>
      </c>
      <c r="F168" s="2">
        <v>44646</v>
      </c>
      <c r="G168" s="3">
        <v>71580</v>
      </c>
      <c r="H168" s="1">
        <v>0</v>
      </c>
      <c r="I168" s="1" t="s">
        <v>1474</v>
      </c>
      <c r="J168" s="1" t="s">
        <v>23</v>
      </c>
    </row>
    <row r="169" spans="1:10" hidden="1" x14ac:dyDescent="0.25">
      <c r="A169" s="1" t="s">
        <v>231</v>
      </c>
      <c r="B169" s="1" t="s">
        <v>232</v>
      </c>
      <c r="C169" s="1">
        <v>18212</v>
      </c>
      <c r="D169" s="1">
        <v>27223</v>
      </c>
      <c r="E169" s="2">
        <v>44557</v>
      </c>
      <c r="F169" s="2">
        <v>44647</v>
      </c>
      <c r="G169" s="1">
        <v>156.30000000000001</v>
      </c>
      <c r="H169" s="1">
        <v>0</v>
      </c>
      <c r="I169" s="1" t="s">
        <v>581</v>
      </c>
      <c r="J169" s="1" t="s">
        <v>13</v>
      </c>
    </row>
    <row r="170" spans="1:10" hidden="1" x14ac:dyDescent="0.25">
      <c r="A170" s="1" t="s">
        <v>10</v>
      </c>
      <c r="B170" s="1" t="s">
        <v>11</v>
      </c>
      <c r="C170" s="1">
        <v>17004</v>
      </c>
      <c r="D170" s="1">
        <v>26011</v>
      </c>
      <c r="E170" s="2">
        <v>44467</v>
      </c>
      <c r="F170" s="2">
        <v>44647</v>
      </c>
      <c r="G170" s="3">
        <v>105000</v>
      </c>
      <c r="H170" s="1">
        <v>0</v>
      </c>
      <c r="I170" s="1" t="s">
        <v>810</v>
      </c>
      <c r="J170" s="1" t="s">
        <v>13</v>
      </c>
    </row>
    <row r="171" spans="1:10" hidden="1" x14ac:dyDescent="0.25">
      <c r="A171" s="1" t="s">
        <v>24</v>
      </c>
      <c r="B171" s="1" t="s">
        <v>25</v>
      </c>
      <c r="C171" s="1">
        <v>17539</v>
      </c>
      <c r="D171" s="1">
        <v>26546</v>
      </c>
      <c r="E171" s="2">
        <v>44497</v>
      </c>
      <c r="F171" s="2">
        <v>44647</v>
      </c>
      <c r="G171" s="3">
        <v>39840</v>
      </c>
      <c r="H171" s="1">
        <v>0</v>
      </c>
      <c r="I171" s="1" t="s">
        <v>1108</v>
      </c>
      <c r="J171" s="1" t="s">
        <v>27</v>
      </c>
    </row>
    <row r="172" spans="1:10" hidden="1" x14ac:dyDescent="0.25">
      <c r="A172" s="1" t="s">
        <v>1597</v>
      </c>
      <c r="B172" s="1" t="s">
        <v>1598</v>
      </c>
      <c r="C172" s="1">
        <v>18845</v>
      </c>
      <c r="D172" s="1">
        <v>27866</v>
      </c>
      <c r="E172" s="2">
        <v>44617</v>
      </c>
      <c r="F172" s="2">
        <v>44647</v>
      </c>
      <c r="G172" s="3">
        <v>22830.17</v>
      </c>
      <c r="H172" s="1">
        <v>0</v>
      </c>
      <c r="I172" s="1" t="s">
        <v>1599</v>
      </c>
      <c r="J172" s="1" t="s">
        <v>730</v>
      </c>
    </row>
    <row r="173" spans="1:10" hidden="1" x14ac:dyDescent="0.25">
      <c r="A173" s="1" t="s">
        <v>78</v>
      </c>
      <c r="B173" s="1" t="s">
        <v>79</v>
      </c>
      <c r="C173" s="1">
        <v>18551</v>
      </c>
      <c r="D173" s="1">
        <v>27549</v>
      </c>
      <c r="E173" s="2">
        <v>44588</v>
      </c>
      <c r="F173" s="2">
        <v>44648</v>
      </c>
      <c r="G173" s="3">
        <v>145049.56</v>
      </c>
      <c r="H173" s="1">
        <v>0</v>
      </c>
      <c r="I173" s="1" t="s">
        <v>350</v>
      </c>
      <c r="J173" s="1" t="s">
        <v>68</v>
      </c>
    </row>
    <row r="174" spans="1:10" hidden="1" x14ac:dyDescent="0.25">
      <c r="A174" s="1" t="s">
        <v>78</v>
      </c>
      <c r="B174" s="1" t="s">
        <v>79</v>
      </c>
      <c r="C174" s="1">
        <v>18549</v>
      </c>
      <c r="D174" s="1">
        <v>27547</v>
      </c>
      <c r="E174" s="2">
        <v>44588</v>
      </c>
      <c r="F174" s="2">
        <v>44648</v>
      </c>
      <c r="G174" s="3">
        <v>67979.149999999994</v>
      </c>
      <c r="H174" s="1">
        <v>0</v>
      </c>
      <c r="I174" s="1" t="s">
        <v>425</v>
      </c>
      <c r="J174" s="1" t="s">
        <v>68</v>
      </c>
    </row>
    <row r="175" spans="1:10" hidden="1" x14ac:dyDescent="0.25">
      <c r="A175" s="1" t="s">
        <v>78</v>
      </c>
      <c r="B175" s="1" t="s">
        <v>79</v>
      </c>
      <c r="C175" s="1">
        <v>18550</v>
      </c>
      <c r="D175" s="1">
        <v>27548</v>
      </c>
      <c r="E175" s="2">
        <v>44588</v>
      </c>
      <c r="F175" s="2">
        <v>44648</v>
      </c>
      <c r="G175" s="3">
        <v>128872.61</v>
      </c>
      <c r="H175" s="1">
        <v>0</v>
      </c>
      <c r="I175" s="1" t="s">
        <v>832</v>
      </c>
      <c r="J175" s="1" t="s">
        <v>68</v>
      </c>
    </row>
    <row r="176" spans="1:10" hidden="1" x14ac:dyDescent="0.25">
      <c r="A176" s="1" t="s">
        <v>78</v>
      </c>
      <c r="B176" s="1" t="s">
        <v>79</v>
      </c>
      <c r="C176" s="1">
        <v>18552</v>
      </c>
      <c r="D176" s="1">
        <v>27550</v>
      </c>
      <c r="E176" s="2">
        <v>44588</v>
      </c>
      <c r="F176" s="2">
        <v>44648</v>
      </c>
      <c r="G176" s="3">
        <v>125163.02</v>
      </c>
      <c r="H176" s="1">
        <v>0</v>
      </c>
      <c r="I176" s="1" t="s">
        <v>899</v>
      </c>
      <c r="J176" s="1" t="s">
        <v>68</v>
      </c>
    </row>
    <row r="177" spans="1:10" hidden="1" x14ac:dyDescent="0.25">
      <c r="A177" s="1" t="s">
        <v>78</v>
      </c>
      <c r="B177" s="1" t="s">
        <v>79</v>
      </c>
      <c r="C177" s="1">
        <v>18553</v>
      </c>
      <c r="D177" s="1">
        <v>27551</v>
      </c>
      <c r="E177" s="2">
        <v>44588</v>
      </c>
      <c r="F177" s="2">
        <v>44648</v>
      </c>
      <c r="G177" s="3">
        <v>125163.02</v>
      </c>
      <c r="H177" s="1">
        <v>0</v>
      </c>
      <c r="I177" s="1" t="s">
        <v>80</v>
      </c>
      <c r="J177" s="1" t="s">
        <v>68</v>
      </c>
    </row>
    <row r="178" spans="1:10" hidden="1" x14ac:dyDescent="0.25">
      <c r="A178" s="1" t="s">
        <v>78</v>
      </c>
      <c r="B178" s="1" t="s">
        <v>79</v>
      </c>
      <c r="C178" s="1">
        <v>18548</v>
      </c>
      <c r="D178" s="1">
        <v>27546</v>
      </c>
      <c r="E178" s="2">
        <v>44588</v>
      </c>
      <c r="F178" s="2">
        <v>44648</v>
      </c>
      <c r="G178" s="3">
        <v>67979.149999999994</v>
      </c>
      <c r="H178" s="1">
        <v>0</v>
      </c>
      <c r="I178" s="1" t="s">
        <v>1612</v>
      </c>
      <c r="J178" s="1" t="s">
        <v>68</v>
      </c>
    </row>
    <row r="179" spans="1:10" hidden="1" x14ac:dyDescent="0.25">
      <c r="A179" s="1" t="s">
        <v>108</v>
      </c>
      <c r="B179" s="1" t="s">
        <v>109</v>
      </c>
      <c r="C179" s="1">
        <v>16680</v>
      </c>
      <c r="D179" s="1">
        <v>25646</v>
      </c>
      <c r="E179" s="2">
        <v>44439</v>
      </c>
      <c r="F179" s="2">
        <v>44649</v>
      </c>
      <c r="G179" s="3">
        <v>39754</v>
      </c>
      <c r="H179" s="1">
        <v>0</v>
      </c>
      <c r="I179" s="1" t="s">
        <v>110</v>
      </c>
      <c r="J179" s="1" t="s">
        <v>88</v>
      </c>
    </row>
    <row r="180" spans="1:10" hidden="1" x14ac:dyDescent="0.25">
      <c r="A180" s="1" t="s">
        <v>535</v>
      </c>
      <c r="B180" s="1" t="s">
        <v>536</v>
      </c>
      <c r="C180" s="1">
        <v>18099</v>
      </c>
      <c r="D180" s="1">
        <v>27111</v>
      </c>
      <c r="E180" s="2">
        <v>44544</v>
      </c>
      <c r="F180" s="2">
        <v>44649</v>
      </c>
      <c r="G180" s="1">
        <v>840</v>
      </c>
      <c r="H180" s="1">
        <v>0</v>
      </c>
      <c r="I180" s="1" t="s">
        <v>699</v>
      </c>
      <c r="J180" s="1" t="s">
        <v>58</v>
      </c>
    </row>
    <row r="181" spans="1:10" hidden="1" x14ac:dyDescent="0.25">
      <c r="A181" s="1" t="s">
        <v>535</v>
      </c>
      <c r="B181" s="1" t="s">
        <v>536</v>
      </c>
      <c r="C181" s="1">
        <v>18098</v>
      </c>
      <c r="D181" s="1">
        <v>27110</v>
      </c>
      <c r="E181" s="2">
        <v>44544</v>
      </c>
      <c r="F181" s="2">
        <v>44649</v>
      </c>
      <c r="G181" s="1">
        <v>770</v>
      </c>
      <c r="H181" s="1">
        <v>0</v>
      </c>
      <c r="I181" s="1" t="s">
        <v>871</v>
      </c>
      <c r="J181" s="1" t="s">
        <v>58</v>
      </c>
    </row>
    <row r="182" spans="1:10" hidden="1" x14ac:dyDescent="0.25">
      <c r="A182" s="1" t="s">
        <v>108</v>
      </c>
      <c r="B182" s="1" t="s">
        <v>109</v>
      </c>
      <c r="C182" s="1">
        <v>16681</v>
      </c>
      <c r="D182" s="1">
        <v>25647</v>
      </c>
      <c r="E182" s="2">
        <v>44439</v>
      </c>
      <c r="F182" s="2">
        <v>44649</v>
      </c>
      <c r="G182" s="3">
        <v>132810</v>
      </c>
      <c r="H182" s="1">
        <v>0</v>
      </c>
      <c r="I182" s="1" t="s">
        <v>1130</v>
      </c>
      <c r="J182" s="1" t="s">
        <v>88</v>
      </c>
    </row>
    <row r="183" spans="1:10" hidden="1" x14ac:dyDescent="0.25">
      <c r="A183" s="1" t="s">
        <v>180</v>
      </c>
      <c r="B183" s="1" t="s">
        <v>181</v>
      </c>
      <c r="C183" s="1">
        <v>16682</v>
      </c>
      <c r="D183" s="1">
        <v>25648</v>
      </c>
      <c r="E183" s="2">
        <v>44439</v>
      </c>
      <c r="F183" s="2">
        <v>44649</v>
      </c>
      <c r="G183" s="3">
        <v>75900</v>
      </c>
      <c r="H183" s="1">
        <v>0</v>
      </c>
      <c r="I183" s="1" t="s">
        <v>1569</v>
      </c>
      <c r="J183" s="1" t="s">
        <v>88</v>
      </c>
    </row>
    <row r="184" spans="1:10" hidden="1" x14ac:dyDescent="0.25">
      <c r="A184" s="1" t="s">
        <v>112</v>
      </c>
      <c r="B184" s="1" t="s">
        <v>113</v>
      </c>
      <c r="C184" s="1">
        <v>17769</v>
      </c>
      <c r="D184" s="1">
        <v>26773</v>
      </c>
      <c r="E184" s="2">
        <v>44517</v>
      </c>
      <c r="F184" s="2">
        <v>44650</v>
      </c>
      <c r="G184" s="3">
        <v>26574.6</v>
      </c>
      <c r="H184" s="1">
        <v>0</v>
      </c>
      <c r="I184" s="1" t="s">
        <v>114</v>
      </c>
      <c r="J184" s="1" t="s">
        <v>115</v>
      </c>
    </row>
    <row r="185" spans="1:10" hidden="1" x14ac:dyDescent="0.25">
      <c r="A185" s="1" t="s">
        <v>120</v>
      </c>
      <c r="B185" s="1" t="s">
        <v>121</v>
      </c>
      <c r="C185" s="1">
        <v>16585</v>
      </c>
      <c r="D185" s="1">
        <v>25550</v>
      </c>
      <c r="E185" s="2">
        <v>44427</v>
      </c>
      <c r="F185" s="2">
        <v>44650</v>
      </c>
      <c r="G185" s="3">
        <v>300906</v>
      </c>
      <c r="H185" s="1">
        <v>0</v>
      </c>
      <c r="I185" s="1" t="s">
        <v>122</v>
      </c>
      <c r="J185" s="1" t="s">
        <v>31</v>
      </c>
    </row>
    <row r="186" spans="1:10" hidden="1" x14ac:dyDescent="0.25">
      <c r="A186" s="1" t="s">
        <v>36</v>
      </c>
      <c r="B186" s="1" t="s">
        <v>37</v>
      </c>
      <c r="C186" s="1">
        <v>16522</v>
      </c>
      <c r="D186" s="1">
        <v>25472</v>
      </c>
      <c r="E186" s="2">
        <v>44419</v>
      </c>
      <c r="F186" s="2">
        <v>44650</v>
      </c>
      <c r="G186" s="3">
        <v>102600</v>
      </c>
      <c r="H186" s="1">
        <v>0</v>
      </c>
      <c r="I186" s="1" t="s">
        <v>168</v>
      </c>
      <c r="J186" s="1" t="s">
        <v>31</v>
      </c>
    </row>
    <row r="187" spans="1:10" hidden="1" x14ac:dyDescent="0.25">
      <c r="A187" s="1" t="s">
        <v>108</v>
      </c>
      <c r="B187" s="1" t="s">
        <v>109</v>
      </c>
      <c r="C187" s="1">
        <v>16689</v>
      </c>
      <c r="D187" s="1">
        <v>25655</v>
      </c>
      <c r="E187" s="2">
        <v>44440</v>
      </c>
      <c r="F187" s="2">
        <v>44650</v>
      </c>
      <c r="G187" s="3">
        <v>153833.4</v>
      </c>
      <c r="H187" s="1">
        <v>0</v>
      </c>
      <c r="I187" s="1" t="s">
        <v>197</v>
      </c>
      <c r="J187" s="1" t="s">
        <v>88</v>
      </c>
    </row>
    <row r="188" spans="1:10" hidden="1" x14ac:dyDescent="0.25">
      <c r="A188" s="1" t="s">
        <v>268</v>
      </c>
      <c r="B188" s="1" t="s">
        <v>269</v>
      </c>
      <c r="C188" s="1">
        <v>16902</v>
      </c>
      <c r="D188" s="1">
        <v>25887</v>
      </c>
      <c r="E188" s="2">
        <v>44460</v>
      </c>
      <c r="F188" s="2">
        <v>44650</v>
      </c>
      <c r="G188" s="3">
        <v>18264</v>
      </c>
      <c r="H188" s="1">
        <v>0</v>
      </c>
      <c r="I188" s="1" t="s">
        <v>364</v>
      </c>
      <c r="J188" s="1" t="s">
        <v>31</v>
      </c>
    </row>
    <row r="189" spans="1:10" hidden="1" x14ac:dyDescent="0.25">
      <c r="A189" s="1" t="s">
        <v>36</v>
      </c>
      <c r="B189" s="1" t="s">
        <v>37</v>
      </c>
      <c r="C189" s="1">
        <v>16521</v>
      </c>
      <c r="D189" s="1">
        <v>25471</v>
      </c>
      <c r="E189" s="2">
        <v>44419</v>
      </c>
      <c r="F189" s="2">
        <v>44650</v>
      </c>
      <c r="G189" s="3">
        <v>462086</v>
      </c>
      <c r="H189" s="1">
        <v>0</v>
      </c>
      <c r="I189" s="1" t="s">
        <v>876</v>
      </c>
      <c r="J189" s="1" t="s">
        <v>31</v>
      </c>
    </row>
    <row r="190" spans="1:10" hidden="1" x14ac:dyDescent="0.25">
      <c r="A190" s="1" t="s">
        <v>112</v>
      </c>
      <c r="B190" s="1" t="s">
        <v>113</v>
      </c>
      <c r="C190" s="1">
        <v>17770</v>
      </c>
      <c r="D190" s="1">
        <v>26774</v>
      </c>
      <c r="E190" s="2">
        <v>44517</v>
      </c>
      <c r="F190" s="2">
        <v>44650</v>
      </c>
      <c r="G190" s="3">
        <v>6547.2</v>
      </c>
      <c r="H190" s="1">
        <v>0</v>
      </c>
      <c r="I190" s="1" t="s">
        <v>1042</v>
      </c>
      <c r="J190" s="1" t="s">
        <v>115</v>
      </c>
    </row>
    <row r="191" spans="1:10" hidden="1" x14ac:dyDescent="0.25">
      <c r="A191" s="1" t="s">
        <v>433</v>
      </c>
      <c r="B191" s="1" t="s">
        <v>434</v>
      </c>
      <c r="C191" s="1">
        <v>16542</v>
      </c>
      <c r="D191" s="1">
        <v>25494</v>
      </c>
      <c r="E191" s="2">
        <v>44421</v>
      </c>
      <c r="F191" s="2">
        <v>44650</v>
      </c>
      <c r="G191" s="3">
        <v>58897.440000000002</v>
      </c>
      <c r="H191" s="1">
        <v>0</v>
      </c>
      <c r="I191" s="1" t="s">
        <v>1104</v>
      </c>
      <c r="J191" s="1" t="s">
        <v>92</v>
      </c>
    </row>
    <row r="192" spans="1:10" hidden="1" x14ac:dyDescent="0.25">
      <c r="A192" s="1" t="s">
        <v>221</v>
      </c>
      <c r="B192" s="1" t="s">
        <v>222</v>
      </c>
      <c r="C192" s="1">
        <v>17079</v>
      </c>
      <c r="D192" s="1">
        <v>26090</v>
      </c>
      <c r="E192" s="2">
        <v>44470</v>
      </c>
      <c r="F192" s="2">
        <v>44650</v>
      </c>
      <c r="G192" s="3">
        <v>78240</v>
      </c>
      <c r="H192" s="1">
        <v>0</v>
      </c>
      <c r="I192" s="1" t="s">
        <v>1220</v>
      </c>
      <c r="J192" s="1" t="s">
        <v>27</v>
      </c>
    </row>
    <row r="193" spans="1:10" hidden="1" x14ac:dyDescent="0.25">
      <c r="A193" s="1" t="s">
        <v>316</v>
      </c>
      <c r="B193" s="1" t="s">
        <v>317</v>
      </c>
      <c r="C193" s="1">
        <v>17411</v>
      </c>
      <c r="D193" s="1">
        <v>26413</v>
      </c>
      <c r="E193" s="2">
        <v>44490</v>
      </c>
      <c r="F193" s="2">
        <v>44650</v>
      </c>
      <c r="G193" s="3">
        <v>72000</v>
      </c>
      <c r="H193" s="1">
        <v>0</v>
      </c>
      <c r="I193" s="1" t="s">
        <v>1235</v>
      </c>
      <c r="J193" s="1" t="s">
        <v>115</v>
      </c>
    </row>
    <row r="194" spans="1:10" hidden="1" x14ac:dyDescent="0.25">
      <c r="A194" s="1" t="s">
        <v>268</v>
      </c>
      <c r="B194" s="1" t="s">
        <v>269</v>
      </c>
      <c r="C194" s="1">
        <v>16809</v>
      </c>
      <c r="D194" s="1">
        <v>25780</v>
      </c>
      <c r="E194" s="2">
        <v>44453</v>
      </c>
      <c r="F194" s="2">
        <v>44650</v>
      </c>
      <c r="G194" s="3">
        <v>213120</v>
      </c>
      <c r="H194" s="1">
        <v>0</v>
      </c>
      <c r="I194" s="1" t="s">
        <v>1301</v>
      </c>
      <c r="J194" s="1" t="s">
        <v>31</v>
      </c>
    </row>
    <row r="195" spans="1:10" hidden="1" x14ac:dyDescent="0.25">
      <c r="A195" s="1" t="s">
        <v>316</v>
      </c>
      <c r="B195" s="1" t="s">
        <v>317</v>
      </c>
      <c r="C195" s="1">
        <v>17616</v>
      </c>
      <c r="D195" s="1">
        <v>26617</v>
      </c>
      <c r="E195" s="2">
        <v>44505</v>
      </c>
      <c r="F195" s="2">
        <v>44650</v>
      </c>
      <c r="G195" s="3">
        <v>261000</v>
      </c>
      <c r="H195" s="1">
        <v>0</v>
      </c>
      <c r="I195" s="1" t="s">
        <v>1506</v>
      </c>
      <c r="J195" s="1" t="s">
        <v>115</v>
      </c>
    </row>
    <row r="196" spans="1:10" hidden="1" x14ac:dyDescent="0.25">
      <c r="A196" s="1" t="s">
        <v>198</v>
      </c>
      <c r="B196" s="1" t="s">
        <v>199</v>
      </c>
      <c r="C196" s="1">
        <v>17086</v>
      </c>
      <c r="D196" s="1">
        <v>26097</v>
      </c>
      <c r="E196" s="2">
        <v>44470</v>
      </c>
      <c r="F196" s="2">
        <v>44650</v>
      </c>
      <c r="G196" s="3">
        <v>1563.34</v>
      </c>
      <c r="H196" s="1">
        <v>0</v>
      </c>
      <c r="I196" s="1" t="s">
        <v>1532</v>
      </c>
      <c r="J196" s="1" t="s">
        <v>13</v>
      </c>
    </row>
    <row r="197" spans="1:10" hidden="1" x14ac:dyDescent="0.25">
      <c r="A197" s="1" t="s">
        <v>268</v>
      </c>
      <c r="B197" s="1" t="s">
        <v>269</v>
      </c>
      <c r="C197" s="1">
        <v>16901</v>
      </c>
      <c r="D197" s="1">
        <v>25886</v>
      </c>
      <c r="E197" s="2">
        <v>44460</v>
      </c>
      <c r="F197" s="2">
        <v>44650</v>
      </c>
      <c r="G197" s="3">
        <v>225256</v>
      </c>
      <c r="H197" s="1">
        <v>0</v>
      </c>
      <c r="I197" s="1" t="s">
        <v>1604</v>
      </c>
      <c r="J197" s="1" t="s">
        <v>31</v>
      </c>
    </row>
    <row r="198" spans="1:10" hidden="1" x14ac:dyDescent="0.25">
      <c r="A198" s="1" t="s">
        <v>268</v>
      </c>
      <c r="B198" s="1" t="s">
        <v>269</v>
      </c>
      <c r="C198" s="1">
        <v>16904</v>
      </c>
      <c r="D198" s="1">
        <v>25889</v>
      </c>
      <c r="E198" s="2">
        <v>44460</v>
      </c>
      <c r="F198" s="2">
        <v>44650</v>
      </c>
      <c r="G198" s="3">
        <v>74880</v>
      </c>
      <c r="H198" s="1">
        <v>0</v>
      </c>
      <c r="I198" s="1" t="s">
        <v>1664</v>
      </c>
      <c r="J198" s="1" t="s">
        <v>31</v>
      </c>
    </row>
    <row r="199" spans="1:10" x14ac:dyDescent="0.25">
      <c r="A199" s="1" t="s">
        <v>554</v>
      </c>
      <c r="B199" s="1" t="s">
        <v>555</v>
      </c>
      <c r="C199" s="1">
        <v>17558</v>
      </c>
      <c r="D199" s="1">
        <v>26565</v>
      </c>
      <c r="E199" s="2">
        <v>44501</v>
      </c>
      <c r="F199" s="2">
        <v>44651</v>
      </c>
      <c r="G199" s="3">
        <v>1006.87</v>
      </c>
      <c r="H199" s="1">
        <v>0</v>
      </c>
      <c r="I199" s="1" t="s">
        <v>918</v>
      </c>
      <c r="J199" s="1" t="s">
        <v>27</v>
      </c>
    </row>
    <row r="200" spans="1:10" x14ac:dyDescent="0.25">
      <c r="A200" s="1" t="s">
        <v>554</v>
      </c>
      <c r="B200" s="1" t="s">
        <v>555</v>
      </c>
      <c r="C200" s="1">
        <v>17561</v>
      </c>
      <c r="D200" s="1">
        <v>26568</v>
      </c>
      <c r="E200" s="2">
        <v>44501</v>
      </c>
      <c r="F200" s="2">
        <v>44651</v>
      </c>
      <c r="G200" s="3">
        <v>11854.8</v>
      </c>
      <c r="H200" s="1">
        <v>0</v>
      </c>
      <c r="I200" s="1" t="s">
        <v>1198</v>
      </c>
      <c r="J200" s="1" t="s">
        <v>27</v>
      </c>
    </row>
    <row r="201" spans="1:10" hidden="1" x14ac:dyDescent="0.25">
      <c r="A201" s="1" t="s">
        <v>78</v>
      </c>
      <c r="B201" s="1" t="s">
        <v>79</v>
      </c>
      <c r="C201" s="1">
        <v>18573</v>
      </c>
      <c r="D201" s="1">
        <v>27581</v>
      </c>
      <c r="E201" s="2">
        <v>44592</v>
      </c>
      <c r="F201" s="2">
        <v>44652</v>
      </c>
      <c r="G201" s="3">
        <v>148969.82</v>
      </c>
      <c r="H201" s="1">
        <v>0</v>
      </c>
      <c r="I201" s="1" t="s">
        <v>285</v>
      </c>
      <c r="J201" s="1" t="s">
        <v>68</v>
      </c>
    </row>
    <row r="202" spans="1:10" hidden="1" x14ac:dyDescent="0.25">
      <c r="A202" s="1" t="s">
        <v>78</v>
      </c>
      <c r="B202" s="1" t="s">
        <v>79</v>
      </c>
      <c r="C202" s="1">
        <v>18574</v>
      </c>
      <c r="D202" s="1">
        <v>27582</v>
      </c>
      <c r="E202" s="2">
        <v>44592</v>
      </c>
      <c r="F202" s="2">
        <v>44652</v>
      </c>
      <c r="G202" s="3">
        <v>148969.82</v>
      </c>
      <c r="H202" s="1">
        <v>0</v>
      </c>
      <c r="I202" s="1" t="s">
        <v>376</v>
      </c>
      <c r="J202" s="1" t="s">
        <v>68</v>
      </c>
    </row>
    <row r="203" spans="1:10" hidden="1" x14ac:dyDescent="0.25">
      <c r="A203" s="1" t="s">
        <v>78</v>
      </c>
      <c r="B203" s="1" t="s">
        <v>79</v>
      </c>
      <c r="C203" s="1">
        <v>18571</v>
      </c>
      <c r="D203" s="1">
        <v>27579</v>
      </c>
      <c r="E203" s="2">
        <v>44592</v>
      </c>
      <c r="F203" s="2">
        <v>44652</v>
      </c>
      <c r="G203" s="3">
        <v>186156.94</v>
      </c>
      <c r="H203" s="1">
        <v>0</v>
      </c>
      <c r="I203" s="1" t="s">
        <v>398</v>
      </c>
      <c r="J203" s="1" t="s">
        <v>68</v>
      </c>
    </row>
    <row r="204" spans="1:10" hidden="1" x14ac:dyDescent="0.25">
      <c r="A204" s="1" t="s">
        <v>78</v>
      </c>
      <c r="B204" s="1" t="s">
        <v>79</v>
      </c>
      <c r="C204" s="1">
        <v>18570</v>
      </c>
      <c r="D204" s="1">
        <v>27578</v>
      </c>
      <c r="E204" s="2">
        <v>44592</v>
      </c>
      <c r="F204" s="2">
        <v>44652</v>
      </c>
      <c r="G204" s="3">
        <v>173285.55</v>
      </c>
      <c r="H204" s="1">
        <v>0</v>
      </c>
      <c r="I204" s="1" t="s">
        <v>484</v>
      </c>
      <c r="J204" s="1" t="s">
        <v>68</v>
      </c>
    </row>
    <row r="205" spans="1:10" hidden="1" x14ac:dyDescent="0.25">
      <c r="A205" s="1" t="s">
        <v>78</v>
      </c>
      <c r="B205" s="1" t="s">
        <v>79</v>
      </c>
      <c r="C205" s="1"/>
      <c r="D205" s="1">
        <v>179440</v>
      </c>
      <c r="E205" s="2">
        <v>44592</v>
      </c>
      <c r="F205" s="2">
        <v>44652</v>
      </c>
      <c r="G205" s="3">
        <v>106401.9</v>
      </c>
      <c r="H205" s="1">
        <v>0</v>
      </c>
      <c r="I205" s="1" t="s">
        <v>889</v>
      </c>
      <c r="J205" s="1" t="s">
        <v>68</v>
      </c>
    </row>
    <row r="206" spans="1:10" hidden="1" x14ac:dyDescent="0.25">
      <c r="A206" s="1" t="s">
        <v>231</v>
      </c>
      <c r="B206" s="1" t="s">
        <v>232</v>
      </c>
      <c r="C206" s="1">
        <v>17926</v>
      </c>
      <c r="D206" s="1">
        <v>26940</v>
      </c>
      <c r="E206" s="2">
        <v>44532</v>
      </c>
      <c r="F206" s="2">
        <v>44652</v>
      </c>
      <c r="G206" s="3">
        <v>1500</v>
      </c>
      <c r="H206" s="1">
        <v>0</v>
      </c>
      <c r="I206" s="1" t="s">
        <v>1067</v>
      </c>
      <c r="J206" s="1" t="s">
        <v>13</v>
      </c>
    </row>
    <row r="207" spans="1:10" hidden="1" x14ac:dyDescent="0.25">
      <c r="A207" s="1" t="s">
        <v>78</v>
      </c>
      <c r="B207" s="1" t="s">
        <v>79</v>
      </c>
      <c r="C207" s="1">
        <v>18568</v>
      </c>
      <c r="D207" s="1">
        <v>27576</v>
      </c>
      <c r="E207" s="2">
        <v>44592</v>
      </c>
      <c r="F207" s="2">
        <v>44652</v>
      </c>
      <c r="G207" s="3">
        <v>148969.82</v>
      </c>
      <c r="H207" s="1">
        <v>0</v>
      </c>
      <c r="I207" s="1" t="s">
        <v>1315</v>
      </c>
      <c r="J207" s="1" t="s">
        <v>68</v>
      </c>
    </row>
    <row r="208" spans="1:10" hidden="1" x14ac:dyDescent="0.25">
      <c r="A208" s="1" t="s">
        <v>694</v>
      </c>
      <c r="B208" s="1" t="s">
        <v>695</v>
      </c>
      <c r="C208" s="1">
        <v>18869</v>
      </c>
      <c r="D208" s="1">
        <v>27888</v>
      </c>
      <c r="E208" s="2">
        <v>44622</v>
      </c>
      <c r="F208" s="2">
        <v>44652</v>
      </c>
      <c r="G208" s="3">
        <v>7523.75</v>
      </c>
      <c r="H208" s="1">
        <v>0</v>
      </c>
      <c r="I208" s="1" t="s">
        <v>1470</v>
      </c>
      <c r="J208" s="1" t="s">
        <v>697</v>
      </c>
    </row>
    <row r="209" spans="1:10" hidden="1" x14ac:dyDescent="0.25">
      <c r="A209" s="1" t="s">
        <v>244</v>
      </c>
      <c r="B209" s="1" t="s">
        <v>98</v>
      </c>
      <c r="C209" s="1">
        <v>17919</v>
      </c>
      <c r="D209" s="1">
        <v>26932</v>
      </c>
      <c r="E209" s="2">
        <v>44532</v>
      </c>
      <c r="F209" s="2">
        <v>44652</v>
      </c>
      <c r="G209" s="3">
        <v>60000</v>
      </c>
      <c r="H209" s="1">
        <v>0</v>
      </c>
      <c r="I209" s="1" t="s">
        <v>1497</v>
      </c>
      <c r="J209" s="1" t="s">
        <v>27</v>
      </c>
    </row>
    <row r="210" spans="1:10" hidden="1" x14ac:dyDescent="0.25">
      <c r="A210" s="1" t="s">
        <v>78</v>
      </c>
      <c r="B210" s="1" t="s">
        <v>79</v>
      </c>
      <c r="C210" s="1">
        <v>18569</v>
      </c>
      <c r="D210" s="1">
        <v>27577</v>
      </c>
      <c r="E210" s="2">
        <v>44592</v>
      </c>
      <c r="F210" s="2">
        <v>44652</v>
      </c>
      <c r="G210" s="3">
        <v>148969.82</v>
      </c>
      <c r="H210" s="1">
        <v>0</v>
      </c>
      <c r="I210" s="1" t="s">
        <v>1552</v>
      </c>
      <c r="J210" s="1" t="s">
        <v>68</v>
      </c>
    </row>
    <row r="211" spans="1:10" hidden="1" x14ac:dyDescent="0.25">
      <c r="A211" s="1" t="s">
        <v>78</v>
      </c>
      <c r="B211" s="1" t="s">
        <v>79</v>
      </c>
      <c r="C211" s="1">
        <v>18572</v>
      </c>
      <c r="D211" s="1">
        <v>27580</v>
      </c>
      <c r="E211" s="2">
        <v>44592</v>
      </c>
      <c r="F211" s="2">
        <v>44652</v>
      </c>
      <c r="G211" s="3">
        <v>141479.26999999999</v>
      </c>
      <c r="H211" s="1">
        <v>0</v>
      </c>
      <c r="I211" s="1" t="s">
        <v>1654</v>
      </c>
      <c r="J211" s="1" t="s">
        <v>68</v>
      </c>
    </row>
    <row r="212" spans="1:10" hidden="1" x14ac:dyDescent="0.25">
      <c r="A212" s="1" t="s">
        <v>70</v>
      </c>
      <c r="B212" s="1" t="s">
        <v>71</v>
      </c>
      <c r="C212" s="1">
        <v>17794</v>
      </c>
      <c r="D212" s="1">
        <v>26796</v>
      </c>
      <c r="E212" s="2">
        <v>44518</v>
      </c>
      <c r="F212" s="2">
        <v>44653</v>
      </c>
      <c r="G212" s="3">
        <v>6199.99</v>
      </c>
      <c r="H212" s="1">
        <v>0</v>
      </c>
      <c r="I212" s="1" t="s">
        <v>218</v>
      </c>
      <c r="J212" s="1" t="s">
        <v>73</v>
      </c>
    </row>
    <row r="213" spans="1:10" hidden="1" x14ac:dyDescent="0.25">
      <c r="A213" s="1" t="s">
        <v>70</v>
      </c>
      <c r="B213" s="1" t="s">
        <v>71</v>
      </c>
      <c r="C213" s="1">
        <v>17793</v>
      </c>
      <c r="D213" s="1">
        <v>26795</v>
      </c>
      <c r="E213" s="2">
        <v>44518</v>
      </c>
      <c r="F213" s="2">
        <v>44653</v>
      </c>
      <c r="G213" s="3">
        <v>10333.32</v>
      </c>
      <c r="H213" s="1">
        <v>0</v>
      </c>
      <c r="I213" s="1" t="s">
        <v>300</v>
      </c>
      <c r="J213" s="1" t="s">
        <v>73</v>
      </c>
    </row>
    <row r="214" spans="1:10" hidden="1" x14ac:dyDescent="0.25">
      <c r="A214" s="1" t="s">
        <v>70</v>
      </c>
      <c r="B214" s="1" t="s">
        <v>71</v>
      </c>
      <c r="C214" s="1">
        <v>17572</v>
      </c>
      <c r="D214" s="1">
        <v>26579</v>
      </c>
      <c r="E214" s="2">
        <v>44503</v>
      </c>
      <c r="F214" s="2">
        <v>44653</v>
      </c>
      <c r="G214" s="3">
        <v>6199.99</v>
      </c>
      <c r="H214" s="1">
        <v>0</v>
      </c>
      <c r="I214" s="1" t="s">
        <v>358</v>
      </c>
      <c r="J214" s="1" t="s">
        <v>73</v>
      </c>
    </row>
    <row r="215" spans="1:10" hidden="1" x14ac:dyDescent="0.25">
      <c r="A215" s="1" t="s">
        <v>70</v>
      </c>
      <c r="B215" s="1" t="s">
        <v>71</v>
      </c>
      <c r="C215" s="1">
        <v>17334</v>
      </c>
      <c r="D215" s="1">
        <v>26339</v>
      </c>
      <c r="E215" s="2">
        <v>44488</v>
      </c>
      <c r="F215" s="2">
        <v>44653</v>
      </c>
      <c r="G215" s="3">
        <v>2657.33</v>
      </c>
      <c r="H215" s="1">
        <v>0</v>
      </c>
      <c r="I215" s="1" t="s">
        <v>645</v>
      </c>
      <c r="J215" s="1" t="s">
        <v>73</v>
      </c>
    </row>
    <row r="216" spans="1:10" hidden="1" x14ac:dyDescent="0.25">
      <c r="A216" s="1" t="s">
        <v>70</v>
      </c>
      <c r="B216" s="1" t="s">
        <v>71</v>
      </c>
      <c r="C216" s="1">
        <v>17338</v>
      </c>
      <c r="D216" s="1">
        <v>26342</v>
      </c>
      <c r="E216" s="2">
        <v>44488</v>
      </c>
      <c r="F216" s="2">
        <v>44653</v>
      </c>
      <c r="G216" s="3">
        <v>25303.86</v>
      </c>
      <c r="H216" s="1">
        <v>0</v>
      </c>
      <c r="I216" s="1" t="s">
        <v>689</v>
      </c>
      <c r="J216" s="1" t="s">
        <v>73</v>
      </c>
    </row>
    <row r="217" spans="1:10" hidden="1" x14ac:dyDescent="0.25">
      <c r="A217" s="1" t="s">
        <v>70</v>
      </c>
      <c r="B217" s="1" t="s">
        <v>71</v>
      </c>
      <c r="C217" s="1">
        <v>17573</v>
      </c>
      <c r="D217" s="1">
        <v>26580</v>
      </c>
      <c r="E217" s="2">
        <v>44503</v>
      </c>
      <c r="F217" s="2">
        <v>44653</v>
      </c>
      <c r="G217" s="3">
        <v>10333.32</v>
      </c>
      <c r="H217" s="1">
        <v>0</v>
      </c>
      <c r="I217" s="1" t="s">
        <v>785</v>
      </c>
      <c r="J217" s="1" t="s">
        <v>73</v>
      </c>
    </row>
    <row r="218" spans="1:10" hidden="1" x14ac:dyDescent="0.25">
      <c r="A218" s="1" t="s">
        <v>78</v>
      </c>
      <c r="B218" s="1" t="s">
        <v>79</v>
      </c>
      <c r="C218" s="1">
        <v>18592</v>
      </c>
      <c r="D218" s="1">
        <v>27601</v>
      </c>
      <c r="E218" s="2">
        <v>44593</v>
      </c>
      <c r="F218" s="2">
        <v>44653</v>
      </c>
      <c r="G218" s="3">
        <v>126586.72</v>
      </c>
      <c r="H218" s="1">
        <v>0</v>
      </c>
      <c r="I218" s="1" t="s">
        <v>947</v>
      </c>
      <c r="J218" s="1" t="s">
        <v>68</v>
      </c>
    </row>
    <row r="219" spans="1:10" hidden="1" x14ac:dyDescent="0.25">
      <c r="A219" s="1" t="s">
        <v>70</v>
      </c>
      <c r="B219" s="1" t="s">
        <v>71</v>
      </c>
      <c r="C219" s="1">
        <v>17339</v>
      </c>
      <c r="D219" s="1">
        <v>26343</v>
      </c>
      <c r="E219" s="2">
        <v>44488</v>
      </c>
      <c r="F219" s="2">
        <v>44653</v>
      </c>
      <c r="G219" s="3">
        <v>2732.44</v>
      </c>
      <c r="H219" s="1">
        <v>0</v>
      </c>
      <c r="I219" s="1" t="s">
        <v>1006</v>
      </c>
      <c r="J219" s="1" t="s">
        <v>73</v>
      </c>
    </row>
    <row r="220" spans="1:10" hidden="1" x14ac:dyDescent="0.25">
      <c r="A220" s="1" t="s">
        <v>198</v>
      </c>
      <c r="B220" s="1" t="s">
        <v>199</v>
      </c>
      <c r="C220" s="1">
        <v>17112</v>
      </c>
      <c r="D220" s="1">
        <v>26119</v>
      </c>
      <c r="E220" s="2">
        <v>44473</v>
      </c>
      <c r="F220" s="2">
        <v>44653</v>
      </c>
      <c r="G220" s="3">
        <v>12506.7</v>
      </c>
      <c r="H220" s="1">
        <v>0</v>
      </c>
      <c r="I220" s="1" t="s">
        <v>1324</v>
      </c>
      <c r="J220" s="1" t="s">
        <v>13</v>
      </c>
    </row>
    <row r="221" spans="1:10" hidden="1" x14ac:dyDescent="0.25">
      <c r="A221" s="1" t="s">
        <v>70</v>
      </c>
      <c r="B221" s="1" t="s">
        <v>71</v>
      </c>
      <c r="C221" s="1">
        <v>17337</v>
      </c>
      <c r="D221" s="1">
        <v>26341</v>
      </c>
      <c r="E221" s="2">
        <v>44488</v>
      </c>
      <c r="F221" s="2">
        <v>44653</v>
      </c>
      <c r="G221" s="1">
        <v>195.56</v>
      </c>
      <c r="H221" s="1">
        <v>0</v>
      </c>
      <c r="I221" s="1" t="s">
        <v>1461</v>
      </c>
      <c r="J221" s="1" t="s">
        <v>73</v>
      </c>
    </row>
    <row r="222" spans="1:10" hidden="1" x14ac:dyDescent="0.25">
      <c r="A222" s="1" t="s">
        <v>78</v>
      </c>
      <c r="B222" s="1" t="s">
        <v>79</v>
      </c>
      <c r="C222" s="1">
        <v>18590</v>
      </c>
      <c r="D222" s="1">
        <v>27599</v>
      </c>
      <c r="E222" s="2">
        <v>44593</v>
      </c>
      <c r="F222" s="2">
        <v>44653</v>
      </c>
      <c r="G222" s="3">
        <v>186156.93</v>
      </c>
      <c r="H222" s="1">
        <v>0</v>
      </c>
      <c r="I222" s="1" t="s">
        <v>1689</v>
      </c>
      <c r="J222" s="1" t="s">
        <v>68</v>
      </c>
    </row>
    <row r="223" spans="1:10" hidden="1" x14ac:dyDescent="0.25">
      <c r="A223" s="1" t="s">
        <v>198</v>
      </c>
      <c r="B223" s="1" t="s">
        <v>199</v>
      </c>
      <c r="C223" s="1">
        <v>17111</v>
      </c>
      <c r="D223" s="1">
        <v>26118</v>
      </c>
      <c r="E223" s="2">
        <v>44473</v>
      </c>
      <c r="F223" s="2">
        <v>44653</v>
      </c>
      <c r="G223" s="3">
        <v>5121.87</v>
      </c>
      <c r="H223" s="1">
        <v>0</v>
      </c>
      <c r="I223" s="1" t="s">
        <v>1695</v>
      </c>
      <c r="J223" s="1" t="s">
        <v>13</v>
      </c>
    </row>
    <row r="224" spans="1:10" hidden="1" x14ac:dyDescent="0.25">
      <c r="A224" s="1" t="s">
        <v>170</v>
      </c>
      <c r="B224" s="1" t="s">
        <v>171</v>
      </c>
      <c r="C224" s="1">
        <v>18947</v>
      </c>
      <c r="D224" s="1">
        <v>27960</v>
      </c>
      <c r="E224" s="2">
        <v>44628</v>
      </c>
      <c r="F224" s="2">
        <v>44654</v>
      </c>
      <c r="G224" s="3">
        <v>248000</v>
      </c>
      <c r="H224" s="1">
        <v>0</v>
      </c>
      <c r="I224" s="1" t="s">
        <v>172</v>
      </c>
      <c r="J224" s="1" t="s">
        <v>115</v>
      </c>
    </row>
    <row r="225" spans="1:10" hidden="1" x14ac:dyDescent="0.25">
      <c r="A225" s="1" t="s">
        <v>78</v>
      </c>
      <c r="B225" s="1" t="s">
        <v>79</v>
      </c>
      <c r="C225" s="1">
        <v>18607</v>
      </c>
      <c r="D225" s="1">
        <v>27615</v>
      </c>
      <c r="E225" s="2">
        <v>44594</v>
      </c>
      <c r="F225" s="2">
        <v>44654</v>
      </c>
      <c r="G225" s="3">
        <v>105822.59</v>
      </c>
      <c r="H225" s="1">
        <v>0</v>
      </c>
      <c r="I225" s="1" t="s">
        <v>509</v>
      </c>
      <c r="J225" s="1" t="s">
        <v>68</v>
      </c>
    </row>
    <row r="226" spans="1:10" hidden="1" x14ac:dyDescent="0.25">
      <c r="A226" s="1" t="s">
        <v>535</v>
      </c>
      <c r="B226" s="1" t="s">
        <v>536</v>
      </c>
      <c r="C226" s="1">
        <v>18235</v>
      </c>
      <c r="D226" s="1">
        <v>27247</v>
      </c>
      <c r="E226" s="2">
        <v>44564</v>
      </c>
      <c r="F226" s="2">
        <v>44654</v>
      </c>
      <c r="G226" s="3">
        <v>37366.18</v>
      </c>
      <c r="H226" s="1">
        <v>0</v>
      </c>
      <c r="I226" s="1" t="s">
        <v>537</v>
      </c>
      <c r="J226" s="1" t="s">
        <v>58</v>
      </c>
    </row>
    <row r="227" spans="1:10" hidden="1" x14ac:dyDescent="0.25">
      <c r="A227" s="1" t="s">
        <v>78</v>
      </c>
      <c r="B227" s="1" t="s">
        <v>79</v>
      </c>
      <c r="C227" s="1">
        <v>18604</v>
      </c>
      <c r="D227" s="1">
        <v>27612</v>
      </c>
      <c r="E227" s="2">
        <v>44594</v>
      </c>
      <c r="F227" s="2">
        <v>44654</v>
      </c>
      <c r="G227" s="3">
        <v>120943.35</v>
      </c>
      <c r="H227" s="1">
        <v>0</v>
      </c>
      <c r="I227" s="1" t="s">
        <v>557</v>
      </c>
      <c r="J227" s="1" t="s">
        <v>68</v>
      </c>
    </row>
    <row r="228" spans="1:10" hidden="1" x14ac:dyDescent="0.25">
      <c r="A228" s="1" t="s">
        <v>78</v>
      </c>
      <c r="B228" s="1" t="s">
        <v>79</v>
      </c>
      <c r="C228" s="1">
        <v>18608</v>
      </c>
      <c r="D228" s="1">
        <v>27616</v>
      </c>
      <c r="E228" s="2">
        <v>44594</v>
      </c>
      <c r="F228" s="2">
        <v>44654</v>
      </c>
      <c r="G228" s="3">
        <v>40479.31</v>
      </c>
      <c r="H228" s="1">
        <v>0</v>
      </c>
      <c r="I228" s="1" t="s">
        <v>633</v>
      </c>
      <c r="J228" s="1" t="s">
        <v>68</v>
      </c>
    </row>
    <row r="229" spans="1:10" hidden="1" x14ac:dyDescent="0.25">
      <c r="A229" s="1" t="s">
        <v>613</v>
      </c>
      <c r="B229" s="1" t="s">
        <v>614</v>
      </c>
      <c r="C229" s="1">
        <v>16409</v>
      </c>
      <c r="D229" s="1">
        <v>25357</v>
      </c>
      <c r="E229" s="2">
        <v>44411</v>
      </c>
      <c r="F229" s="2">
        <v>44654</v>
      </c>
      <c r="G229" s="3">
        <v>3654</v>
      </c>
      <c r="H229" s="1">
        <v>0</v>
      </c>
      <c r="I229" s="1" t="s">
        <v>647</v>
      </c>
      <c r="J229" s="1" t="s">
        <v>54</v>
      </c>
    </row>
    <row r="230" spans="1:10" hidden="1" x14ac:dyDescent="0.25">
      <c r="A230" s="1" t="s">
        <v>304</v>
      </c>
      <c r="B230" s="1" t="s">
        <v>305</v>
      </c>
      <c r="C230" s="1">
        <v>17132</v>
      </c>
      <c r="D230" s="1">
        <v>26139</v>
      </c>
      <c r="E230" s="2">
        <v>44474</v>
      </c>
      <c r="F230" s="2">
        <v>44654</v>
      </c>
      <c r="G230" s="3">
        <v>33300.06</v>
      </c>
      <c r="H230" s="1">
        <v>0</v>
      </c>
      <c r="I230" s="1" t="s">
        <v>1348</v>
      </c>
      <c r="J230" s="1" t="s">
        <v>27</v>
      </c>
    </row>
    <row r="231" spans="1:10" hidden="1" x14ac:dyDescent="0.25">
      <c r="A231" s="1" t="s">
        <v>78</v>
      </c>
      <c r="B231" s="1" t="s">
        <v>79</v>
      </c>
      <c r="C231" s="1">
        <v>18606</v>
      </c>
      <c r="D231" s="1">
        <v>27614</v>
      </c>
      <c r="E231" s="2">
        <v>44594</v>
      </c>
      <c r="F231" s="2">
        <v>44654</v>
      </c>
      <c r="G231" s="3">
        <v>120943.35</v>
      </c>
      <c r="H231" s="1">
        <v>0</v>
      </c>
      <c r="I231" s="1" t="s">
        <v>1406</v>
      </c>
      <c r="J231" s="1" t="s">
        <v>68</v>
      </c>
    </row>
    <row r="232" spans="1:10" hidden="1" x14ac:dyDescent="0.25">
      <c r="A232" s="1" t="s">
        <v>338</v>
      </c>
      <c r="B232" s="1" t="s">
        <v>305</v>
      </c>
      <c r="C232" s="1">
        <v>17133</v>
      </c>
      <c r="D232" s="1">
        <v>26140</v>
      </c>
      <c r="E232" s="2">
        <v>44474</v>
      </c>
      <c r="F232" s="2">
        <v>44654</v>
      </c>
      <c r="G232" s="3">
        <v>93600</v>
      </c>
      <c r="H232" s="1">
        <v>0</v>
      </c>
      <c r="I232" s="1" t="s">
        <v>1646</v>
      </c>
      <c r="J232" s="1" t="s">
        <v>27</v>
      </c>
    </row>
    <row r="233" spans="1:10" hidden="1" x14ac:dyDescent="0.25">
      <c r="A233" s="1" t="s">
        <v>78</v>
      </c>
      <c r="B233" s="1" t="s">
        <v>79</v>
      </c>
      <c r="C233" s="1">
        <v>18617</v>
      </c>
      <c r="D233" s="1">
        <v>27627</v>
      </c>
      <c r="E233" s="2">
        <v>44595</v>
      </c>
      <c r="F233" s="2">
        <v>44655</v>
      </c>
      <c r="G233" s="3">
        <v>190251.73</v>
      </c>
      <c r="H233" s="1">
        <v>0</v>
      </c>
      <c r="I233" s="1" t="s">
        <v>426</v>
      </c>
      <c r="J233" s="1" t="s">
        <v>68</v>
      </c>
    </row>
    <row r="234" spans="1:10" hidden="1" x14ac:dyDescent="0.25">
      <c r="A234" s="1" t="s">
        <v>221</v>
      </c>
      <c r="B234" s="1" t="s">
        <v>222</v>
      </c>
      <c r="C234" s="1">
        <v>17171</v>
      </c>
      <c r="D234" s="1">
        <v>26167</v>
      </c>
      <c r="E234" s="2">
        <v>44475</v>
      </c>
      <c r="F234" s="2">
        <v>44655</v>
      </c>
      <c r="G234" s="3">
        <v>8400.02</v>
      </c>
      <c r="H234" s="1">
        <v>0</v>
      </c>
      <c r="I234" s="1" t="s">
        <v>844</v>
      </c>
      <c r="J234" s="1" t="s">
        <v>27</v>
      </c>
    </row>
    <row r="235" spans="1:10" hidden="1" x14ac:dyDescent="0.25">
      <c r="A235" s="1" t="s">
        <v>78</v>
      </c>
      <c r="B235" s="1" t="s">
        <v>79</v>
      </c>
      <c r="C235" s="1">
        <v>18619</v>
      </c>
      <c r="D235" s="1">
        <v>27629</v>
      </c>
      <c r="E235" s="2">
        <v>44595</v>
      </c>
      <c r="F235" s="2">
        <v>44655</v>
      </c>
      <c r="G235" s="3">
        <v>190251.73</v>
      </c>
      <c r="H235" s="1">
        <v>0</v>
      </c>
      <c r="I235" s="1" t="s">
        <v>1048</v>
      </c>
      <c r="J235" s="1" t="s">
        <v>68</v>
      </c>
    </row>
    <row r="236" spans="1:10" hidden="1" x14ac:dyDescent="0.25">
      <c r="A236" s="1" t="s">
        <v>70</v>
      </c>
      <c r="B236" s="1" t="s">
        <v>71</v>
      </c>
      <c r="C236" s="1">
        <v>18169</v>
      </c>
      <c r="D236" s="1">
        <v>27180</v>
      </c>
      <c r="E236" s="2">
        <v>44550</v>
      </c>
      <c r="F236" s="2">
        <v>44655</v>
      </c>
      <c r="G236" s="1">
        <v>840</v>
      </c>
      <c r="H236" s="1">
        <v>0</v>
      </c>
      <c r="I236" s="1" t="s">
        <v>1052</v>
      </c>
      <c r="J236" s="1" t="s">
        <v>73</v>
      </c>
    </row>
    <row r="237" spans="1:10" hidden="1" x14ac:dyDescent="0.25">
      <c r="A237" s="1" t="s">
        <v>70</v>
      </c>
      <c r="B237" s="1" t="s">
        <v>71</v>
      </c>
      <c r="C237" s="1">
        <v>18168</v>
      </c>
      <c r="D237" s="1">
        <v>27179</v>
      </c>
      <c r="E237" s="2">
        <v>44550</v>
      </c>
      <c r="F237" s="2">
        <v>44655</v>
      </c>
      <c r="G237" s="1">
        <v>840</v>
      </c>
      <c r="H237" s="1">
        <v>0</v>
      </c>
      <c r="I237" s="1" t="s">
        <v>1160</v>
      </c>
      <c r="J237" s="1" t="s">
        <v>73</v>
      </c>
    </row>
    <row r="238" spans="1:10" hidden="1" x14ac:dyDescent="0.25">
      <c r="A238" s="1" t="s">
        <v>78</v>
      </c>
      <c r="B238" s="1" t="s">
        <v>79</v>
      </c>
      <c r="C238" s="1">
        <v>18618</v>
      </c>
      <c r="D238" s="1">
        <v>27628</v>
      </c>
      <c r="E238" s="2">
        <v>44595</v>
      </c>
      <c r="F238" s="2">
        <v>44655</v>
      </c>
      <c r="G238" s="3">
        <v>190251.73</v>
      </c>
      <c r="H238" s="1">
        <v>0</v>
      </c>
      <c r="I238" s="1" t="s">
        <v>1337</v>
      </c>
      <c r="J238" s="1" t="s">
        <v>68</v>
      </c>
    </row>
    <row r="239" spans="1:10" hidden="1" x14ac:dyDescent="0.25">
      <c r="A239" s="1" t="s">
        <v>70</v>
      </c>
      <c r="B239" s="1" t="s">
        <v>71</v>
      </c>
      <c r="C239" s="1">
        <v>18167</v>
      </c>
      <c r="D239" s="1">
        <v>27178</v>
      </c>
      <c r="E239" s="2">
        <v>44550</v>
      </c>
      <c r="F239" s="2">
        <v>44655</v>
      </c>
      <c r="G239" s="3">
        <v>14222.82</v>
      </c>
      <c r="H239" s="1">
        <v>0</v>
      </c>
      <c r="I239" s="1" t="s">
        <v>1160</v>
      </c>
      <c r="J239" s="1" t="s">
        <v>73</v>
      </c>
    </row>
    <row r="240" spans="1:10" hidden="1" x14ac:dyDescent="0.25">
      <c r="A240" s="1" t="s">
        <v>70</v>
      </c>
      <c r="B240" s="1" t="s">
        <v>71</v>
      </c>
      <c r="C240" s="1">
        <v>17404</v>
      </c>
      <c r="D240" s="1">
        <v>26408</v>
      </c>
      <c r="E240" s="2">
        <v>44490</v>
      </c>
      <c r="F240" s="2">
        <v>44655</v>
      </c>
      <c r="G240" s="3">
        <v>10499.99</v>
      </c>
      <c r="H240" s="1">
        <v>0</v>
      </c>
      <c r="I240" s="1" t="s">
        <v>1372</v>
      </c>
      <c r="J240" s="1" t="s">
        <v>73</v>
      </c>
    </row>
    <row r="241" spans="1:10" hidden="1" x14ac:dyDescent="0.25">
      <c r="A241" s="1" t="s">
        <v>70</v>
      </c>
      <c r="B241" s="1" t="s">
        <v>71</v>
      </c>
      <c r="C241" s="1">
        <v>17403</v>
      </c>
      <c r="D241" s="1">
        <v>26407</v>
      </c>
      <c r="E241" s="2">
        <v>44490</v>
      </c>
      <c r="F241" s="2">
        <v>44655</v>
      </c>
      <c r="G241" s="3">
        <v>12139.99</v>
      </c>
      <c r="H241" s="1">
        <v>0</v>
      </c>
      <c r="I241" s="1" t="s">
        <v>1394</v>
      </c>
      <c r="J241" s="1" t="s">
        <v>73</v>
      </c>
    </row>
    <row r="242" spans="1:10" hidden="1" x14ac:dyDescent="0.25">
      <c r="A242" s="1" t="s">
        <v>198</v>
      </c>
      <c r="B242" s="1" t="s">
        <v>199</v>
      </c>
      <c r="C242" s="1">
        <v>17176</v>
      </c>
      <c r="D242" s="1">
        <v>26172</v>
      </c>
      <c r="E242" s="2">
        <v>44475</v>
      </c>
      <c r="F242" s="2">
        <v>44655</v>
      </c>
      <c r="G242" s="3">
        <v>7966.68</v>
      </c>
      <c r="H242" s="1">
        <v>0</v>
      </c>
      <c r="I242" s="1" t="s">
        <v>1415</v>
      </c>
      <c r="J242" s="1" t="s">
        <v>13</v>
      </c>
    </row>
    <row r="243" spans="1:10" hidden="1" x14ac:dyDescent="0.25">
      <c r="A243" s="1" t="s">
        <v>89</v>
      </c>
      <c r="B243" s="1" t="s">
        <v>90</v>
      </c>
      <c r="C243" s="1">
        <v>17620</v>
      </c>
      <c r="D243" s="1">
        <v>26622</v>
      </c>
      <c r="E243" s="2">
        <v>44505</v>
      </c>
      <c r="F243" s="2">
        <v>44655</v>
      </c>
      <c r="G243" s="3">
        <v>1237</v>
      </c>
      <c r="H243" s="1">
        <v>0</v>
      </c>
      <c r="I243" s="1" t="s">
        <v>1428</v>
      </c>
      <c r="J243" s="1" t="s">
        <v>92</v>
      </c>
    </row>
    <row r="244" spans="1:10" hidden="1" x14ac:dyDescent="0.25">
      <c r="A244" s="1" t="s">
        <v>291</v>
      </c>
      <c r="B244" s="1" t="s">
        <v>292</v>
      </c>
      <c r="C244" s="1">
        <v>16480</v>
      </c>
      <c r="D244" s="1">
        <v>166633</v>
      </c>
      <c r="E244" s="2">
        <v>44414</v>
      </c>
      <c r="F244" s="2">
        <v>44655</v>
      </c>
      <c r="G244" s="3">
        <v>16106.13</v>
      </c>
      <c r="H244" s="1">
        <v>0</v>
      </c>
      <c r="I244" s="1" t="s">
        <v>1507</v>
      </c>
      <c r="J244" s="1" t="s">
        <v>115</v>
      </c>
    </row>
    <row r="245" spans="1:10" hidden="1" x14ac:dyDescent="0.25">
      <c r="A245" s="1" t="s">
        <v>70</v>
      </c>
      <c r="B245" s="1" t="s">
        <v>71</v>
      </c>
      <c r="C245" s="1">
        <v>18166</v>
      </c>
      <c r="D245" s="1">
        <v>27177</v>
      </c>
      <c r="E245" s="2">
        <v>44550</v>
      </c>
      <c r="F245" s="2">
        <v>44655</v>
      </c>
      <c r="G245" s="1">
        <v>86.56</v>
      </c>
      <c r="H245" s="1">
        <v>0</v>
      </c>
      <c r="I245" s="1" t="s">
        <v>1160</v>
      </c>
      <c r="J245" s="1" t="s">
        <v>73</v>
      </c>
    </row>
    <row r="246" spans="1:10" hidden="1" x14ac:dyDescent="0.25">
      <c r="A246" s="1" t="s">
        <v>78</v>
      </c>
      <c r="B246" s="1" t="s">
        <v>79</v>
      </c>
      <c r="C246" s="1">
        <v>18616</v>
      </c>
      <c r="D246" s="1">
        <v>27626</v>
      </c>
      <c r="E246" s="2">
        <v>44595</v>
      </c>
      <c r="F246" s="2">
        <v>44655</v>
      </c>
      <c r="G246" s="3">
        <v>121761.1</v>
      </c>
      <c r="H246" s="1">
        <v>0</v>
      </c>
      <c r="I246" s="1" t="s">
        <v>1617</v>
      </c>
      <c r="J246" s="1" t="s">
        <v>68</v>
      </c>
    </row>
    <row r="247" spans="1:10" hidden="1" x14ac:dyDescent="0.25">
      <c r="A247" s="1" t="s">
        <v>97</v>
      </c>
      <c r="B247" s="1" t="s">
        <v>98</v>
      </c>
      <c r="C247" s="1">
        <v>17170</v>
      </c>
      <c r="D247" s="1">
        <v>26166</v>
      </c>
      <c r="E247" s="2">
        <v>44475</v>
      </c>
      <c r="F247" s="2">
        <v>44655</v>
      </c>
      <c r="G247" s="3">
        <v>5600.02</v>
      </c>
      <c r="H247" s="1">
        <v>0</v>
      </c>
      <c r="I247" s="1" t="s">
        <v>1669</v>
      </c>
      <c r="J247" s="1" t="s">
        <v>27</v>
      </c>
    </row>
    <row r="248" spans="1:10" hidden="1" x14ac:dyDescent="0.25">
      <c r="A248" s="1" t="s">
        <v>70</v>
      </c>
      <c r="B248" s="1" t="s">
        <v>71</v>
      </c>
      <c r="C248" s="1">
        <v>18286</v>
      </c>
      <c r="D248" s="1">
        <v>27295</v>
      </c>
      <c r="E248" s="2">
        <v>44566</v>
      </c>
      <c r="F248" s="2">
        <v>44656</v>
      </c>
      <c r="G248" s="3">
        <v>10147.77</v>
      </c>
      <c r="H248" s="1">
        <v>0</v>
      </c>
      <c r="I248" s="1" t="s">
        <v>72</v>
      </c>
      <c r="J248" s="1" t="s">
        <v>73</v>
      </c>
    </row>
    <row r="249" spans="1:10" hidden="1" x14ac:dyDescent="0.25">
      <c r="A249" s="1" t="s">
        <v>140</v>
      </c>
      <c r="B249" s="1" t="s">
        <v>141</v>
      </c>
      <c r="C249" s="1">
        <v>18282</v>
      </c>
      <c r="D249" s="1">
        <v>27292</v>
      </c>
      <c r="E249" s="2">
        <v>44566</v>
      </c>
      <c r="F249" s="2">
        <v>44656</v>
      </c>
      <c r="G249" s="3">
        <v>12243.32</v>
      </c>
      <c r="H249" s="1">
        <v>0</v>
      </c>
      <c r="I249" s="1" t="s">
        <v>440</v>
      </c>
      <c r="J249" s="1" t="s">
        <v>73</v>
      </c>
    </row>
    <row r="250" spans="1:10" hidden="1" x14ac:dyDescent="0.25">
      <c r="A250" s="1" t="s">
        <v>277</v>
      </c>
      <c r="B250" s="1" t="s">
        <v>278</v>
      </c>
      <c r="C250" s="1">
        <v>17965</v>
      </c>
      <c r="D250" s="1">
        <v>26980</v>
      </c>
      <c r="E250" s="2">
        <v>44536</v>
      </c>
      <c r="F250" s="2">
        <v>44656</v>
      </c>
      <c r="G250" s="3">
        <v>21022.5</v>
      </c>
      <c r="H250" s="1">
        <v>0</v>
      </c>
      <c r="I250" s="1" t="s">
        <v>519</v>
      </c>
      <c r="J250" s="1" t="s">
        <v>13</v>
      </c>
    </row>
    <row r="251" spans="1:10" hidden="1" x14ac:dyDescent="0.25">
      <c r="A251" s="1" t="s">
        <v>70</v>
      </c>
      <c r="B251" s="1" t="s">
        <v>71</v>
      </c>
      <c r="C251" s="1">
        <v>18287</v>
      </c>
      <c r="D251" s="1">
        <v>27296</v>
      </c>
      <c r="E251" s="2">
        <v>44566</v>
      </c>
      <c r="F251" s="2">
        <v>44656</v>
      </c>
      <c r="G251" s="3">
        <v>4083.33</v>
      </c>
      <c r="H251" s="1">
        <v>0</v>
      </c>
      <c r="I251" s="1" t="s">
        <v>570</v>
      </c>
      <c r="J251" s="1" t="s">
        <v>73</v>
      </c>
    </row>
    <row r="252" spans="1:10" hidden="1" x14ac:dyDescent="0.25">
      <c r="A252" s="1" t="s">
        <v>309</v>
      </c>
      <c r="B252" s="1" t="s">
        <v>310</v>
      </c>
      <c r="C252" s="1">
        <v>14047</v>
      </c>
      <c r="D252" s="1">
        <v>22777</v>
      </c>
      <c r="E252" s="2">
        <v>44103</v>
      </c>
      <c r="F252" s="2">
        <v>44346</v>
      </c>
      <c r="G252" s="3">
        <v>32185.4</v>
      </c>
      <c r="H252" s="1">
        <v>284</v>
      </c>
      <c r="I252" s="1" t="s">
        <v>311</v>
      </c>
      <c r="J252" s="1" t="s">
        <v>84</v>
      </c>
    </row>
    <row r="253" spans="1:10" hidden="1" x14ac:dyDescent="0.25">
      <c r="A253" s="1" t="s">
        <v>847</v>
      </c>
      <c r="B253" s="1" t="s">
        <v>848</v>
      </c>
      <c r="C253" s="1">
        <v>18182</v>
      </c>
      <c r="D253" s="1">
        <v>27194</v>
      </c>
      <c r="E253" s="2">
        <v>44551</v>
      </c>
      <c r="F253" s="2">
        <v>44656</v>
      </c>
      <c r="G253" s="3">
        <v>1644</v>
      </c>
      <c r="H253" s="1">
        <v>0</v>
      </c>
      <c r="I253" s="1" t="s">
        <v>849</v>
      </c>
      <c r="J253" s="1" t="s">
        <v>73</v>
      </c>
    </row>
    <row r="254" spans="1:10" hidden="1" x14ac:dyDescent="0.25">
      <c r="A254" s="1" t="s">
        <v>24</v>
      </c>
      <c r="B254" s="1" t="s">
        <v>25</v>
      </c>
      <c r="C254" s="1">
        <v>17183</v>
      </c>
      <c r="D254" s="1">
        <v>26180</v>
      </c>
      <c r="E254" s="2">
        <v>44476</v>
      </c>
      <c r="F254" s="2">
        <v>44656</v>
      </c>
      <c r="G254" s="3">
        <v>35350</v>
      </c>
      <c r="H254" s="1">
        <v>0</v>
      </c>
      <c r="I254" s="1" t="s">
        <v>1054</v>
      </c>
      <c r="J254" s="1" t="s">
        <v>27</v>
      </c>
    </row>
    <row r="255" spans="1:10" hidden="1" x14ac:dyDescent="0.25">
      <c r="A255" s="1" t="s">
        <v>24</v>
      </c>
      <c r="B255" s="1" t="s">
        <v>25</v>
      </c>
      <c r="C255" s="1">
        <v>17185</v>
      </c>
      <c r="D255" s="1">
        <v>26182</v>
      </c>
      <c r="E255" s="2">
        <v>44476</v>
      </c>
      <c r="F255" s="2">
        <v>44656</v>
      </c>
      <c r="G255" s="3">
        <v>25150</v>
      </c>
      <c r="H255" s="1">
        <v>0</v>
      </c>
      <c r="I255" s="1" t="s">
        <v>1156</v>
      </c>
      <c r="J255" s="1" t="s">
        <v>27</v>
      </c>
    </row>
    <row r="256" spans="1:10" hidden="1" x14ac:dyDescent="0.25">
      <c r="A256" s="1" t="s">
        <v>10</v>
      </c>
      <c r="B256" s="1" t="s">
        <v>11</v>
      </c>
      <c r="C256" s="1">
        <v>17187</v>
      </c>
      <c r="D256" s="1">
        <v>26184</v>
      </c>
      <c r="E256" s="2">
        <v>44476</v>
      </c>
      <c r="F256" s="2">
        <v>44656</v>
      </c>
      <c r="G256" s="3">
        <v>43999.96</v>
      </c>
      <c r="H256" s="1">
        <v>0</v>
      </c>
      <c r="I256" s="1" t="s">
        <v>1185</v>
      </c>
      <c r="J256" s="1" t="s">
        <v>13</v>
      </c>
    </row>
    <row r="257" spans="1:10" hidden="1" x14ac:dyDescent="0.25">
      <c r="A257" s="1" t="s">
        <v>847</v>
      </c>
      <c r="B257" s="1" t="s">
        <v>848</v>
      </c>
      <c r="C257" s="1">
        <v>18177</v>
      </c>
      <c r="D257" s="1">
        <v>27188</v>
      </c>
      <c r="E257" s="2">
        <v>44551</v>
      </c>
      <c r="F257" s="2">
        <v>44656</v>
      </c>
      <c r="G257" s="3">
        <v>1902.6</v>
      </c>
      <c r="H257" s="1">
        <v>0</v>
      </c>
      <c r="I257" s="1" t="s">
        <v>1281</v>
      </c>
      <c r="J257" s="1" t="s">
        <v>73</v>
      </c>
    </row>
    <row r="258" spans="1:10" hidden="1" x14ac:dyDescent="0.25">
      <c r="A258" s="1" t="s">
        <v>170</v>
      </c>
      <c r="B258" s="1" t="s">
        <v>171</v>
      </c>
      <c r="C258" s="1">
        <v>18700</v>
      </c>
      <c r="D258" s="1">
        <v>27713</v>
      </c>
      <c r="E258" s="2">
        <v>44602</v>
      </c>
      <c r="F258" s="2">
        <v>44656</v>
      </c>
      <c r="G258" s="3">
        <v>108000</v>
      </c>
      <c r="H258" s="1">
        <v>0</v>
      </c>
      <c r="I258" s="1" t="s">
        <v>1395</v>
      </c>
      <c r="J258" s="1" t="s">
        <v>115</v>
      </c>
    </row>
    <row r="259" spans="1:10" hidden="1" x14ac:dyDescent="0.25">
      <c r="A259" s="1" t="s">
        <v>24</v>
      </c>
      <c r="B259" s="1" t="s">
        <v>25</v>
      </c>
      <c r="C259" s="1">
        <v>17184</v>
      </c>
      <c r="D259" s="1">
        <v>26181</v>
      </c>
      <c r="E259" s="2">
        <v>44476</v>
      </c>
      <c r="F259" s="2">
        <v>44656</v>
      </c>
      <c r="G259" s="3">
        <v>24465</v>
      </c>
      <c r="H259" s="1">
        <v>0</v>
      </c>
      <c r="I259" s="1" t="s">
        <v>1503</v>
      </c>
      <c r="J259" s="1" t="s">
        <v>27</v>
      </c>
    </row>
    <row r="260" spans="1:10" hidden="1" x14ac:dyDescent="0.25">
      <c r="A260" s="1" t="s">
        <v>1714</v>
      </c>
      <c r="B260" s="1" t="s">
        <v>848</v>
      </c>
      <c r="C260" s="1">
        <v>18184</v>
      </c>
      <c r="D260" s="1">
        <v>27195</v>
      </c>
      <c r="E260" s="2">
        <v>44551</v>
      </c>
      <c r="F260" s="2">
        <v>44656</v>
      </c>
      <c r="G260" s="1">
        <v>744</v>
      </c>
      <c r="H260" s="1">
        <v>0</v>
      </c>
      <c r="I260" s="1" t="s">
        <v>1715</v>
      </c>
      <c r="J260" s="1" t="s">
        <v>73</v>
      </c>
    </row>
    <row r="261" spans="1:10" hidden="1" x14ac:dyDescent="0.25">
      <c r="A261" s="1" t="s">
        <v>70</v>
      </c>
      <c r="B261" s="1" t="s">
        <v>71</v>
      </c>
      <c r="C261" s="1">
        <v>18505</v>
      </c>
      <c r="D261" s="1">
        <v>27503</v>
      </c>
      <c r="E261" s="2">
        <v>44582</v>
      </c>
      <c r="F261" s="2">
        <v>44657</v>
      </c>
      <c r="G261" s="3">
        <v>1600</v>
      </c>
      <c r="H261" s="1">
        <v>0</v>
      </c>
      <c r="I261" s="1" t="s">
        <v>119</v>
      </c>
      <c r="J261" s="1" t="s">
        <v>73</v>
      </c>
    </row>
    <row r="262" spans="1:10" hidden="1" x14ac:dyDescent="0.25">
      <c r="A262" s="1" t="s">
        <v>140</v>
      </c>
      <c r="B262" s="1" t="s">
        <v>141</v>
      </c>
      <c r="C262" s="1">
        <v>17996</v>
      </c>
      <c r="D262" s="1">
        <v>27008</v>
      </c>
      <c r="E262" s="2">
        <v>44537</v>
      </c>
      <c r="F262" s="2">
        <v>44657</v>
      </c>
      <c r="G262" s="3">
        <v>5814.66</v>
      </c>
      <c r="H262" s="1">
        <v>0</v>
      </c>
      <c r="I262" s="1" t="s">
        <v>142</v>
      </c>
      <c r="J262" s="1" t="s">
        <v>73</v>
      </c>
    </row>
    <row r="263" spans="1:10" hidden="1" x14ac:dyDescent="0.25">
      <c r="A263" s="1" t="s">
        <v>140</v>
      </c>
      <c r="B263" s="1" t="s">
        <v>141</v>
      </c>
      <c r="C263" s="1">
        <v>17993</v>
      </c>
      <c r="D263" s="1">
        <v>27004</v>
      </c>
      <c r="E263" s="2">
        <v>44537</v>
      </c>
      <c r="F263" s="2">
        <v>44657</v>
      </c>
      <c r="G263" s="3">
        <v>54443.28</v>
      </c>
      <c r="H263" s="1">
        <v>0</v>
      </c>
      <c r="I263" s="1" t="s">
        <v>229</v>
      </c>
      <c r="J263" s="1" t="s">
        <v>73</v>
      </c>
    </row>
    <row r="264" spans="1:10" hidden="1" x14ac:dyDescent="0.25">
      <c r="A264" s="1" t="s">
        <v>321</v>
      </c>
      <c r="B264" s="1" t="s">
        <v>322</v>
      </c>
      <c r="C264" s="1">
        <v>17738</v>
      </c>
      <c r="D264" s="1">
        <v>26731</v>
      </c>
      <c r="E264" s="2">
        <v>44511</v>
      </c>
      <c r="F264" s="2">
        <v>44601</v>
      </c>
      <c r="G264" s="3">
        <v>2691.02</v>
      </c>
      <c r="H264" s="1">
        <v>29</v>
      </c>
      <c r="I264" s="1" t="s">
        <v>323</v>
      </c>
      <c r="J264" s="1" t="s">
        <v>27</v>
      </c>
    </row>
    <row r="265" spans="1:10" hidden="1" x14ac:dyDescent="0.25">
      <c r="A265" s="1" t="s">
        <v>70</v>
      </c>
      <c r="B265" s="1" t="s">
        <v>71</v>
      </c>
      <c r="C265" s="1">
        <v>18510</v>
      </c>
      <c r="D265" s="1">
        <v>27508</v>
      </c>
      <c r="E265" s="2">
        <v>44582</v>
      </c>
      <c r="F265" s="2">
        <v>44657</v>
      </c>
      <c r="G265" s="3">
        <v>21746.92</v>
      </c>
      <c r="H265" s="1">
        <v>0</v>
      </c>
      <c r="I265" s="1" t="s">
        <v>237</v>
      </c>
      <c r="J265" s="1" t="s">
        <v>73</v>
      </c>
    </row>
    <row r="266" spans="1:10" hidden="1" x14ac:dyDescent="0.25">
      <c r="A266" s="1" t="s">
        <v>70</v>
      </c>
      <c r="B266" s="1" t="s">
        <v>71</v>
      </c>
      <c r="C266" s="1">
        <v>17991</v>
      </c>
      <c r="D266" s="1">
        <v>27002</v>
      </c>
      <c r="E266" s="2">
        <v>44537</v>
      </c>
      <c r="F266" s="2">
        <v>44657</v>
      </c>
      <c r="G266" s="3">
        <v>8074.44</v>
      </c>
      <c r="H266" s="1">
        <v>0</v>
      </c>
      <c r="I266" s="1" t="s">
        <v>273</v>
      </c>
      <c r="J266" s="1" t="s">
        <v>73</v>
      </c>
    </row>
    <row r="267" spans="1:10" hidden="1" x14ac:dyDescent="0.25">
      <c r="A267" s="1" t="s">
        <v>342</v>
      </c>
      <c r="B267" s="1" t="s">
        <v>343</v>
      </c>
      <c r="C267" s="1">
        <v>17990</v>
      </c>
      <c r="D267" s="1">
        <v>27001</v>
      </c>
      <c r="E267" s="2">
        <v>44537</v>
      </c>
      <c r="F267" s="2">
        <v>44657</v>
      </c>
      <c r="G267" s="3">
        <v>52890</v>
      </c>
      <c r="H267" s="1">
        <v>0</v>
      </c>
      <c r="I267" s="1" t="s">
        <v>344</v>
      </c>
      <c r="J267" s="1" t="s">
        <v>73</v>
      </c>
    </row>
    <row r="268" spans="1:10" hidden="1" x14ac:dyDescent="0.25">
      <c r="A268" s="1" t="s">
        <v>140</v>
      </c>
      <c r="B268" s="1" t="s">
        <v>141</v>
      </c>
      <c r="C268" s="1">
        <v>17994</v>
      </c>
      <c r="D268" s="1">
        <v>27005</v>
      </c>
      <c r="E268" s="2">
        <v>44537</v>
      </c>
      <c r="F268" s="2">
        <v>44657</v>
      </c>
      <c r="G268" s="1">
        <v>572.79999999999995</v>
      </c>
      <c r="H268" s="1">
        <v>0</v>
      </c>
      <c r="I268" s="1" t="s">
        <v>711</v>
      </c>
      <c r="J268" s="1" t="s">
        <v>73</v>
      </c>
    </row>
    <row r="269" spans="1:10" hidden="1" x14ac:dyDescent="0.25">
      <c r="A269" s="1" t="s">
        <v>70</v>
      </c>
      <c r="B269" s="1" t="s">
        <v>71</v>
      </c>
      <c r="C269" s="1">
        <v>17997</v>
      </c>
      <c r="D269" s="1">
        <v>27009</v>
      </c>
      <c r="E269" s="2">
        <v>44537</v>
      </c>
      <c r="F269" s="2">
        <v>44657</v>
      </c>
      <c r="G269" s="3">
        <v>8153.99</v>
      </c>
      <c r="H269" s="1">
        <v>0</v>
      </c>
      <c r="I269" s="1" t="s">
        <v>812</v>
      </c>
      <c r="J269" s="1" t="s">
        <v>73</v>
      </c>
    </row>
    <row r="270" spans="1:10" hidden="1" x14ac:dyDescent="0.25">
      <c r="A270" s="1" t="s">
        <v>231</v>
      </c>
      <c r="B270" s="1" t="s">
        <v>232</v>
      </c>
      <c r="C270" s="1">
        <v>17201</v>
      </c>
      <c r="D270" s="1">
        <v>26200</v>
      </c>
      <c r="E270" s="2">
        <v>44477</v>
      </c>
      <c r="F270" s="2">
        <v>44657</v>
      </c>
      <c r="G270" s="3">
        <v>18700</v>
      </c>
      <c r="H270" s="1">
        <v>0</v>
      </c>
      <c r="I270" s="1" t="s">
        <v>1051</v>
      </c>
      <c r="J270" s="1" t="s">
        <v>13</v>
      </c>
    </row>
    <row r="271" spans="1:10" hidden="1" x14ac:dyDescent="0.25">
      <c r="A271" s="1" t="s">
        <v>24</v>
      </c>
      <c r="B271" s="1" t="s">
        <v>25</v>
      </c>
      <c r="C271" s="1">
        <v>18011</v>
      </c>
      <c r="D271" s="1">
        <v>27022</v>
      </c>
      <c r="E271" s="2">
        <v>44537</v>
      </c>
      <c r="F271" s="2">
        <v>44657</v>
      </c>
      <c r="G271" s="3">
        <v>5125</v>
      </c>
      <c r="H271" s="1">
        <v>0</v>
      </c>
      <c r="I271" s="1" t="s">
        <v>1225</v>
      </c>
      <c r="J271" s="1" t="s">
        <v>27</v>
      </c>
    </row>
    <row r="272" spans="1:10" hidden="1" x14ac:dyDescent="0.25">
      <c r="A272" s="1" t="s">
        <v>1383</v>
      </c>
      <c r="B272" s="1" t="s">
        <v>1384</v>
      </c>
      <c r="C272" s="1">
        <v>17995</v>
      </c>
      <c r="D272" s="1">
        <v>27007</v>
      </c>
      <c r="E272" s="2">
        <v>44537</v>
      </c>
      <c r="F272" s="2">
        <v>44657</v>
      </c>
      <c r="G272" s="3">
        <v>124295</v>
      </c>
      <c r="H272" s="1">
        <v>0</v>
      </c>
      <c r="I272" s="1" t="s">
        <v>1385</v>
      </c>
      <c r="J272" s="1" t="s">
        <v>13</v>
      </c>
    </row>
    <row r="273" spans="1:10" hidden="1" x14ac:dyDescent="0.25">
      <c r="A273" s="1" t="s">
        <v>97</v>
      </c>
      <c r="B273" s="1" t="s">
        <v>98</v>
      </c>
      <c r="C273" s="1">
        <v>18010</v>
      </c>
      <c r="D273" s="1">
        <v>27021</v>
      </c>
      <c r="E273" s="2">
        <v>44537</v>
      </c>
      <c r="F273" s="2">
        <v>44657</v>
      </c>
      <c r="G273" s="3">
        <v>74000</v>
      </c>
      <c r="H273" s="1">
        <v>0</v>
      </c>
      <c r="I273" s="1" t="s">
        <v>968</v>
      </c>
      <c r="J273" s="1" t="s">
        <v>27</v>
      </c>
    </row>
    <row r="274" spans="1:10" hidden="1" x14ac:dyDescent="0.25">
      <c r="A274" s="1" t="s">
        <v>24</v>
      </c>
      <c r="B274" s="1" t="s">
        <v>25</v>
      </c>
      <c r="C274" s="1">
        <v>18012</v>
      </c>
      <c r="D274" s="1">
        <v>27023</v>
      </c>
      <c r="E274" s="2">
        <v>44537</v>
      </c>
      <c r="F274" s="2">
        <v>44657</v>
      </c>
      <c r="G274" s="3">
        <v>12127.5</v>
      </c>
      <c r="H274" s="1">
        <v>0</v>
      </c>
      <c r="I274" s="1" t="s">
        <v>1386</v>
      </c>
      <c r="J274" s="1" t="s">
        <v>27</v>
      </c>
    </row>
    <row r="275" spans="1:10" hidden="1" x14ac:dyDescent="0.25">
      <c r="A275" s="1" t="s">
        <v>231</v>
      </c>
      <c r="B275" s="1" t="s">
        <v>232</v>
      </c>
      <c r="C275" s="1">
        <v>17203</v>
      </c>
      <c r="D275" s="1">
        <v>26201</v>
      </c>
      <c r="E275" s="2">
        <v>44477</v>
      </c>
      <c r="F275" s="2">
        <v>44657</v>
      </c>
      <c r="G275" s="3">
        <v>18700</v>
      </c>
      <c r="H275" s="1">
        <v>0</v>
      </c>
      <c r="I275" s="1" t="s">
        <v>1397</v>
      </c>
      <c r="J275" s="1" t="s">
        <v>13</v>
      </c>
    </row>
    <row r="276" spans="1:10" hidden="1" x14ac:dyDescent="0.25">
      <c r="A276" s="1" t="s">
        <v>321</v>
      </c>
      <c r="B276" s="1" t="s">
        <v>322</v>
      </c>
      <c r="C276" s="1">
        <v>18506</v>
      </c>
      <c r="D276" s="1">
        <v>27504</v>
      </c>
      <c r="E276" s="2">
        <v>44582</v>
      </c>
      <c r="F276" s="2">
        <v>44657</v>
      </c>
      <c r="G276" s="3">
        <v>2853.33</v>
      </c>
      <c r="H276" s="1">
        <v>0</v>
      </c>
      <c r="I276" s="1" t="s">
        <v>1667</v>
      </c>
      <c r="J276" s="1" t="s">
        <v>27</v>
      </c>
    </row>
    <row r="277" spans="1:10" hidden="1" x14ac:dyDescent="0.25">
      <c r="A277" s="1" t="s">
        <v>20</v>
      </c>
      <c r="B277" s="1" t="s">
        <v>21</v>
      </c>
      <c r="C277" s="1">
        <v>17659</v>
      </c>
      <c r="D277" s="1">
        <v>26657</v>
      </c>
      <c r="E277" s="2">
        <v>44508</v>
      </c>
      <c r="F277" s="2">
        <v>44658</v>
      </c>
      <c r="G277" s="3">
        <v>30713.040000000001</v>
      </c>
      <c r="H277" s="1">
        <v>0</v>
      </c>
      <c r="I277" s="1" t="s">
        <v>583</v>
      </c>
      <c r="J277" s="1" t="s">
        <v>23</v>
      </c>
    </row>
    <row r="278" spans="1:10" hidden="1" x14ac:dyDescent="0.25">
      <c r="A278" s="1" t="s">
        <v>735</v>
      </c>
      <c r="B278" s="1" t="s">
        <v>736</v>
      </c>
      <c r="C278" s="1">
        <v>18941</v>
      </c>
      <c r="D278" s="1">
        <v>27955</v>
      </c>
      <c r="E278" s="2">
        <v>44628</v>
      </c>
      <c r="F278" s="2">
        <v>44658</v>
      </c>
      <c r="G278" s="3">
        <v>2390.7600000000002</v>
      </c>
      <c r="H278" s="1">
        <v>0</v>
      </c>
      <c r="I278" s="1" t="s">
        <v>737</v>
      </c>
      <c r="J278" s="1" t="s">
        <v>88</v>
      </c>
    </row>
    <row r="279" spans="1:10" hidden="1" x14ac:dyDescent="0.25">
      <c r="A279" s="1" t="s">
        <v>185</v>
      </c>
      <c r="B279" s="1" t="s">
        <v>186</v>
      </c>
      <c r="C279" s="1">
        <v>17658</v>
      </c>
      <c r="D279" s="1">
        <v>26656</v>
      </c>
      <c r="E279" s="2">
        <v>44508</v>
      </c>
      <c r="F279" s="2">
        <v>44658</v>
      </c>
      <c r="G279" s="3">
        <v>33570</v>
      </c>
      <c r="H279" s="1">
        <v>0</v>
      </c>
      <c r="I279" s="1" t="s">
        <v>1288</v>
      </c>
      <c r="J279" s="1" t="s">
        <v>13</v>
      </c>
    </row>
    <row r="280" spans="1:10" hidden="1" x14ac:dyDescent="0.25">
      <c r="A280" s="1" t="s">
        <v>20</v>
      </c>
      <c r="B280" s="1" t="s">
        <v>21</v>
      </c>
      <c r="C280" s="1">
        <v>18035</v>
      </c>
      <c r="D280" s="1">
        <v>27045</v>
      </c>
      <c r="E280" s="2">
        <v>44539</v>
      </c>
      <c r="F280" s="2">
        <v>44659</v>
      </c>
      <c r="G280" s="3">
        <v>7333.33</v>
      </c>
      <c r="H280" s="1">
        <v>0</v>
      </c>
      <c r="I280" s="1" t="s">
        <v>69</v>
      </c>
      <c r="J280" s="1" t="s">
        <v>23</v>
      </c>
    </row>
    <row r="281" spans="1:10" hidden="1" x14ac:dyDescent="0.25">
      <c r="A281" s="1" t="s">
        <v>20</v>
      </c>
      <c r="B281" s="1" t="s">
        <v>21</v>
      </c>
      <c r="C281" s="1">
        <v>18034</v>
      </c>
      <c r="D281" s="1">
        <v>27044</v>
      </c>
      <c r="E281" s="2">
        <v>44539</v>
      </c>
      <c r="F281" s="2">
        <v>44659</v>
      </c>
      <c r="G281" s="3">
        <v>2936.66</v>
      </c>
      <c r="H281" s="1">
        <v>0</v>
      </c>
      <c r="I281" s="1" t="s">
        <v>106</v>
      </c>
      <c r="J281" s="1" t="s">
        <v>23</v>
      </c>
    </row>
    <row r="282" spans="1:10" hidden="1" x14ac:dyDescent="0.25">
      <c r="A282" s="1" t="s">
        <v>70</v>
      </c>
      <c r="B282" s="1" t="s">
        <v>71</v>
      </c>
      <c r="C282" s="1">
        <v>18653</v>
      </c>
      <c r="D282" s="1">
        <v>27665</v>
      </c>
      <c r="E282" s="2">
        <v>44599</v>
      </c>
      <c r="F282" s="2">
        <v>44659</v>
      </c>
      <c r="G282" s="3">
        <v>8959.99</v>
      </c>
      <c r="H282" s="1">
        <v>0</v>
      </c>
      <c r="I282" s="1" t="s">
        <v>260</v>
      </c>
      <c r="J282" s="1" t="s">
        <v>73</v>
      </c>
    </row>
    <row r="283" spans="1:10" hidden="1" x14ac:dyDescent="0.25">
      <c r="A283" s="1" t="s">
        <v>70</v>
      </c>
      <c r="B283" s="1" t="s">
        <v>71</v>
      </c>
      <c r="C283" s="1">
        <v>18654</v>
      </c>
      <c r="D283" s="1">
        <v>27666</v>
      </c>
      <c r="E283" s="2">
        <v>44599</v>
      </c>
      <c r="F283" s="2">
        <v>44659</v>
      </c>
      <c r="G283" s="3">
        <v>21746.92</v>
      </c>
      <c r="H283" s="1">
        <v>0</v>
      </c>
      <c r="I283" s="1" t="s">
        <v>261</v>
      </c>
      <c r="J283" s="1" t="s">
        <v>73</v>
      </c>
    </row>
    <row r="284" spans="1:10" hidden="1" x14ac:dyDescent="0.25">
      <c r="A284" s="1" t="s">
        <v>20</v>
      </c>
      <c r="B284" s="1" t="s">
        <v>21</v>
      </c>
      <c r="C284" s="1">
        <v>18033</v>
      </c>
      <c r="D284" s="1">
        <v>27043</v>
      </c>
      <c r="E284" s="2">
        <v>44539</v>
      </c>
      <c r="F284" s="2">
        <v>44659</v>
      </c>
      <c r="G284" s="3">
        <v>6078.08</v>
      </c>
      <c r="H284" s="1">
        <v>0</v>
      </c>
      <c r="I284" s="1" t="s">
        <v>616</v>
      </c>
      <c r="J284" s="1" t="s">
        <v>23</v>
      </c>
    </row>
    <row r="285" spans="1:10" hidden="1" x14ac:dyDescent="0.25">
      <c r="A285" s="1" t="s">
        <v>70</v>
      </c>
      <c r="B285" s="1" t="s">
        <v>71</v>
      </c>
      <c r="C285" s="1">
        <v>18652</v>
      </c>
      <c r="D285" s="1">
        <v>27664</v>
      </c>
      <c r="E285" s="2">
        <v>44599</v>
      </c>
      <c r="F285" s="2">
        <v>44659</v>
      </c>
      <c r="G285" s="3">
        <v>2066.66</v>
      </c>
      <c r="H285" s="1">
        <v>0</v>
      </c>
      <c r="I285" s="1" t="s">
        <v>643</v>
      </c>
      <c r="J285" s="1" t="s">
        <v>73</v>
      </c>
    </row>
    <row r="286" spans="1:10" hidden="1" x14ac:dyDescent="0.25">
      <c r="A286" s="1" t="s">
        <v>78</v>
      </c>
      <c r="B286" s="1" t="s">
        <v>79</v>
      </c>
      <c r="C286" s="1">
        <v>18651</v>
      </c>
      <c r="D286" s="1">
        <v>27661</v>
      </c>
      <c r="E286" s="2">
        <v>44599</v>
      </c>
      <c r="F286" s="2">
        <v>44659</v>
      </c>
      <c r="G286" s="3">
        <v>140786.26</v>
      </c>
      <c r="H286" s="1">
        <v>0</v>
      </c>
      <c r="I286" s="1" t="s">
        <v>661</v>
      </c>
      <c r="J286" s="1" t="s">
        <v>68</v>
      </c>
    </row>
    <row r="287" spans="1:10" hidden="1" x14ac:dyDescent="0.25">
      <c r="A287" s="1" t="s">
        <v>712</v>
      </c>
      <c r="B287" s="1" t="s">
        <v>713</v>
      </c>
      <c r="C287" s="1">
        <v>18045</v>
      </c>
      <c r="D287" s="1">
        <v>27056</v>
      </c>
      <c r="E287" s="2">
        <v>44539</v>
      </c>
      <c r="F287" s="2">
        <v>44659</v>
      </c>
      <c r="G287" s="3">
        <v>10152.5</v>
      </c>
      <c r="H287" s="1">
        <v>0</v>
      </c>
      <c r="I287" s="1" t="s">
        <v>714</v>
      </c>
      <c r="J287" s="1" t="s">
        <v>88</v>
      </c>
    </row>
    <row r="288" spans="1:10" hidden="1" x14ac:dyDescent="0.25">
      <c r="A288" s="1" t="s">
        <v>231</v>
      </c>
      <c r="B288" s="1" t="s">
        <v>232</v>
      </c>
      <c r="C288" s="1">
        <v>17684</v>
      </c>
      <c r="D288" s="1">
        <v>26682</v>
      </c>
      <c r="E288" s="2">
        <v>44509</v>
      </c>
      <c r="F288" s="2">
        <v>44659</v>
      </c>
      <c r="G288" s="3">
        <v>28003.31</v>
      </c>
      <c r="H288" s="1">
        <v>0</v>
      </c>
      <c r="I288" s="1" t="s">
        <v>898</v>
      </c>
      <c r="J288" s="1" t="s">
        <v>13</v>
      </c>
    </row>
    <row r="289" spans="1:10" hidden="1" x14ac:dyDescent="0.25">
      <c r="A289" s="1" t="s">
        <v>78</v>
      </c>
      <c r="B289" s="1" t="s">
        <v>79</v>
      </c>
      <c r="C289" s="1">
        <v>18657</v>
      </c>
      <c r="D289" s="1">
        <v>27669</v>
      </c>
      <c r="E289" s="2">
        <v>44599</v>
      </c>
      <c r="F289" s="2">
        <v>44659</v>
      </c>
      <c r="G289" s="3">
        <v>202960.84</v>
      </c>
      <c r="H289" s="1">
        <v>0</v>
      </c>
      <c r="I289" s="1" t="s">
        <v>1117</v>
      </c>
      <c r="J289" s="1" t="s">
        <v>68</v>
      </c>
    </row>
    <row r="290" spans="1:10" hidden="1" x14ac:dyDescent="0.25">
      <c r="A290" s="1" t="s">
        <v>1171</v>
      </c>
      <c r="B290" s="1" t="s">
        <v>1172</v>
      </c>
      <c r="C290" s="1">
        <v>18039</v>
      </c>
      <c r="D290" s="1">
        <v>27050</v>
      </c>
      <c r="E290" s="2">
        <v>44539</v>
      </c>
      <c r="F290" s="2">
        <v>44659</v>
      </c>
      <c r="G290" s="3">
        <v>22600</v>
      </c>
      <c r="H290" s="1">
        <v>0</v>
      </c>
      <c r="I290" s="1" t="s">
        <v>1331</v>
      </c>
      <c r="J290" s="1" t="s">
        <v>1174</v>
      </c>
    </row>
    <row r="291" spans="1:10" hidden="1" x14ac:dyDescent="0.25">
      <c r="A291" s="1" t="s">
        <v>20</v>
      </c>
      <c r="B291" s="1" t="s">
        <v>21</v>
      </c>
      <c r="C291" s="1">
        <v>17685</v>
      </c>
      <c r="D291" s="1">
        <v>26683</v>
      </c>
      <c r="E291" s="2">
        <v>44509</v>
      </c>
      <c r="F291" s="2">
        <v>44659</v>
      </c>
      <c r="G291" s="3">
        <v>1691.91</v>
      </c>
      <c r="H291" s="1">
        <v>0</v>
      </c>
      <c r="I291" s="1" t="s">
        <v>1571</v>
      </c>
      <c r="J291" s="1" t="s">
        <v>23</v>
      </c>
    </row>
    <row r="292" spans="1:10" hidden="1" x14ac:dyDescent="0.25">
      <c r="A292" s="1" t="s">
        <v>20</v>
      </c>
      <c r="B292" s="1" t="s">
        <v>21</v>
      </c>
      <c r="C292" s="1">
        <v>18032</v>
      </c>
      <c r="D292" s="1">
        <v>27042</v>
      </c>
      <c r="E292" s="2">
        <v>44539</v>
      </c>
      <c r="F292" s="2">
        <v>44659</v>
      </c>
      <c r="G292" s="3">
        <v>1103.33</v>
      </c>
      <c r="H292" s="1">
        <v>0</v>
      </c>
      <c r="I292" s="1" t="s">
        <v>1633</v>
      </c>
      <c r="J292" s="1" t="s">
        <v>23</v>
      </c>
    </row>
    <row r="293" spans="1:10" hidden="1" x14ac:dyDescent="0.25">
      <c r="A293" s="1" t="s">
        <v>78</v>
      </c>
      <c r="B293" s="1" t="s">
        <v>79</v>
      </c>
      <c r="C293" s="1">
        <v>18650</v>
      </c>
      <c r="D293" s="1">
        <v>27660</v>
      </c>
      <c r="E293" s="2">
        <v>44599</v>
      </c>
      <c r="F293" s="2">
        <v>44659</v>
      </c>
      <c r="G293" s="3">
        <v>121761.1</v>
      </c>
      <c r="H293" s="1">
        <v>0</v>
      </c>
      <c r="I293" s="1" t="s">
        <v>1638</v>
      </c>
      <c r="J293" s="1" t="s">
        <v>68</v>
      </c>
    </row>
    <row r="294" spans="1:10" hidden="1" x14ac:dyDescent="0.25">
      <c r="A294" s="1" t="s">
        <v>108</v>
      </c>
      <c r="B294" s="1" t="s">
        <v>109</v>
      </c>
      <c r="C294" s="1">
        <v>16767</v>
      </c>
      <c r="D294" s="1">
        <v>25739</v>
      </c>
      <c r="E294" s="2">
        <v>44449</v>
      </c>
      <c r="F294" s="2">
        <v>44659</v>
      </c>
      <c r="G294" s="3">
        <v>97080</v>
      </c>
      <c r="H294" s="1">
        <v>0</v>
      </c>
      <c r="I294" s="1" t="s">
        <v>1655</v>
      </c>
      <c r="J294" s="1" t="s">
        <v>88</v>
      </c>
    </row>
    <row r="295" spans="1:10" hidden="1" x14ac:dyDescent="0.25">
      <c r="A295" s="1" t="s">
        <v>78</v>
      </c>
      <c r="B295" s="1" t="s">
        <v>79</v>
      </c>
      <c r="C295" s="1">
        <v>18658</v>
      </c>
      <c r="D295" s="1">
        <v>27670</v>
      </c>
      <c r="E295" s="2">
        <v>44599</v>
      </c>
      <c r="F295" s="2">
        <v>44659</v>
      </c>
      <c r="G295" s="3">
        <v>122103.48</v>
      </c>
      <c r="H295" s="1">
        <v>0</v>
      </c>
      <c r="I295" s="1" t="s">
        <v>1691</v>
      </c>
      <c r="J295" s="1" t="s">
        <v>68</v>
      </c>
    </row>
    <row r="296" spans="1:10" hidden="1" x14ac:dyDescent="0.25">
      <c r="A296" s="1" t="s">
        <v>81</v>
      </c>
      <c r="B296" s="1" t="s">
        <v>82</v>
      </c>
      <c r="C296" s="1">
        <v>17699</v>
      </c>
      <c r="D296" s="1">
        <v>26695</v>
      </c>
      <c r="E296" s="2">
        <v>44510</v>
      </c>
      <c r="F296" s="2">
        <v>44660</v>
      </c>
      <c r="G296" s="1">
        <v>638.38</v>
      </c>
      <c r="H296" s="1">
        <v>0</v>
      </c>
      <c r="I296" s="1" t="s">
        <v>83</v>
      </c>
      <c r="J296" s="1" t="s">
        <v>84</v>
      </c>
    </row>
    <row r="297" spans="1:10" hidden="1" x14ac:dyDescent="0.25">
      <c r="A297" s="1" t="s">
        <v>70</v>
      </c>
      <c r="B297" s="1" t="s">
        <v>71</v>
      </c>
      <c r="C297" s="1">
        <v>17719</v>
      </c>
      <c r="D297" s="1">
        <v>26713</v>
      </c>
      <c r="E297" s="2">
        <v>44510</v>
      </c>
      <c r="F297" s="2">
        <v>44660</v>
      </c>
      <c r="G297" s="3">
        <v>27128.36</v>
      </c>
      <c r="H297" s="1">
        <v>0</v>
      </c>
      <c r="I297" s="1" t="s">
        <v>111</v>
      </c>
      <c r="J297" s="1" t="s">
        <v>73</v>
      </c>
    </row>
    <row r="298" spans="1:10" hidden="1" x14ac:dyDescent="0.25">
      <c r="A298" s="1" t="s">
        <v>371</v>
      </c>
      <c r="B298" s="1" t="s">
        <v>372</v>
      </c>
      <c r="C298" s="1">
        <v>17695</v>
      </c>
      <c r="D298" s="1">
        <v>26692</v>
      </c>
      <c r="E298" s="2">
        <v>44510</v>
      </c>
      <c r="F298" s="2">
        <v>44660</v>
      </c>
      <c r="G298" s="3">
        <v>15283</v>
      </c>
      <c r="H298" s="1">
        <v>0</v>
      </c>
      <c r="I298" s="1" t="s">
        <v>373</v>
      </c>
      <c r="J298" s="1" t="s">
        <v>88</v>
      </c>
    </row>
    <row r="299" spans="1:10" hidden="1" x14ac:dyDescent="0.25">
      <c r="A299" s="1" t="s">
        <v>78</v>
      </c>
      <c r="B299" s="1" t="s">
        <v>79</v>
      </c>
      <c r="C299" s="1">
        <v>18670</v>
      </c>
      <c r="D299" s="1">
        <v>27682</v>
      </c>
      <c r="E299" s="2">
        <v>44600</v>
      </c>
      <c r="F299" s="2">
        <v>44660</v>
      </c>
      <c r="G299" s="3">
        <v>185152.11</v>
      </c>
      <c r="H299" s="1">
        <v>0</v>
      </c>
      <c r="I299" s="1" t="s">
        <v>491</v>
      </c>
      <c r="J299" s="1" t="s">
        <v>68</v>
      </c>
    </row>
    <row r="300" spans="1:10" hidden="1" x14ac:dyDescent="0.25">
      <c r="A300" s="1" t="s">
        <v>291</v>
      </c>
      <c r="B300" s="1" t="s">
        <v>292</v>
      </c>
      <c r="C300" s="1">
        <v>17714</v>
      </c>
      <c r="D300" s="1">
        <v>26710</v>
      </c>
      <c r="E300" s="2">
        <v>44510</v>
      </c>
      <c r="F300" s="2">
        <v>44660</v>
      </c>
      <c r="G300" s="3">
        <v>13140</v>
      </c>
      <c r="H300" s="1">
        <v>0</v>
      </c>
      <c r="I300" s="1" t="s">
        <v>503</v>
      </c>
      <c r="J300" s="1" t="s">
        <v>115</v>
      </c>
    </row>
    <row r="301" spans="1:10" hidden="1" x14ac:dyDescent="0.25">
      <c r="A301" s="1" t="s">
        <v>24</v>
      </c>
      <c r="B301" s="1" t="s">
        <v>25</v>
      </c>
      <c r="C301" s="1">
        <v>17219</v>
      </c>
      <c r="D301" s="1">
        <v>26217</v>
      </c>
      <c r="E301" s="2">
        <v>44480</v>
      </c>
      <c r="F301" s="2">
        <v>44660</v>
      </c>
      <c r="G301" s="3">
        <v>30000</v>
      </c>
      <c r="H301" s="1">
        <v>0</v>
      </c>
      <c r="I301" s="1" t="s">
        <v>751</v>
      </c>
      <c r="J301" s="1" t="s">
        <v>27</v>
      </c>
    </row>
    <row r="302" spans="1:10" hidden="1" x14ac:dyDescent="0.25">
      <c r="A302" s="1" t="s">
        <v>78</v>
      </c>
      <c r="B302" s="1" t="s">
        <v>79</v>
      </c>
      <c r="C302" s="1">
        <v>18665</v>
      </c>
      <c r="D302" s="1">
        <v>27677</v>
      </c>
      <c r="E302" s="2">
        <v>44600</v>
      </c>
      <c r="F302" s="2">
        <v>44660</v>
      </c>
      <c r="G302" s="3">
        <v>140786.26999999999</v>
      </c>
      <c r="H302" s="1">
        <v>0</v>
      </c>
      <c r="I302" s="1" t="s">
        <v>820</v>
      </c>
      <c r="J302" s="1" t="s">
        <v>68</v>
      </c>
    </row>
    <row r="303" spans="1:10" hidden="1" x14ac:dyDescent="0.25">
      <c r="A303" s="1" t="s">
        <v>857</v>
      </c>
      <c r="B303" s="1" t="s">
        <v>858</v>
      </c>
      <c r="C303" s="1">
        <v>18048</v>
      </c>
      <c r="D303" s="1">
        <v>27059</v>
      </c>
      <c r="E303" s="2">
        <v>44540</v>
      </c>
      <c r="F303" s="2">
        <v>44660</v>
      </c>
      <c r="G303" s="3">
        <v>38804.5</v>
      </c>
      <c r="H303" s="1">
        <v>0</v>
      </c>
      <c r="I303" s="1" t="s">
        <v>859</v>
      </c>
      <c r="J303" s="1" t="s">
        <v>73</v>
      </c>
    </row>
    <row r="304" spans="1:10" hidden="1" x14ac:dyDescent="0.25">
      <c r="A304" s="1" t="s">
        <v>847</v>
      </c>
      <c r="B304" s="1" t="s">
        <v>848</v>
      </c>
      <c r="C304" s="1">
        <v>17687</v>
      </c>
      <c r="D304" s="1">
        <v>26685</v>
      </c>
      <c r="E304" s="2">
        <v>44510</v>
      </c>
      <c r="F304" s="2">
        <v>44660</v>
      </c>
      <c r="G304" s="3">
        <v>4509</v>
      </c>
      <c r="H304" s="1">
        <v>0</v>
      </c>
      <c r="I304" s="1" t="s">
        <v>860</v>
      </c>
      <c r="J304" s="1" t="s">
        <v>73</v>
      </c>
    </row>
    <row r="305" spans="1:10" hidden="1" x14ac:dyDescent="0.25">
      <c r="A305" s="1" t="s">
        <v>70</v>
      </c>
      <c r="B305" s="1" t="s">
        <v>71</v>
      </c>
      <c r="C305" s="1">
        <v>17688</v>
      </c>
      <c r="D305" s="1">
        <v>26686</v>
      </c>
      <c r="E305" s="2">
        <v>44510</v>
      </c>
      <c r="F305" s="2">
        <v>44660</v>
      </c>
      <c r="G305" s="3">
        <v>1166.67</v>
      </c>
      <c r="H305" s="1">
        <v>0</v>
      </c>
      <c r="I305" s="1" t="s">
        <v>1213</v>
      </c>
      <c r="J305" s="1" t="s">
        <v>73</v>
      </c>
    </row>
    <row r="306" spans="1:10" hidden="1" x14ac:dyDescent="0.25">
      <c r="A306" s="1" t="s">
        <v>70</v>
      </c>
      <c r="B306" s="1" t="s">
        <v>71</v>
      </c>
      <c r="C306" s="1">
        <v>17690</v>
      </c>
      <c r="D306" s="1">
        <v>26688</v>
      </c>
      <c r="E306" s="2">
        <v>44510</v>
      </c>
      <c r="F306" s="2">
        <v>44660</v>
      </c>
      <c r="G306" s="1">
        <v>750</v>
      </c>
      <c r="H306" s="1">
        <v>0</v>
      </c>
      <c r="I306" s="1" t="s">
        <v>1214</v>
      </c>
      <c r="J306" s="1" t="s">
        <v>73</v>
      </c>
    </row>
    <row r="307" spans="1:10" hidden="1" x14ac:dyDescent="0.25">
      <c r="A307" s="1" t="s">
        <v>24</v>
      </c>
      <c r="B307" s="1" t="s">
        <v>25</v>
      </c>
      <c r="C307" s="1">
        <v>17223</v>
      </c>
      <c r="D307" s="1">
        <v>26221</v>
      </c>
      <c r="E307" s="2">
        <v>44480</v>
      </c>
      <c r="F307" s="2">
        <v>44660</v>
      </c>
      <c r="G307" s="3">
        <v>35810</v>
      </c>
      <c r="H307" s="1">
        <v>0</v>
      </c>
      <c r="I307" s="1" t="s">
        <v>1411</v>
      </c>
      <c r="J307" s="1" t="s">
        <v>27</v>
      </c>
    </row>
    <row r="308" spans="1:10" hidden="1" x14ac:dyDescent="0.25">
      <c r="A308" s="1" t="s">
        <v>291</v>
      </c>
      <c r="B308" s="1" t="s">
        <v>292</v>
      </c>
      <c r="C308" s="1">
        <v>17713</v>
      </c>
      <c r="D308" s="1">
        <v>26709</v>
      </c>
      <c r="E308" s="2">
        <v>44510</v>
      </c>
      <c r="F308" s="2">
        <v>44660</v>
      </c>
      <c r="G308" s="3">
        <v>16851</v>
      </c>
      <c r="H308" s="1">
        <v>0</v>
      </c>
      <c r="I308" s="1" t="s">
        <v>1435</v>
      </c>
      <c r="J308" s="1" t="s">
        <v>115</v>
      </c>
    </row>
    <row r="309" spans="1:10" hidden="1" x14ac:dyDescent="0.25">
      <c r="A309" s="1" t="s">
        <v>78</v>
      </c>
      <c r="B309" s="1" t="s">
        <v>79</v>
      </c>
      <c r="C309" s="1">
        <v>18666</v>
      </c>
      <c r="D309" s="1">
        <v>27678</v>
      </c>
      <c r="E309" s="2">
        <v>44600</v>
      </c>
      <c r="F309" s="2">
        <v>44660</v>
      </c>
      <c r="G309" s="3">
        <v>152201.38</v>
      </c>
      <c r="H309" s="1">
        <v>0</v>
      </c>
      <c r="I309" s="1" t="s">
        <v>1480</v>
      </c>
      <c r="J309" s="1" t="s">
        <v>68</v>
      </c>
    </row>
    <row r="310" spans="1:10" hidden="1" x14ac:dyDescent="0.25">
      <c r="A310" s="1" t="s">
        <v>156</v>
      </c>
      <c r="B310" s="1" t="s">
        <v>157</v>
      </c>
      <c r="C310" s="1">
        <v>17732</v>
      </c>
      <c r="D310" s="1">
        <v>26726</v>
      </c>
      <c r="E310" s="2">
        <v>44511</v>
      </c>
      <c r="F310" s="2">
        <v>44661</v>
      </c>
      <c r="G310" s="3">
        <v>25087.5</v>
      </c>
      <c r="H310" s="1">
        <v>0</v>
      </c>
      <c r="I310" s="1" t="s">
        <v>158</v>
      </c>
      <c r="J310" s="1" t="s">
        <v>88</v>
      </c>
    </row>
    <row r="311" spans="1:10" hidden="1" x14ac:dyDescent="0.25">
      <c r="A311" s="1" t="s">
        <v>15</v>
      </c>
      <c r="B311" s="1" t="s">
        <v>16</v>
      </c>
      <c r="C311" s="1">
        <v>17629</v>
      </c>
      <c r="D311" s="1">
        <v>26631</v>
      </c>
      <c r="E311" s="2">
        <v>44505</v>
      </c>
      <c r="F311" s="2">
        <v>44505</v>
      </c>
      <c r="G311" s="3">
        <v>2760</v>
      </c>
      <c r="H311" s="1">
        <v>125</v>
      </c>
      <c r="I311" s="1" t="s">
        <v>360</v>
      </c>
      <c r="J311" s="1" t="s">
        <v>18</v>
      </c>
    </row>
    <row r="312" spans="1:10" hidden="1" x14ac:dyDescent="0.25">
      <c r="A312" s="1" t="s">
        <v>321</v>
      </c>
      <c r="B312" s="1" t="s">
        <v>322</v>
      </c>
      <c r="C312" s="1">
        <v>17738</v>
      </c>
      <c r="D312" s="1">
        <v>26731</v>
      </c>
      <c r="E312" s="2">
        <v>44511</v>
      </c>
      <c r="F312" s="2">
        <v>44661</v>
      </c>
      <c r="G312" s="3">
        <v>12611.7</v>
      </c>
      <c r="H312" s="1">
        <v>0</v>
      </c>
      <c r="I312" s="1" t="s">
        <v>323</v>
      </c>
      <c r="J312" s="1" t="s">
        <v>27</v>
      </c>
    </row>
    <row r="313" spans="1:10" hidden="1" x14ac:dyDescent="0.25">
      <c r="A313" s="1" t="s">
        <v>321</v>
      </c>
      <c r="B313" s="1" t="s">
        <v>322</v>
      </c>
      <c r="C313" s="1">
        <v>17740</v>
      </c>
      <c r="D313" s="1">
        <v>26733</v>
      </c>
      <c r="E313" s="2">
        <v>44511</v>
      </c>
      <c r="F313" s="2">
        <v>44661</v>
      </c>
      <c r="G313" s="3">
        <v>1268</v>
      </c>
      <c r="H313" s="1">
        <v>0</v>
      </c>
      <c r="I313" s="1" t="s">
        <v>324</v>
      </c>
      <c r="J313" s="1" t="s">
        <v>27</v>
      </c>
    </row>
    <row r="314" spans="1:10" hidden="1" x14ac:dyDescent="0.25">
      <c r="A314" s="1" t="s">
        <v>70</v>
      </c>
      <c r="B314" s="1" t="s">
        <v>71</v>
      </c>
      <c r="C314" s="1">
        <v>18526</v>
      </c>
      <c r="D314" s="1">
        <v>27527</v>
      </c>
      <c r="E314" s="2">
        <v>44586</v>
      </c>
      <c r="F314" s="2">
        <v>44661</v>
      </c>
      <c r="G314" s="3">
        <v>3360</v>
      </c>
      <c r="H314" s="1">
        <v>0</v>
      </c>
      <c r="I314" s="1" t="s">
        <v>349</v>
      </c>
      <c r="J314" s="1" t="s">
        <v>73</v>
      </c>
    </row>
    <row r="315" spans="1:10" hidden="1" x14ac:dyDescent="0.25">
      <c r="A315" s="1" t="s">
        <v>78</v>
      </c>
      <c r="B315" s="1" t="s">
        <v>79</v>
      </c>
      <c r="C315" s="1">
        <v>18690</v>
      </c>
      <c r="D315" s="1">
        <v>27703</v>
      </c>
      <c r="E315" s="2">
        <v>44601</v>
      </c>
      <c r="F315" s="2">
        <v>44661</v>
      </c>
      <c r="G315" s="3">
        <v>144591.29999999999</v>
      </c>
      <c r="H315" s="1">
        <v>0</v>
      </c>
      <c r="I315" s="1" t="s">
        <v>666</v>
      </c>
      <c r="J315" s="1" t="s">
        <v>68</v>
      </c>
    </row>
    <row r="316" spans="1:10" hidden="1" x14ac:dyDescent="0.25">
      <c r="A316" s="1" t="s">
        <v>78</v>
      </c>
      <c r="B316" s="1" t="s">
        <v>79</v>
      </c>
      <c r="C316" s="1">
        <v>18687</v>
      </c>
      <c r="D316" s="1">
        <v>27700</v>
      </c>
      <c r="E316" s="2">
        <v>44601</v>
      </c>
      <c r="F316" s="2">
        <v>44661</v>
      </c>
      <c r="G316" s="3">
        <v>152201.38</v>
      </c>
      <c r="H316" s="1">
        <v>0</v>
      </c>
      <c r="I316" s="1" t="s">
        <v>912</v>
      </c>
      <c r="J316" s="1" t="s">
        <v>68</v>
      </c>
    </row>
    <row r="317" spans="1:10" hidden="1" x14ac:dyDescent="0.25">
      <c r="A317" s="1" t="s">
        <v>244</v>
      </c>
      <c r="B317" s="1" t="s">
        <v>98</v>
      </c>
      <c r="C317" s="1">
        <v>17213</v>
      </c>
      <c r="D317" s="1">
        <v>26212</v>
      </c>
      <c r="E317" s="2">
        <v>44480</v>
      </c>
      <c r="F317" s="2">
        <v>44661</v>
      </c>
      <c r="G317" s="3">
        <v>93286.32</v>
      </c>
      <c r="H317" s="1">
        <v>0</v>
      </c>
      <c r="I317" s="1" t="s">
        <v>951</v>
      </c>
      <c r="J317" s="1" t="s">
        <v>27</v>
      </c>
    </row>
    <row r="318" spans="1:10" hidden="1" x14ac:dyDescent="0.25">
      <c r="A318" s="1" t="s">
        <v>321</v>
      </c>
      <c r="B318" s="1" t="s">
        <v>322</v>
      </c>
      <c r="C318" s="1">
        <v>17739</v>
      </c>
      <c r="D318" s="1">
        <v>26732</v>
      </c>
      <c r="E318" s="2">
        <v>44511</v>
      </c>
      <c r="F318" s="2">
        <v>44661</v>
      </c>
      <c r="G318" s="3">
        <v>3691.1</v>
      </c>
      <c r="H318" s="1">
        <v>0</v>
      </c>
      <c r="I318" s="1" t="s">
        <v>1113</v>
      </c>
      <c r="J318" s="1" t="s">
        <v>27</v>
      </c>
    </row>
    <row r="319" spans="1:10" hidden="1" x14ac:dyDescent="0.25">
      <c r="A319" s="1" t="s">
        <v>78</v>
      </c>
      <c r="B319" s="1" t="s">
        <v>79</v>
      </c>
      <c r="C319" s="1">
        <v>18691</v>
      </c>
      <c r="D319" s="1">
        <v>27704</v>
      </c>
      <c r="E319" s="2">
        <v>44601</v>
      </c>
      <c r="F319" s="2">
        <v>44661</v>
      </c>
      <c r="G319" s="3">
        <v>144591.29999999999</v>
      </c>
      <c r="H319" s="1">
        <v>0</v>
      </c>
      <c r="I319" s="1" t="s">
        <v>1481</v>
      </c>
      <c r="J319" s="1" t="s">
        <v>68</v>
      </c>
    </row>
    <row r="320" spans="1:10" hidden="1" x14ac:dyDescent="0.25">
      <c r="A320" s="1" t="s">
        <v>78</v>
      </c>
      <c r="B320" s="1" t="s">
        <v>79</v>
      </c>
      <c r="C320" s="1">
        <v>18688</v>
      </c>
      <c r="D320" s="1">
        <v>27701</v>
      </c>
      <c r="E320" s="2">
        <v>44601</v>
      </c>
      <c r="F320" s="2">
        <v>44661</v>
      </c>
      <c r="G320" s="3">
        <v>144591.29999999999</v>
      </c>
      <c r="H320" s="1">
        <v>0</v>
      </c>
      <c r="I320" s="1" t="s">
        <v>1521</v>
      </c>
      <c r="J320" s="1" t="s">
        <v>68</v>
      </c>
    </row>
    <row r="321" spans="1:10" hidden="1" x14ac:dyDescent="0.25">
      <c r="A321" s="1" t="s">
        <v>78</v>
      </c>
      <c r="B321" s="1" t="s">
        <v>79</v>
      </c>
      <c r="C321" s="1">
        <v>18689</v>
      </c>
      <c r="D321" s="1">
        <v>27702</v>
      </c>
      <c r="E321" s="2">
        <v>44601</v>
      </c>
      <c r="F321" s="2">
        <v>44661</v>
      </c>
      <c r="G321" s="3">
        <v>144591.29999999999</v>
      </c>
      <c r="H321" s="1">
        <v>0</v>
      </c>
      <c r="I321" s="1" t="s">
        <v>1577</v>
      </c>
      <c r="J321" s="1" t="s">
        <v>68</v>
      </c>
    </row>
    <row r="322" spans="1:10" hidden="1" x14ac:dyDescent="0.25">
      <c r="A322" s="1" t="s">
        <v>20</v>
      </c>
      <c r="B322" s="1" t="s">
        <v>21</v>
      </c>
      <c r="C322" s="1">
        <v>17229</v>
      </c>
      <c r="D322" s="1">
        <v>26228</v>
      </c>
      <c r="E322" s="2">
        <v>44481</v>
      </c>
      <c r="F322" s="2">
        <v>44661</v>
      </c>
      <c r="G322" s="3">
        <v>19792.3</v>
      </c>
      <c r="H322" s="1">
        <v>0</v>
      </c>
      <c r="I322" s="1" t="s">
        <v>1582</v>
      </c>
      <c r="J322" s="1" t="s">
        <v>23</v>
      </c>
    </row>
    <row r="323" spans="1:10" hidden="1" x14ac:dyDescent="0.25">
      <c r="A323" s="1" t="s">
        <v>321</v>
      </c>
      <c r="B323" s="1" t="s">
        <v>322</v>
      </c>
      <c r="C323" s="1">
        <v>17737</v>
      </c>
      <c r="D323" s="1">
        <v>26730</v>
      </c>
      <c r="E323" s="2">
        <v>44511</v>
      </c>
      <c r="F323" s="2">
        <v>44661</v>
      </c>
      <c r="G323" s="1">
        <v>380</v>
      </c>
      <c r="H323" s="1">
        <v>0</v>
      </c>
      <c r="I323" s="1" t="s">
        <v>1707</v>
      </c>
      <c r="J323" s="1" t="s">
        <v>27</v>
      </c>
    </row>
    <row r="324" spans="1:10" hidden="1" x14ac:dyDescent="0.25">
      <c r="A324" s="1" t="s">
        <v>180</v>
      </c>
      <c r="B324" s="1" t="s">
        <v>181</v>
      </c>
      <c r="C324" s="1">
        <v>16773</v>
      </c>
      <c r="D324" s="1">
        <v>25746</v>
      </c>
      <c r="E324" s="2">
        <v>44452</v>
      </c>
      <c r="F324" s="2">
        <v>44662</v>
      </c>
      <c r="G324" s="3">
        <v>96053.4</v>
      </c>
      <c r="H324" s="1">
        <v>0</v>
      </c>
      <c r="I324" s="1" t="s">
        <v>196</v>
      </c>
      <c r="J324" s="1" t="s">
        <v>88</v>
      </c>
    </row>
    <row r="325" spans="1:10" hidden="1" x14ac:dyDescent="0.25">
      <c r="A325" s="1" t="s">
        <v>108</v>
      </c>
      <c r="B325" s="1" t="s">
        <v>109</v>
      </c>
      <c r="C325" s="1">
        <v>16775</v>
      </c>
      <c r="D325" s="1">
        <v>25748</v>
      </c>
      <c r="E325" s="2">
        <v>44452</v>
      </c>
      <c r="F325" s="2">
        <v>44662</v>
      </c>
      <c r="G325" s="3">
        <v>421895.6</v>
      </c>
      <c r="H325" s="1">
        <v>0</v>
      </c>
      <c r="I325" s="1" t="s">
        <v>197</v>
      </c>
      <c r="J325" s="1" t="s">
        <v>88</v>
      </c>
    </row>
    <row r="326" spans="1:10" hidden="1" x14ac:dyDescent="0.25">
      <c r="A326" s="1" t="s">
        <v>277</v>
      </c>
      <c r="B326" s="1" t="s">
        <v>278</v>
      </c>
      <c r="C326" s="1">
        <v>18341</v>
      </c>
      <c r="D326" s="1">
        <v>27348</v>
      </c>
      <c r="E326" s="2">
        <v>44572</v>
      </c>
      <c r="F326" s="2">
        <v>44662</v>
      </c>
      <c r="G326" s="3">
        <v>2850</v>
      </c>
      <c r="H326" s="1">
        <v>0</v>
      </c>
      <c r="I326" s="1" t="s">
        <v>279</v>
      </c>
      <c r="J326" s="1" t="s">
        <v>13</v>
      </c>
    </row>
    <row r="327" spans="1:10" hidden="1" x14ac:dyDescent="0.25">
      <c r="A327" s="1" t="s">
        <v>277</v>
      </c>
      <c r="B327" s="1" t="s">
        <v>278</v>
      </c>
      <c r="C327" s="1">
        <v>18340</v>
      </c>
      <c r="D327" s="1">
        <v>27347</v>
      </c>
      <c r="E327" s="2">
        <v>44572</v>
      </c>
      <c r="F327" s="2">
        <v>44662</v>
      </c>
      <c r="G327" s="3">
        <v>2422.5</v>
      </c>
      <c r="H327" s="1">
        <v>0</v>
      </c>
      <c r="I327" s="1" t="s">
        <v>319</v>
      </c>
      <c r="J327" s="1" t="s">
        <v>13</v>
      </c>
    </row>
    <row r="328" spans="1:10" hidden="1" x14ac:dyDescent="0.25">
      <c r="A328" s="1" t="s">
        <v>277</v>
      </c>
      <c r="B328" s="1" t="s">
        <v>278</v>
      </c>
      <c r="C328" s="1">
        <v>18342</v>
      </c>
      <c r="D328" s="1">
        <v>27349</v>
      </c>
      <c r="E328" s="2">
        <v>44572</v>
      </c>
      <c r="F328" s="2">
        <v>44662</v>
      </c>
      <c r="G328" s="3">
        <v>33450</v>
      </c>
      <c r="H328" s="1">
        <v>0</v>
      </c>
      <c r="I328" s="1" t="s">
        <v>369</v>
      </c>
      <c r="J328" s="1" t="s">
        <v>13</v>
      </c>
    </row>
    <row r="329" spans="1:10" hidden="1" x14ac:dyDescent="0.25">
      <c r="A329" s="1" t="s">
        <v>188</v>
      </c>
      <c r="B329" s="1" t="s">
        <v>189</v>
      </c>
      <c r="C329" s="1">
        <v>17617</v>
      </c>
      <c r="D329" s="1">
        <v>26619</v>
      </c>
      <c r="E329" s="2">
        <v>44505</v>
      </c>
      <c r="F329" s="2">
        <v>44625</v>
      </c>
      <c r="G329" s="3">
        <v>12660.02</v>
      </c>
      <c r="H329" s="1">
        <v>5</v>
      </c>
      <c r="I329" s="1" t="s">
        <v>380</v>
      </c>
      <c r="J329" s="1" t="s">
        <v>58</v>
      </c>
    </row>
    <row r="330" spans="1:10" hidden="1" x14ac:dyDescent="0.25">
      <c r="A330" s="1" t="s">
        <v>277</v>
      </c>
      <c r="B330" s="1" t="s">
        <v>278</v>
      </c>
      <c r="C330" s="1">
        <v>17753</v>
      </c>
      <c r="D330" s="1">
        <v>26752</v>
      </c>
      <c r="E330" s="2">
        <v>44512</v>
      </c>
      <c r="F330" s="2">
        <v>44662</v>
      </c>
      <c r="G330" s="3">
        <v>25830</v>
      </c>
      <c r="H330" s="1">
        <v>0</v>
      </c>
      <c r="I330" s="1" t="s">
        <v>396</v>
      </c>
      <c r="J330" s="1" t="s">
        <v>13</v>
      </c>
    </row>
    <row r="331" spans="1:10" hidden="1" x14ac:dyDescent="0.25">
      <c r="A331" s="1" t="s">
        <v>24</v>
      </c>
      <c r="B331" s="1" t="s">
        <v>25</v>
      </c>
      <c r="C331" s="1">
        <v>17251</v>
      </c>
      <c r="D331" s="1">
        <v>26247</v>
      </c>
      <c r="E331" s="2">
        <v>44482</v>
      </c>
      <c r="F331" s="2">
        <v>44662</v>
      </c>
      <c r="G331" s="3">
        <v>30000</v>
      </c>
      <c r="H331" s="1">
        <v>0</v>
      </c>
      <c r="I331" s="1" t="s">
        <v>904</v>
      </c>
      <c r="J331" s="1" t="s">
        <v>27</v>
      </c>
    </row>
    <row r="332" spans="1:10" x14ac:dyDescent="0.25">
      <c r="A332" s="1" t="s">
        <v>554</v>
      </c>
      <c r="B332" s="1" t="s">
        <v>555</v>
      </c>
      <c r="C332" s="1">
        <v>17262</v>
      </c>
      <c r="D332" s="1">
        <v>26258</v>
      </c>
      <c r="E332" s="2">
        <v>44482</v>
      </c>
      <c r="F332" s="2">
        <v>44662</v>
      </c>
      <c r="G332" s="3">
        <v>72940</v>
      </c>
      <c r="H332" s="1">
        <v>0</v>
      </c>
      <c r="I332" s="1" t="s">
        <v>1460</v>
      </c>
      <c r="J332" s="1" t="s">
        <v>27</v>
      </c>
    </row>
    <row r="333" spans="1:10" hidden="1" x14ac:dyDescent="0.25">
      <c r="A333" s="1" t="s">
        <v>392</v>
      </c>
      <c r="B333" s="1" t="s">
        <v>393</v>
      </c>
      <c r="C333" s="1">
        <v>18353</v>
      </c>
      <c r="D333" s="1">
        <v>27361</v>
      </c>
      <c r="E333" s="2">
        <v>44573</v>
      </c>
      <c r="F333" s="2">
        <v>44663</v>
      </c>
      <c r="G333" s="3">
        <v>6656</v>
      </c>
      <c r="H333" s="1">
        <v>0</v>
      </c>
      <c r="I333" s="1" t="s">
        <v>394</v>
      </c>
      <c r="J333" s="1" t="s">
        <v>58</v>
      </c>
    </row>
    <row r="334" spans="1:10" hidden="1" x14ac:dyDescent="0.25">
      <c r="A334" s="1" t="s">
        <v>10</v>
      </c>
      <c r="B334" s="1" t="s">
        <v>11</v>
      </c>
      <c r="C334" s="1">
        <v>17266</v>
      </c>
      <c r="D334" s="1">
        <v>26262</v>
      </c>
      <c r="E334" s="2">
        <v>44483</v>
      </c>
      <c r="F334" s="2">
        <v>44663</v>
      </c>
      <c r="G334" s="3">
        <v>34799.97</v>
      </c>
      <c r="H334" s="1">
        <v>0</v>
      </c>
      <c r="I334" s="1" t="s">
        <v>644</v>
      </c>
      <c r="J334" s="1" t="s">
        <v>13</v>
      </c>
    </row>
    <row r="335" spans="1:10" hidden="1" x14ac:dyDescent="0.25">
      <c r="A335" s="1" t="s">
        <v>78</v>
      </c>
      <c r="B335" s="1" t="s">
        <v>79</v>
      </c>
      <c r="C335" s="1">
        <v>18713</v>
      </c>
      <c r="D335" s="1">
        <v>27727</v>
      </c>
      <c r="E335" s="2">
        <v>44603</v>
      </c>
      <c r="F335" s="2">
        <v>44663</v>
      </c>
      <c r="G335" s="3">
        <v>192957.07</v>
      </c>
      <c r="H335" s="1">
        <v>0</v>
      </c>
      <c r="I335" s="1" t="s">
        <v>1148</v>
      </c>
      <c r="J335" s="1" t="s">
        <v>68</v>
      </c>
    </row>
    <row r="336" spans="1:10" hidden="1" x14ac:dyDescent="0.25">
      <c r="A336" s="1" t="s">
        <v>1166</v>
      </c>
      <c r="B336" s="1" t="s">
        <v>1167</v>
      </c>
      <c r="C336" s="1">
        <v>18708</v>
      </c>
      <c r="D336" s="1">
        <v>27722</v>
      </c>
      <c r="E336" s="2">
        <v>44603</v>
      </c>
      <c r="F336" s="2">
        <v>44663</v>
      </c>
      <c r="G336" s="3">
        <v>82816</v>
      </c>
      <c r="H336" s="1">
        <v>0</v>
      </c>
      <c r="I336" s="1" t="s">
        <v>1168</v>
      </c>
      <c r="J336" s="1" t="s">
        <v>88</v>
      </c>
    </row>
    <row r="337" spans="1:10" hidden="1" x14ac:dyDescent="0.25">
      <c r="A337" s="1" t="s">
        <v>39</v>
      </c>
      <c r="B337" s="1" t="s">
        <v>40</v>
      </c>
      <c r="C337" s="1">
        <v>18593</v>
      </c>
      <c r="D337" s="1">
        <v>27602</v>
      </c>
      <c r="E337" s="2">
        <v>44593</v>
      </c>
      <c r="F337" s="2">
        <v>44663</v>
      </c>
      <c r="G337" s="1">
        <v>643.5</v>
      </c>
      <c r="H337" s="1">
        <v>0</v>
      </c>
      <c r="I337" s="1" t="s">
        <v>1336</v>
      </c>
      <c r="J337" s="1" t="s">
        <v>31</v>
      </c>
    </row>
    <row r="338" spans="1:10" hidden="1" x14ac:dyDescent="0.25">
      <c r="A338" s="1" t="s">
        <v>28</v>
      </c>
      <c r="B338" s="1" t="s">
        <v>29</v>
      </c>
      <c r="C338" s="1">
        <v>18718</v>
      </c>
      <c r="D338" s="1">
        <v>27732</v>
      </c>
      <c r="E338" s="2">
        <v>44603</v>
      </c>
      <c r="F338" s="2">
        <v>44663</v>
      </c>
      <c r="G338" s="3">
        <v>298980</v>
      </c>
      <c r="H338" s="1">
        <v>0</v>
      </c>
      <c r="I338" s="1" t="s">
        <v>1339</v>
      </c>
      <c r="J338" s="1" t="s">
        <v>31</v>
      </c>
    </row>
    <row r="339" spans="1:10" hidden="1" x14ac:dyDescent="0.25">
      <c r="A339" s="1" t="s">
        <v>140</v>
      </c>
      <c r="B339" s="1" t="s">
        <v>141</v>
      </c>
      <c r="C339" s="1">
        <v>18710</v>
      </c>
      <c r="D339" s="1">
        <v>27724</v>
      </c>
      <c r="E339" s="2">
        <v>44603</v>
      </c>
      <c r="F339" s="2">
        <v>44663</v>
      </c>
      <c r="G339" s="3">
        <v>39339.96</v>
      </c>
      <c r="H339" s="1">
        <v>0</v>
      </c>
      <c r="I339" s="1" t="s">
        <v>1374</v>
      </c>
      <c r="J339" s="1" t="s">
        <v>73</v>
      </c>
    </row>
    <row r="340" spans="1:10" hidden="1" x14ac:dyDescent="0.25">
      <c r="A340" s="1" t="s">
        <v>78</v>
      </c>
      <c r="B340" s="1" t="s">
        <v>79</v>
      </c>
      <c r="C340" s="1">
        <v>18714</v>
      </c>
      <c r="D340" s="1">
        <v>27728</v>
      </c>
      <c r="E340" s="2">
        <v>44603</v>
      </c>
      <c r="F340" s="2">
        <v>44663</v>
      </c>
      <c r="G340" s="3">
        <v>144591.29999999999</v>
      </c>
      <c r="H340" s="1">
        <v>0</v>
      </c>
      <c r="I340" s="1" t="s">
        <v>1413</v>
      </c>
      <c r="J340" s="1" t="s">
        <v>68</v>
      </c>
    </row>
    <row r="341" spans="1:10" hidden="1" x14ac:dyDescent="0.25">
      <c r="A341" s="1" t="s">
        <v>10</v>
      </c>
      <c r="B341" s="1" t="s">
        <v>11</v>
      </c>
      <c r="C341" s="1">
        <v>17279</v>
      </c>
      <c r="D341" s="1">
        <v>26272</v>
      </c>
      <c r="E341" s="2">
        <v>44483</v>
      </c>
      <c r="F341" s="2">
        <v>44663</v>
      </c>
      <c r="G341" s="3">
        <v>3166.66</v>
      </c>
      <c r="H341" s="1">
        <v>0</v>
      </c>
      <c r="I341" s="1" t="s">
        <v>1442</v>
      </c>
      <c r="J341" s="1" t="s">
        <v>13</v>
      </c>
    </row>
    <row r="342" spans="1:10" hidden="1" x14ac:dyDescent="0.25">
      <c r="A342" s="1" t="s">
        <v>371</v>
      </c>
      <c r="B342" s="1" t="s">
        <v>372</v>
      </c>
      <c r="C342" s="1">
        <v>18716</v>
      </c>
      <c r="D342" s="1">
        <v>27730</v>
      </c>
      <c r="E342" s="2">
        <v>44603</v>
      </c>
      <c r="F342" s="2">
        <v>44663</v>
      </c>
      <c r="G342" s="3">
        <v>3312</v>
      </c>
      <c r="H342" s="1">
        <v>0</v>
      </c>
      <c r="I342" s="1" t="s">
        <v>1482</v>
      </c>
      <c r="J342" s="1" t="s">
        <v>88</v>
      </c>
    </row>
    <row r="343" spans="1:10" hidden="1" x14ac:dyDescent="0.25">
      <c r="A343" s="1" t="s">
        <v>180</v>
      </c>
      <c r="B343" s="1" t="s">
        <v>181</v>
      </c>
      <c r="C343" s="1">
        <v>16831</v>
      </c>
      <c r="D343" s="1">
        <v>25798</v>
      </c>
      <c r="E343" s="2">
        <v>44454</v>
      </c>
      <c r="F343" s="2">
        <v>44664</v>
      </c>
      <c r="G343" s="3">
        <v>90904.8</v>
      </c>
      <c r="H343" s="1">
        <v>0</v>
      </c>
      <c r="I343" s="1" t="s">
        <v>553</v>
      </c>
      <c r="J343" s="1" t="s">
        <v>88</v>
      </c>
    </row>
    <row r="344" spans="1:10" hidden="1" x14ac:dyDescent="0.25">
      <c r="A344" s="1" t="s">
        <v>535</v>
      </c>
      <c r="B344" s="1" t="s">
        <v>536</v>
      </c>
      <c r="C344" s="1">
        <v>18099</v>
      </c>
      <c r="D344" s="1">
        <v>27111</v>
      </c>
      <c r="E344" s="2">
        <v>44544</v>
      </c>
      <c r="F344" s="2">
        <v>44664</v>
      </c>
      <c r="G344" s="1">
        <v>840</v>
      </c>
      <c r="H344" s="1">
        <v>0</v>
      </c>
      <c r="I344" s="1" t="s">
        <v>699</v>
      </c>
      <c r="J344" s="1" t="s">
        <v>58</v>
      </c>
    </row>
    <row r="345" spans="1:10" hidden="1" x14ac:dyDescent="0.25">
      <c r="A345" s="1" t="s">
        <v>535</v>
      </c>
      <c r="B345" s="1" t="s">
        <v>536</v>
      </c>
      <c r="C345" s="1">
        <v>18098</v>
      </c>
      <c r="D345" s="1">
        <v>27110</v>
      </c>
      <c r="E345" s="2">
        <v>44544</v>
      </c>
      <c r="F345" s="2">
        <v>44664</v>
      </c>
      <c r="G345" s="1">
        <v>770</v>
      </c>
      <c r="H345" s="1">
        <v>0</v>
      </c>
      <c r="I345" s="1" t="s">
        <v>871</v>
      </c>
      <c r="J345" s="1" t="s">
        <v>58</v>
      </c>
    </row>
    <row r="346" spans="1:10" hidden="1" x14ac:dyDescent="0.25">
      <c r="A346" s="1" t="s">
        <v>128</v>
      </c>
      <c r="B346" s="1" t="s">
        <v>129</v>
      </c>
      <c r="C346" s="1">
        <v>16830</v>
      </c>
      <c r="D346" s="1">
        <v>25797</v>
      </c>
      <c r="E346" s="2">
        <v>44454</v>
      </c>
      <c r="F346" s="2">
        <v>44664</v>
      </c>
      <c r="G346" s="3">
        <v>40758</v>
      </c>
      <c r="H346" s="1">
        <v>0</v>
      </c>
      <c r="I346" s="1" t="s">
        <v>900</v>
      </c>
      <c r="J346" s="1" t="s">
        <v>131</v>
      </c>
    </row>
    <row r="347" spans="1:10" hidden="1" x14ac:dyDescent="0.25">
      <c r="A347" s="1" t="s">
        <v>905</v>
      </c>
      <c r="B347" s="1" t="s">
        <v>906</v>
      </c>
      <c r="C347" s="1">
        <v>17283</v>
      </c>
      <c r="D347" s="1">
        <v>26279</v>
      </c>
      <c r="E347" s="2">
        <v>44484</v>
      </c>
      <c r="F347" s="2">
        <v>44664</v>
      </c>
      <c r="G347" s="3">
        <v>103532.5</v>
      </c>
      <c r="H347" s="1">
        <v>0</v>
      </c>
      <c r="I347" s="1" t="s">
        <v>907</v>
      </c>
      <c r="J347" s="1" t="s">
        <v>23</v>
      </c>
    </row>
    <row r="348" spans="1:10" hidden="1" x14ac:dyDescent="0.25">
      <c r="A348" s="1" t="s">
        <v>159</v>
      </c>
      <c r="B348" s="1" t="s">
        <v>129</v>
      </c>
      <c r="C348" s="1">
        <v>16820</v>
      </c>
      <c r="D348" s="1">
        <v>25789</v>
      </c>
      <c r="E348" s="2">
        <v>44454</v>
      </c>
      <c r="F348" s="2">
        <v>44664</v>
      </c>
      <c r="G348" s="3">
        <v>12210</v>
      </c>
      <c r="H348" s="1">
        <v>0</v>
      </c>
      <c r="I348" s="1" t="s">
        <v>1231</v>
      </c>
      <c r="J348" s="1" t="s">
        <v>131</v>
      </c>
    </row>
    <row r="349" spans="1:10" hidden="1" x14ac:dyDescent="0.25">
      <c r="A349" s="1" t="s">
        <v>420</v>
      </c>
      <c r="B349" s="1" t="s">
        <v>421</v>
      </c>
      <c r="C349" s="1">
        <v>18094</v>
      </c>
      <c r="D349" s="1">
        <v>27106</v>
      </c>
      <c r="E349" s="2">
        <v>44544</v>
      </c>
      <c r="F349" s="2">
        <v>44664</v>
      </c>
      <c r="G349" s="3">
        <v>76930</v>
      </c>
      <c r="H349" s="1">
        <v>0</v>
      </c>
      <c r="I349" s="1" t="s">
        <v>1360</v>
      </c>
      <c r="J349" s="1" t="s">
        <v>23</v>
      </c>
    </row>
    <row r="350" spans="1:10" hidden="1" x14ac:dyDescent="0.25">
      <c r="A350" s="1" t="s">
        <v>188</v>
      </c>
      <c r="B350" s="1" t="s">
        <v>189</v>
      </c>
      <c r="C350" s="1">
        <v>18413</v>
      </c>
      <c r="D350" s="1">
        <v>27416</v>
      </c>
      <c r="E350" s="2">
        <v>44575</v>
      </c>
      <c r="F350" s="2">
        <v>44665</v>
      </c>
      <c r="G350" s="3">
        <v>6999.99</v>
      </c>
      <c r="H350" s="1">
        <v>0</v>
      </c>
      <c r="I350" s="1" t="s">
        <v>190</v>
      </c>
      <c r="J350" s="1" t="s">
        <v>58</v>
      </c>
    </row>
    <row r="351" spans="1:10" hidden="1" x14ac:dyDescent="0.25">
      <c r="A351" s="1" t="s">
        <v>10</v>
      </c>
      <c r="B351" s="1" t="s">
        <v>11</v>
      </c>
      <c r="C351" s="1">
        <v>16854</v>
      </c>
      <c r="D351" s="1">
        <v>25827</v>
      </c>
      <c r="E351" s="2">
        <v>44455</v>
      </c>
      <c r="F351" s="2">
        <v>44665</v>
      </c>
      <c r="G351" s="3">
        <v>6048.02</v>
      </c>
      <c r="H351" s="1">
        <v>0</v>
      </c>
      <c r="I351" s="1" t="s">
        <v>658</v>
      </c>
      <c r="J351" s="1" t="s">
        <v>13</v>
      </c>
    </row>
    <row r="352" spans="1:10" hidden="1" x14ac:dyDescent="0.25">
      <c r="A352" s="1" t="s">
        <v>150</v>
      </c>
      <c r="B352" s="1" t="s">
        <v>151</v>
      </c>
      <c r="C352" s="1">
        <v>18116</v>
      </c>
      <c r="D352" s="1">
        <v>27127</v>
      </c>
      <c r="E352" s="2">
        <v>44545</v>
      </c>
      <c r="F352" s="2">
        <v>44665</v>
      </c>
      <c r="G352" s="3">
        <v>123000</v>
      </c>
      <c r="H352" s="1">
        <v>0</v>
      </c>
      <c r="I352" s="1" t="s">
        <v>1312</v>
      </c>
      <c r="J352" s="1" t="s">
        <v>58</v>
      </c>
    </row>
    <row r="353" spans="1:10" hidden="1" x14ac:dyDescent="0.25">
      <c r="A353" s="1" t="s">
        <v>147</v>
      </c>
      <c r="B353" s="1" t="s">
        <v>148</v>
      </c>
      <c r="C353" s="1">
        <v>18109</v>
      </c>
      <c r="D353" s="1">
        <v>27121</v>
      </c>
      <c r="E353" s="2">
        <v>44545</v>
      </c>
      <c r="F353" s="2">
        <v>44665</v>
      </c>
      <c r="G353" s="3">
        <v>108408</v>
      </c>
      <c r="H353" s="1">
        <v>0</v>
      </c>
      <c r="I353" s="1" t="s">
        <v>149</v>
      </c>
      <c r="J353" s="1" t="s">
        <v>23</v>
      </c>
    </row>
    <row r="354" spans="1:10" hidden="1" x14ac:dyDescent="0.25">
      <c r="A354" s="1" t="s">
        <v>10</v>
      </c>
      <c r="B354" s="1" t="s">
        <v>11</v>
      </c>
      <c r="C354" s="1">
        <v>16853</v>
      </c>
      <c r="D354" s="1">
        <v>25826</v>
      </c>
      <c r="E354" s="2">
        <v>44455</v>
      </c>
      <c r="F354" s="2">
        <v>44665</v>
      </c>
      <c r="G354" s="3">
        <v>65733.460000000006</v>
      </c>
      <c r="H354" s="1">
        <v>0</v>
      </c>
      <c r="I354" s="1" t="s">
        <v>1636</v>
      </c>
      <c r="J354" s="1" t="s">
        <v>13</v>
      </c>
    </row>
    <row r="355" spans="1:10" hidden="1" x14ac:dyDescent="0.25">
      <c r="A355" s="1" t="s">
        <v>128</v>
      </c>
      <c r="B355" s="1" t="s">
        <v>129</v>
      </c>
      <c r="C355" s="1">
        <v>16870</v>
      </c>
      <c r="D355" s="1">
        <v>25846</v>
      </c>
      <c r="E355" s="2">
        <v>44456</v>
      </c>
      <c r="F355" s="2">
        <v>44666</v>
      </c>
      <c r="G355" s="3">
        <v>1584</v>
      </c>
      <c r="H355" s="1">
        <v>0</v>
      </c>
      <c r="I355" s="1" t="s">
        <v>378</v>
      </c>
      <c r="J355" s="1" t="s">
        <v>131</v>
      </c>
    </row>
    <row r="356" spans="1:10" hidden="1" x14ac:dyDescent="0.25">
      <c r="A356" s="1" t="s">
        <v>70</v>
      </c>
      <c r="B356" s="1" t="s">
        <v>71</v>
      </c>
      <c r="C356" s="1">
        <v>18726</v>
      </c>
      <c r="D356" s="1">
        <v>27742</v>
      </c>
      <c r="E356" s="2">
        <v>44606</v>
      </c>
      <c r="F356" s="2">
        <v>44666</v>
      </c>
      <c r="G356" s="3">
        <v>18583.48</v>
      </c>
      <c r="H356" s="1">
        <v>0</v>
      </c>
      <c r="I356" s="1" t="s">
        <v>432</v>
      </c>
      <c r="J356" s="1" t="s">
        <v>73</v>
      </c>
    </row>
    <row r="357" spans="1:10" hidden="1" x14ac:dyDescent="0.25">
      <c r="A357" s="1" t="s">
        <v>70</v>
      </c>
      <c r="B357" s="1" t="s">
        <v>71</v>
      </c>
      <c r="C357" s="1">
        <v>18725</v>
      </c>
      <c r="D357" s="1">
        <v>27741</v>
      </c>
      <c r="E357" s="2">
        <v>44606</v>
      </c>
      <c r="F357" s="2">
        <v>44666</v>
      </c>
      <c r="G357" s="3">
        <v>3430</v>
      </c>
      <c r="H357" s="1">
        <v>0</v>
      </c>
      <c r="I357" s="1" t="s">
        <v>464</v>
      </c>
      <c r="J357" s="1" t="s">
        <v>73</v>
      </c>
    </row>
    <row r="358" spans="1:10" hidden="1" x14ac:dyDescent="0.25">
      <c r="A358" s="1" t="s">
        <v>108</v>
      </c>
      <c r="B358" s="1" t="s">
        <v>109</v>
      </c>
      <c r="C358" s="1">
        <v>16865</v>
      </c>
      <c r="D358" s="1">
        <v>25841</v>
      </c>
      <c r="E358" s="2">
        <v>44456</v>
      </c>
      <c r="F358" s="2">
        <v>44666</v>
      </c>
      <c r="G358" s="3">
        <v>466000</v>
      </c>
      <c r="H358" s="1">
        <v>0</v>
      </c>
      <c r="I358" s="1" t="s">
        <v>485</v>
      </c>
      <c r="J358" s="1" t="s">
        <v>88</v>
      </c>
    </row>
    <row r="359" spans="1:10" hidden="1" x14ac:dyDescent="0.25">
      <c r="A359" s="1" t="s">
        <v>78</v>
      </c>
      <c r="B359" s="1" t="s">
        <v>79</v>
      </c>
      <c r="C359" s="1">
        <v>18723</v>
      </c>
      <c r="D359" s="1">
        <v>27738</v>
      </c>
      <c r="E359" s="2">
        <v>44606</v>
      </c>
      <c r="F359" s="2">
        <v>44666</v>
      </c>
      <c r="G359" s="3">
        <v>117873.15</v>
      </c>
      <c r="H359" s="1">
        <v>0</v>
      </c>
      <c r="I359" s="1" t="s">
        <v>802</v>
      </c>
      <c r="J359" s="1" t="s">
        <v>68</v>
      </c>
    </row>
    <row r="360" spans="1:10" hidden="1" x14ac:dyDescent="0.25">
      <c r="A360" s="1" t="s">
        <v>244</v>
      </c>
      <c r="B360" s="1" t="s">
        <v>98</v>
      </c>
      <c r="C360" s="1">
        <v>17762</v>
      </c>
      <c r="D360" s="1">
        <v>26762</v>
      </c>
      <c r="E360" s="2">
        <v>44516</v>
      </c>
      <c r="F360" s="2">
        <v>44666</v>
      </c>
      <c r="G360" s="3">
        <v>84450</v>
      </c>
      <c r="H360" s="1">
        <v>0</v>
      </c>
      <c r="I360" s="1" t="s">
        <v>861</v>
      </c>
      <c r="J360" s="1" t="s">
        <v>27</v>
      </c>
    </row>
    <row r="361" spans="1:10" hidden="1" x14ac:dyDescent="0.25">
      <c r="A361" s="1" t="s">
        <v>70</v>
      </c>
      <c r="B361" s="1" t="s">
        <v>71</v>
      </c>
      <c r="C361" s="1">
        <v>18727</v>
      </c>
      <c r="D361" s="1">
        <v>27743</v>
      </c>
      <c r="E361" s="2">
        <v>44606</v>
      </c>
      <c r="F361" s="2">
        <v>44666</v>
      </c>
      <c r="G361" s="3">
        <v>17024.43</v>
      </c>
      <c r="H361" s="1">
        <v>0</v>
      </c>
      <c r="I361" s="1" t="s">
        <v>990</v>
      </c>
      <c r="J361" s="1" t="s">
        <v>73</v>
      </c>
    </row>
    <row r="362" spans="1:10" hidden="1" x14ac:dyDescent="0.25">
      <c r="A362" s="1" t="s">
        <v>78</v>
      </c>
      <c r="B362" s="1" t="s">
        <v>79</v>
      </c>
      <c r="C362" s="1">
        <v>18722</v>
      </c>
      <c r="D362" s="1">
        <v>27737</v>
      </c>
      <c r="E362" s="2">
        <v>44606</v>
      </c>
      <c r="F362" s="2">
        <v>44666</v>
      </c>
      <c r="G362" s="3">
        <v>140710.63</v>
      </c>
      <c r="H362" s="1">
        <v>0</v>
      </c>
      <c r="I362" s="1" t="s">
        <v>1150</v>
      </c>
      <c r="J362" s="1" t="s">
        <v>68</v>
      </c>
    </row>
    <row r="363" spans="1:10" hidden="1" x14ac:dyDescent="0.25">
      <c r="A363" s="1" t="s">
        <v>78</v>
      </c>
      <c r="B363" s="1" t="s">
        <v>79</v>
      </c>
      <c r="C363" s="1">
        <v>18721</v>
      </c>
      <c r="D363" s="1">
        <v>27736</v>
      </c>
      <c r="E363" s="2">
        <v>44606</v>
      </c>
      <c r="F363" s="2">
        <v>44666</v>
      </c>
      <c r="G363" s="3">
        <v>144591.29999999999</v>
      </c>
      <c r="H363" s="1">
        <v>0</v>
      </c>
      <c r="I363" s="1" t="s">
        <v>1347</v>
      </c>
      <c r="J363" s="1" t="s">
        <v>68</v>
      </c>
    </row>
    <row r="364" spans="1:10" hidden="1" x14ac:dyDescent="0.25">
      <c r="A364" s="1" t="s">
        <v>108</v>
      </c>
      <c r="B364" s="1" t="s">
        <v>109</v>
      </c>
      <c r="C364" s="1">
        <v>16869</v>
      </c>
      <c r="D364" s="1">
        <v>25845</v>
      </c>
      <c r="E364" s="2">
        <v>44456</v>
      </c>
      <c r="F364" s="2">
        <v>44666</v>
      </c>
      <c r="G364" s="3">
        <v>90250</v>
      </c>
      <c r="H364" s="1">
        <v>0</v>
      </c>
      <c r="I364" s="1" t="s">
        <v>1472</v>
      </c>
      <c r="J364" s="1" t="s">
        <v>88</v>
      </c>
    </row>
    <row r="365" spans="1:10" hidden="1" x14ac:dyDescent="0.25">
      <c r="A365" s="1" t="s">
        <v>78</v>
      </c>
      <c r="B365" s="1" t="s">
        <v>79</v>
      </c>
      <c r="C365" s="1">
        <v>18720</v>
      </c>
      <c r="D365" s="1">
        <v>27735</v>
      </c>
      <c r="E365" s="2">
        <v>44606</v>
      </c>
      <c r="F365" s="2">
        <v>44666</v>
      </c>
      <c r="G365" s="3">
        <v>123562.45</v>
      </c>
      <c r="H365" s="1">
        <v>0</v>
      </c>
      <c r="I365" s="1" t="s">
        <v>1498</v>
      </c>
      <c r="J365" s="1" t="s">
        <v>68</v>
      </c>
    </row>
    <row r="366" spans="1:10" hidden="1" x14ac:dyDescent="0.25">
      <c r="A366" s="1" t="s">
        <v>78</v>
      </c>
      <c r="B366" s="1" t="s">
        <v>79</v>
      </c>
      <c r="C366" s="1">
        <v>18719</v>
      </c>
      <c r="D366" s="1">
        <v>27734</v>
      </c>
      <c r="E366" s="2">
        <v>44606</v>
      </c>
      <c r="F366" s="2">
        <v>44666</v>
      </c>
      <c r="G366" s="3">
        <v>142194.79999999999</v>
      </c>
      <c r="H366" s="1">
        <v>0</v>
      </c>
      <c r="I366" s="1" t="s">
        <v>1522</v>
      </c>
      <c r="J366" s="1" t="s">
        <v>68</v>
      </c>
    </row>
    <row r="367" spans="1:10" hidden="1" x14ac:dyDescent="0.25">
      <c r="A367" s="1" t="s">
        <v>10</v>
      </c>
      <c r="B367" s="1" t="s">
        <v>11</v>
      </c>
      <c r="C367" s="1">
        <v>17782</v>
      </c>
      <c r="D367" s="1">
        <v>26786</v>
      </c>
      <c r="E367" s="2">
        <v>44517</v>
      </c>
      <c r="F367" s="2">
        <v>44667</v>
      </c>
      <c r="G367" s="3">
        <v>71999.929999999993</v>
      </c>
      <c r="H367" s="1">
        <v>0</v>
      </c>
      <c r="I367" s="1" t="s">
        <v>504</v>
      </c>
      <c r="J367" s="1" t="s">
        <v>13</v>
      </c>
    </row>
    <row r="368" spans="1:10" hidden="1" x14ac:dyDescent="0.25">
      <c r="A368" s="1" t="s">
        <v>198</v>
      </c>
      <c r="B368" s="1" t="s">
        <v>199</v>
      </c>
      <c r="C368" s="1">
        <v>17772</v>
      </c>
      <c r="D368" s="1">
        <v>26776</v>
      </c>
      <c r="E368" s="2">
        <v>44517</v>
      </c>
      <c r="F368" s="2">
        <v>44667</v>
      </c>
      <c r="G368" s="3">
        <v>25372.5</v>
      </c>
      <c r="H368" s="1">
        <v>0</v>
      </c>
      <c r="I368" s="1" t="s">
        <v>521</v>
      </c>
      <c r="J368" s="1" t="s">
        <v>13</v>
      </c>
    </row>
    <row r="369" spans="1:10" hidden="1" x14ac:dyDescent="0.25">
      <c r="A369" s="1" t="s">
        <v>10</v>
      </c>
      <c r="B369" s="1" t="s">
        <v>11</v>
      </c>
      <c r="C369" s="1">
        <v>17766</v>
      </c>
      <c r="D369" s="1">
        <v>26766</v>
      </c>
      <c r="E369" s="2">
        <v>44517</v>
      </c>
      <c r="F369" s="2">
        <v>44667</v>
      </c>
      <c r="G369" s="3">
        <v>8999.99</v>
      </c>
      <c r="H369" s="1">
        <v>0</v>
      </c>
      <c r="I369" s="1" t="s">
        <v>543</v>
      </c>
      <c r="J369" s="1" t="s">
        <v>13</v>
      </c>
    </row>
    <row r="370" spans="1:10" hidden="1" x14ac:dyDescent="0.25">
      <c r="A370" s="1" t="s">
        <v>140</v>
      </c>
      <c r="B370" s="1" t="s">
        <v>141</v>
      </c>
      <c r="C370" s="1">
        <v>18730</v>
      </c>
      <c r="D370" s="1">
        <v>27746</v>
      </c>
      <c r="E370" s="2">
        <v>44607</v>
      </c>
      <c r="F370" s="2">
        <v>44667</v>
      </c>
      <c r="G370" s="3">
        <v>77390.820000000007</v>
      </c>
      <c r="H370" s="1">
        <v>0</v>
      </c>
      <c r="I370" s="1" t="s">
        <v>928</v>
      </c>
      <c r="J370" s="1" t="s">
        <v>73</v>
      </c>
    </row>
    <row r="371" spans="1:10" hidden="1" x14ac:dyDescent="0.25">
      <c r="A371" s="1" t="s">
        <v>304</v>
      </c>
      <c r="B371" s="1" t="s">
        <v>305</v>
      </c>
      <c r="C371" s="1">
        <v>17311</v>
      </c>
      <c r="D371" s="1">
        <v>26309</v>
      </c>
      <c r="E371" s="2">
        <v>44487</v>
      </c>
      <c r="F371" s="2">
        <v>44667</v>
      </c>
      <c r="G371" s="3">
        <v>93600</v>
      </c>
      <c r="H371" s="1">
        <v>0</v>
      </c>
      <c r="I371" s="1" t="s">
        <v>1218</v>
      </c>
      <c r="J371" s="1" t="s">
        <v>27</v>
      </c>
    </row>
    <row r="372" spans="1:10" hidden="1" x14ac:dyDescent="0.25">
      <c r="A372" s="1" t="s">
        <v>252</v>
      </c>
      <c r="B372" s="1" t="s">
        <v>253</v>
      </c>
      <c r="C372" s="1">
        <v>17316</v>
      </c>
      <c r="D372" s="1">
        <v>26314</v>
      </c>
      <c r="E372" s="2">
        <v>44487</v>
      </c>
      <c r="F372" s="2">
        <v>44667</v>
      </c>
      <c r="G372" s="3">
        <v>34498.550000000003</v>
      </c>
      <c r="H372" s="1">
        <v>0</v>
      </c>
      <c r="I372" s="1" t="s">
        <v>1254</v>
      </c>
      <c r="J372" s="1" t="s">
        <v>58</v>
      </c>
    </row>
    <row r="373" spans="1:10" hidden="1" x14ac:dyDescent="0.25">
      <c r="A373" s="1" t="s">
        <v>338</v>
      </c>
      <c r="B373" s="1" t="s">
        <v>305</v>
      </c>
      <c r="C373" s="1">
        <v>18729</v>
      </c>
      <c r="D373" s="1">
        <v>27745</v>
      </c>
      <c r="E373" s="2">
        <v>44607</v>
      </c>
      <c r="F373" s="2">
        <v>44667</v>
      </c>
      <c r="G373" s="3">
        <v>134140</v>
      </c>
      <c r="H373" s="1">
        <v>0</v>
      </c>
      <c r="I373" s="1" t="s">
        <v>1282</v>
      </c>
      <c r="J373" s="1" t="s">
        <v>27</v>
      </c>
    </row>
    <row r="374" spans="1:10" hidden="1" x14ac:dyDescent="0.25">
      <c r="A374" s="1" t="s">
        <v>24</v>
      </c>
      <c r="B374" s="1" t="s">
        <v>25</v>
      </c>
      <c r="C374" s="1">
        <v>17309</v>
      </c>
      <c r="D374" s="1">
        <v>26307</v>
      </c>
      <c r="E374" s="2">
        <v>44487</v>
      </c>
      <c r="F374" s="2">
        <v>44667</v>
      </c>
      <c r="G374" s="3">
        <v>30000</v>
      </c>
      <c r="H374" s="1">
        <v>0</v>
      </c>
      <c r="I374" s="1" t="s">
        <v>1302</v>
      </c>
      <c r="J374" s="1" t="s">
        <v>27</v>
      </c>
    </row>
    <row r="375" spans="1:10" hidden="1" x14ac:dyDescent="0.25">
      <c r="A375" s="1" t="s">
        <v>85</v>
      </c>
      <c r="B375" s="1" t="s">
        <v>86</v>
      </c>
      <c r="C375" s="1">
        <v>17786</v>
      </c>
      <c r="D375" s="1">
        <v>26790</v>
      </c>
      <c r="E375" s="2">
        <v>44517</v>
      </c>
      <c r="F375" s="2">
        <v>44667</v>
      </c>
      <c r="G375" s="3">
        <v>5272.52</v>
      </c>
      <c r="H375" s="1">
        <v>0</v>
      </c>
      <c r="I375" s="1" t="s">
        <v>87</v>
      </c>
      <c r="J375" s="1" t="s">
        <v>88</v>
      </c>
    </row>
    <row r="376" spans="1:10" hidden="1" x14ac:dyDescent="0.25">
      <c r="A376" s="1" t="s">
        <v>97</v>
      </c>
      <c r="B376" s="1" t="s">
        <v>98</v>
      </c>
      <c r="C376" s="1">
        <v>18134</v>
      </c>
      <c r="D376" s="1">
        <v>27148</v>
      </c>
      <c r="E376" s="2">
        <v>44547</v>
      </c>
      <c r="F376" s="2">
        <v>44667</v>
      </c>
      <c r="G376" s="3">
        <v>9999.99</v>
      </c>
      <c r="H376" s="1">
        <v>0</v>
      </c>
      <c r="I376" s="1" t="s">
        <v>1402</v>
      </c>
      <c r="J376" s="1" t="s">
        <v>27</v>
      </c>
    </row>
    <row r="377" spans="1:10" hidden="1" x14ac:dyDescent="0.25">
      <c r="A377" s="1" t="s">
        <v>338</v>
      </c>
      <c r="B377" s="1" t="s">
        <v>305</v>
      </c>
      <c r="C377" s="1">
        <v>17310</v>
      </c>
      <c r="D377" s="1">
        <v>26308</v>
      </c>
      <c r="E377" s="2">
        <v>44487</v>
      </c>
      <c r="F377" s="2">
        <v>44667</v>
      </c>
      <c r="G377" s="3">
        <v>52650</v>
      </c>
      <c r="H377" s="1">
        <v>0</v>
      </c>
      <c r="I377" s="1" t="s">
        <v>1423</v>
      </c>
      <c r="J377" s="1" t="s">
        <v>27</v>
      </c>
    </row>
    <row r="378" spans="1:10" hidden="1" x14ac:dyDescent="0.25">
      <c r="A378" s="1" t="s">
        <v>1045</v>
      </c>
      <c r="B378" s="1" t="s">
        <v>215</v>
      </c>
      <c r="C378" s="1">
        <v>18139</v>
      </c>
      <c r="D378" s="1">
        <v>27152</v>
      </c>
      <c r="E378" s="2">
        <v>44547</v>
      </c>
      <c r="F378" s="2">
        <v>44667</v>
      </c>
      <c r="G378" s="3">
        <v>1326</v>
      </c>
      <c r="H378" s="1">
        <v>0</v>
      </c>
      <c r="I378" s="1" t="s">
        <v>1468</v>
      </c>
      <c r="J378" s="1" t="s">
        <v>64</v>
      </c>
    </row>
    <row r="379" spans="1:10" hidden="1" x14ac:dyDescent="0.25">
      <c r="A379" s="1" t="s">
        <v>221</v>
      </c>
      <c r="B379" s="1" t="s">
        <v>222</v>
      </c>
      <c r="C379" s="1">
        <v>18137</v>
      </c>
      <c r="D379" s="1">
        <v>27151</v>
      </c>
      <c r="E379" s="2">
        <v>44547</v>
      </c>
      <c r="F379" s="2">
        <v>44667</v>
      </c>
      <c r="G379" s="3">
        <v>9999.99</v>
      </c>
      <c r="H379" s="1">
        <v>0</v>
      </c>
      <c r="I379" s="1" t="s">
        <v>1469</v>
      </c>
      <c r="J379" s="1" t="s">
        <v>27</v>
      </c>
    </row>
    <row r="380" spans="1:10" hidden="1" x14ac:dyDescent="0.25">
      <c r="A380" s="1" t="s">
        <v>24</v>
      </c>
      <c r="B380" s="1" t="s">
        <v>25</v>
      </c>
      <c r="C380" s="1">
        <v>18127</v>
      </c>
      <c r="D380" s="1">
        <v>27141</v>
      </c>
      <c r="E380" s="2">
        <v>44547</v>
      </c>
      <c r="F380" s="2">
        <v>44667</v>
      </c>
      <c r="G380" s="3">
        <v>4080</v>
      </c>
      <c r="H380" s="1">
        <v>0</v>
      </c>
      <c r="I380" s="1" t="s">
        <v>1590</v>
      </c>
      <c r="J380" s="1" t="s">
        <v>27</v>
      </c>
    </row>
    <row r="381" spans="1:10" hidden="1" x14ac:dyDescent="0.25">
      <c r="A381" s="1" t="s">
        <v>221</v>
      </c>
      <c r="B381" s="1" t="s">
        <v>222</v>
      </c>
      <c r="C381" s="1">
        <v>18144</v>
      </c>
      <c r="D381" s="1">
        <v>27156</v>
      </c>
      <c r="E381" s="2">
        <v>44547</v>
      </c>
      <c r="F381" s="2">
        <v>44667</v>
      </c>
      <c r="G381" s="3">
        <v>17000</v>
      </c>
      <c r="H381" s="1">
        <v>0</v>
      </c>
      <c r="I381" s="1" t="s">
        <v>683</v>
      </c>
      <c r="J381" s="1" t="s">
        <v>27</v>
      </c>
    </row>
    <row r="382" spans="1:10" hidden="1" x14ac:dyDescent="0.25">
      <c r="A382" s="1" t="s">
        <v>70</v>
      </c>
      <c r="B382" s="1" t="s">
        <v>71</v>
      </c>
      <c r="C382" s="1">
        <v>17794</v>
      </c>
      <c r="D382" s="1">
        <v>26796</v>
      </c>
      <c r="E382" s="2">
        <v>44518</v>
      </c>
      <c r="F382" s="2">
        <v>44668</v>
      </c>
      <c r="G382" s="3">
        <v>6199.99</v>
      </c>
      <c r="H382" s="1">
        <v>0</v>
      </c>
      <c r="I382" s="1" t="s">
        <v>218</v>
      </c>
      <c r="J382" s="1" t="s">
        <v>73</v>
      </c>
    </row>
    <row r="383" spans="1:10" hidden="1" x14ac:dyDescent="0.25">
      <c r="A383" s="1" t="s">
        <v>70</v>
      </c>
      <c r="B383" s="1" t="s">
        <v>71</v>
      </c>
      <c r="C383" s="1">
        <v>17793</v>
      </c>
      <c r="D383" s="1">
        <v>26795</v>
      </c>
      <c r="E383" s="2">
        <v>44518</v>
      </c>
      <c r="F383" s="2">
        <v>44668</v>
      </c>
      <c r="G383" s="3">
        <v>10333.32</v>
      </c>
      <c r="H383" s="1">
        <v>0</v>
      </c>
      <c r="I383" s="1" t="s">
        <v>300</v>
      </c>
      <c r="J383" s="1" t="s">
        <v>73</v>
      </c>
    </row>
    <row r="384" spans="1:10" hidden="1" x14ac:dyDescent="0.25">
      <c r="A384" s="1" t="s">
        <v>70</v>
      </c>
      <c r="B384" s="1" t="s">
        <v>71</v>
      </c>
      <c r="C384" s="1">
        <v>17572</v>
      </c>
      <c r="D384" s="1">
        <v>26579</v>
      </c>
      <c r="E384" s="2">
        <v>44503</v>
      </c>
      <c r="F384" s="2">
        <v>44668</v>
      </c>
      <c r="G384" s="3">
        <v>6199.99</v>
      </c>
      <c r="H384" s="1">
        <v>0</v>
      </c>
      <c r="I384" s="1" t="s">
        <v>358</v>
      </c>
      <c r="J384" s="1" t="s">
        <v>73</v>
      </c>
    </row>
    <row r="385" spans="1:10" hidden="1" x14ac:dyDescent="0.25">
      <c r="A385" s="1" t="s">
        <v>221</v>
      </c>
      <c r="B385" s="1" t="s">
        <v>222</v>
      </c>
      <c r="C385" s="1">
        <v>17331</v>
      </c>
      <c r="D385" s="1">
        <v>26335</v>
      </c>
      <c r="E385" s="2">
        <v>44488</v>
      </c>
      <c r="F385" s="2">
        <v>44668</v>
      </c>
      <c r="G385" s="3">
        <v>37800</v>
      </c>
      <c r="H385" s="1">
        <v>0</v>
      </c>
      <c r="I385" s="1" t="s">
        <v>531</v>
      </c>
      <c r="J385" s="1" t="s">
        <v>27</v>
      </c>
    </row>
    <row r="386" spans="1:10" hidden="1" x14ac:dyDescent="0.25">
      <c r="A386" s="1" t="s">
        <v>70</v>
      </c>
      <c r="B386" s="1" t="s">
        <v>71</v>
      </c>
      <c r="C386" s="1">
        <v>17338</v>
      </c>
      <c r="D386" s="1">
        <v>26342</v>
      </c>
      <c r="E386" s="2">
        <v>44488</v>
      </c>
      <c r="F386" s="2">
        <v>44668</v>
      </c>
      <c r="G386" s="3">
        <v>25304.12</v>
      </c>
      <c r="H386" s="1">
        <v>0</v>
      </c>
      <c r="I386" s="1" t="s">
        <v>689</v>
      </c>
      <c r="J386" s="1" t="s">
        <v>73</v>
      </c>
    </row>
    <row r="387" spans="1:10" hidden="1" x14ac:dyDescent="0.25">
      <c r="A387" s="1" t="s">
        <v>24</v>
      </c>
      <c r="B387" s="1" t="s">
        <v>25</v>
      </c>
      <c r="C387" s="1">
        <v>17330</v>
      </c>
      <c r="D387" s="1">
        <v>26334</v>
      </c>
      <c r="E387" s="2">
        <v>44488</v>
      </c>
      <c r="F387" s="2">
        <v>44668</v>
      </c>
      <c r="G387" s="3">
        <v>37800</v>
      </c>
      <c r="H387" s="1">
        <v>0</v>
      </c>
      <c r="I387" s="1" t="s">
        <v>753</v>
      </c>
      <c r="J387" s="1" t="s">
        <v>27</v>
      </c>
    </row>
    <row r="388" spans="1:10" hidden="1" x14ac:dyDescent="0.25">
      <c r="A388" s="1" t="s">
        <v>70</v>
      </c>
      <c r="B388" s="1" t="s">
        <v>71</v>
      </c>
      <c r="C388" s="1">
        <v>17573</v>
      </c>
      <c r="D388" s="1">
        <v>26580</v>
      </c>
      <c r="E388" s="2">
        <v>44503</v>
      </c>
      <c r="F388" s="2">
        <v>44668</v>
      </c>
      <c r="G388" s="3">
        <v>10333.32</v>
      </c>
      <c r="H388" s="1">
        <v>0</v>
      </c>
      <c r="I388" s="1" t="s">
        <v>785</v>
      </c>
      <c r="J388" s="1" t="s">
        <v>73</v>
      </c>
    </row>
    <row r="389" spans="1:10" hidden="1" x14ac:dyDescent="0.25">
      <c r="A389" s="1" t="s">
        <v>221</v>
      </c>
      <c r="B389" s="1" t="s">
        <v>222</v>
      </c>
      <c r="C389" s="1">
        <v>17348</v>
      </c>
      <c r="D389" s="1">
        <v>26352</v>
      </c>
      <c r="E389" s="2">
        <v>44488</v>
      </c>
      <c r="F389" s="2">
        <v>44668</v>
      </c>
      <c r="G389" s="3">
        <v>37800</v>
      </c>
      <c r="H389" s="1">
        <v>0</v>
      </c>
      <c r="I389" s="1" t="s">
        <v>754</v>
      </c>
      <c r="J389" s="1" t="s">
        <v>27</v>
      </c>
    </row>
    <row r="390" spans="1:10" hidden="1" x14ac:dyDescent="0.25">
      <c r="A390" s="1" t="s">
        <v>221</v>
      </c>
      <c r="B390" s="1" t="s">
        <v>222</v>
      </c>
      <c r="C390" s="1">
        <v>17332</v>
      </c>
      <c r="D390" s="1">
        <v>26336</v>
      </c>
      <c r="E390" s="2">
        <v>44488</v>
      </c>
      <c r="F390" s="2">
        <v>44668</v>
      </c>
      <c r="G390" s="3">
        <v>37800</v>
      </c>
      <c r="H390" s="1">
        <v>0</v>
      </c>
      <c r="I390" s="1" t="s">
        <v>895</v>
      </c>
      <c r="J390" s="1" t="s">
        <v>27</v>
      </c>
    </row>
    <row r="391" spans="1:10" hidden="1" x14ac:dyDescent="0.25">
      <c r="A391" s="1" t="s">
        <v>70</v>
      </c>
      <c r="B391" s="1" t="s">
        <v>71</v>
      </c>
      <c r="C391" s="1">
        <v>17339</v>
      </c>
      <c r="D391" s="1">
        <v>26343</v>
      </c>
      <c r="E391" s="2">
        <v>44488</v>
      </c>
      <c r="F391" s="2">
        <v>44668</v>
      </c>
      <c r="G391" s="3">
        <v>2732.48</v>
      </c>
      <c r="H391" s="1">
        <v>0</v>
      </c>
      <c r="I391" s="1" t="s">
        <v>1006</v>
      </c>
      <c r="J391" s="1" t="s">
        <v>73</v>
      </c>
    </row>
    <row r="392" spans="1:10" hidden="1" x14ac:dyDescent="0.25">
      <c r="A392" s="1" t="s">
        <v>231</v>
      </c>
      <c r="B392" s="1" t="s">
        <v>232</v>
      </c>
      <c r="C392" s="1">
        <v>17353</v>
      </c>
      <c r="D392" s="1">
        <v>26355</v>
      </c>
      <c r="E392" s="2">
        <v>44488</v>
      </c>
      <c r="F392" s="2">
        <v>44668</v>
      </c>
      <c r="G392" s="3">
        <v>2250</v>
      </c>
      <c r="H392" s="1">
        <v>0</v>
      </c>
      <c r="I392" s="1" t="s">
        <v>1188</v>
      </c>
      <c r="J392" s="1" t="s">
        <v>13</v>
      </c>
    </row>
    <row r="393" spans="1:10" hidden="1" x14ac:dyDescent="0.25">
      <c r="A393" s="1" t="s">
        <v>1238</v>
      </c>
      <c r="B393" s="1" t="s">
        <v>1239</v>
      </c>
      <c r="C393" s="1"/>
      <c r="D393" s="1">
        <v>176646</v>
      </c>
      <c r="E393" s="2">
        <v>44547</v>
      </c>
      <c r="F393" s="2">
        <v>44668</v>
      </c>
      <c r="G393" s="3">
        <v>2400</v>
      </c>
      <c r="H393" s="1">
        <v>0</v>
      </c>
      <c r="I393" s="1" t="s">
        <v>1240</v>
      </c>
      <c r="J393" s="1" t="s">
        <v>730</v>
      </c>
    </row>
    <row r="394" spans="1:10" hidden="1" x14ac:dyDescent="0.25">
      <c r="A394" s="1" t="s">
        <v>70</v>
      </c>
      <c r="B394" s="1" t="s">
        <v>71</v>
      </c>
      <c r="C394" s="1">
        <v>17337</v>
      </c>
      <c r="D394" s="1">
        <v>26341</v>
      </c>
      <c r="E394" s="2">
        <v>44488</v>
      </c>
      <c r="F394" s="2">
        <v>44668</v>
      </c>
      <c r="G394" s="1">
        <v>195.52</v>
      </c>
      <c r="H394" s="1">
        <v>0</v>
      </c>
      <c r="I394" s="1" t="s">
        <v>1461</v>
      </c>
      <c r="J394" s="1" t="s">
        <v>73</v>
      </c>
    </row>
    <row r="395" spans="1:10" hidden="1" x14ac:dyDescent="0.25">
      <c r="A395" s="1" t="s">
        <v>70</v>
      </c>
      <c r="B395" s="1" t="s">
        <v>71</v>
      </c>
      <c r="C395" s="1">
        <v>17334</v>
      </c>
      <c r="D395" s="1">
        <v>26339</v>
      </c>
      <c r="E395" s="2">
        <v>44488</v>
      </c>
      <c r="F395" s="2">
        <v>44668</v>
      </c>
      <c r="G395" s="3">
        <v>2657.36</v>
      </c>
      <c r="H395" s="1">
        <v>0</v>
      </c>
      <c r="I395" s="1" t="s">
        <v>645</v>
      </c>
      <c r="J395" s="1" t="s">
        <v>73</v>
      </c>
    </row>
    <row r="396" spans="1:10" hidden="1" x14ac:dyDescent="0.25">
      <c r="A396" s="1" t="s">
        <v>10</v>
      </c>
      <c r="B396" s="1" t="s">
        <v>11</v>
      </c>
      <c r="C396" s="1">
        <v>17397</v>
      </c>
      <c r="D396" s="1">
        <v>26401</v>
      </c>
      <c r="E396" s="2">
        <v>44489</v>
      </c>
      <c r="F396" s="2">
        <v>44669</v>
      </c>
      <c r="G396" s="3">
        <v>5973.33</v>
      </c>
      <c r="H396" s="1">
        <v>0</v>
      </c>
      <c r="I396" s="1" t="s">
        <v>533</v>
      </c>
      <c r="J396" s="1" t="s">
        <v>13</v>
      </c>
    </row>
    <row r="397" spans="1:10" hidden="1" x14ac:dyDescent="0.25">
      <c r="A397" s="1" t="s">
        <v>535</v>
      </c>
      <c r="B397" s="1" t="s">
        <v>536</v>
      </c>
      <c r="C397" s="1">
        <v>18235</v>
      </c>
      <c r="D397" s="1">
        <v>27247</v>
      </c>
      <c r="E397" s="2">
        <v>44564</v>
      </c>
      <c r="F397" s="2">
        <v>44669</v>
      </c>
      <c r="G397" s="3">
        <v>37366.18</v>
      </c>
      <c r="H397" s="1">
        <v>0</v>
      </c>
      <c r="I397" s="1" t="s">
        <v>537</v>
      </c>
      <c r="J397" s="1" t="s">
        <v>58</v>
      </c>
    </row>
    <row r="398" spans="1:10" hidden="1" x14ac:dyDescent="0.25">
      <c r="A398" s="1" t="s">
        <v>198</v>
      </c>
      <c r="B398" s="1" t="s">
        <v>199</v>
      </c>
      <c r="C398" s="1">
        <v>18435</v>
      </c>
      <c r="D398" s="1">
        <v>27435</v>
      </c>
      <c r="E398" s="2">
        <v>44579</v>
      </c>
      <c r="F398" s="2">
        <v>44669</v>
      </c>
      <c r="G398" s="3">
        <v>19410</v>
      </c>
      <c r="H398" s="1">
        <v>0</v>
      </c>
      <c r="I398" s="1" t="s">
        <v>546</v>
      </c>
      <c r="J398" s="1" t="s">
        <v>13</v>
      </c>
    </row>
    <row r="399" spans="1:10" hidden="1" x14ac:dyDescent="0.25">
      <c r="A399" s="1" t="s">
        <v>24</v>
      </c>
      <c r="B399" s="1" t="s">
        <v>25</v>
      </c>
      <c r="C399" s="1">
        <v>17881</v>
      </c>
      <c r="D399" s="1">
        <v>26889</v>
      </c>
      <c r="E399" s="2">
        <v>44527</v>
      </c>
      <c r="F399" s="2">
        <v>44669</v>
      </c>
      <c r="G399" s="3">
        <v>37800</v>
      </c>
      <c r="H399" s="1">
        <v>0</v>
      </c>
      <c r="I399" s="1" t="s">
        <v>660</v>
      </c>
      <c r="J399" s="1" t="s">
        <v>27</v>
      </c>
    </row>
    <row r="400" spans="1:10" hidden="1" x14ac:dyDescent="0.25">
      <c r="A400" s="1" t="s">
        <v>97</v>
      </c>
      <c r="B400" s="1" t="s">
        <v>98</v>
      </c>
      <c r="C400" s="1">
        <v>17381</v>
      </c>
      <c r="D400" s="1">
        <v>26386</v>
      </c>
      <c r="E400" s="2">
        <v>44489</v>
      </c>
      <c r="F400" s="2">
        <v>44669</v>
      </c>
      <c r="G400" s="3">
        <v>37800</v>
      </c>
      <c r="H400" s="1">
        <v>0</v>
      </c>
      <c r="I400" s="1" t="s">
        <v>665</v>
      </c>
      <c r="J400" s="1" t="s">
        <v>27</v>
      </c>
    </row>
    <row r="401" spans="1:10" hidden="1" x14ac:dyDescent="0.25">
      <c r="A401" s="1" t="s">
        <v>321</v>
      </c>
      <c r="B401" s="1" t="s">
        <v>322</v>
      </c>
      <c r="C401" s="1">
        <v>17820</v>
      </c>
      <c r="D401" s="1">
        <v>26823</v>
      </c>
      <c r="E401" s="2">
        <v>44519</v>
      </c>
      <c r="F401" s="2">
        <v>44669</v>
      </c>
      <c r="G401" s="3">
        <v>38220</v>
      </c>
      <c r="H401" s="1">
        <v>0</v>
      </c>
      <c r="I401" s="1" t="s">
        <v>1043</v>
      </c>
      <c r="J401" s="1" t="s">
        <v>27</v>
      </c>
    </row>
    <row r="402" spans="1:10" hidden="1" x14ac:dyDescent="0.25">
      <c r="A402" s="1" t="s">
        <v>97</v>
      </c>
      <c r="B402" s="1" t="s">
        <v>98</v>
      </c>
      <c r="C402" s="1">
        <v>17883</v>
      </c>
      <c r="D402" s="1">
        <v>26891</v>
      </c>
      <c r="E402" s="2">
        <v>44527</v>
      </c>
      <c r="F402" s="2">
        <v>44669</v>
      </c>
      <c r="G402" s="3">
        <v>37800</v>
      </c>
      <c r="H402" s="1">
        <v>0</v>
      </c>
      <c r="I402" s="1" t="s">
        <v>1252</v>
      </c>
      <c r="J402" s="1" t="s">
        <v>27</v>
      </c>
    </row>
    <row r="403" spans="1:10" hidden="1" x14ac:dyDescent="0.25">
      <c r="A403" s="1" t="s">
        <v>20</v>
      </c>
      <c r="B403" s="1" t="s">
        <v>21</v>
      </c>
      <c r="C403" s="1">
        <v>18149</v>
      </c>
      <c r="D403" s="1">
        <v>27160</v>
      </c>
      <c r="E403" s="2">
        <v>44549</v>
      </c>
      <c r="F403" s="2">
        <v>44669</v>
      </c>
      <c r="G403" s="3">
        <v>5454.16</v>
      </c>
      <c r="H403" s="1">
        <v>0</v>
      </c>
      <c r="I403" s="1" t="s">
        <v>1286</v>
      </c>
      <c r="J403" s="1" t="s">
        <v>23</v>
      </c>
    </row>
    <row r="404" spans="1:10" hidden="1" x14ac:dyDescent="0.25">
      <c r="A404" s="1" t="s">
        <v>10</v>
      </c>
      <c r="B404" s="1" t="s">
        <v>11</v>
      </c>
      <c r="C404" s="1">
        <v>17396</v>
      </c>
      <c r="D404" s="1">
        <v>26400</v>
      </c>
      <c r="E404" s="2">
        <v>44489</v>
      </c>
      <c r="F404" s="2">
        <v>44669</v>
      </c>
      <c r="G404" s="3">
        <v>33365.300000000003</v>
      </c>
      <c r="H404" s="1">
        <v>0</v>
      </c>
      <c r="I404" s="1" t="s">
        <v>1393</v>
      </c>
      <c r="J404" s="1" t="s">
        <v>13</v>
      </c>
    </row>
    <row r="405" spans="1:10" hidden="1" x14ac:dyDescent="0.25">
      <c r="A405" s="1" t="s">
        <v>304</v>
      </c>
      <c r="B405" s="1" t="s">
        <v>305</v>
      </c>
      <c r="C405" s="1">
        <v>17393</v>
      </c>
      <c r="D405" s="1">
        <v>26397</v>
      </c>
      <c r="E405" s="2">
        <v>44489</v>
      </c>
      <c r="F405" s="2">
        <v>44669</v>
      </c>
      <c r="G405" s="3">
        <v>30600</v>
      </c>
      <c r="H405" s="1">
        <v>0</v>
      </c>
      <c r="I405" s="1" t="s">
        <v>1425</v>
      </c>
      <c r="J405" s="1" t="s">
        <v>27</v>
      </c>
    </row>
    <row r="406" spans="1:10" hidden="1" x14ac:dyDescent="0.25">
      <c r="A406" s="1" t="s">
        <v>321</v>
      </c>
      <c r="B406" s="1" t="s">
        <v>322</v>
      </c>
      <c r="C406" s="1">
        <v>17819</v>
      </c>
      <c r="D406" s="1">
        <v>26822</v>
      </c>
      <c r="E406" s="2">
        <v>44519</v>
      </c>
      <c r="F406" s="2">
        <v>44669</v>
      </c>
      <c r="G406" s="3">
        <v>47600</v>
      </c>
      <c r="H406" s="1">
        <v>0</v>
      </c>
      <c r="I406" s="1" t="s">
        <v>1515</v>
      </c>
      <c r="J406" s="1" t="s">
        <v>27</v>
      </c>
    </row>
    <row r="407" spans="1:10" hidden="1" x14ac:dyDescent="0.25">
      <c r="A407" s="1" t="s">
        <v>371</v>
      </c>
      <c r="B407" s="1" t="s">
        <v>372</v>
      </c>
      <c r="C407" s="1">
        <v>18156</v>
      </c>
      <c r="D407" s="1">
        <v>27166</v>
      </c>
      <c r="E407" s="2">
        <v>44549</v>
      </c>
      <c r="F407" s="2">
        <v>44669</v>
      </c>
      <c r="G407" s="3">
        <v>6603</v>
      </c>
      <c r="H407" s="1">
        <v>0</v>
      </c>
      <c r="I407" s="1" t="s">
        <v>1533</v>
      </c>
      <c r="J407" s="1" t="s">
        <v>88</v>
      </c>
    </row>
    <row r="408" spans="1:10" hidden="1" x14ac:dyDescent="0.25">
      <c r="A408" s="1" t="s">
        <v>371</v>
      </c>
      <c r="B408" s="1" t="s">
        <v>372</v>
      </c>
      <c r="C408" s="1">
        <v>18158</v>
      </c>
      <c r="D408" s="1">
        <v>27168</v>
      </c>
      <c r="E408" s="2">
        <v>44549</v>
      </c>
      <c r="F408" s="2">
        <v>44669</v>
      </c>
      <c r="G408" s="3">
        <v>14112</v>
      </c>
      <c r="H408" s="1">
        <v>0</v>
      </c>
      <c r="I408" s="1" t="s">
        <v>1534</v>
      </c>
      <c r="J408" s="1" t="s">
        <v>88</v>
      </c>
    </row>
    <row r="409" spans="1:10" hidden="1" x14ac:dyDescent="0.25">
      <c r="A409" s="1" t="s">
        <v>10</v>
      </c>
      <c r="B409" s="1" t="s">
        <v>11</v>
      </c>
      <c r="C409" s="1">
        <v>17402</v>
      </c>
      <c r="D409" s="1">
        <v>26406</v>
      </c>
      <c r="E409" s="2">
        <v>44489</v>
      </c>
      <c r="F409" s="2">
        <v>44669</v>
      </c>
      <c r="G409" s="3">
        <v>126000</v>
      </c>
      <c r="H409" s="1">
        <v>0</v>
      </c>
      <c r="I409" s="1" t="s">
        <v>1555</v>
      </c>
      <c r="J409" s="1" t="s">
        <v>13</v>
      </c>
    </row>
    <row r="410" spans="1:10" hidden="1" x14ac:dyDescent="0.25">
      <c r="A410" s="1" t="s">
        <v>78</v>
      </c>
      <c r="B410" s="1" t="s">
        <v>79</v>
      </c>
      <c r="C410" s="1">
        <v>18746</v>
      </c>
      <c r="D410" s="1">
        <v>27764</v>
      </c>
      <c r="E410" s="2">
        <v>44609</v>
      </c>
      <c r="F410" s="2">
        <v>44669</v>
      </c>
      <c r="G410" s="3">
        <v>121761.1</v>
      </c>
      <c r="H410" s="1">
        <v>0</v>
      </c>
      <c r="I410" s="1" t="s">
        <v>1587</v>
      </c>
      <c r="J410" s="1" t="s">
        <v>68</v>
      </c>
    </row>
    <row r="411" spans="1:10" hidden="1" x14ac:dyDescent="0.25">
      <c r="A411" s="1" t="s">
        <v>20</v>
      </c>
      <c r="B411" s="1" t="s">
        <v>21</v>
      </c>
      <c r="C411" s="1">
        <v>18147</v>
      </c>
      <c r="D411" s="1">
        <v>27158</v>
      </c>
      <c r="E411" s="2">
        <v>44549</v>
      </c>
      <c r="F411" s="2">
        <v>44669</v>
      </c>
      <c r="G411" s="1">
        <v>360</v>
      </c>
      <c r="H411" s="1">
        <v>0</v>
      </c>
      <c r="I411" s="1" t="s">
        <v>1593</v>
      </c>
      <c r="J411" s="1" t="s">
        <v>23</v>
      </c>
    </row>
    <row r="412" spans="1:10" hidden="1" x14ac:dyDescent="0.25">
      <c r="A412" s="1" t="s">
        <v>221</v>
      </c>
      <c r="B412" s="1" t="s">
        <v>222</v>
      </c>
      <c r="C412" s="1">
        <v>17380</v>
      </c>
      <c r="D412" s="1">
        <v>26385</v>
      </c>
      <c r="E412" s="2">
        <v>44489</v>
      </c>
      <c r="F412" s="2">
        <v>44669</v>
      </c>
      <c r="G412" s="3">
        <v>37800</v>
      </c>
      <c r="H412" s="1">
        <v>0</v>
      </c>
      <c r="I412" s="1" t="s">
        <v>1618</v>
      </c>
      <c r="J412" s="1" t="s">
        <v>27</v>
      </c>
    </row>
    <row r="413" spans="1:10" hidden="1" x14ac:dyDescent="0.25">
      <c r="A413" s="1" t="s">
        <v>20</v>
      </c>
      <c r="B413" s="1" t="s">
        <v>21</v>
      </c>
      <c r="C413" s="1">
        <v>18148</v>
      </c>
      <c r="D413" s="1">
        <v>27159</v>
      </c>
      <c r="E413" s="2">
        <v>44549</v>
      </c>
      <c r="F413" s="2">
        <v>44669</v>
      </c>
      <c r="G413" s="3">
        <v>28886.639999999999</v>
      </c>
      <c r="H413" s="1">
        <v>0</v>
      </c>
      <c r="I413" s="1" t="s">
        <v>1619</v>
      </c>
      <c r="J413" s="1" t="s">
        <v>23</v>
      </c>
    </row>
    <row r="414" spans="1:10" x14ac:dyDescent="0.25">
      <c r="A414" s="1" t="s">
        <v>554</v>
      </c>
      <c r="B414" s="1" t="s">
        <v>555</v>
      </c>
      <c r="C414" s="1">
        <v>16900</v>
      </c>
      <c r="D414" s="1">
        <v>25885</v>
      </c>
      <c r="E414" s="2">
        <v>44460</v>
      </c>
      <c r="F414" s="2">
        <v>44670</v>
      </c>
      <c r="G414" s="3">
        <v>6008.68</v>
      </c>
      <c r="H414" s="1">
        <v>0</v>
      </c>
      <c r="I414" s="1" t="s">
        <v>556</v>
      </c>
      <c r="J414" s="1" t="s">
        <v>27</v>
      </c>
    </row>
    <row r="415" spans="1:10" hidden="1" x14ac:dyDescent="0.25">
      <c r="A415" s="1" t="s">
        <v>97</v>
      </c>
      <c r="B415" s="1" t="s">
        <v>98</v>
      </c>
      <c r="C415" s="1">
        <v>17429</v>
      </c>
      <c r="D415" s="1">
        <v>26430</v>
      </c>
      <c r="E415" s="2">
        <v>44490</v>
      </c>
      <c r="F415" s="2">
        <v>44670</v>
      </c>
      <c r="G415" s="3">
        <v>18057.5</v>
      </c>
      <c r="H415" s="1">
        <v>0</v>
      </c>
      <c r="I415" s="1" t="s">
        <v>782</v>
      </c>
      <c r="J415" s="1" t="s">
        <v>27</v>
      </c>
    </row>
    <row r="416" spans="1:10" hidden="1" x14ac:dyDescent="0.25">
      <c r="A416" s="1" t="s">
        <v>221</v>
      </c>
      <c r="B416" s="1" t="s">
        <v>222</v>
      </c>
      <c r="C416" s="1">
        <v>17428</v>
      </c>
      <c r="D416" s="1">
        <v>26429</v>
      </c>
      <c r="E416" s="2">
        <v>44490</v>
      </c>
      <c r="F416" s="2">
        <v>44670</v>
      </c>
      <c r="G416" s="3">
        <v>9902.5</v>
      </c>
      <c r="H416" s="1">
        <v>0</v>
      </c>
      <c r="I416" s="1" t="s">
        <v>839</v>
      </c>
      <c r="J416" s="1" t="s">
        <v>27</v>
      </c>
    </row>
    <row r="417" spans="1:10" x14ac:dyDescent="0.25">
      <c r="A417" s="1" t="s">
        <v>554</v>
      </c>
      <c r="B417" s="1" t="s">
        <v>555</v>
      </c>
      <c r="C417" s="1">
        <v>17424</v>
      </c>
      <c r="D417" s="1">
        <v>26425</v>
      </c>
      <c r="E417" s="2">
        <v>44490</v>
      </c>
      <c r="F417" s="2">
        <v>44670</v>
      </c>
      <c r="G417" s="3">
        <v>41160</v>
      </c>
      <c r="H417" s="1">
        <v>0</v>
      </c>
      <c r="I417" s="1" t="s">
        <v>927</v>
      </c>
      <c r="J417" s="1" t="s">
        <v>27</v>
      </c>
    </row>
    <row r="418" spans="1:10" hidden="1" x14ac:dyDescent="0.25">
      <c r="A418" s="1" t="s">
        <v>140</v>
      </c>
      <c r="B418" s="1" t="s">
        <v>141</v>
      </c>
      <c r="C418" s="1">
        <v>18165</v>
      </c>
      <c r="D418" s="1">
        <v>27176</v>
      </c>
      <c r="E418" s="2">
        <v>44550</v>
      </c>
      <c r="F418" s="2">
        <v>44670</v>
      </c>
      <c r="G418" s="3">
        <v>1493.33</v>
      </c>
      <c r="H418" s="1">
        <v>0</v>
      </c>
      <c r="I418" s="1" t="s">
        <v>1022</v>
      </c>
      <c r="J418" s="1" t="s">
        <v>73</v>
      </c>
    </row>
    <row r="419" spans="1:10" hidden="1" x14ac:dyDescent="0.25">
      <c r="A419" s="1" t="s">
        <v>70</v>
      </c>
      <c r="B419" s="1" t="s">
        <v>71</v>
      </c>
      <c r="C419" s="1">
        <v>18169</v>
      </c>
      <c r="D419" s="1">
        <v>27180</v>
      </c>
      <c r="E419" s="2">
        <v>44550</v>
      </c>
      <c r="F419" s="2">
        <v>44670</v>
      </c>
      <c r="G419" s="1">
        <v>840</v>
      </c>
      <c r="H419" s="1">
        <v>0</v>
      </c>
      <c r="I419" s="1" t="s">
        <v>1052</v>
      </c>
      <c r="J419" s="1" t="s">
        <v>73</v>
      </c>
    </row>
    <row r="420" spans="1:10" hidden="1" x14ac:dyDescent="0.25">
      <c r="A420" s="1" t="s">
        <v>70</v>
      </c>
      <c r="B420" s="1" t="s">
        <v>71</v>
      </c>
      <c r="C420" s="1">
        <v>18168</v>
      </c>
      <c r="D420" s="1">
        <v>27179</v>
      </c>
      <c r="E420" s="2">
        <v>44550</v>
      </c>
      <c r="F420" s="2">
        <v>44670</v>
      </c>
      <c r="G420" s="1">
        <v>840</v>
      </c>
      <c r="H420" s="1">
        <v>0</v>
      </c>
      <c r="I420" s="1" t="s">
        <v>1160</v>
      </c>
      <c r="J420" s="1" t="s">
        <v>73</v>
      </c>
    </row>
    <row r="421" spans="1:10" hidden="1" x14ac:dyDescent="0.25">
      <c r="A421" s="1" t="s">
        <v>24</v>
      </c>
      <c r="B421" s="1" t="s">
        <v>25</v>
      </c>
      <c r="C421" s="1">
        <v>17425</v>
      </c>
      <c r="D421" s="1">
        <v>26426</v>
      </c>
      <c r="E421" s="2">
        <v>44490</v>
      </c>
      <c r="F421" s="2">
        <v>44670</v>
      </c>
      <c r="G421" s="3">
        <v>37800</v>
      </c>
      <c r="H421" s="1">
        <v>0</v>
      </c>
      <c r="I421" s="1" t="s">
        <v>1207</v>
      </c>
      <c r="J421" s="1" t="s">
        <v>27</v>
      </c>
    </row>
    <row r="422" spans="1:10" hidden="1" x14ac:dyDescent="0.25">
      <c r="A422" s="1" t="s">
        <v>70</v>
      </c>
      <c r="B422" s="1" t="s">
        <v>71</v>
      </c>
      <c r="C422" s="1">
        <v>18167</v>
      </c>
      <c r="D422" s="1">
        <v>27178</v>
      </c>
      <c r="E422" s="2">
        <v>44550</v>
      </c>
      <c r="F422" s="2">
        <v>44670</v>
      </c>
      <c r="G422" s="3">
        <v>14222.82</v>
      </c>
      <c r="H422" s="1">
        <v>0</v>
      </c>
      <c r="I422" s="1" t="s">
        <v>1160</v>
      </c>
      <c r="J422" s="1" t="s">
        <v>73</v>
      </c>
    </row>
    <row r="423" spans="1:10" hidden="1" x14ac:dyDescent="0.25">
      <c r="A423" s="1" t="s">
        <v>70</v>
      </c>
      <c r="B423" s="1" t="s">
        <v>71</v>
      </c>
      <c r="C423" s="1">
        <v>17404</v>
      </c>
      <c r="D423" s="1">
        <v>26408</v>
      </c>
      <c r="E423" s="2">
        <v>44490</v>
      </c>
      <c r="F423" s="2">
        <v>44670</v>
      </c>
      <c r="G423" s="3">
        <v>10500.08</v>
      </c>
      <c r="H423" s="1">
        <v>0</v>
      </c>
      <c r="I423" s="1" t="s">
        <v>1372</v>
      </c>
      <c r="J423" s="1" t="s">
        <v>73</v>
      </c>
    </row>
    <row r="424" spans="1:10" hidden="1" x14ac:dyDescent="0.25">
      <c r="A424" s="1" t="s">
        <v>70</v>
      </c>
      <c r="B424" s="1" t="s">
        <v>71</v>
      </c>
      <c r="C424" s="1">
        <v>17403</v>
      </c>
      <c r="D424" s="1">
        <v>26407</v>
      </c>
      <c r="E424" s="2">
        <v>44490</v>
      </c>
      <c r="F424" s="2">
        <v>44670</v>
      </c>
      <c r="G424" s="3">
        <v>12140.08</v>
      </c>
      <c r="H424" s="1">
        <v>0</v>
      </c>
      <c r="I424" s="1" t="s">
        <v>1394</v>
      </c>
      <c r="J424" s="1" t="s">
        <v>73</v>
      </c>
    </row>
    <row r="425" spans="1:10" hidden="1" x14ac:dyDescent="0.25">
      <c r="A425" s="1" t="s">
        <v>198</v>
      </c>
      <c r="B425" s="1" t="s">
        <v>199</v>
      </c>
      <c r="C425" s="1">
        <v>17824</v>
      </c>
      <c r="D425" s="1">
        <v>26827</v>
      </c>
      <c r="E425" s="2">
        <v>44520</v>
      </c>
      <c r="F425" s="2">
        <v>44670</v>
      </c>
      <c r="G425" s="3">
        <v>170774.1</v>
      </c>
      <c r="H425" s="1">
        <v>0</v>
      </c>
      <c r="I425" s="1" t="s">
        <v>1437</v>
      </c>
      <c r="J425" s="1" t="s">
        <v>13</v>
      </c>
    </row>
    <row r="426" spans="1:10" hidden="1" x14ac:dyDescent="0.25">
      <c r="A426" s="1" t="s">
        <v>70</v>
      </c>
      <c r="B426" s="1" t="s">
        <v>71</v>
      </c>
      <c r="C426" s="1">
        <v>18166</v>
      </c>
      <c r="D426" s="1">
        <v>27177</v>
      </c>
      <c r="E426" s="2">
        <v>44550</v>
      </c>
      <c r="F426" s="2">
        <v>44670</v>
      </c>
      <c r="G426" s="1">
        <v>86.56</v>
      </c>
      <c r="H426" s="1">
        <v>0</v>
      </c>
      <c r="I426" s="1" t="s">
        <v>1160</v>
      </c>
      <c r="J426" s="1" t="s">
        <v>73</v>
      </c>
    </row>
    <row r="427" spans="1:10" hidden="1" x14ac:dyDescent="0.25">
      <c r="A427" s="1" t="s">
        <v>140</v>
      </c>
      <c r="B427" s="1" t="s">
        <v>141</v>
      </c>
      <c r="C427" s="1">
        <v>18164</v>
      </c>
      <c r="D427" s="1">
        <v>27175</v>
      </c>
      <c r="E427" s="2">
        <v>44550</v>
      </c>
      <c r="F427" s="2">
        <v>44670</v>
      </c>
      <c r="G427" s="3">
        <v>1160</v>
      </c>
      <c r="H427" s="1">
        <v>0</v>
      </c>
      <c r="I427" s="1" t="s">
        <v>1548</v>
      </c>
      <c r="J427" s="1" t="s">
        <v>73</v>
      </c>
    </row>
    <row r="428" spans="1:10" hidden="1" x14ac:dyDescent="0.25">
      <c r="A428" s="1" t="s">
        <v>244</v>
      </c>
      <c r="B428" s="1" t="s">
        <v>98</v>
      </c>
      <c r="C428" s="1">
        <v>17427</v>
      </c>
      <c r="D428" s="1">
        <v>26428</v>
      </c>
      <c r="E428" s="2">
        <v>44490</v>
      </c>
      <c r="F428" s="2">
        <v>44670</v>
      </c>
      <c r="G428" s="3">
        <v>51300</v>
      </c>
      <c r="H428" s="1">
        <v>0</v>
      </c>
      <c r="I428" s="1" t="s">
        <v>1585</v>
      </c>
      <c r="J428" s="1" t="s">
        <v>27</v>
      </c>
    </row>
    <row r="429" spans="1:10" hidden="1" x14ac:dyDescent="0.25">
      <c r="A429" s="1" t="s">
        <v>24</v>
      </c>
      <c r="B429" s="1" t="s">
        <v>25</v>
      </c>
      <c r="C429" s="1">
        <v>18161</v>
      </c>
      <c r="D429" s="1">
        <v>27172</v>
      </c>
      <c r="E429" s="2">
        <v>44550</v>
      </c>
      <c r="F429" s="2">
        <v>44670</v>
      </c>
      <c r="G429" s="3">
        <v>2856</v>
      </c>
      <c r="H429" s="1">
        <v>0</v>
      </c>
      <c r="I429" s="1" t="s">
        <v>1591</v>
      </c>
      <c r="J429" s="1" t="s">
        <v>27</v>
      </c>
    </row>
    <row r="430" spans="1:10" hidden="1" x14ac:dyDescent="0.25">
      <c r="A430" s="1" t="s">
        <v>70</v>
      </c>
      <c r="B430" s="1" t="s">
        <v>71</v>
      </c>
      <c r="C430" s="1">
        <v>18286</v>
      </c>
      <c r="D430" s="1">
        <v>27295</v>
      </c>
      <c r="E430" s="2">
        <v>44566</v>
      </c>
      <c r="F430" s="2">
        <v>44671</v>
      </c>
      <c r="G430" s="3">
        <v>10147.77</v>
      </c>
      <c r="H430" s="1">
        <v>0</v>
      </c>
      <c r="I430" s="1" t="s">
        <v>72</v>
      </c>
      <c r="J430" s="1" t="s">
        <v>73</v>
      </c>
    </row>
    <row r="431" spans="1:10" hidden="1" x14ac:dyDescent="0.25">
      <c r="A431" s="1" t="s">
        <v>125</v>
      </c>
      <c r="B431" s="1" t="s">
        <v>126</v>
      </c>
      <c r="C431" s="1">
        <v>16453</v>
      </c>
      <c r="D431" s="1">
        <v>25402</v>
      </c>
      <c r="E431" s="2">
        <v>44413</v>
      </c>
      <c r="F431" s="2">
        <v>44671</v>
      </c>
      <c r="G431" s="3">
        <v>79656.600000000006</v>
      </c>
      <c r="H431" s="1">
        <v>0</v>
      </c>
      <c r="I431" s="1" t="s">
        <v>127</v>
      </c>
      <c r="J431" s="1" t="s">
        <v>31</v>
      </c>
    </row>
    <row r="432" spans="1:10" hidden="1" x14ac:dyDescent="0.25">
      <c r="A432" s="1" t="s">
        <v>39</v>
      </c>
      <c r="B432" s="1" t="s">
        <v>40</v>
      </c>
      <c r="C432" s="1">
        <v>16504</v>
      </c>
      <c r="D432" s="1">
        <v>25451</v>
      </c>
      <c r="E432" s="2">
        <v>44417</v>
      </c>
      <c r="F432" s="2">
        <v>44671</v>
      </c>
      <c r="G432" s="3">
        <v>30324</v>
      </c>
      <c r="H432" s="1">
        <v>0</v>
      </c>
      <c r="I432" s="1" t="s">
        <v>515</v>
      </c>
      <c r="J432" s="1" t="s">
        <v>31</v>
      </c>
    </row>
    <row r="433" spans="1:10" hidden="1" x14ac:dyDescent="0.25">
      <c r="A433" s="1" t="s">
        <v>70</v>
      </c>
      <c r="B433" s="1" t="s">
        <v>71</v>
      </c>
      <c r="C433" s="1">
        <v>18287</v>
      </c>
      <c r="D433" s="1">
        <v>27296</v>
      </c>
      <c r="E433" s="2">
        <v>44566</v>
      </c>
      <c r="F433" s="2">
        <v>44671</v>
      </c>
      <c r="G433" s="3">
        <v>4083.33</v>
      </c>
      <c r="H433" s="1">
        <v>0</v>
      </c>
      <c r="I433" s="1" t="s">
        <v>570</v>
      </c>
      <c r="J433" s="1" t="s">
        <v>73</v>
      </c>
    </row>
    <row r="434" spans="1:10" hidden="1" x14ac:dyDescent="0.25">
      <c r="A434" s="1" t="s">
        <v>97</v>
      </c>
      <c r="B434" s="1" t="s">
        <v>98</v>
      </c>
      <c r="C434" s="1">
        <v>17434</v>
      </c>
      <c r="D434" s="1">
        <v>26437</v>
      </c>
      <c r="E434" s="2">
        <v>44491</v>
      </c>
      <c r="F434" s="2">
        <v>44671</v>
      </c>
      <c r="G434" s="3">
        <v>37800</v>
      </c>
      <c r="H434" s="1">
        <v>0</v>
      </c>
      <c r="I434" s="1" t="s">
        <v>635</v>
      </c>
      <c r="J434" s="1" t="s">
        <v>27</v>
      </c>
    </row>
    <row r="435" spans="1:10" hidden="1" x14ac:dyDescent="0.25">
      <c r="A435" s="1" t="s">
        <v>39</v>
      </c>
      <c r="B435" s="1" t="s">
        <v>40</v>
      </c>
      <c r="C435" s="1">
        <v>17256</v>
      </c>
      <c r="D435" s="1">
        <v>26252</v>
      </c>
      <c r="E435" s="2">
        <v>44482</v>
      </c>
      <c r="F435" s="2">
        <v>44671</v>
      </c>
      <c r="G435" s="3">
        <v>284600</v>
      </c>
      <c r="H435" s="1">
        <v>0</v>
      </c>
      <c r="I435" s="1" t="s">
        <v>663</v>
      </c>
      <c r="J435" s="1" t="s">
        <v>31</v>
      </c>
    </row>
    <row r="436" spans="1:10" hidden="1" x14ac:dyDescent="0.25">
      <c r="A436" s="1" t="s">
        <v>436</v>
      </c>
      <c r="B436" s="1" t="s">
        <v>437</v>
      </c>
      <c r="C436" s="1">
        <v>17441</v>
      </c>
      <c r="D436" s="1">
        <v>26445</v>
      </c>
      <c r="E436" s="2">
        <v>44491</v>
      </c>
      <c r="F436" s="2">
        <v>44671</v>
      </c>
      <c r="G436" s="3">
        <v>28812</v>
      </c>
      <c r="H436" s="1">
        <v>0</v>
      </c>
      <c r="I436" s="1" t="s">
        <v>1060</v>
      </c>
      <c r="J436" s="1" t="s">
        <v>27</v>
      </c>
    </row>
    <row r="437" spans="1:10" hidden="1" x14ac:dyDescent="0.25">
      <c r="A437" s="1" t="s">
        <v>847</v>
      </c>
      <c r="B437" s="1" t="s">
        <v>848</v>
      </c>
      <c r="C437" s="1">
        <v>18177</v>
      </c>
      <c r="D437" s="1">
        <v>27188</v>
      </c>
      <c r="E437" s="2">
        <v>44551</v>
      </c>
      <c r="F437" s="2">
        <v>44671</v>
      </c>
      <c r="G437" s="3">
        <v>1902.6</v>
      </c>
      <c r="H437" s="1">
        <v>0</v>
      </c>
      <c r="I437" s="1" t="s">
        <v>1281</v>
      </c>
      <c r="J437" s="1" t="s">
        <v>73</v>
      </c>
    </row>
    <row r="438" spans="1:10" hidden="1" x14ac:dyDescent="0.25">
      <c r="A438" s="1" t="s">
        <v>847</v>
      </c>
      <c r="B438" s="1" t="s">
        <v>848</v>
      </c>
      <c r="C438" s="1">
        <v>18182</v>
      </c>
      <c r="D438" s="1">
        <v>27194</v>
      </c>
      <c r="E438" s="2">
        <v>44551</v>
      </c>
      <c r="F438" s="2">
        <v>44671</v>
      </c>
      <c r="G438" s="3">
        <v>1644</v>
      </c>
      <c r="H438" s="1">
        <v>0</v>
      </c>
      <c r="I438" s="1" t="s">
        <v>849</v>
      </c>
      <c r="J438" s="1" t="s">
        <v>73</v>
      </c>
    </row>
    <row r="439" spans="1:10" hidden="1" x14ac:dyDescent="0.25">
      <c r="A439" s="1" t="s">
        <v>847</v>
      </c>
      <c r="B439" s="1" t="s">
        <v>848</v>
      </c>
      <c r="C439" s="1">
        <v>18179</v>
      </c>
      <c r="D439" s="1">
        <v>27190</v>
      </c>
      <c r="E439" s="2">
        <v>44551</v>
      </c>
      <c r="F439" s="2">
        <v>44671</v>
      </c>
      <c r="G439" s="3">
        <v>115663.6</v>
      </c>
      <c r="H439" s="1">
        <v>0</v>
      </c>
      <c r="I439" s="1" t="s">
        <v>1698</v>
      </c>
      <c r="J439" s="1" t="s">
        <v>73</v>
      </c>
    </row>
    <row r="440" spans="1:10" hidden="1" x14ac:dyDescent="0.25">
      <c r="A440" s="1" t="s">
        <v>1714</v>
      </c>
      <c r="B440" s="1" t="s">
        <v>848</v>
      </c>
      <c r="C440" s="1">
        <v>18184</v>
      </c>
      <c r="D440" s="1">
        <v>27195</v>
      </c>
      <c r="E440" s="2">
        <v>44551</v>
      </c>
      <c r="F440" s="2">
        <v>44671</v>
      </c>
      <c r="G440" s="1">
        <v>744</v>
      </c>
      <c r="H440" s="1">
        <v>0</v>
      </c>
      <c r="I440" s="1" t="s">
        <v>1715</v>
      </c>
      <c r="J440" s="1" t="s">
        <v>73</v>
      </c>
    </row>
    <row r="441" spans="1:10" hidden="1" x14ac:dyDescent="0.25">
      <c r="A441" s="1" t="s">
        <v>70</v>
      </c>
      <c r="B441" s="1" t="s">
        <v>71</v>
      </c>
      <c r="C441" s="1">
        <v>18505</v>
      </c>
      <c r="D441" s="1">
        <v>27503</v>
      </c>
      <c r="E441" s="2">
        <v>44582</v>
      </c>
      <c r="F441" s="2">
        <v>44672</v>
      </c>
      <c r="G441" s="3">
        <v>1600</v>
      </c>
      <c r="H441" s="1">
        <v>0</v>
      </c>
      <c r="I441" s="1" t="s">
        <v>119</v>
      </c>
      <c r="J441" s="1" t="s">
        <v>73</v>
      </c>
    </row>
    <row r="442" spans="1:10" hidden="1" x14ac:dyDescent="0.25">
      <c r="A442" s="1" t="s">
        <v>10</v>
      </c>
      <c r="B442" s="1" t="s">
        <v>11</v>
      </c>
      <c r="C442" s="1">
        <v>17843</v>
      </c>
      <c r="D442" s="1">
        <v>26847</v>
      </c>
      <c r="E442" s="2">
        <v>44522</v>
      </c>
      <c r="F442" s="2">
        <v>44672</v>
      </c>
      <c r="G442" s="3">
        <v>47499.95</v>
      </c>
      <c r="H442" s="1">
        <v>0</v>
      </c>
      <c r="I442" s="1" t="s">
        <v>219</v>
      </c>
      <c r="J442" s="1" t="s">
        <v>13</v>
      </c>
    </row>
    <row r="443" spans="1:10" hidden="1" x14ac:dyDescent="0.25">
      <c r="A443" s="1" t="s">
        <v>70</v>
      </c>
      <c r="B443" s="1" t="s">
        <v>71</v>
      </c>
      <c r="C443" s="1">
        <v>18510</v>
      </c>
      <c r="D443" s="1">
        <v>27508</v>
      </c>
      <c r="E443" s="2">
        <v>44582</v>
      </c>
      <c r="F443" s="2">
        <v>44672</v>
      </c>
      <c r="G443" s="3">
        <v>21746.92</v>
      </c>
      <c r="H443" s="1">
        <v>0</v>
      </c>
      <c r="I443" s="1" t="s">
        <v>237</v>
      </c>
      <c r="J443" s="1" t="s">
        <v>73</v>
      </c>
    </row>
    <row r="444" spans="1:10" hidden="1" x14ac:dyDescent="0.25">
      <c r="A444" s="1" t="s">
        <v>70</v>
      </c>
      <c r="B444" s="1" t="s">
        <v>71</v>
      </c>
      <c r="C444" s="1">
        <v>17991</v>
      </c>
      <c r="D444" s="1">
        <v>27002</v>
      </c>
      <c r="E444" s="2">
        <v>44537</v>
      </c>
      <c r="F444" s="2">
        <v>44672</v>
      </c>
      <c r="G444" s="3">
        <v>8074.44</v>
      </c>
      <c r="H444" s="1">
        <v>0</v>
      </c>
      <c r="I444" s="1" t="s">
        <v>273</v>
      </c>
      <c r="J444" s="1" t="s">
        <v>73</v>
      </c>
    </row>
    <row r="445" spans="1:10" hidden="1" x14ac:dyDescent="0.25">
      <c r="A445" s="1" t="s">
        <v>10</v>
      </c>
      <c r="B445" s="1" t="s">
        <v>11</v>
      </c>
      <c r="C445" s="1">
        <v>17842</v>
      </c>
      <c r="D445" s="1">
        <v>26846</v>
      </c>
      <c r="E445" s="2">
        <v>44522</v>
      </c>
      <c r="F445" s="2">
        <v>44672</v>
      </c>
      <c r="G445" s="1">
        <v>652.5</v>
      </c>
      <c r="H445" s="1">
        <v>0</v>
      </c>
      <c r="I445" s="1" t="s">
        <v>301</v>
      </c>
      <c r="J445" s="1" t="s">
        <v>13</v>
      </c>
    </row>
    <row r="446" spans="1:10" hidden="1" x14ac:dyDescent="0.25">
      <c r="A446" s="1" t="s">
        <v>140</v>
      </c>
      <c r="B446" s="1" t="s">
        <v>141</v>
      </c>
      <c r="C446" s="1">
        <v>17850</v>
      </c>
      <c r="D446" s="1">
        <v>26854</v>
      </c>
      <c r="E446" s="2">
        <v>44522</v>
      </c>
      <c r="F446" s="2">
        <v>44672</v>
      </c>
      <c r="G446" s="3">
        <v>39333.42</v>
      </c>
      <c r="H446" s="1">
        <v>0</v>
      </c>
      <c r="I446" s="1" t="s">
        <v>397</v>
      </c>
      <c r="J446" s="1" t="s">
        <v>73</v>
      </c>
    </row>
    <row r="447" spans="1:10" hidden="1" x14ac:dyDescent="0.25">
      <c r="A447" s="1" t="s">
        <v>78</v>
      </c>
      <c r="B447" s="1" t="s">
        <v>79</v>
      </c>
      <c r="C447" s="1">
        <v>16630</v>
      </c>
      <c r="D447" s="1">
        <v>25593</v>
      </c>
      <c r="E447" s="2">
        <v>44432</v>
      </c>
      <c r="F447" s="2">
        <v>44672</v>
      </c>
      <c r="G447" s="3">
        <v>182070</v>
      </c>
      <c r="H447" s="1">
        <v>0</v>
      </c>
      <c r="I447" s="1" t="s">
        <v>466</v>
      </c>
      <c r="J447" s="1" t="s">
        <v>68</v>
      </c>
    </row>
    <row r="448" spans="1:10" hidden="1" x14ac:dyDescent="0.25">
      <c r="A448" s="1" t="s">
        <v>321</v>
      </c>
      <c r="B448" s="1" t="s">
        <v>322</v>
      </c>
      <c r="C448" s="1">
        <v>18507</v>
      </c>
      <c r="D448" s="1">
        <v>27505</v>
      </c>
      <c r="E448" s="2">
        <v>44582</v>
      </c>
      <c r="F448" s="2">
        <v>44672</v>
      </c>
      <c r="G448" s="3">
        <v>1237.33</v>
      </c>
      <c r="H448" s="1">
        <v>0</v>
      </c>
      <c r="I448" s="1" t="s">
        <v>507</v>
      </c>
      <c r="J448" s="1" t="s">
        <v>27</v>
      </c>
    </row>
    <row r="449" spans="1:10" hidden="1" x14ac:dyDescent="0.25">
      <c r="A449" s="1" t="s">
        <v>140</v>
      </c>
      <c r="B449" s="1" t="s">
        <v>141</v>
      </c>
      <c r="C449" s="1">
        <v>17851</v>
      </c>
      <c r="D449" s="1">
        <v>26855</v>
      </c>
      <c r="E449" s="2">
        <v>44522</v>
      </c>
      <c r="F449" s="2">
        <v>44672</v>
      </c>
      <c r="G449" s="3">
        <v>35833.4</v>
      </c>
      <c r="H449" s="1">
        <v>0</v>
      </c>
      <c r="I449" s="1" t="s">
        <v>640</v>
      </c>
      <c r="J449" s="1" t="s">
        <v>73</v>
      </c>
    </row>
    <row r="450" spans="1:10" hidden="1" x14ac:dyDescent="0.25">
      <c r="A450" s="1" t="s">
        <v>70</v>
      </c>
      <c r="B450" s="1" t="s">
        <v>71</v>
      </c>
      <c r="C450" s="1">
        <v>17997</v>
      </c>
      <c r="D450" s="1">
        <v>27009</v>
      </c>
      <c r="E450" s="2">
        <v>44537</v>
      </c>
      <c r="F450" s="2">
        <v>44672</v>
      </c>
      <c r="G450" s="3">
        <v>8153.99</v>
      </c>
      <c r="H450" s="1">
        <v>0</v>
      </c>
      <c r="I450" s="1" t="s">
        <v>812</v>
      </c>
      <c r="J450" s="1" t="s">
        <v>73</v>
      </c>
    </row>
    <row r="451" spans="1:10" hidden="1" x14ac:dyDescent="0.25">
      <c r="A451" s="1" t="s">
        <v>735</v>
      </c>
      <c r="B451" s="1" t="s">
        <v>736</v>
      </c>
      <c r="C451" s="1">
        <v>17840</v>
      </c>
      <c r="D451" s="1">
        <v>26844</v>
      </c>
      <c r="E451" s="2">
        <v>44522</v>
      </c>
      <c r="F451" s="2">
        <v>44672</v>
      </c>
      <c r="G451" s="3">
        <v>11482.02</v>
      </c>
      <c r="H451" s="1">
        <v>0</v>
      </c>
      <c r="I451" s="1" t="s">
        <v>816</v>
      </c>
      <c r="J451" s="1" t="s">
        <v>88</v>
      </c>
    </row>
    <row r="452" spans="1:10" hidden="1" x14ac:dyDescent="0.25">
      <c r="A452" s="1" t="s">
        <v>140</v>
      </c>
      <c r="B452" s="1" t="s">
        <v>141</v>
      </c>
      <c r="C452" s="1">
        <v>17857</v>
      </c>
      <c r="D452" s="1">
        <v>26859</v>
      </c>
      <c r="E452" s="2">
        <v>44522</v>
      </c>
      <c r="F452" s="2">
        <v>44672</v>
      </c>
      <c r="G452" s="3">
        <v>6100</v>
      </c>
      <c r="H452" s="1">
        <v>0</v>
      </c>
      <c r="I452" s="1" t="s">
        <v>1316</v>
      </c>
      <c r="J452" s="1" t="s">
        <v>73</v>
      </c>
    </row>
    <row r="453" spans="1:10" hidden="1" x14ac:dyDescent="0.25">
      <c r="A453" s="1" t="s">
        <v>321</v>
      </c>
      <c r="B453" s="1" t="s">
        <v>322</v>
      </c>
      <c r="C453" s="1">
        <v>18506</v>
      </c>
      <c r="D453" s="1">
        <v>27504</v>
      </c>
      <c r="E453" s="2">
        <v>44582</v>
      </c>
      <c r="F453" s="2">
        <v>44672</v>
      </c>
      <c r="G453" s="3">
        <v>2853.33</v>
      </c>
      <c r="H453" s="1">
        <v>0</v>
      </c>
      <c r="I453" s="1" t="s">
        <v>1667</v>
      </c>
      <c r="J453" s="1" t="s">
        <v>27</v>
      </c>
    </row>
    <row r="454" spans="1:10" hidden="1" x14ac:dyDescent="0.25">
      <c r="A454" s="1" t="s">
        <v>10</v>
      </c>
      <c r="B454" s="1" t="s">
        <v>11</v>
      </c>
      <c r="C454" s="1">
        <v>17874</v>
      </c>
      <c r="D454" s="1">
        <v>26877</v>
      </c>
      <c r="E454" s="2">
        <v>44523</v>
      </c>
      <c r="F454" s="2">
        <v>44673</v>
      </c>
      <c r="G454" s="3">
        <v>49799.95</v>
      </c>
      <c r="H454" s="1">
        <v>0</v>
      </c>
      <c r="I454" s="1" t="s">
        <v>631</v>
      </c>
      <c r="J454" s="1" t="s">
        <v>13</v>
      </c>
    </row>
    <row r="455" spans="1:10" hidden="1" x14ac:dyDescent="0.25">
      <c r="A455" s="1" t="s">
        <v>10</v>
      </c>
      <c r="B455" s="1" t="s">
        <v>11</v>
      </c>
      <c r="C455" s="1">
        <v>17875</v>
      </c>
      <c r="D455" s="1">
        <v>26878</v>
      </c>
      <c r="E455" s="2">
        <v>44523</v>
      </c>
      <c r="F455" s="2">
        <v>44673</v>
      </c>
      <c r="G455" s="1">
        <v>675</v>
      </c>
      <c r="H455" s="1">
        <v>0</v>
      </c>
      <c r="I455" s="1" t="s">
        <v>724</v>
      </c>
      <c r="J455" s="1" t="s">
        <v>13</v>
      </c>
    </row>
    <row r="456" spans="1:10" hidden="1" x14ac:dyDescent="0.25">
      <c r="A456" s="1" t="s">
        <v>24</v>
      </c>
      <c r="B456" s="1" t="s">
        <v>25</v>
      </c>
      <c r="C456" s="1">
        <v>17873</v>
      </c>
      <c r="D456" s="1">
        <v>26876</v>
      </c>
      <c r="E456" s="2">
        <v>44523</v>
      </c>
      <c r="F456" s="2">
        <v>44673</v>
      </c>
      <c r="G456" s="3">
        <v>35210</v>
      </c>
      <c r="H456" s="1">
        <v>0</v>
      </c>
      <c r="I456" s="1" t="s">
        <v>797</v>
      </c>
      <c r="J456" s="1" t="s">
        <v>27</v>
      </c>
    </row>
    <row r="457" spans="1:10" hidden="1" x14ac:dyDescent="0.25">
      <c r="A457" s="1" t="s">
        <v>20</v>
      </c>
      <c r="B457" s="1" t="s">
        <v>21</v>
      </c>
      <c r="C457" s="1">
        <v>17451</v>
      </c>
      <c r="D457" s="1">
        <v>26459</v>
      </c>
      <c r="E457" s="2">
        <v>44494</v>
      </c>
      <c r="F457" s="2">
        <v>44674</v>
      </c>
      <c r="G457" s="3">
        <v>18426.75</v>
      </c>
      <c r="H457" s="1">
        <v>0</v>
      </c>
      <c r="I457" s="1" t="s">
        <v>22</v>
      </c>
      <c r="J457" s="1" t="s">
        <v>23</v>
      </c>
    </row>
    <row r="458" spans="1:10" hidden="1" x14ac:dyDescent="0.25">
      <c r="A458" s="1" t="s">
        <v>97</v>
      </c>
      <c r="B458" s="1" t="s">
        <v>98</v>
      </c>
      <c r="C458" s="1">
        <v>17452</v>
      </c>
      <c r="D458" s="1">
        <v>26460</v>
      </c>
      <c r="E458" s="2">
        <v>44494</v>
      </c>
      <c r="F458" s="2">
        <v>44674</v>
      </c>
      <c r="G458" s="3">
        <v>37800</v>
      </c>
      <c r="H458" s="1">
        <v>0</v>
      </c>
      <c r="I458" s="1" t="s">
        <v>99</v>
      </c>
      <c r="J458" s="1" t="s">
        <v>27</v>
      </c>
    </row>
    <row r="459" spans="1:10" hidden="1" x14ac:dyDescent="0.25">
      <c r="A459" s="1" t="s">
        <v>198</v>
      </c>
      <c r="B459" s="1" t="s">
        <v>199</v>
      </c>
      <c r="C459" s="1">
        <v>17877</v>
      </c>
      <c r="D459" s="1">
        <v>26880</v>
      </c>
      <c r="E459" s="2">
        <v>44524</v>
      </c>
      <c r="F459" s="2">
        <v>44674</v>
      </c>
      <c r="G459" s="3">
        <v>170509.5</v>
      </c>
      <c r="H459" s="1">
        <v>0</v>
      </c>
      <c r="I459" s="1" t="s">
        <v>200</v>
      </c>
      <c r="J459" s="1" t="s">
        <v>13</v>
      </c>
    </row>
    <row r="460" spans="1:10" hidden="1" x14ac:dyDescent="0.25">
      <c r="A460" s="1" t="s">
        <v>20</v>
      </c>
      <c r="B460" s="1" t="s">
        <v>21</v>
      </c>
      <c r="C460" s="1">
        <v>17443</v>
      </c>
      <c r="D460" s="1">
        <v>26447</v>
      </c>
      <c r="E460" s="2">
        <v>44492</v>
      </c>
      <c r="F460" s="2">
        <v>44674</v>
      </c>
      <c r="G460" s="3">
        <v>18858.25</v>
      </c>
      <c r="H460" s="1">
        <v>0</v>
      </c>
      <c r="I460" s="1" t="s">
        <v>208</v>
      </c>
      <c r="J460" s="1" t="s">
        <v>23</v>
      </c>
    </row>
    <row r="461" spans="1:10" hidden="1" x14ac:dyDescent="0.25">
      <c r="A461" s="1" t="s">
        <v>277</v>
      </c>
      <c r="B461" s="1" t="s">
        <v>278</v>
      </c>
      <c r="C461" s="1">
        <v>17965</v>
      </c>
      <c r="D461" s="1">
        <v>26980</v>
      </c>
      <c r="E461" s="2">
        <v>44536</v>
      </c>
      <c r="F461" s="2">
        <v>44626</v>
      </c>
      <c r="G461" s="3">
        <v>21022.5</v>
      </c>
      <c r="H461" s="1">
        <v>4</v>
      </c>
      <c r="I461" s="1" t="s">
        <v>519</v>
      </c>
      <c r="J461" s="1" t="s">
        <v>13</v>
      </c>
    </row>
    <row r="462" spans="1:10" hidden="1" x14ac:dyDescent="0.25">
      <c r="A462" s="1" t="s">
        <v>70</v>
      </c>
      <c r="B462" s="1" t="s">
        <v>71</v>
      </c>
      <c r="C462" s="1">
        <v>18653</v>
      </c>
      <c r="D462" s="1">
        <v>27665</v>
      </c>
      <c r="E462" s="2">
        <v>44599</v>
      </c>
      <c r="F462" s="2">
        <v>44674</v>
      </c>
      <c r="G462" s="3">
        <v>8959.99</v>
      </c>
      <c r="H462" s="1">
        <v>0</v>
      </c>
      <c r="I462" s="1" t="s">
        <v>260</v>
      </c>
      <c r="J462" s="1" t="s">
        <v>73</v>
      </c>
    </row>
    <row r="463" spans="1:10" hidden="1" x14ac:dyDescent="0.25">
      <c r="A463" s="1" t="s">
        <v>70</v>
      </c>
      <c r="B463" s="1" t="s">
        <v>71</v>
      </c>
      <c r="C463" s="1">
        <v>18654</v>
      </c>
      <c r="D463" s="1">
        <v>27666</v>
      </c>
      <c r="E463" s="2">
        <v>44599</v>
      </c>
      <c r="F463" s="2">
        <v>44674</v>
      </c>
      <c r="G463" s="3">
        <v>21746.92</v>
      </c>
      <c r="H463" s="1">
        <v>0</v>
      </c>
      <c r="I463" s="1" t="s">
        <v>261</v>
      </c>
      <c r="J463" s="1" t="s">
        <v>73</v>
      </c>
    </row>
    <row r="464" spans="1:10" hidden="1" x14ac:dyDescent="0.25">
      <c r="A464" s="1" t="s">
        <v>244</v>
      </c>
      <c r="B464" s="1" t="s">
        <v>98</v>
      </c>
      <c r="C464" s="1">
        <v>17446</v>
      </c>
      <c r="D464" s="1">
        <v>26454</v>
      </c>
      <c r="E464" s="2">
        <v>44494</v>
      </c>
      <c r="F464" s="2">
        <v>44674</v>
      </c>
      <c r="G464" s="3">
        <v>18532</v>
      </c>
      <c r="H464" s="1">
        <v>0</v>
      </c>
      <c r="I464" s="1" t="s">
        <v>497</v>
      </c>
      <c r="J464" s="1" t="s">
        <v>27</v>
      </c>
    </row>
    <row r="465" spans="1:10" hidden="1" x14ac:dyDescent="0.25">
      <c r="A465" s="1" t="s">
        <v>70</v>
      </c>
      <c r="B465" s="1" t="s">
        <v>71</v>
      </c>
      <c r="C465" s="1">
        <v>18652</v>
      </c>
      <c r="D465" s="1">
        <v>27664</v>
      </c>
      <c r="E465" s="2">
        <v>44599</v>
      </c>
      <c r="F465" s="2">
        <v>44674</v>
      </c>
      <c r="G465" s="3">
        <v>2066.66</v>
      </c>
      <c r="H465" s="1">
        <v>0</v>
      </c>
      <c r="I465" s="1" t="s">
        <v>643</v>
      </c>
      <c r="J465" s="1" t="s">
        <v>73</v>
      </c>
    </row>
    <row r="466" spans="1:10" hidden="1" x14ac:dyDescent="0.25">
      <c r="A466" s="1" t="s">
        <v>24</v>
      </c>
      <c r="B466" s="1" t="s">
        <v>25</v>
      </c>
      <c r="C466" s="1">
        <v>17453</v>
      </c>
      <c r="D466" s="1">
        <v>26461</v>
      </c>
      <c r="E466" s="2">
        <v>44494</v>
      </c>
      <c r="F466" s="2">
        <v>44674</v>
      </c>
      <c r="G466" s="3">
        <v>37800</v>
      </c>
      <c r="H466" s="1">
        <v>0</v>
      </c>
      <c r="I466" s="1" t="s">
        <v>1106</v>
      </c>
      <c r="J466" s="1" t="s">
        <v>27</v>
      </c>
    </row>
    <row r="467" spans="1:10" hidden="1" x14ac:dyDescent="0.25">
      <c r="A467" s="1" t="s">
        <v>20</v>
      </c>
      <c r="B467" s="1" t="s">
        <v>21</v>
      </c>
      <c r="C467" s="1">
        <v>17450</v>
      </c>
      <c r="D467" s="1">
        <v>26458</v>
      </c>
      <c r="E467" s="2">
        <v>44494</v>
      </c>
      <c r="F467" s="2">
        <v>44674</v>
      </c>
      <c r="G467" s="3">
        <v>2000</v>
      </c>
      <c r="H467" s="1">
        <v>0</v>
      </c>
      <c r="I467" s="1" t="s">
        <v>1651</v>
      </c>
      <c r="J467" s="1" t="s">
        <v>23</v>
      </c>
    </row>
    <row r="468" spans="1:10" hidden="1" x14ac:dyDescent="0.25">
      <c r="A468" s="1" t="s">
        <v>24</v>
      </c>
      <c r="B468" s="1" t="s">
        <v>25</v>
      </c>
      <c r="C468" s="1">
        <v>17484</v>
      </c>
      <c r="D468" s="1">
        <v>26490</v>
      </c>
      <c r="E468" s="2">
        <v>44495</v>
      </c>
      <c r="F468" s="2">
        <v>44675</v>
      </c>
      <c r="G468" s="3">
        <v>1287</v>
      </c>
      <c r="H468" s="1">
        <v>0</v>
      </c>
      <c r="I468" s="1" t="s">
        <v>26</v>
      </c>
      <c r="J468" s="1" t="s">
        <v>27</v>
      </c>
    </row>
    <row r="469" spans="1:10" hidden="1" x14ac:dyDescent="0.25">
      <c r="A469" s="1" t="s">
        <v>70</v>
      </c>
      <c r="B469" s="1" t="s">
        <v>71</v>
      </c>
      <c r="C469" s="1">
        <v>17719</v>
      </c>
      <c r="D469" s="1">
        <v>26713</v>
      </c>
      <c r="E469" s="2">
        <v>44510</v>
      </c>
      <c r="F469" s="2">
        <v>44675</v>
      </c>
      <c r="G469" s="3">
        <v>27128.36</v>
      </c>
      <c r="H469" s="1">
        <v>0</v>
      </c>
      <c r="I469" s="1" t="s">
        <v>111</v>
      </c>
      <c r="J469" s="1" t="s">
        <v>73</v>
      </c>
    </row>
    <row r="470" spans="1:10" hidden="1" x14ac:dyDescent="0.25">
      <c r="A470" s="1" t="s">
        <v>338</v>
      </c>
      <c r="B470" s="1" t="s">
        <v>305</v>
      </c>
      <c r="C470" s="1">
        <v>17490</v>
      </c>
      <c r="D470" s="1">
        <v>26496</v>
      </c>
      <c r="E470" s="2">
        <v>44495</v>
      </c>
      <c r="F470" s="2">
        <v>44675</v>
      </c>
      <c r="G470" s="3">
        <v>10981.8</v>
      </c>
      <c r="H470" s="1">
        <v>0</v>
      </c>
      <c r="I470" s="1" t="s">
        <v>339</v>
      </c>
      <c r="J470" s="1" t="s">
        <v>27</v>
      </c>
    </row>
    <row r="471" spans="1:10" hidden="1" x14ac:dyDescent="0.25">
      <c r="A471" s="1" t="s">
        <v>304</v>
      </c>
      <c r="B471" s="1" t="s">
        <v>305</v>
      </c>
      <c r="C471" s="1">
        <v>17489</v>
      </c>
      <c r="D471" s="1">
        <v>26495</v>
      </c>
      <c r="E471" s="2">
        <v>44495</v>
      </c>
      <c r="F471" s="2">
        <v>44675</v>
      </c>
      <c r="G471" s="3">
        <v>1971</v>
      </c>
      <c r="H471" s="1">
        <v>0</v>
      </c>
      <c r="I471" s="1" t="s">
        <v>498</v>
      </c>
      <c r="J471" s="1" t="s">
        <v>27</v>
      </c>
    </row>
    <row r="472" spans="1:10" hidden="1" x14ac:dyDescent="0.25">
      <c r="A472" s="1" t="s">
        <v>10</v>
      </c>
      <c r="B472" s="1" t="s">
        <v>11</v>
      </c>
      <c r="C472" s="1">
        <v>17499</v>
      </c>
      <c r="D472" s="1">
        <v>26505</v>
      </c>
      <c r="E472" s="2">
        <v>44495</v>
      </c>
      <c r="F472" s="2">
        <v>44675</v>
      </c>
      <c r="G472" s="3">
        <v>28666.720000000001</v>
      </c>
      <c r="H472" s="1">
        <v>0</v>
      </c>
      <c r="I472" s="1" t="s">
        <v>543</v>
      </c>
      <c r="J472" s="1" t="s">
        <v>13</v>
      </c>
    </row>
    <row r="473" spans="1:10" hidden="1" x14ac:dyDescent="0.25">
      <c r="A473" s="1" t="s">
        <v>585</v>
      </c>
      <c r="B473" s="1" t="s">
        <v>453</v>
      </c>
      <c r="C473" s="1">
        <v>17493</v>
      </c>
      <c r="D473" s="1">
        <v>26499</v>
      </c>
      <c r="E473" s="2">
        <v>44495</v>
      </c>
      <c r="F473" s="2">
        <v>44675</v>
      </c>
      <c r="G473" s="3">
        <v>22160</v>
      </c>
      <c r="H473" s="1">
        <v>0</v>
      </c>
      <c r="I473" s="1" t="s">
        <v>586</v>
      </c>
      <c r="J473" s="1" t="s">
        <v>27</v>
      </c>
    </row>
    <row r="474" spans="1:10" hidden="1" x14ac:dyDescent="0.25">
      <c r="A474" s="1" t="s">
        <v>338</v>
      </c>
      <c r="B474" s="1" t="s">
        <v>305</v>
      </c>
      <c r="C474" s="1">
        <v>17470</v>
      </c>
      <c r="D474" s="1">
        <v>26477</v>
      </c>
      <c r="E474" s="2">
        <v>44495</v>
      </c>
      <c r="F474" s="2">
        <v>44675</v>
      </c>
      <c r="G474" s="3">
        <v>58500</v>
      </c>
      <c r="H474" s="1">
        <v>0</v>
      </c>
      <c r="I474" s="1" t="s">
        <v>607</v>
      </c>
      <c r="J474" s="1" t="s">
        <v>27</v>
      </c>
    </row>
    <row r="475" spans="1:10" hidden="1" x14ac:dyDescent="0.25">
      <c r="A475" s="1" t="s">
        <v>221</v>
      </c>
      <c r="B475" s="1" t="s">
        <v>222</v>
      </c>
      <c r="C475" s="1">
        <v>17481</v>
      </c>
      <c r="D475" s="1">
        <v>26487</v>
      </c>
      <c r="E475" s="2">
        <v>44495</v>
      </c>
      <c r="F475" s="2">
        <v>44675</v>
      </c>
      <c r="G475" s="1">
        <v>532</v>
      </c>
      <c r="H475" s="1">
        <v>0</v>
      </c>
      <c r="I475" s="1" t="s">
        <v>649</v>
      </c>
      <c r="J475" s="1" t="s">
        <v>27</v>
      </c>
    </row>
    <row r="476" spans="1:10" hidden="1" x14ac:dyDescent="0.25">
      <c r="A476" s="1" t="s">
        <v>452</v>
      </c>
      <c r="B476" s="1" t="s">
        <v>453</v>
      </c>
      <c r="C476" s="1">
        <v>17492</v>
      </c>
      <c r="D476" s="1">
        <v>26498</v>
      </c>
      <c r="E476" s="2">
        <v>44495</v>
      </c>
      <c r="F476" s="2">
        <v>44675</v>
      </c>
      <c r="G476" s="3">
        <v>28810</v>
      </c>
      <c r="H476" s="1">
        <v>0</v>
      </c>
      <c r="I476" s="1" t="s">
        <v>705</v>
      </c>
      <c r="J476" s="1" t="s">
        <v>27</v>
      </c>
    </row>
    <row r="477" spans="1:10" hidden="1" x14ac:dyDescent="0.25">
      <c r="A477" s="1" t="s">
        <v>97</v>
      </c>
      <c r="B477" s="1" t="s">
        <v>98</v>
      </c>
      <c r="C477" s="1">
        <v>17477</v>
      </c>
      <c r="D477" s="1">
        <v>26483</v>
      </c>
      <c r="E477" s="2">
        <v>44495</v>
      </c>
      <c r="F477" s="2">
        <v>44675</v>
      </c>
      <c r="G477" s="3">
        <v>1872</v>
      </c>
      <c r="H477" s="1">
        <v>0</v>
      </c>
      <c r="I477" s="1" t="s">
        <v>917</v>
      </c>
      <c r="J477" s="1" t="s">
        <v>27</v>
      </c>
    </row>
    <row r="478" spans="1:10" hidden="1" x14ac:dyDescent="0.25">
      <c r="A478" s="1" t="s">
        <v>10</v>
      </c>
      <c r="B478" s="1" t="s">
        <v>11</v>
      </c>
      <c r="C478" s="1">
        <v>17878</v>
      </c>
      <c r="D478" s="1">
        <v>26883</v>
      </c>
      <c r="E478" s="2">
        <v>44525</v>
      </c>
      <c r="F478" s="2">
        <v>44675</v>
      </c>
      <c r="G478" s="3">
        <v>51499.95</v>
      </c>
      <c r="H478" s="1">
        <v>0</v>
      </c>
      <c r="I478" s="1" t="s">
        <v>1076</v>
      </c>
      <c r="J478" s="1" t="s">
        <v>13</v>
      </c>
    </row>
    <row r="479" spans="1:10" hidden="1" x14ac:dyDescent="0.25">
      <c r="A479" s="1" t="s">
        <v>70</v>
      </c>
      <c r="B479" s="1" t="s">
        <v>71</v>
      </c>
      <c r="C479" s="1">
        <v>17688</v>
      </c>
      <c r="D479" s="1">
        <v>26686</v>
      </c>
      <c r="E479" s="2">
        <v>44510</v>
      </c>
      <c r="F479" s="2">
        <v>44675</v>
      </c>
      <c r="G479" s="3">
        <v>1166.67</v>
      </c>
      <c r="H479" s="1">
        <v>0</v>
      </c>
      <c r="I479" s="1" t="s">
        <v>1213</v>
      </c>
      <c r="J479" s="1" t="s">
        <v>73</v>
      </c>
    </row>
    <row r="480" spans="1:10" hidden="1" x14ac:dyDescent="0.25">
      <c r="A480" s="1" t="s">
        <v>70</v>
      </c>
      <c r="B480" s="1" t="s">
        <v>71</v>
      </c>
      <c r="C480" s="1">
        <v>17690</v>
      </c>
      <c r="D480" s="1">
        <v>26688</v>
      </c>
      <c r="E480" s="2">
        <v>44510</v>
      </c>
      <c r="F480" s="2">
        <v>44675</v>
      </c>
      <c r="G480" s="1">
        <v>750</v>
      </c>
      <c r="H480" s="1">
        <v>0</v>
      </c>
      <c r="I480" s="1" t="s">
        <v>1214</v>
      </c>
      <c r="J480" s="1" t="s">
        <v>73</v>
      </c>
    </row>
    <row r="481" spans="1:10" hidden="1" x14ac:dyDescent="0.25">
      <c r="A481" s="1" t="s">
        <v>24</v>
      </c>
      <c r="B481" s="1" t="s">
        <v>25</v>
      </c>
      <c r="C481" s="1">
        <v>17494</v>
      </c>
      <c r="D481" s="1">
        <v>26500</v>
      </c>
      <c r="E481" s="2">
        <v>44495</v>
      </c>
      <c r="F481" s="2">
        <v>44675</v>
      </c>
      <c r="G481" s="3">
        <v>37800</v>
      </c>
      <c r="H481" s="1">
        <v>0</v>
      </c>
      <c r="I481" s="1" t="s">
        <v>1289</v>
      </c>
      <c r="J481" s="1" t="s">
        <v>27</v>
      </c>
    </row>
    <row r="482" spans="1:10" hidden="1" x14ac:dyDescent="0.25">
      <c r="A482" s="1" t="s">
        <v>304</v>
      </c>
      <c r="B482" s="1" t="s">
        <v>305</v>
      </c>
      <c r="C482" s="1">
        <v>17469</v>
      </c>
      <c r="D482" s="1">
        <v>26476</v>
      </c>
      <c r="E482" s="2">
        <v>44495</v>
      </c>
      <c r="F482" s="2">
        <v>44675</v>
      </c>
      <c r="G482" s="3">
        <v>43875</v>
      </c>
      <c r="H482" s="1">
        <v>0</v>
      </c>
      <c r="I482" s="1" t="s">
        <v>1489</v>
      </c>
      <c r="J482" s="1" t="s">
        <v>27</v>
      </c>
    </row>
    <row r="483" spans="1:10" hidden="1" x14ac:dyDescent="0.25">
      <c r="A483" s="1" t="s">
        <v>1620</v>
      </c>
      <c r="B483" s="1" t="s">
        <v>1621</v>
      </c>
      <c r="C483" s="1">
        <v>18798</v>
      </c>
      <c r="D483" s="1">
        <v>27820</v>
      </c>
      <c r="E483" s="2">
        <v>44615</v>
      </c>
      <c r="F483" s="2">
        <v>44675</v>
      </c>
      <c r="G483" s="3">
        <v>1564.5</v>
      </c>
      <c r="H483" s="1">
        <v>0</v>
      </c>
      <c r="I483" s="1" t="s">
        <v>1622</v>
      </c>
      <c r="J483" s="1" t="s">
        <v>88</v>
      </c>
    </row>
    <row r="484" spans="1:10" hidden="1" x14ac:dyDescent="0.25">
      <c r="A484" s="1" t="s">
        <v>10</v>
      </c>
      <c r="B484" s="1" t="s">
        <v>11</v>
      </c>
      <c r="C484" s="1">
        <v>17495</v>
      </c>
      <c r="D484" s="1">
        <v>26502</v>
      </c>
      <c r="E484" s="2">
        <v>44495</v>
      </c>
      <c r="F484" s="2">
        <v>44675</v>
      </c>
      <c r="G484" s="3">
        <v>26289.97</v>
      </c>
      <c r="H484" s="1">
        <v>0</v>
      </c>
      <c r="I484" s="1" t="s">
        <v>1663</v>
      </c>
      <c r="J484" s="1" t="s">
        <v>13</v>
      </c>
    </row>
    <row r="485" spans="1:10" hidden="1" x14ac:dyDescent="0.25">
      <c r="A485" s="1" t="s">
        <v>70</v>
      </c>
      <c r="B485" s="1" t="s">
        <v>71</v>
      </c>
      <c r="C485" s="1">
        <v>18526</v>
      </c>
      <c r="D485" s="1">
        <v>27527</v>
      </c>
      <c r="E485" s="2">
        <v>44586</v>
      </c>
      <c r="F485" s="2">
        <v>44676</v>
      </c>
      <c r="G485" s="3">
        <v>3360</v>
      </c>
      <c r="H485" s="1">
        <v>0</v>
      </c>
      <c r="I485" s="1" t="s">
        <v>349</v>
      </c>
      <c r="J485" s="1" t="s">
        <v>73</v>
      </c>
    </row>
    <row r="486" spans="1:10" hidden="1" x14ac:dyDescent="0.25">
      <c r="A486" s="1" t="s">
        <v>244</v>
      </c>
      <c r="B486" s="1" t="s">
        <v>98</v>
      </c>
      <c r="C486" s="1">
        <v>17526</v>
      </c>
      <c r="D486" s="1">
        <v>26531</v>
      </c>
      <c r="E486" s="2">
        <v>44496</v>
      </c>
      <c r="F486" s="2">
        <v>44676</v>
      </c>
      <c r="G486" s="3">
        <v>24000</v>
      </c>
      <c r="H486" s="1">
        <v>0</v>
      </c>
      <c r="I486" s="1" t="s">
        <v>706</v>
      </c>
      <c r="J486" s="1" t="s">
        <v>27</v>
      </c>
    </row>
    <row r="487" spans="1:10" hidden="1" x14ac:dyDescent="0.25">
      <c r="A487" s="1" t="s">
        <v>627</v>
      </c>
      <c r="B487" s="1" t="s">
        <v>628</v>
      </c>
      <c r="C487" s="1">
        <v>17879</v>
      </c>
      <c r="D487" s="1">
        <v>26884</v>
      </c>
      <c r="E487" s="2">
        <v>44526</v>
      </c>
      <c r="F487" s="2">
        <v>44676</v>
      </c>
      <c r="G487" s="3">
        <v>126000</v>
      </c>
      <c r="H487" s="1">
        <v>0</v>
      </c>
      <c r="I487" s="1" t="s">
        <v>1170</v>
      </c>
      <c r="J487" s="1" t="s">
        <v>58</v>
      </c>
    </row>
    <row r="488" spans="1:10" hidden="1" x14ac:dyDescent="0.25">
      <c r="A488" s="1" t="s">
        <v>28</v>
      </c>
      <c r="B488" s="1" t="s">
        <v>29</v>
      </c>
      <c r="C488" s="1">
        <v>18830</v>
      </c>
      <c r="D488" s="1">
        <v>27851</v>
      </c>
      <c r="E488" s="2">
        <v>44616</v>
      </c>
      <c r="F488" s="2">
        <v>44676</v>
      </c>
      <c r="G488" s="3">
        <v>3200</v>
      </c>
      <c r="H488" s="1">
        <v>0</v>
      </c>
      <c r="I488" s="1" t="s">
        <v>1184</v>
      </c>
      <c r="J488" s="1" t="s">
        <v>31</v>
      </c>
    </row>
    <row r="489" spans="1:10" hidden="1" x14ac:dyDescent="0.25">
      <c r="A489" s="1" t="s">
        <v>97</v>
      </c>
      <c r="B489" s="1" t="s">
        <v>98</v>
      </c>
      <c r="C489" s="1">
        <v>17530</v>
      </c>
      <c r="D489" s="1">
        <v>26537</v>
      </c>
      <c r="E489" s="2">
        <v>44496</v>
      </c>
      <c r="F489" s="2">
        <v>44676</v>
      </c>
      <c r="G489" s="3">
        <v>24000</v>
      </c>
      <c r="H489" s="1">
        <v>0</v>
      </c>
      <c r="I489" s="1" t="s">
        <v>1366</v>
      </c>
      <c r="J489" s="1" t="s">
        <v>27</v>
      </c>
    </row>
    <row r="490" spans="1:10" hidden="1" x14ac:dyDescent="0.25">
      <c r="A490" s="1" t="s">
        <v>231</v>
      </c>
      <c r="B490" s="1" t="s">
        <v>232</v>
      </c>
      <c r="C490" s="1">
        <v>18212</v>
      </c>
      <c r="D490" s="1">
        <v>27223</v>
      </c>
      <c r="E490" s="2">
        <v>44557</v>
      </c>
      <c r="F490" s="2">
        <v>44677</v>
      </c>
      <c r="G490" s="1">
        <v>156.30000000000001</v>
      </c>
      <c r="H490" s="1">
        <v>0</v>
      </c>
      <c r="I490" s="1" t="s">
        <v>581</v>
      </c>
      <c r="J490" s="1" t="s">
        <v>13</v>
      </c>
    </row>
    <row r="491" spans="1:10" hidden="1" x14ac:dyDescent="0.25">
      <c r="A491" s="1" t="s">
        <v>24</v>
      </c>
      <c r="B491" s="1" t="s">
        <v>25</v>
      </c>
      <c r="C491" s="1">
        <v>17539</v>
      </c>
      <c r="D491" s="1">
        <v>26546</v>
      </c>
      <c r="E491" s="2">
        <v>44497</v>
      </c>
      <c r="F491" s="2">
        <v>44677</v>
      </c>
      <c r="G491" s="3">
        <v>39840</v>
      </c>
      <c r="H491" s="1">
        <v>0</v>
      </c>
      <c r="I491" s="1" t="s">
        <v>1108</v>
      </c>
      <c r="J491" s="1" t="s">
        <v>27</v>
      </c>
    </row>
    <row r="492" spans="1:10" hidden="1" x14ac:dyDescent="0.25">
      <c r="A492" s="1" t="s">
        <v>42</v>
      </c>
      <c r="B492" s="1" t="s">
        <v>29</v>
      </c>
      <c r="C492" s="1">
        <v>18847</v>
      </c>
      <c r="D492" s="1">
        <v>27868</v>
      </c>
      <c r="E492" s="2">
        <v>44617</v>
      </c>
      <c r="F492" s="2">
        <v>44677</v>
      </c>
      <c r="G492" s="3">
        <v>257235</v>
      </c>
      <c r="H492" s="1">
        <v>0</v>
      </c>
      <c r="I492" s="1" t="s">
        <v>1317</v>
      </c>
      <c r="J492" s="1" t="s">
        <v>31</v>
      </c>
    </row>
    <row r="493" spans="1:10" hidden="1" x14ac:dyDescent="0.25">
      <c r="A493" s="1" t="s">
        <v>78</v>
      </c>
      <c r="B493" s="1" t="s">
        <v>79</v>
      </c>
      <c r="C493" s="1"/>
      <c r="D493" s="1">
        <v>181523</v>
      </c>
      <c r="E493" s="2">
        <v>44617</v>
      </c>
      <c r="F493" s="2">
        <v>44677</v>
      </c>
      <c r="G493" s="3">
        <v>425607.6</v>
      </c>
      <c r="H493" s="1">
        <v>0</v>
      </c>
      <c r="I493" s="1" t="s">
        <v>1562</v>
      </c>
      <c r="J493" s="1" t="s">
        <v>68</v>
      </c>
    </row>
    <row r="494" spans="1:10" hidden="1" x14ac:dyDescent="0.25">
      <c r="A494" s="1" t="s">
        <v>20</v>
      </c>
      <c r="B494" s="1" t="s">
        <v>21</v>
      </c>
      <c r="C494" s="1">
        <v>18559</v>
      </c>
      <c r="D494" s="1">
        <v>27566</v>
      </c>
      <c r="E494" s="2">
        <v>44589</v>
      </c>
      <c r="F494" s="2">
        <v>44679</v>
      </c>
      <c r="G494" s="3">
        <v>15600</v>
      </c>
      <c r="H494" s="1">
        <v>0</v>
      </c>
      <c r="I494" s="1" t="s">
        <v>748</v>
      </c>
      <c r="J494" s="1" t="s">
        <v>23</v>
      </c>
    </row>
    <row r="495" spans="1:10" hidden="1" x14ac:dyDescent="0.25">
      <c r="A495" s="1" t="s">
        <v>20</v>
      </c>
      <c r="B495" s="1" t="s">
        <v>21</v>
      </c>
      <c r="C495" s="1">
        <v>18562</v>
      </c>
      <c r="D495" s="1">
        <v>27569</v>
      </c>
      <c r="E495" s="2">
        <v>44589</v>
      </c>
      <c r="F495" s="2">
        <v>44679</v>
      </c>
      <c r="G495" s="3">
        <v>6825</v>
      </c>
      <c r="H495" s="1">
        <v>0</v>
      </c>
      <c r="I495" s="1" t="s">
        <v>1353</v>
      </c>
      <c r="J495" s="1" t="s">
        <v>23</v>
      </c>
    </row>
    <row r="496" spans="1:10" hidden="1" x14ac:dyDescent="0.25">
      <c r="A496" s="1" t="s">
        <v>221</v>
      </c>
      <c r="B496" s="1" t="s">
        <v>222</v>
      </c>
      <c r="C496" s="1">
        <v>17889</v>
      </c>
      <c r="D496" s="1">
        <v>26900</v>
      </c>
      <c r="E496" s="2">
        <v>44530</v>
      </c>
      <c r="F496" s="2">
        <v>44680</v>
      </c>
      <c r="G496" s="3">
        <v>37800</v>
      </c>
      <c r="H496" s="1">
        <v>0</v>
      </c>
      <c r="I496" s="1" t="s">
        <v>1116</v>
      </c>
      <c r="J496" s="1" t="s">
        <v>27</v>
      </c>
    </row>
    <row r="497" spans="1:10" hidden="1" x14ac:dyDescent="0.25">
      <c r="A497" s="1" t="s">
        <v>28</v>
      </c>
      <c r="B497" s="1" t="s">
        <v>29</v>
      </c>
      <c r="C497" s="1">
        <v>17516</v>
      </c>
      <c r="D497" s="1">
        <v>26522</v>
      </c>
      <c r="E497" s="2">
        <v>44496</v>
      </c>
      <c r="F497" s="2">
        <v>44681</v>
      </c>
      <c r="G497" s="3">
        <v>86874.240000000005</v>
      </c>
      <c r="H497" s="1">
        <v>0</v>
      </c>
      <c r="I497" s="1" t="s">
        <v>30</v>
      </c>
      <c r="J497" s="1" t="s">
        <v>31</v>
      </c>
    </row>
    <row r="498" spans="1:10" hidden="1" x14ac:dyDescent="0.25">
      <c r="A498" s="1" t="s">
        <v>42</v>
      </c>
      <c r="B498" s="1" t="s">
        <v>29</v>
      </c>
      <c r="C498" s="1">
        <v>16965</v>
      </c>
      <c r="D498" s="1">
        <v>25962</v>
      </c>
      <c r="E498" s="2">
        <v>44462</v>
      </c>
      <c r="F498" s="2">
        <v>44681</v>
      </c>
      <c r="G498" s="3">
        <v>17340</v>
      </c>
      <c r="H498" s="1">
        <v>0</v>
      </c>
      <c r="I498" s="1" t="s">
        <v>43</v>
      </c>
      <c r="J498" s="1" t="s">
        <v>31</v>
      </c>
    </row>
    <row r="499" spans="1:10" hidden="1" x14ac:dyDescent="0.25">
      <c r="A499" s="1" t="s">
        <v>47</v>
      </c>
      <c r="B499" s="1" t="s">
        <v>48</v>
      </c>
      <c r="C499" s="1">
        <v>16650</v>
      </c>
      <c r="D499" s="1">
        <v>25614</v>
      </c>
      <c r="E499" s="2">
        <v>44434</v>
      </c>
      <c r="F499" s="2">
        <v>44681</v>
      </c>
      <c r="G499" s="3">
        <v>96336</v>
      </c>
      <c r="H499" s="1">
        <v>0</v>
      </c>
      <c r="I499" s="1" t="s">
        <v>49</v>
      </c>
      <c r="J499" s="1" t="s">
        <v>50</v>
      </c>
    </row>
    <row r="500" spans="1:10" hidden="1" x14ac:dyDescent="0.25">
      <c r="A500" s="1" t="s">
        <v>100</v>
      </c>
      <c r="B500" s="1" t="s">
        <v>101</v>
      </c>
      <c r="C500" s="1">
        <v>16948</v>
      </c>
      <c r="D500" s="1">
        <v>25942</v>
      </c>
      <c r="E500" s="2">
        <v>44461</v>
      </c>
      <c r="F500" s="2">
        <v>44681</v>
      </c>
      <c r="G500" s="3">
        <v>3740</v>
      </c>
      <c r="H500" s="1">
        <v>0</v>
      </c>
      <c r="I500" s="1" t="s">
        <v>102</v>
      </c>
      <c r="J500" s="1" t="s">
        <v>92</v>
      </c>
    </row>
    <row r="501" spans="1:10" hidden="1" x14ac:dyDescent="0.25">
      <c r="A501" s="1" t="s">
        <v>103</v>
      </c>
      <c r="B501" s="1" t="s">
        <v>104</v>
      </c>
      <c r="C501" s="1">
        <v>17934</v>
      </c>
      <c r="D501" s="1">
        <v>26948</v>
      </c>
      <c r="E501" s="2">
        <v>44532</v>
      </c>
      <c r="F501" s="2">
        <v>44681</v>
      </c>
      <c r="G501" s="3">
        <v>1605</v>
      </c>
      <c r="H501" s="1">
        <v>0</v>
      </c>
      <c r="I501" s="1" t="s">
        <v>105</v>
      </c>
      <c r="J501" s="1" t="s">
        <v>54</v>
      </c>
    </row>
    <row r="502" spans="1:10" hidden="1" x14ac:dyDescent="0.25">
      <c r="A502" s="1" t="s">
        <v>28</v>
      </c>
      <c r="B502" s="1" t="s">
        <v>29</v>
      </c>
      <c r="C502" s="1">
        <v>16592</v>
      </c>
      <c r="D502" s="1">
        <v>25556</v>
      </c>
      <c r="E502" s="2">
        <v>44427</v>
      </c>
      <c r="F502" s="2">
        <v>44681</v>
      </c>
      <c r="G502" s="3">
        <v>93578</v>
      </c>
      <c r="H502" s="1">
        <v>0</v>
      </c>
      <c r="I502" s="1" t="s">
        <v>123</v>
      </c>
      <c r="J502" s="1" t="s">
        <v>31</v>
      </c>
    </row>
    <row r="503" spans="1:10" hidden="1" x14ac:dyDescent="0.25">
      <c r="A503" s="1" t="s">
        <v>161</v>
      </c>
      <c r="B503" s="1" t="s">
        <v>162</v>
      </c>
      <c r="C503" s="1">
        <v>18482</v>
      </c>
      <c r="D503" s="1">
        <v>27480</v>
      </c>
      <c r="E503" s="2">
        <v>44581</v>
      </c>
      <c r="F503" s="2">
        <v>44681</v>
      </c>
      <c r="G503" s="3">
        <v>25675</v>
      </c>
      <c r="H503" s="1">
        <v>0</v>
      </c>
      <c r="I503" s="1" t="s">
        <v>163</v>
      </c>
      <c r="J503" s="1" t="s">
        <v>54</v>
      </c>
    </row>
    <row r="504" spans="1:10" hidden="1" x14ac:dyDescent="0.25">
      <c r="A504" s="1" t="s">
        <v>39</v>
      </c>
      <c r="B504" s="1" t="s">
        <v>40</v>
      </c>
      <c r="C504" s="1">
        <v>16958</v>
      </c>
      <c r="D504" s="1">
        <v>25955</v>
      </c>
      <c r="E504" s="2">
        <v>44462</v>
      </c>
      <c r="F504" s="2">
        <v>44681</v>
      </c>
      <c r="G504" s="3">
        <v>48000</v>
      </c>
      <c r="H504" s="1">
        <v>0</v>
      </c>
      <c r="I504" s="1" t="s">
        <v>176</v>
      </c>
      <c r="J504" s="1" t="s">
        <v>31</v>
      </c>
    </row>
    <row r="505" spans="1:10" hidden="1" x14ac:dyDescent="0.25">
      <c r="A505" s="1" t="s">
        <v>100</v>
      </c>
      <c r="B505" s="1" t="s">
        <v>101</v>
      </c>
      <c r="C505" s="1">
        <v>17575</v>
      </c>
      <c r="D505" s="1">
        <v>26582</v>
      </c>
      <c r="E505" s="2">
        <v>44503</v>
      </c>
      <c r="F505" s="2">
        <v>44681</v>
      </c>
      <c r="G505" s="3">
        <v>76244</v>
      </c>
      <c r="H505" s="1">
        <v>0</v>
      </c>
      <c r="I505" s="1" t="s">
        <v>206</v>
      </c>
      <c r="J505" s="1" t="s">
        <v>92</v>
      </c>
    </row>
    <row r="506" spans="1:10" hidden="1" x14ac:dyDescent="0.25">
      <c r="A506" s="1" t="s">
        <v>100</v>
      </c>
      <c r="B506" s="1" t="s">
        <v>101</v>
      </c>
      <c r="C506" s="1">
        <v>16922</v>
      </c>
      <c r="D506" s="1">
        <v>25907</v>
      </c>
      <c r="E506" s="2">
        <v>44461</v>
      </c>
      <c r="F506" s="2">
        <v>44681</v>
      </c>
      <c r="G506" s="3">
        <v>5698</v>
      </c>
      <c r="H506" s="1">
        <v>0</v>
      </c>
      <c r="I506" s="1" t="s">
        <v>212</v>
      </c>
      <c r="J506" s="1" t="s">
        <v>92</v>
      </c>
    </row>
    <row r="507" spans="1:10" hidden="1" x14ac:dyDescent="0.25">
      <c r="A507" s="1" t="s">
        <v>47</v>
      </c>
      <c r="B507" s="1" t="s">
        <v>48</v>
      </c>
      <c r="C507" s="1">
        <v>16651</v>
      </c>
      <c r="D507" s="1">
        <v>25615</v>
      </c>
      <c r="E507" s="2">
        <v>44434</v>
      </c>
      <c r="F507" s="2">
        <v>44681</v>
      </c>
      <c r="G507" s="3">
        <v>68500</v>
      </c>
      <c r="H507" s="1">
        <v>0</v>
      </c>
      <c r="I507" s="1" t="s">
        <v>262</v>
      </c>
      <c r="J507" s="1" t="s">
        <v>50</v>
      </c>
    </row>
    <row r="508" spans="1:10" hidden="1" x14ac:dyDescent="0.25">
      <c r="A508" s="1" t="s">
        <v>263</v>
      </c>
      <c r="B508" s="1" t="s">
        <v>264</v>
      </c>
      <c r="C508" s="1">
        <v>17612</v>
      </c>
      <c r="D508" s="1">
        <v>26614</v>
      </c>
      <c r="E508" s="2">
        <v>44504</v>
      </c>
      <c r="F508" s="2">
        <v>44681</v>
      </c>
      <c r="G508" s="3">
        <v>178500</v>
      </c>
      <c r="H508" s="1">
        <v>0</v>
      </c>
      <c r="I508" s="1" t="s">
        <v>265</v>
      </c>
      <c r="J508" s="1" t="s">
        <v>13</v>
      </c>
    </row>
    <row r="509" spans="1:10" hidden="1" x14ac:dyDescent="0.25">
      <c r="A509" s="1" t="s">
        <v>268</v>
      </c>
      <c r="B509" s="1" t="s">
        <v>269</v>
      </c>
      <c r="C509" s="1">
        <v>16905</v>
      </c>
      <c r="D509" s="1">
        <v>25890</v>
      </c>
      <c r="E509" s="2">
        <v>44460</v>
      </c>
      <c r="F509" s="2">
        <v>44681</v>
      </c>
      <c r="G509" s="3">
        <v>92448</v>
      </c>
      <c r="H509" s="1">
        <v>0</v>
      </c>
      <c r="I509" s="1" t="s">
        <v>270</v>
      </c>
      <c r="J509" s="1" t="s">
        <v>31</v>
      </c>
    </row>
    <row r="510" spans="1:10" hidden="1" x14ac:dyDescent="0.25">
      <c r="A510" s="1" t="s">
        <v>244</v>
      </c>
      <c r="B510" s="1" t="s">
        <v>98</v>
      </c>
      <c r="C510" s="1">
        <v>17893</v>
      </c>
      <c r="D510" s="1">
        <v>26905</v>
      </c>
      <c r="E510" s="2">
        <v>44531</v>
      </c>
      <c r="F510" s="2">
        <v>44681</v>
      </c>
      <c r="G510" s="3">
        <v>48000</v>
      </c>
      <c r="H510" s="1">
        <v>0</v>
      </c>
      <c r="I510" s="1" t="s">
        <v>308</v>
      </c>
      <c r="J510" s="1" t="s">
        <v>27</v>
      </c>
    </row>
    <row r="511" spans="1:10" hidden="1" x14ac:dyDescent="0.25">
      <c r="A511" s="1" t="s">
        <v>28</v>
      </c>
      <c r="B511" s="1" t="s">
        <v>29</v>
      </c>
      <c r="C511" s="1">
        <v>16770</v>
      </c>
      <c r="D511" s="1">
        <v>25742</v>
      </c>
      <c r="E511" s="2">
        <v>44449</v>
      </c>
      <c r="F511" s="2">
        <v>44681</v>
      </c>
      <c r="G511" s="3">
        <v>103343.75</v>
      </c>
      <c r="H511" s="1">
        <v>0</v>
      </c>
      <c r="I511" s="1" t="s">
        <v>335</v>
      </c>
      <c r="J511" s="1" t="s">
        <v>31</v>
      </c>
    </row>
    <row r="512" spans="1:10" hidden="1" x14ac:dyDescent="0.25">
      <c r="A512" s="1" t="s">
        <v>39</v>
      </c>
      <c r="B512" s="1" t="s">
        <v>40</v>
      </c>
      <c r="C512" s="1">
        <v>17522</v>
      </c>
      <c r="D512" s="1">
        <v>26527</v>
      </c>
      <c r="E512" s="2">
        <v>44496</v>
      </c>
      <c r="F512" s="2">
        <v>44681</v>
      </c>
      <c r="G512" s="3">
        <v>35000</v>
      </c>
      <c r="H512" s="1">
        <v>0</v>
      </c>
      <c r="I512" s="1" t="s">
        <v>340</v>
      </c>
      <c r="J512" s="1" t="s">
        <v>31</v>
      </c>
    </row>
    <row r="513" spans="1:10" hidden="1" x14ac:dyDescent="0.25">
      <c r="A513" s="1" t="s">
        <v>39</v>
      </c>
      <c r="B513" s="1" t="s">
        <v>40</v>
      </c>
      <c r="C513" s="1">
        <v>18058</v>
      </c>
      <c r="D513" s="1">
        <v>27072</v>
      </c>
      <c r="E513" s="2">
        <v>44543</v>
      </c>
      <c r="F513" s="2">
        <v>44681</v>
      </c>
      <c r="G513" s="3">
        <v>99130.76</v>
      </c>
      <c r="H513" s="1">
        <v>0</v>
      </c>
      <c r="I513" s="1" t="s">
        <v>345</v>
      </c>
      <c r="J513" s="1" t="s">
        <v>31</v>
      </c>
    </row>
    <row r="514" spans="1:10" hidden="1" x14ac:dyDescent="0.25">
      <c r="A514" s="1" t="s">
        <v>268</v>
      </c>
      <c r="B514" s="1" t="s">
        <v>269</v>
      </c>
      <c r="C514" s="1">
        <v>16968</v>
      </c>
      <c r="D514" s="1">
        <v>25965</v>
      </c>
      <c r="E514" s="2">
        <v>44462</v>
      </c>
      <c r="F514" s="2">
        <v>44681</v>
      </c>
      <c r="G514" s="3">
        <v>2680</v>
      </c>
      <c r="H514" s="1">
        <v>0</v>
      </c>
      <c r="I514" s="1" t="s">
        <v>365</v>
      </c>
      <c r="J514" s="1" t="s">
        <v>31</v>
      </c>
    </row>
    <row r="515" spans="1:10" hidden="1" x14ac:dyDescent="0.25">
      <c r="A515" s="1" t="s">
        <v>47</v>
      </c>
      <c r="B515" s="1" t="s">
        <v>48</v>
      </c>
      <c r="C515" s="1">
        <v>16649</v>
      </c>
      <c r="D515" s="1">
        <v>25613</v>
      </c>
      <c r="E515" s="2">
        <v>44434</v>
      </c>
      <c r="F515" s="2">
        <v>44681</v>
      </c>
      <c r="G515" s="3">
        <v>37500</v>
      </c>
      <c r="H515" s="1">
        <v>0</v>
      </c>
      <c r="I515" s="1" t="s">
        <v>379</v>
      </c>
      <c r="J515" s="1" t="s">
        <v>50</v>
      </c>
    </row>
    <row r="516" spans="1:10" hidden="1" x14ac:dyDescent="0.25">
      <c r="A516" s="1" t="s">
        <v>165</v>
      </c>
      <c r="B516" s="1" t="s">
        <v>29</v>
      </c>
      <c r="C516" s="1">
        <v>16449</v>
      </c>
      <c r="D516" s="1">
        <v>25398</v>
      </c>
      <c r="E516" s="2">
        <v>44413</v>
      </c>
      <c r="F516" s="2">
        <v>44681</v>
      </c>
      <c r="G516" s="3">
        <v>16368</v>
      </c>
      <c r="H516" s="1">
        <v>0</v>
      </c>
      <c r="I516" s="1" t="s">
        <v>382</v>
      </c>
      <c r="J516" s="1" t="s">
        <v>31</v>
      </c>
    </row>
    <row r="517" spans="1:10" hidden="1" x14ac:dyDescent="0.25">
      <c r="A517" s="1" t="s">
        <v>268</v>
      </c>
      <c r="B517" s="1" t="s">
        <v>269</v>
      </c>
      <c r="C517" s="1">
        <v>16967</v>
      </c>
      <c r="D517" s="1">
        <v>25964</v>
      </c>
      <c r="E517" s="2">
        <v>44462</v>
      </c>
      <c r="F517" s="2">
        <v>44681</v>
      </c>
      <c r="G517" s="3">
        <v>25799</v>
      </c>
      <c r="H517" s="1">
        <v>0</v>
      </c>
      <c r="I517" s="1" t="s">
        <v>387</v>
      </c>
      <c r="J517" s="1" t="s">
        <v>31</v>
      </c>
    </row>
    <row r="518" spans="1:10" hidden="1" x14ac:dyDescent="0.25">
      <c r="A518" s="1" t="s">
        <v>405</v>
      </c>
      <c r="B518" s="1" t="s">
        <v>406</v>
      </c>
      <c r="C518" s="1">
        <v>17579</v>
      </c>
      <c r="D518" s="1">
        <v>26586</v>
      </c>
      <c r="E518" s="2">
        <v>44503</v>
      </c>
      <c r="F518" s="2">
        <v>44681</v>
      </c>
      <c r="G518" s="3">
        <v>8652</v>
      </c>
      <c r="H518" s="1">
        <v>0</v>
      </c>
      <c r="I518" s="1" t="s">
        <v>407</v>
      </c>
      <c r="J518" s="1" t="s">
        <v>77</v>
      </c>
    </row>
    <row r="519" spans="1:10" hidden="1" x14ac:dyDescent="0.25">
      <c r="A519" s="1" t="s">
        <v>405</v>
      </c>
      <c r="B519" s="1" t="s">
        <v>406</v>
      </c>
      <c r="C519" s="1">
        <v>17613</v>
      </c>
      <c r="D519" s="1">
        <v>26615</v>
      </c>
      <c r="E519" s="2">
        <v>44504</v>
      </c>
      <c r="F519" s="2">
        <v>44681</v>
      </c>
      <c r="G519" s="3">
        <v>3132</v>
      </c>
      <c r="H519" s="1">
        <v>0</v>
      </c>
      <c r="I519" s="1" t="s">
        <v>408</v>
      </c>
      <c r="J519" s="1" t="s">
        <v>77</v>
      </c>
    </row>
    <row r="520" spans="1:10" hidden="1" x14ac:dyDescent="0.25">
      <c r="A520" s="1" t="s">
        <v>103</v>
      </c>
      <c r="B520" s="1" t="s">
        <v>104</v>
      </c>
      <c r="C520" s="1">
        <v>16411</v>
      </c>
      <c r="D520" s="1">
        <v>25359</v>
      </c>
      <c r="E520" s="2">
        <v>44411</v>
      </c>
      <c r="F520" s="2">
        <v>44681</v>
      </c>
      <c r="G520" s="3">
        <v>47911.5</v>
      </c>
      <c r="H520" s="1">
        <v>0</v>
      </c>
      <c r="I520" s="1" t="s">
        <v>409</v>
      </c>
      <c r="J520" s="1" t="s">
        <v>54</v>
      </c>
    </row>
    <row r="521" spans="1:10" hidden="1" x14ac:dyDescent="0.25">
      <c r="A521" s="1" t="s">
        <v>100</v>
      </c>
      <c r="B521" s="1" t="s">
        <v>101</v>
      </c>
      <c r="C521" s="1">
        <v>17220</v>
      </c>
      <c r="D521" s="1">
        <v>26218</v>
      </c>
      <c r="E521" s="2">
        <v>44480</v>
      </c>
      <c r="F521" s="2">
        <v>44681</v>
      </c>
      <c r="G521" s="3">
        <v>5698</v>
      </c>
      <c r="H521" s="1">
        <v>0</v>
      </c>
      <c r="I521" s="1" t="s">
        <v>427</v>
      </c>
      <c r="J521" s="1" t="s">
        <v>92</v>
      </c>
    </row>
    <row r="522" spans="1:10" hidden="1" x14ac:dyDescent="0.25">
      <c r="A522" s="1" t="s">
        <v>428</v>
      </c>
      <c r="B522" s="1" t="s">
        <v>429</v>
      </c>
      <c r="C522" s="1">
        <v>17254</v>
      </c>
      <c r="D522" s="1">
        <v>26250</v>
      </c>
      <c r="E522" s="2">
        <v>44482</v>
      </c>
      <c r="F522" s="2">
        <v>44681</v>
      </c>
      <c r="G522" s="1">
        <v>403.2</v>
      </c>
      <c r="H522" s="1">
        <v>0</v>
      </c>
      <c r="I522" s="1" t="s">
        <v>430</v>
      </c>
      <c r="J522" s="1" t="s">
        <v>31</v>
      </c>
    </row>
    <row r="523" spans="1:10" hidden="1" x14ac:dyDescent="0.25">
      <c r="A523" s="1" t="s">
        <v>70</v>
      </c>
      <c r="B523" s="1" t="s">
        <v>71</v>
      </c>
      <c r="C523" s="1">
        <v>18726</v>
      </c>
      <c r="D523" s="1">
        <v>27742</v>
      </c>
      <c r="E523" s="2">
        <v>44606</v>
      </c>
      <c r="F523" s="2">
        <v>44681</v>
      </c>
      <c r="G523" s="3">
        <v>18583.48</v>
      </c>
      <c r="H523" s="1">
        <v>0</v>
      </c>
      <c r="I523" s="1" t="s">
        <v>432</v>
      </c>
      <c r="J523" s="1" t="s">
        <v>73</v>
      </c>
    </row>
    <row r="524" spans="1:10" hidden="1" x14ac:dyDescent="0.25">
      <c r="A524" s="1" t="s">
        <v>100</v>
      </c>
      <c r="B524" s="1" t="s">
        <v>101</v>
      </c>
      <c r="C524" s="1">
        <v>16921</v>
      </c>
      <c r="D524" s="1">
        <v>25906</v>
      </c>
      <c r="E524" s="2">
        <v>44461</v>
      </c>
      <c r="F524" s="2">
        <v>44681</v>
      </c>
      <c r="G524" s="3">
        <v>46837.2</v>
      </c>
      <c r="H524" s="1">
        <v>0</v>
      </c>
      <c r="I524" s="1" t="s">
        <v>439</v>
      </c>
      <c r="J524" s="1" t="s">
        <v>92</v>
      </c>
    </row>
    <row r="525" spans="1:10" hidden="1" x14ac:dyDescent="0.25">
      <c r="A525" s="1" t="s">
        <v>70</v>
      </c>
      <c r="B525" s="1" t="s">
        <v>71</v>
      </c>
      <c r="C525" s="1">
        <v>18725</v>
      </c>
      <c r="D525" s="1">
        <v>27741</v>
      </c>
      <c r="E525" s="2">
        <v>44606</v>
      </c>
      <c r="F525" s="2">
        <v>44681</v>
      </c>
      <c r="G525" s="3">
        <v>3430</v>
      </c>
      <c r="H525" s="1">
        <v>0</v>
      </c>
      <c r="I525" s="1" t="s">
        <v>464</v>
      </c>
      <c r="J525" s="1" t="s">
        <v>73</v>
      </c>
    </row>
    <row r="526" spans="1:10" hidden="1" x14ac:dyDescent="0.25">
      <c r="A526" s="1" t="s">
        <v>402</v>
      </c>
      <c r="B526" s="1" t="s">
        <v>403</v>
      </c>
      <c r="C526" s="1">
        <v>17633</v>
      </c>
      <c r="D526" s="1">
        <v>26635</v>
      </c>
      <c r="E526" s="2">
        <v>44505</v>
      </c>
      <c r="F526" s="2">
        <v>44681</v>
      </c>
      <c r="G526" s="3">
        <v>41058</v>
      </c>
      <c r="H526" s="1">
        <v>0</v>
      </c>
      <c r="I526" s="1" t="s">
        <v>468</v>
      </c>
      <c r="J526" s="1" t="s">
        <v>50</v>
      </c>
    </row>
    <row r="527" spans="1:10" hidden="1" x14ac:dyDescent="0.25">
      <c r="A527" s="1" t="s">
        <v>165</v>
      </c>
      <c r="B527" s="1" t="s">
        <v>29</v>
      </c>
      <c r="C527" s="1">
        <v>16697</v>
      </c>
      <c r="D527" s="1">
        <v>25661</v>
      </c>
      <c r="E527" s="2">
        <v>44440</v>
      </c>
      <c r="F527" s="2">
        <v>44681</v>
      </c>
      <c r="G527" s="3">
        <v>64125</v>
      </c>
      <c r="H527" s="1">
        <v>0</v>
      </c>
      <c r="I527" s="1" t="s">
        <v>478</v>
      </c>
      <c r="J527" s="1" t="s">
        <v>31</v>
      </c>
    </row>
    <row r="528" spans="1:10" hidden="1" x14ac:dyDescent="0.25">
      <c r="A528" s="1" t="s">
        <v>268</v>
      </c>
      <c r="B528" s="1" t="s">
        <v>269</v>
      </c>
      <c r="C528" s="1">
        <v>17521</v>
      </c>
      <c r="D528" s="1">
        <v>26526</v>
      </c>
      <c r="E528" s="2">
        <v>44496</v>
      </c>
      <c r="F528" s="2">
        <v>44681</v>
      </c>
      <c r="G528" s="3">
        <v>67188.58</v>
      </c>
      <c r="H528" s="1">
        <v>0</v>
      </c>
      <c r="I528" s="1" t="s">
        <v>499</v>
      </c>
      <c r="J528" s="1" t="s">
        <v>31</v>
      </c>
    </row>
    <row r="529" spans="1:10" hidden="1" x14ac:dyDescent="0.25">
      <c r="A529" s="1" t="s">
        <v>268</v>
      </c>
      <c r="B529" s="1" t="s">
        <v>269</v>
      </c>
      <c r="C529" s="1">
        <v>18057</v>
      </c>
      <c r="D529" s="1">
        <v>27071</v>
      </c>
      <c r="E529" s="2">
        <v>44543</v>
      </c>
      <c r="F529" s="2">
        <v>44681</v>
      </c>
      <c r="G529" s="3">
        <v>7207.5</v>
      </c>
      <c r="H529" s="1">
        <v>0</v>
      </c>
      <c r="I529" s="1" t="s">
        <v>500</v>
      </c>
      <c r="J529" s="1" t="s">
        <v>31</v>
      </c>
    </row>
    <row r="530" spans="1:10" hidden="1" x14ac:dyDescent="0.25">
      <c r="A530" s="1" t="s">
        <v>578</v>
      </c>
      <c r="B530" s="1" t="s">
        <v>579</v>
      </c>
      <c r="C530" s="1">
        <v>16389</v>
      </c>
      <c r="D530" s="1">
        <v>25338</v>
      </c>
      <c r="E530" s="2">
        <v>44407</v>
      </c>
      <c r="F530" s="2">
        <v>44557</v>
      </c>
      <c r="G530" s="3">
        <v>23424.06</v>
      </c>
      <c r="H530" s="1">
        <v>73</v>
      </c>
      <c r="I530" s="1" t="s">
        <v>580</v>
      </c>
      <c r="J530" s="1" t="s">
        <v>73</v>
      </c>
    </row>
    <row r="531" spans="1:10" hidden="1" x14ac:dyDescent="0.25">
      <c r="A531" s="1" t="s">
        <v>116</v>
      </c>
      <c r="B531" s="1" t="s">
        <v>117</v>
      </c>
      <c r="C531" s="1">
        <v>18475</v>
      </c>
      <c r="D531" s="1">
        <v>27473</v>
      </c>
      <c r="E531" s="2">
        <v>44581</v>
      </c>
      <c r="F531" s="2">
        <v>44681</v>
      </c>
      <c r="G531" s="3">
        <v>9984</v>
      </c>
      <c r="H531" s="1">
        <v>0</v>
      </c>
      <c r="I531" s="1" t="s">
        <v>506</v>
      </c>
      <c r="J531" s="1" t="s">
        <v>50</v>
      </c>
    </row>
    <row r="532" spans="1:10" hidden="1" x14ac:dyDescent="0.25">
      <c r="A532" s="1" t="s">
        <v>332</v>
      </c>
      <c r="B532" s="1" t="s">
        <v>333</v>
      </c>
      <c r="C532" s="1">
        <v>17914</v>
      </c>
      <c r="D532" s="1">
        <v>26927</v>
      </c>
      <c r="E532" s="2">
        <v>44532</v>
      </c>
      <c r="F532" s="2">
        <v>44681</v>
      </c>
      <c r="G532" s="3">
        <v>99710</v>
      </c>
      <c r="H532" s="1">
        <v>0</v>
      </c>
      <c r="I532" s="1" t="s">
        <v>508</v>
      </c>
      <c r="J532" s="1" t="s">
        <v>18</v>
      </c>
    </row>
    <row r="533" spans="1:10" hidden="1" x14ac:dyDescent="0.25">
      <c r="A533" s="1" t="s">
        <v>510</v>
      </c>
      <c r="B533" s="1" t="s">
        <v>511</v>
      </c>
      <c r="C533" s="1">
        <v>18206</v>
      </c>
      <c r="D533" s="1">
        <v>27219</v>
      </c>
      <c r="E533" s="2">
        <v>44557</v>
      </c>
      <c r="F533" s="2">
        <v>44681</v>
      </c>
      <c r="G533" s="3">
        <v>79040</v>
      </c>
      <c r="H533" s="1">
        <v>0</v>
      </c>
      <c r="I533" s="1" t="s">
        <v>512</v>
      </c>
      <c r="J533" s="1" t="s">
        <v>92</v>
      </c>
    </row>
    <row r="534" spans="1:10" hidden="1" x14ac:dyDescent="0.25">
      <c r="A534" s="1" t="s">
        <v>39</v>
      </c>
      <c r="B534" s="1" t="s">
        <v>40</v>
      </c>
      <c r="C534" s="1">
        <v>17261</v>
      </c>
      <c r="D534" s="1">
        <v>26257</v>
      </c>
      <c r="E534" s="2">
        <v>44482</v>
      </c>
      <c r="F534" s="2">
        <v>44681</v>
      </c>
      <c r="G534" s="3">
        <v>22600</v>
      </c>
      <c r="H534" s="1">
        <v>0</v>
      </c>
      <c r="I534" s="1" t="s">
        <v>527</v>
      </c>
      <c r="J534" s="1" t="s">
        <v>31</v>
      </c>
    </row>
    <row r="535" spans="1:10" hidden="1" x14ac:dyDescent="0.25">
      <c r="A535" s="1" t="s">
        <v>10</v>
      </c>
      <c r="B535" s="1" t="s">
        <v>11</v>
      </c>
      <c r="C535" s="1">
        <v>17395</v>
      </c>
      <c r="D535" s="1">
        <v>26399</v>
      </c>
      <c r="E535" s="2">
        <v>44489</v>
      </c>
      <c r="F535" s="2">
        <v>44681</v>
      </c>
      <c r="G535" s="3">
        <v>11130</v>
      </c>
      <c r="H535" s="1">
        <v>0</v>
      </c>
      <c r="I535" s="1" t="s">
        <v>532</v>
      </c>
      <c r="J535" s="1" t="s">
        <v>13</v>
      </c>
    </row>
    <row r="536" spans="1:10" hidden="1" x14ac:dyDescent="0.25">
      <c r="A536" s="1" t="s">
        <v>268</v>
      </c>
      <c r="B536" s="1" t="s">
        <v>269</v>
      </c>
      <c r="C536" s="1">
        <v>17517</v>
      </c>
      <c r="D536" s="1">
        <v>26523</v>
      </c>
      <c r="E536" s="2">
        <v>44496</v>
      </c>
      <c r="F536" s="2">
        <v>44681</v>
      </c>
      <c r="G536" s="3">
        <v>36400</v>
      </c>
      <c r="H536" s="1">
        <v>0</v>
      </c>
      <c r="I536" s="1" t="s">
        <v>544</v>
      </c>
      <c r="J536" s="1" t="s">
        <v>31</v>
      </c>
    </row>
    <row r="537" spans="1:10" hidden="1" x14ac:dyDescent="0.25">
      <c r="A537" s="1" t="s">
        <v>173</v>
      </c>
      <c r="B537" s="1" t="s">
        <v>174</v>
      </c>
      <c r="C537" s="1">
        <v>16533</v>
      </c>
      <c r="D537" s="1">
        <v>25483</v>
      </c>
      <c r="E537" s="2">
        <v>44420</v>
      </c>
      <c r="F537" s="2">
        <v>44681</v>
      </c>
      <c r="G537" s="3">
        <v>119102</v>
      </c>
      <c r="H537" s="1">
        <v>0</v>
      </c>
      <c r="I537" s="1" t="s">
        <v>563</v>
      </c>
      <c r="J537" s="1" t="s">
        <v>68</v>
      </c>
    </row>
    <row r="538" spans="1:10" hidden="1" x14ac:dyDescent="0.25">
      <c r="A538" s="1" t="s">
        <v>263</v>
      </c>
      <c r="B538" s="1" t="s">
        <v>264</v>
      </c>
      <c r="C538" s="1">
        <v>17531</v>
      </c>
      <c r="D538" s="1">
        <v>26538</v>
      </c>
      <c r="E538" s="2">
        <v>44496</v>
      </c>
      <c r="F538" s="2">
        <v>44681</v>
      </c>
      <c r="G538" s="3">
        <v>178500</v>
      </c>
      <c r="H538" s="1">
        <v>0</v>
      </c>
      <c r="I538" s="1" t="s">
        <v>608</v>
      </c>
      <c r="J538" s="1" t="s">
        <v>13</v>
      </c>
    </row>
    <row r="539" spans="1:10" hidden="1" x14ac:dyDescent="0.25">
      <c r="A539" s="1" t="s">
        <v>268</v>
      </c>
      <c r="B539" s="1" t="s">
        <v>269</v>
      </c>
      <c r="C539" s="1">
        <v>16970</v>
      </c>
      <c r="D539" s="1">
        <v>25967</v>
      </c>
      <c r="E539" s="2">
        <v>44462</v>
      </c>
      <c r="F539" s="2">
        <v>44681</v>
      </c>
      <c r="G539" s="3">
        <v>16724</v>
      </c>
      <c r="H539" s="1">
        <v>0</v>
      </c>
      <c r="I539" s="1" t="s">
        <v>612</v>
      </c>
      <c r="J539" s="1" t="s">
        <v>31</v>
      </c>
    </row>
    <row r="540" spans="1:10" hidden="1" x14ac:dyDescent="0.25">
      <c r="A540" s="1" t="s">
        <v>613</v>
      </c>
      <c r="B540" s="1" t="s">
        <v>614</v>
      </c>
      <c r="C540" s="1">
        <v>17931</v>
      </c>
      <c r="D540" s="1">
        <v>26945</v>
      </c>
      <c r="E540" s="2">
        <v>44532</v>
      </c>
      <c r="F540" s="2">
        <v>44681</v>
      </c>
      <c r="G540" s="1">
        <v>766</v>
      </c>
      <c r="H540" s="1">
        <v>0</v>
      </c>
      <c r="I540" s="1" t="s">
        <v>615</v>
      </c>
      <c r="J540" s="1" t="s">
        <v>54</v>
      </c>
    </row>
    <row r="541" spans="1:10" hidden="1" x14ac:dyDescent="0.25">
      <c r="A541" s="1" t="s">
        <v>624</v>
      </c>
      <c r="B541" s="1" t="s">
        <v>625</v>
      </c>
      <c r="C541" s="1">
        <v>17804</v>
      </c>
      <c r="D541" s="1">
        <v>26807</v>
      </c>
      <c r="E541" s="2">
        <v>44518</v>
      </c>
      <c r="F541" s="2">
        <v>44681</v>
      </c>
      <c r="G541" s="3">
        <v>46545</v>
      </c>
      <c r="H541" s="1">
        <v>0</v>
      </c>
      <c r="I541" s="1" t="s">
        <v>626</v>
      </c>
      <c r="J541" s="1" t="s">
        <v>54</v>
      </c>
    </row>
    <row r="542" spans="1:10" hidden="1" x14ac:dyDescent="0.25">
      <c r="A542" s="1" t="s">
        <v>627</v>
      </c>
      <c r="B542" s="1" t="s">
        <v>628</v>
      </c>
      <c r="C542" s="1">
        <v>16895</v>
      </c>
      <c r="D542" s="1">
        <v>25880</v>
      </c>
      <c r="E542" s="2">
        <v>44459</v>
      </c>
      <c r="F542" s="2">
        <v>44681</v>
      </c>
      <c r="G542" s="3">
        <v>6385.6</v>
      </c>
      <c r="H542" s="1">
        <v>0</v>
      </c>
      <c r="I542" s="1" t="s">
        <v>629</v>
      </c>
      <c r="J542" s="1" t="s">
        <v>58</v>
      </c>
    </row>
    <row r="543" spans="1:10" hidden="1" x14ac:dyDescent="0.25">
      <c r="A543" s="1" t="s">
        <v>100</v>
      </c>
      <c r="B543" s="1" t="s">
        <v>101</v>
      </c>
      <c r="C543" s="1">
        <v>16918</v>
      </c>
      <c r="D543" s="1">
        <v>25903</v>
      </c>
      <c r="E543" s="2">
        <v>44461</v>
      </c>
      <c r="F543" s="2">
        <v>44681</v>
      </c>
      <c r="G543" s="3">
        <v>43800</v>
      </c>
      <c r="H543" s="1">
        <v>0</v>
      </c>
      <c r="I543" s="1" t="s">
        <v>650</v>
      </c>
      <c r="J543" s="1" t="s">
        <v>92</v>
      </c>
    </row>
    <row r="544" spans="1:10" hidden="1" x14ac:dyDescent="0.25">
      <c r="A544" s="1" t="s">
        <v>100</v>
      </c>
      <c r="B544" s="1" t="s">
        <v>101</v>
      </c>
      <c r="C544" s="1">
        <v>17222</v>
      </c>
      <c r="D544" s="1">
        <v>26220</v>
      </c>
      <c r="E544" s="2">
        <v>44480</v>
      </c>
      <c r="F544" s="2">
        <v>44681</v>
      </c>
      <c r="G544" s="3">
        <v>47728</v>
      </c>
      <c r="H544" s="1">
        <v>0</v>
      </c>
      <c r="I544" s="1" t="s">
        <v>662</v>
      </c>
      <c r="J544" s="1" t="s">
        <v>92</v>
      </c>
    </row>
    <row r="545" spans="1:10" hidden="1" x14ac:dyDescent="0.25">
      <c r="A545" s="1" t="s">
        <v>672</v>
      </c>
      <c r="B545" s="1" t="s">
        <v>673</v>
      </c>
      <c r="C545" s="1">
        <v>16636</v>
      </c>
      <c r="D545" s="1">
        <v>25599</v>
      </c>
      <c r="E545" s="2">
        <v>44433</v>
      </c>
      <c r="F545" s="2">
        <v>44681</v>
      </c>
      <c r="G545" s="3">
        <v>18619.900000000001</v>
      </c>
      <c r="H545" s="1">
        <v>0</v>
      </c>
      <c r="I545" s="1" t="s">
        <v>674</v>
      </c>
      <c r="J545" s="1" t="s">
        <v>54</v>
      </c>
    </row>
    <row r="546" spans="1:10" hidden="1" x14ac:dyDescent="0.25">
      <c r="A546" s="1" t="s">
        <v>675</v>
      </c>
      <c r="B546" s="1" t="s">
        <v>676</v>
      </c>
      <c r="C546" s="1">
        <v>17631</v>
      </c>
      <c r="D546" s="1">
        <v>26633</v>
      </c>
      <c r="E546" s="2">
        <v>44505</v>
      </c>
      <c r="F546" s="2">
        <v>44681</v>
      </c>
      <c r="G546" s="3">
        <v>17000</v>
      </c>
      <c r="H546" s="1">
        <v>0</v>
      </c>
      <c r="I546" s="1" t="s">
        <v>677</v>
      </c>
      <c r="J546" s="1" t="s">
        <v>50</v>
      </c>
    </row>
    <row r="547" spans="1:10" hidden="1" x14ac:dyDescent="0.25">
      <c r="A547" s="1" t="s">
        <v>268</v>
      </c>
      <c r="B547" s="1" t="s">
        <v>269</v>
      </c>
      <c r="C547" s="1">
        <v>16470</v>
      </c>
      <c r="D547" s="1">
        <v>25414</v>
      </c>
      <c r="E547" s="2">
        <v>44414</v>
      </c>
      <c r="F547" s="2">
        <v>44681</v>
      </c>
      <c r="G547" s="3">
        <v>186086.8</v>
      </c>
      <c r="H547" s="1">
        <v>0</v>
      </c>
      <c r="I547" s="1" t="s">
        <v>678</v>
      </c>
      <c r="J547" s="1" t="s">
        <v>31</v>
      </c>
    </row>
    <row r="548" spans="1:10" hidden="1" x14ac:dyDescent="0.25">
      <c r="A548" s="1" t="s">
        <v>624</v>
      </c>
      <c r="B548" s="1" t="s">
        <v>625</v>
      </c>
      <c r="C548" s="1">
        <v>17027</v>
      </c>
      <c r="D548" s="1">
        <v>26036</v>
      </c>
      <c r="E548" s="2">
        <v>44467</v>
      </c>
      <c r="F548" s="2">
        <v>44681</v>
      </c>
      <c r="G548" s="3">
        <v>6733.2</v>
      </c>
      <c r="H548" s="1">
        <v>0</v>
      </c>
      <c r="I548" s="1" t="s">
        <v>679</v>
      </c>
      <c r="J548" s="1" t="s">
        <v>54</v>
      </c>
    </row>
    <row r="549" spans="1:10" hidden="1" x14ac:dyDescent="0.25">
      <c r="A549" s="1" t="s">
        <v>165</v>
      </c>
      <c r="B549" s="1" t="s">
        <v>29</v>
      </c>
      <c r="C549" s="1">
        <v>16692</v>
      </c>
      <c r="D549" s="1">
        <v>25658</v>
      </c>
      <c r="E549" s="2">
        <v>44440</v>
      </c>
      <c r="F549" s="2">
        <v>44681</v>
      </c>
      <c r="G549" s="3">
        <v>7893</v>
      </c>
      <c r="H549" s="1">
        <v>0</v>
      </c>
      <c r="I549" s="1" t="s">
        <v>718</v>
      </c>
      <c r="J549" s="1" t="s">
        <v>31</v>
      </c>
    </row>
    <row r="550" spans="1:10" hidden="1" x14ac:dyDescent="0.25">
      <c r="A550" s="1" t="s">
        <v>39</v>
      </c>
      <c r="B550" s="1" t="s">
        <v>40</v>
      </c>
      <c r="C550" s="1">
        <v>17523</v>
      </c>
      <c r="D550" s="1">
        <v>26528</v>
      </c>
      <c r="E550" s="2">
        <v>44496</v>
      </c>
      <c r="F550" s="2">
        <v>44681</v>
      </c>
      <c r="G550" s="1">
        <v>612</v>
      </c>
      <c r="H550" s="1">
        <v>0</v>
      </c>
      <c r="I550" s="1" t="s">
        <v>734</v>
      </c>
      <c r="J550" s="1" t="s">
        <v>31</v>
      </c>
    </row>
    <row r="551" spans="1:10" hidden="1" x14ac:dyDescent="0.25">
      <c r="A551" s="1" t="s">
        <v>39</v>
      </c>
      <c r="B551" s="1" t="s">
        <v>40</v>
      </c>
      <c r="C551" s="1">
        <v>16962</v>
      </c>
      <c r="D551" s="1">
        <v>25959</v>
      </c>
      <c r="E551" s="2">
        <v>44462</v>
      </c>
      <c r="F551" s="2">
        <v>44681</v>
      </c>
      <c r="G551" s="3">
        <v>18911</v>
      </c>
      <c r="H551" s="1">
        <v>0</v>
      </c>
      <c r="I551" s="1" t="s">
        <v>738</v>
      </c>
      <c r="J551" s="1" t="s">
        <v>31</v>
      </c>
    </row>
    <row r="552" spans="1:10" hidden="1" x14ac:dyDescent="0.25">
      <c r="A552" s="1" t="s">
        <v>745</v>
      </c>
      <c r="B552" s="1" t="s">
        <v>746</v>
      </c>
      <c r="C552" s="1">
        <v>18484</v>
      </c>
      <c r="D552" s="1">
        <v>27482</v>
      </c>
      <c r="E552" s="2">
        <v>44581</v>
      </c>
      <c r="F552" s="2">
        <v>44681</v>
      </c>
      <c r="G552" s="3">
        <v>17313.75</v>
      </c>
      <c r="H552" s="1">
        <v>0</v>
      </c>
      <c r="I552" s="1" t="s">
        <v>747</v>
      </c>
      <c r="J552" s="1" t="s">
        <v>54</v>
      </c>
    </row>
    <row r="553" spans="1:10" hidden="1" x14ac:dyDescent="0.25">
      <c r="A553" s="1" t="s">
        <v>268</v>
      </c>
      <c r="B553" s="1" t="s">
        <v>269</v>
      </c>
      <c r="C553" s="1">
        <v>16972</v>
      </c>
      <c r="D553" s="1">
        <v>25969</v>
      </c>
      <c r="E553" s="2">
        <v>44462</v>
      </c>
      <c r="F553" s="2">
        <v>44681</v>
      </c>
      <c r="G553" s="3">
        <v>10400</v>
      </c>
      <c r="H553" s="1">
        <v>0</v>
      </c>
      <c r="I553" s="1" t="s">
        <v>759</v>
      </c>
      <c r="J553" s="1" t="s">
        <v>31</v>
      </c>
    </row>
    <row r="554" spans="1:10" hidden="1" x14ac:dyDescent="0.25">
      <c r="A554" s="1" t="s">
        <v>760</v>
      </c>
      <c r="B554" s="1" t="s">
        <v>761</v>
      </c>
      <c r="C554" s="1">
        <v>17929</v>
      </c>
      <c r="D554" s="1">
        <v>26943</v>
      </c>
      <c r="E554" s="2">
        <v>44532</v>
      </c>
      <c r="F554" s="2">
        <v>44681</v>
      </c>
      <c r="G554" s="3">
        <v>5362</v>
      </c>
      <c r="H554" s="1">
        <v>0</v>
      </c>
      <c r="I554" s="1" t="s">
        <v>762</v>
      </c>
      <c r="J554" s="1" t="s">
        <v>54</v>
      </c>
    </row>
    <row r="555" spans="1:10" hidden="1" x14ac:dyDescent="0.25">
      <c r="A555" s="1" t="s">
        <v>10</v>
      </c>
      <c r="B555" s="1" t="s">
        <v>11</v>
      </c>
      <c r="C555" s="1">
        <v>16763</v>
      </c>
      <c r="D555" s="1">
        <v>25731</v>
      </c>
      <c r="E555" s="2">
        <v>44447</v>
      </c>
      <c r="F555" s="2">
        <v>44681</v>
      </c>
      <c r="G555" s="3">
        <v>57120</v>
      </c>
      <c r="H555" s="1">
        <v>0</v>
      </c>
      <c r="I555" s="1" t="s">
        <v>775</v>
      </c>
      <c r="J555" s="1" t="s">
        <v>13</v>
      </c>
    </row>
    <row r="556" spans="1:10" hidden="1" x14ac:dyDescent="0.25">
      <c r="A556" s="1" t="s">
        <v>613</v>
      </c>
      <c r="B556" s="1" t="s">
        <v>614</v>
      </c>
      <c r="C556" s="1">
        <v>17263</v>
      </c>
      <c r="D556" s="1">
        <v>26259</v>
      </c>
      <c r="E556" s="2">
        <v>44482</v>
      </c>
      <c r="F556" s="2">
        <v>44681</v>
      </c>
      <c r="G556" s="3">
        <v>2520</v>
      </c>
      <c r="H556" s="1">
        <v>0</v>
      </c>
      <c r="I556" s="1" t="s">
        <v>777</v>
      </c>
      <c r="J556" s="1" t="s">
        <v>54</v>
      </c>
    </row>
    <row r="557" spans="1:10" hidden="1" x14ac:dyDescent="0.25">
      <c r="A557" s="1" t="s">
        <v>510</v>
      </c>
      <c r="B557" s="1" t="s">
        <v>511</v>
      </c>
      <c r="C557" s="1">
        <v>18205</v>
      </c>
      <c r="D557" s="1">
        <v>27218</v>
      </c>
      <c r="E557" s="2">
        <v>44557</v>
      </c>
      <c r="F557" s="2">
        <v>44681</v>
      </c>
      <c r="G557" s="3">
        <v>4983</v>
      </c>
      <c r="H557" s="1">
        <v>0</v>
      </c>
      <c r="I557" s="1" t="s">
        <v>783</v>
      </c>
      <c r="J557" s="1" t="s">
        <v>92</v>
      </c>
    </row>
    <row r="558" spans="1:10" hidden="1" x14ac:dyDescent="0.25">
      <c r="A558" s="1" t="s">
        <v>613</v>
      </c>
      <c r="B558" s="1" t="s">
        <v>614</v>
      </c>
      <c r="C558" s="1">
        <v>16844</v>
      </c>
      <c r="D558" s="1">
        <v>25810</v>
      </c>
      <c r="E558" s="2">
        <v>44454</v>
      </c>
      <c r="F558" s="2">
        <v>44681</v>
      </c>
      <c r="G558" s="3">
        <v>2851.2</v>
      </c>
      <c r="H558" s="1">
        <v>0</v>
      </c>
      <c r="I558" s="1" t="s">
        <v>796</v>
      </c>
      <c r="J558" s="1" t="s">
        <v>54</v>
      </c>
    </row>
    <row r="559" spans="1:10" hidden="1" x14ac:dyDescent="0.25">
      <c r="A559" s="1" t="s">
        <v>47</v>
      </c>
      <c r="B559" s="1" t="s">
        <v>48</v>
      </c>
      <c r="C559" s="1">
        <v>16929</v>
      </c>
      <c r="D559" s="1">
        <v>25915</v>
      </c>
      <c r="E559" s="2">
        <v>44461</v>
      </c>
      <c r="F559" s="2">
        <v>44681</v>
      </c>
      <c r="G559" s="3">
        <v>40600</v>
      </c>
      <c r="H559" s="1">
        <v>0</v>
      </c>
      <c r="I559" s="1" t="s">
        <v>809</v>
      </c>
      <c r="J559" s="1" t="s">
        <v>50</v>
      </c>
    </row>
    <row r="560" spans="1:10" hidden="1" x14ac:dyDescent="0.25">
      <c r="A560" s="1" t="s">
        <v>268</v>
      </c>
      <c r="B560" s="1" t="s">
        <v>269</v>
      </c>
      <c r="C560" s="1">
        <v>17704</v>
      </c>
      <c r="D560" s="1">
        <v>26700</v>
      </c>
      <c r="E560" s="2">
        <v>44510</v>
      </c>
      <c r="F560" s="2">
        <v>44681</v>
      </c>
      <c r="G560" s="3">
        <v>1621</v>
      </c>
      <c r="H560" s="1">
        <v>0</v>
      </c>
      <c r="I560" s="1" t="s">
        <v>815</v>
      </c>
      <c r="J560" s="1" t="s">
        <v>31</v>
      </c>
    </row>
    <row r="561" spans="1:10" hidden="1" x14ac:dyDescent="0.25">
      <c r="A561" s="1" t="s">
        <v>405</v>
      </c>
      <c r="B561" s="1" t="s">
        <v>406</v>
      </c>
      <c r="C561" s="1">
        <v>16793</v>
      </c>
      <c r="D561" s="1">
        <v>25766</v>
      </c>
      <c r="E561" s="2">
        <v>44452</v>
      </c>
      <c r="F561" s="2">
        <v>44681</v>
      </c>
      <c r="G561" s="3">
        <v>72686</v>
      </c>
      <c r="H561" s="1">
        <v>0</v>
      </c>
      <c r="I561" s="1" t="s">
        <v>818</v>
      </c>
      <c r="J561" s="1" t="s">
        <v>77</v>
      </c>
    </row>
    <row r="562" spans="1:10" hidden="1" x14ac:dyDescent="0.25">
      <c r="A562" s="1" t="s">
        <v>47</v>
      </c>
      <c r="B562" s="1" t="s">
        <v>48</v>
      </c>
      <c r="C562" s="1">
        <v>16617</v>
      </c>
      <c r="D562" s="1">
        <v>25582</v>
      </c>
      <c r="E562" s="2">
        <v>44432</v>
      </c>
      <c r="F562" s="2">
        <v>44681</v>
      </c>
      <c r="G562" s="3">
        <v>237600</v>
      </c>
      <c r="H562" s="1">
        <v>0</v>
      </c>
      <c r="I562" s="1" t="s">
        <v>821</v>
      </c>
      <c r="J562" s="1" t="s">
        <v>50</v>
      </c>
    </row>
    <row r="563" spans="1:10" hidden="1" x14ac:dyDescent="0.25">
      <c r="A563" s="1" t="s">
        <v>613</v>
      </c>
      <c r="B563" s="1" t="s">
        <v>614</v>
      </c>
      <c r="C563" s="1">
        <v>16642</v>
      </c>
      <c r="D563" s="1">
        <v>25605</v>
      </c>
      <c r="E563" s="2">
        <v>44433</v>
      </c>
      <c r="F563" s="2">
        <v>44681</v>
      </c>
      <c r="G563" s="3">
        <v>17280</v>
      </c>
      <c r="H563" s="1">
        <v>0</v>
      </c>
      <c r="I563" s="1" t="s">
        <v>822</v>
      </c>
      <c r="J563" s="1" t="s">
        <v>54</v>
      </c>
    </row>
    <row r="564" spans="1:10" hidden="1" x14ac:dyDescent="0.25">
      <c r="A564" s="1" t="s">
        <v>433</v>
      </c>
      <c r="B564" s="1" t="s">
        <v>434</v>
      </c>
      <c r="C564" s="1">
        <v>17060</v>
      </c>
      <c r="D564" s="1">
        <v>26067</v>
      </c>
      <c r="E564" s="2">
        <v>44468</v>
      </c>
      <c r="F564" s="2">
        <v>44681</v>
      </c>
      <c r="G564" s="3">
        <v>1930</v>
      </c>
      <c r="H564" s="1">
        <v>0</v>
      </c>
      <c r="I564" s="1" t="s">
        <v>827</v>
      </c>
      <c r="J564" s="1" t="s">
        <v>92</v>
      </c>
    </row>
    <row r="565" spans="1:10" hidden="1" x14ac:dyDescent="0.25">
      <c r="A565" s="1" t="s">
        <v>833</v>
      </c>
      <c r="B565" s="1" t="s">
        <v>834</v>
      </c>
      <c r="C565" s="1">
        <v>16803</v>
      </c>
      <c r="D565" s="1">
        <v>25773</v>
      </c>
      <c r="E565" s="2">
        <v>44453</v>
      </c>
      <c r="F565" s="2">
        <v>44681</v>
      </c>
      <c r="G565" s="3">
        <v>33500</v>
      </c>
      <c r="H565" s="1">
        <v>0</v>
      </c>
      <c r="I565" s="1" t="s">
        <v>835</v>
      </c>
      <c r="J565" s="1" t="s">
        <v>77</v>
      </c>
    </row>
    <row r="566" spans="1:10" hidden="1" x14ac:dyDescent="0.25">
      <c r="A566" s="1" t="s">
        <v>100</v>
      </c>
      <c r="B566" s="1" t="s">
        <v>101</v>
      </c>
      <c r="C566" s="1">
        <v>17221</v>
      </c>
      <c r="D566" s="1">
        <v>26219</v>
      </c>
      <c r="E566" s="2">
        <v>44480</v>
      </c>
      <c r="F566" s="2">
        <v>44681</v>
      </c>
      <c r="G566" s="3">
        <v>73342</v>
      </c>
      <c r="H566" s="1">
        <v>0</v>
      </c>
      <c r="I566" s="1" t="s">
        <v>838</v>
      </c>
      <c r="J566" s="1" t="s">
        <v>92</v>
      </c>
    </row>
    <row r="567" spans="1:10" hidden="1" x14ac:dyDescent="0.25">
      <c r="A567" s="1" t="s">
        <v>268</v>
      </c>
      <c r="B567" s="1" t="s">
        <v>269</v>
      </c>
      <c r="C567" s="1">
        <v>17139</v>
      </c>
      <c r="D567" s="1">
        <v>26146</v>
      </c>
      <c r="E567" s="2">
        <v>44474</v>
      </c>
      <c r="F567" s="2">
        <v>44681</v>
      </c>
      <c r="G567" s="3">
        <v>78923.25</v>
      </c>
      <c r="H567" s="1">
        <v>0</v>
      </c>
      <c r="I567" s="1" t="s">
        <v>840</v>
      </c>
      <c r="J567" s="1" t="s">
        <v>31</v>
      </c>
    </row>
    <row r="568" spans="1:10" hidden="1" x14ac:dyDescent="0.25">
      <c r="A568" s="1" t="s">
        <v>841</v>
      </c>
      <c r="B568" s="1" t="s">
        <v>842</v>
      </c>
      <c r="C568" s="1">
        <v>17153</v>
      </c>
      <c r="D568" s="1">
        <v>26156</v>
      </c>
      <c r="E568" s="2">
        <v>44474</v>
      </c>
      <c r="F568" s="2">
        <v>44681</v>
      </c>
      <c r="G568" s="3">
        <v>65299.6</v>
      </c>
      <c r="H568" s="1">
        <v>0</v>
      </c>
      <c r="I568" s="1" t="s">
        <v>843</v>
      </c>
      <c r="J568" s="1" t="s">
        <v>84</v>
      </c>
    </row>
    <row r="569" spans="1:10" hidden="1" x14ac:dyDescent="0.25">
      <c r="A569" s="1" t="s">
        <v>100</v>
      </c>
      <c r="B569" s="1" t="s">
        <v>101</v>
      </c>
      <c r="C569" s="1">
        <v>17574</v>
      </c>
      <c r="D569" s="1">
        <v>26581</v>
      </c>
      <c r="E569" s="2">
        <v>44503</v>
      </c>
      <c r="F569" s="2">
        <v>44681</v>
      </c>
      <c r="G569" s="3">
        <v>46500</v>
      </c>
      <c r="H569" s="1">
        <v>0</v>
      </c>
      <c r="I569" s="1" t="s">
        <v>873</v>
      </c>
      <c r="J569" s="1" t="s">
        <v>92</v>
      </c>
    </row>
    <row r="570" spans="1:10" hidden="1" x14ac:dyDescent="0.25">
      <c r="A570" s="1" t="s">
        <v>39</v>
      </c>
      <c r="B570" s="1" t="s">
        <v>40</v>
      </c>
      <c r="C570" s="1">
        <v>16959</v>
      </c>
      <c r="D570" s="1">
        <v>25956</v>
      </c>
      <c r="E570" s="2">
        <v>44462</v>
      </c>
      <c r="F570" s="2">
        <v>44681</v>
      </c>
      <c r="G570" s="3">
        <v>1644</v>
      </c>
      <c r="H570" s="1">
        <v>0</v>
      </c>
      <c r="I570" s="1" t="s">
        <v>882</v>
      </c>
      <c r="J570" s="1" t="s">
        <v>31</v>
      </c>
    </row>
    <row r="571" spans="1:10" hidden="1" x14ac:dyDescent="0.25">
      <c r="A571" s="1" t="s">
        <v>884</v>
      </c>
      <c r="B571" s="1" t="s">
        <v>885</v>
      </c>
      <c r="C571" s="1">
        <v>18480</v>
      </c>
      <c r="D571" s="1">
        <v>27478</v>
      </c>
      <c r="E571" s="2">
        <v>44581</v>
      </c>
      <c r="F571" s="2">
        <v>44681</v>
      </c>
      <c r="G571" s="3">
        <v>25500</v>
      </c>
      <c r="H571" s="1">
        <v>0</v>
      </c>
      <c r="I571" s="1" t="s">
        <v>886</v>
      </c>
      <c r="J571" s="1" t="s">
        <v>54</v>
      </c>
    </row>
    <row r="572" spans="1:10" hidden="1" x14ac:dyDescent="0.25">
      <c r="A572" s="1" t="s">
        <v>402</v>
      </c>
      <c r="B572" s="1" t="s">
        <v>403</v>
      </c>
      <c r="C572" s="1">
        <v>17594</v>
      </c>
      <c r="D572" s="1">
        <v>26597</v>
      </c>
      <c r="E572" s="2">
        <v>44504</v>
      </c>
      <c r="F572" s="2">
        <v>44681</v>
      </c>
      <c r="G572" s="3">
        <v>77400</v>
      </c>
      <c r="H572" s="1">
        <v>0</v>
      </c>
      <c r="I572" s="1" t="s">
        <v>916</v>
      </c>
      <c r="J572" s="1" t="s">
        <v>50</v>
      </c>
    </row>
    <row r="573" spans="1:10" x14ac:dyDescent="0.25">
      <c r="A573" s="1" t="s">
        <v>554</v>
      </c>
      <c r="B573" s="1" t="s">
        <v>555</v>
      </c>
      <c r="C573" s="1">
        <v>17558</v>
      </c>
      <c r="D573" s="1">
        <v>26565</v>
      </c>
      <c r="E573" s="2">
        <v>44501</v>
      </c>
      <c r="F573" s="2">
        <v>44681</v>
      </c>
      <c r="G573" s="3">
        <v>1006.87</v>
      </c>
      <c r="H573" s="1">
        <v>0</v>
      </c>
      <c r="I573" s="1" t="s">
        <v>918</v>
      </c>
      <c r="J573" s="1" t="s">
        <v>27</v>
      </c>
    </row>
    <row r="574" spans="1:10" hidden="1" x14ac:dyDescent="0.25">
      <c r="A574" s="1" t="s">
        <v>39</v>
      </c>
      <c r="B574" s="1" t="s">
        <v>40</v>
      </c>
      <c r="C574" s="1">
        <v>17260</v>
      </c>
      <c r="D574" s="1">
        <v>26256</v>
      </c>
      <c r="E574" s="2">
        <v>44482</v>
      </c>
      <c r="F574" s="2">
        <v>44681</v>
      </c>
      <c r="G574" s="3">
        <v>1884</v>
      </c>
      <c r="H574" s="1">
        <v>0</v>
      </c>
      <c r="I574" s="1" t="s">
        <v>924</v>
      </c>
      <c r="J574" s="1" t="s">
        <v>31</v>
      </c>
    </row>
    <row r="575" spans="1:10" hidden="1" x14ac:dyDescent="0.25">
      <c r="A575" s="1" t="s">
        <v>268</v>
      </c>
      <c r="B575" s="1" t="s">
        <v>269</v>
      </c>
      <c r="C575" s="1">
        <v>18056</v>
      </c>
      <c r="D575" s="1">
        <v>27070</v>
      </c>
      <c r="E575" s="2">
        <v>44543</v>
      </c>
      <c r="F575" s="2">
        <v>44681</v>
      </c>
      <c r="G575" s="3">
        <v>203701.12</v>
      </c>
      <c r="H575" s="1">
        <v>0</v>
      </c>
      <c r="I575" s="1" t="s">
        <v>938</v>
      </c>
      <c r="J575" s="1" t="s">
        <v>31</v>
      </c>
    </row>
    <row r="576" spans="1:10" hidden="1" x14ac:dyDescent="0.25">
      <c r="A576" s="1" t="s">
        <v>943</v>
      </c>
      <c r="B576" s="1" t="s">
        <v>944</v>
      </c>
      <c r="C576" s="1">
        <v>16852</v>
      </c>
      <c r="D576" s="1">
        <v>25825</v>
      </c>
      <c r="E576" s="2">
        <v>44455</v>
      </c>
      <c r="F576" s="2">
        <v>44681</v>
      </c>
      <c r="G576" s="1">
        <v>396</v>
      </c>
      <c r="H576" s="1">
        <v>0</v>
      </c>
      <c r="I576" s="1" t="s">
        <v>945</v>
      </c>
      <c r="J576" s="1" t="s">
        <v>54</v>
      </c>
    </row>
    <row r="577" spans="1:10" hidden="1" x14ac:dyDescent="0.25">
      <c r="A577" s="1" t="s">
        <v>613</v>
      </c>
      <c r="B577" s="1" t="s">
        <v>614</v>
      </c>
      <c r="C577" s="1">
        <v>18486</v>
      </c>
      <c r="D577" s="1">
        <v>27484</v>
      </c>
      <c r="E577" s="2">
        <v>44581</v>
      </c>
      <c r="F577" s="2">
        <v>44681</v>
      </c>
      <c r="G577" s="3">
        <v>2100</v>
      </c>
      <c r="H577" s="1">
        <v>0</v>
      </c>
      <c r="I577" s="1" t="s">
        <v>963</v>
      </c>
      <c r="J577" s="1" t="s">
        <v>54</v>
      </c>
    </row>
    <row r="578" spans="1:10" hidden="1" x14ac:dyDescent="0.25">
      <c r="A578" s="1" t="s">
        <v>39</v>
      </c>
      <c r="B578" s="1" t="s">
        <v>40</v>
      </c>
      <c r="C578" s="1">
        <v>17525</v>
      </c>
      <c r="D578" s="1">
        <v>26530</v>
      </c>
      <c r="E578" s="2">
        <v>44496</v>
      </c>
      <c r="F578" s="2">
        <v>44681</v>
      </c>
      <c r="G578" s="3">
        <v>1224</v>
      </c>
      <c r="H578" s="1">
        <v>0</v>
      </c>
      <c r="I578" s="1" t="s">
        <v>974</v>
      </c>
      <c r="J578" s="1" t="s">
        <v>31</v>
      </c>
    </row>
    <row r="579" spans="1:10" hidden="1" x14ac:dyDescent="0.25">
      <c r="A579" s="1" t="s">
        <v>100</v>
      </c>
      <c r="B579" s="1" t="s">
        <v>101</v>
      </c>
      <c r="C579" s="1">
        <v>16923</v>
      </c>
      <c r="D579" s="1">
        <v>25908</v>
      </c>
      <c r="E579" s="2">
        <v>44461</v>
      </c>
      <c r="F579" s="2">
        <v>44681</v>
      </c>
      <c r="G579" s="3">
        <v>5554</v>
      </c>
      <c r="H579" s="1">
        <v>0</v>
      </c>
      <c r="I579" s="1" t="s">
        <v>975</v>
      </c>
      <c r="J579" s="1" t="s">
        <v>92</v>
      </c>
    </row>
    <row r="580" spans="1:10" hidden="1" x14ac:dyDescent="0.25">
      <c r="A580" s="1" t="s">
        <v>70</v>
      </c>
      <c r="B580" s="1" t="s">
        <v>71</v>
      </c>
      <c r="C580" s="1">
        <v>18727</v>
      </c>
      <c r="D580" s="1">
        <v>27743</v>
      </c>
      <c r="E580" s="2">
        <v>44606</v>
      </c>
      <c r="F580" s="2">
        <v>44681</v>
      </c>
      <c r="G580" s="3">
        <v>17024.43</v>
      </c>
      <c r="H580" s="1">
        <v>0</v>
      </c>
      <c r="I580" s="1" t="s">
        <v>990</v>
      </c>
      <c r="J580" s="1" t="s">
        <v>73</v>
      </c>
    </row>
    <row r="581" spans="1:10" hidden="1" x14ac:dyDescent="0.25">
      <c r="A581" s="1" t="s">
        <v>39</v>
      </c>
      <c r="B581" s="1" t="s">
        <v>40</v>
      </c>
      <c r="C581" s="1">
        <v>16610</v>
      </c>
      <c r="D581" s="1">
        <v>25576</v>
      </c>
      <c r="E581" s="2">
        <v>44431</v>
      </c>
      <c r="F581" s="2">
        <v>44681</v>
      </c>
      <c r="G581" s="3">
        <v>165914.79999999999</v>
      </c>
      <c r="H581" s="1">
        <v>0</v>
      </c>
      <c r="I581" s="1" t="s">
        <v>991</v>
      </c>
      <c r="J581" s="1" t="s">
        <v>31</v>
      </c>
    </row>
    <row r="582" spans="1:10" hidden="1" x14ac:dyDescent="0.25">
      <c r="A582" s="1" t="s">
        <v>47</v>
      </c>
      <c r="B582" s="1" t="s">
        <v>48</v>
      </c>
      <c r="C582" s="1">
        <v>17528</v>
      </c>
      <c r="D582" s="1">
        <v>26535</v>
      </c>
      <c r="E582" s="2">
        <v>44496</v>
      </c>
      <c r="F582" s="2">
        <v>44681</v>
      </c>
      <c r="G582" s="3">
        <v>225000</v>
      </c>
      <c r="H582" s="1">
        <v>0</v>
      </c>
      <c r="I582" s="1" t="s">
        <v>992</v>
      </c>
      <c r="J582" s="1" t="s">
        <v>50</v>
      </c>
    </row>
    <row r="583" spans="1:10" hidden="1" x14ac:dyDescent="0.25">
      <c r="A583" s="1" t="s">
        <v>100</v>
      </c>
      <c r="B583" s="1" t="s">
        <v>101</v>
      </c>
      <c r="C583" s="1">
        <v>16946</v>
      </c>
      <c r="D583" s="1">
        <v>25940</v>
      </c>
      <c r="E583" s="2">
        <v>44461</v>
      </c>
      <c r="F583" s="2">
        <v>44681</v>
      </c>
      <c r="G583" s="3">
        <v>43960</v>
      </c>
      <c r="H583" s="1">
        <v>0</v>
      </c>
      <c r="I583" s="1" t="s">
        <v>995</v>
      </c>
      <c r="J583" s="1" t="s">
        <v>92</v>
      </c>
    </row>
    <row r="584" spans="1:10" hidden="1" x14ac:dyDescent="0.25">
      <c r="A584" s="1" t="s">
        <v>100</v>
      </c>
      <c r="B584" s="1" t="s">
        <v>101</v>
      </c>
      <c r="C584" s="1">
        <v>18093</v>
      </c>
      <c r="D584" s="1">
        <v>27105</v>
      </c>
      <c r="E584" s="2">
        <v>44544</v>
      </c>
      <c r="F584" s="2">
        <v>44681</v>
      </c>
      <c r="G584" s="3">
        <v>7480</v>
      </c>
      <c r="H584" s="1">
        <v>0</v>
      </c>
      <c r="I584" s="1" t="s">
        <v>1024</v>
      </c>
      <c r="J584" s="1" t="s">
        <v>92</v>
      </c>
    </row>
    <row r="585" spans="1:10" hidden="1" x14ac:dyDescent="0.25">
      <c r="A585" s="1" t="s">
        <v>39</v>
      </c>
      <c r="B585" s="1" t="s">
        <v>40</v>
      </c>
      <c r="C585" s="1">
        <v>16609</v>
      </c>
      <c r="D585" s="1">
        <v>25575</v>
      </c>
      <c r="E585" s="2">
        <v>44431</v>
      </c>
      <c r="F585" s="2">
        <v>44681</v>
      </c>
      <c r="G585" s="3">
        <v>26201</v>
      </c>
      <c r="H585" s="1">
        <v>0</v>
      </c>
      <c r="I585" s="1" t="s">
        <v>1028</v>
      </c>
      <c r="J585" s="1" t="s">
        <v>31</v>
      </c>
    </row>
    <row r="586" spans="1:10" hidden="1" x14ac:dyDescent="0.25">
      <c r="A586" s="1" t="s">
        <v>850</v>
      </c>
      <c r="B586" s="1" t="s">
        <v>851</v>
      </c>
      <c r="C586" s="1">
        <v>16616</v>
      </c>
      <c r="D586" s="1">
        <v>25581</v>
      </c>
      <c r="E586" s="2">
        <v>44432</v>
      </c>
      <c r="F586" s="2">
        <v>44681</v>
      </c>
      <c r="G586" s="3">
        <v>33500</v>
      </c>
      <c r="H586" s="1">
        <v>0</v>
      </c>
      <c r="I586" s="1" t="s">
        <v>1035</v>
      </c>
      <c r="J586" s="1" t="s">
        <v>50</v>
      </c>
    </row>
    <row r="587" spans="1:10" hidden="1" x14ac:dyDescent="0.25">
      <c r="A587" s="1" t="s">
        <v>268</v>
      </c>
      <c r="B587" s="1" t="s">
        <v>269</v>
      </c>
      <c r="C587" s="1">
        <v>16966</v>
      </c>
      <c r="D587" s="1">
        <v>25963</v>
      </c>
      <c r="E587" s="2">
        <v>44462</v>
      </c>
      <c r="F587" s="2">
        <v>44681</v>
      </c>
      <c r="G587" s="3">
        <v>102642.6</v>
      </c>
      <c r="H587" s="1">
        <v>0</v>
      </c>
      <c r="I587" s="1" t="s">
        <v>1039</v>
      </c>
      <c r="J587" s="1" t="s">
        <v>31</v>
      </c>
    </row>
    <row r="588" spans="1:10" hidden="1" x14ac:dyDescent="0.25">
      <c r="A588" s="1" t="s">
        <v>943</v>
      </c>
      <c r="B588" s="1" t="s">
        <v>944</v>
      </c>
      <c r="C588" s="1">
        <v>17265</v>
      </c>
      <c r="D588" s="1">
        <v>26261</v>
      </c>
      <c r="E588" s="2">
        <v>44482</v>
      </c>
      <c r="F588" s="2">
        <v>44681</v>
      </c>
      <c r="G588" s="1">
        <v>397.2</v>
      </c>
      <c r="H588" s="1">
        <v>0</v>
      </c>
      <c r="I588" s="1" t="s">
        <v>1049</v>
      </c>
      <c r="J588" s="1" t="s">
        <v>54</v>
      </c>
    </row>
    <row r="589" spans="1:10" hidden="1" x14ac:dyDescent="0.25">
      <c r="A589" s="1" t="s">
        <v>402</v>
      </c>
      <c r="B589" s="1" t="s">
        <v>403</v>
      </c>
      <c r="C589" s="1">
        <v>17084</v>
      </c>
      <c r="D589" s="1">
        <v>26095</v>
      </c>
      <c r="E589" s="2">
        <v>44470</v>
      </c>
      <c r="F589" s="2">
        <v>44681</v>
      </c>
      <c r="G589" s="3">
        <v>42070.400000000001</v>
      </c>
      <c r="H589" s="1">
        <v>0</v>
      </c>
      <c r="I589" s="1" t="s">
        <v>1053</v>
      </c>
      <c r="J589" s="1" t="s">
        <v>50</v>
      </c>
    </row>
    <row r="590" spans="1:10" hidden="1" x14ac:dyDescent="0.25">
      <c r="A590" s="1" t="s">
        <v>943</v>
      </c>
      <c r="B590" s="1" t="s">
        <v>944</v>
      </c>
      <c r="C590" s="1">
        <v>16639</v>
      </c>
      <c r="D590" s="1">
        <v>25602</v>
      </c>
      <c r="E590" s="2">
        <v>44433</v>
      </c>
      <c r="F590" s="2">
        <v>44681</v>
      </c>
      <c r="G590" s="3">
        <v>20147.5</v>
      </c>
      <c r="H590" s="1">
        <v>0</v>
      </c>
      <c r="I590" s="1" t="s">
        <v>1059</v>
      </c>
      <c r="J590" s="1" t="s">
        <v>54</v>
      </c>
    </row>
    <row r="591" spans="1:10" hidden="1" x14ac:dyDescent="0.25">
      <c r="A591" s="1" t="s">
        <v>510</v>
      </c>
      <c r="B591" s="1" t="s">
        <v>511</v>
      </c>
      <c r="C591" s="1">
        <v>17009</v>
      </c>
      <c r="D591" s="1">
        <v>26018</v>
      </c>
      <c r="E591" s="2">
        <v>44467</v>
      </c>
      <c r="F591" s="2">
        <v>44681</v>
      </c>
      <c r="G591" s="3">
        <v>3300</v>
      </c>
      <c r="H591" s="1">
        <v>0</v>
      </c>
      <c r="I591" s="1" t="s">
        <v>1065</v>
      </c>
      <c r="J591" s="1" t="s">
        <v>92</v>
      </c>
    </row>
    <row r="592" spans="1:10" hidden="1" x14ac:dyDescent="0.25">
      <c r="A592" s="1" t="s">
        <v>263</v>
      </c>
      <c r="B592" s="1" t="s">
        <v>264</v>
      </c>
      <c r="C592" s="1">
        <v>17777</v>
      </c>
      <c r="D592" s="1">
        <v>26781</v>
      </c>
      <c r="E592" s="2">
        <v>44517</v>
      </c>
      <c r="F592" s="2">
        <v>44681</v>
      </c>
      <c r="G592" s="3">
        <v>11400</v>
      </c>
      <c r="H592" s="1">
        <v>0</v>
      </c>
      <c r="I592" s="1" t="s">
        <v>1072</v>
      </c>
      <c r="J592" s="1" t="s">
        <v>13</v>
      </c>
    </row>
    <row r="593" spans="1:10" hidden="1" x14ac:dyDescent="0.25">
      <c r="A593" s="1" t="s">
        <v>672</v>
      </c>
      <c r="B593" s="1" t="s">
        <v>673</v>
      </c>
      <c r="C593" s="1">
        <v>18479</v>
      </c>
      <c r="D593" s="1">
        <v>27477</v>
      </c>
      <c r="E593" s="2">
        <v>44581</v>
      </c>
      <c r="F593" s="2">
        <v>44681</v>
      </c>
      <c r="G593" s="3">
        <v>8925</v>
      </c>
      <c r="H593" s="1">
        <v>0</v>
      </c>
      <c r="I593" s="1" t="s">
        <v>1073</v>
      </c>
      <c r="J593" s="1" t="s">
        <v>54</v>
      </c>
    </row>
    <row r="594" spans="1:10" hidden="1" x14ac:dyDescent="0.25">
      <c r="A594" s="1" t="s">
        <v>1079</v>
      </c>
      <c r="B594" s="1" t="s">
        <v>1080</v>
      </c>
      <c r="C594" s="1">
        <v>18627</v>
      </c>
      <c r="D594" s="1">
        <v>27638</v>
      </c>
      <c r="E594" s="2">
        <v>44596</v>
      </c>
      <c r="F594" s="2">
        <v>44681</v>
      </c>
      <c r="G594" s="3">
        <v>8676</v>
      </c>
      <c r="H594" s="1">
        <v>0</v>
      </c>
      <c r="I594" s="1" t="s">
        <v>1081</v>
      </c>
      <c r="J594" s="1" t="s">
        <v>84</v>
      </c>
    </row>
    <row r="595" spans="1:10" hidden="1" x14ac:dyDescent="0.25">
      <c r="A595" s="1" t="s">
        <v>39</v>
      </c>
      <c r="B595" s="1" t="s">
        <v>40</v>
      </c>
      <c r="C595" s="1">
        <v>17259</v>
      </c>
      <c r="D595" s="1">
        <v>26255</v>
      </c>
      <c r="E595" s="2">
        <v>44482</v>
      </c>
      <c r="F595" s="2">
        <v>44681</v>
      </c>
      <c r="G595" s="3">
        <v>6156</v>
      </c>
      <c r="H595" s="1">
        <v>0</v>
      </c>
      <c r="I595" s="1" t="s">
        <v>1084</v>
      </c>
      <c r="J595" s="1" t="s">
        <v>31</v>
      </c>
    </row>
    <row r="596" spans="1:10" hidden="1" x14ac:dyDescent="0.25">
      <c r="A596" s="1" t="s">
        <v>268</v>
      </c>
      <c r="B596" s="1" t="s">
        <v>269</v>
      </c>
      <c r="C596" s="1">
        <v>17089</v>
      </c>
      <c r="D596" s="1">
        <v>26100</v>
      </c>
      <c r="E596" s="2">
        <v>44470</v>
      </c>
      <c r="F596" s="2">
        <v>44681</v>
      </c>
      <c r="G596" s="3">
        <v>12560</v>
      </c>
      <c r="H596" s="1">
        <v>0</v>
      </c>
      <c r="I596" s="1" t="s">
        <v>1086</v>
      </c>
      <c r="J596" s="1" t="s">
        <v>31</v>
      </c>
    </row>
    <row r="597" spans="1:10" hidden="1" x14ac:dyDescent="0.25">
      <c r="A597" s="1" t="s">
        <v>103</v>
      </c>
      <c r="B597" s="1" t="s">
        <v>104</v>
      </c>
      <c r="C597" s="1">
        <v>17093</v>
      </c>
      <c r="D597" s="1">
        <v>26104</v>
      </c>
      <c r="E597" s="2">
        <v>44473</v>
      </c>
      <c r="F597" s="2">
        <v>44681</v>
      </c>
      <c r="G597" s="3">
        <v>2260</v>
      </c>
      <c r="H597" s="1">
        <v>0</v>
      </c>
      <c r="I597" s="1" t="s">
        <v>1087</v>
      </c>
      <c r="J597" s="1" t="s">
        <v>54</v>
      </c>
    </row>
    <row r="598" spans="1:10" hidden="1" x14ac:dyDescent="0.25">
      <c r="A598" s="1" t="s">
        <v>1088</v>
      </c>
      <c r="B598" s="1" t="s">
        <v>1089</v>
      </c>
      <c r="C598" s="1">
        <v>17174</v>
      </c>
      <c r="D598" s="1">
        <v>26170</v>
      </c>
      <c r="E598" s="2">
        <v>44475</v>
      </c>
      <c r="F598" s="2">
        <v>44681</v>
      </c>
      <c r="G598" s="3">
        <v>10960</v>
      </c>
      <c r="H598" s="1">
        <v>0</v>
      </c>
      <c r="I598" s="1" t="s">
        <v>1090</v>
      </c>
      <c r="J598" s="1" t="s">
        <v>84</v>
      </c>
    </row>
    <row r="599" spans="1:10" hidden="1" x14ac:dyDescent="0.25">
      <c r="A599" s="1" t="s">
        <v>39</v>
      </c>
      <c r="B599" s="1" t="s">
        <v>40</v>
      </c>
      <c r="C599" s="1">
        <v>16611</v>
      </c>
      <c r="D599" s="1">
        <v>25577</v>
      </c>
      <c r="E599" s="2">
        <v>44431</v>
      </c>
      <c r="F599" s="2">
        <v>44681</v>
      </c>
      <c r="G599" s="3">
        <v>19080</v>
      </c>
      <c r="H599" s="1">
        <v>0</v>
      </c>
      <c r="I599" s="1" t="s">
        <v>1092</v>
      </c>
      <c r="J599" s="1" t="s">
        <v>31</v>
      </c>
    </row>
    <row r="600" spans="1:10" hidden="1" x14ac:dyDescent="0.25">
      <c r="A600" s="1" t="s">
        <v>433</v>
      </c>
      <c r="B600" s="1" t="s">
        <v>434</v>
      </c>
      <c r="C600" s="1">
        <v>16920</v>
      </c>
      <c r="D600" s="1">
        <v>25905</v>
      </c>
      <c r="E600" s="2">
        <v>44461</v>
      </c>
      <c r="F600" s="2">
        <v>44681</v>
      </c>
      <c r="G600" s="3">
        <v>2895</v>
      </c>
      <c r="H600" s="1">
        <v>0</v>
      </c>
      <c r="I600" s="1" t="s">
        <v>1093</v>
      </c>
      <c r="J600" s="1" t="s">
        <v>92</v>
      </c>
    </row>
    <row r="601" spans="1:10" hidden="1" x14ac:dyDescent="0.25">
      <c r="A601" s="1" t="s">
        <v>850</v>
      </c>
      <c r="B601" s="1" t="s">
        <v>851</v>
      </c>
      <c r="C601" s="1">
        <v>17211</v>
      </c>
      <c r="D601" s="1">
        <v>26208</v>
      </c>
      <c r="E601" s="2">
        <v>44480</v>
      </c>
      <c r="F601" s="2">
        <v>44681</v>
      </c>
      <c r="G601" s="3">
        <v>59000</v>
      </c>
      <c r="H601" s="1">
        <v>0</v>
      </c>
      <c r="I601" s="1" t="s">
        <v>1103</v>
      </c>
      <c r="J601" s="1" t="s">
        <v>50</v>
      </c>
    </row>
    <row r="602" spans="1:10" hidden="1" x14ac:dyDescent="0.25">
      <c r="A602" s="1" t="s">
        <v>263</v>
      </c>
      <c r="B602" s="1" t="s">
        <v>264</v>
      </c>
      <c r="C602" s="1">
        <v>17189</v>
      </c>
      <c r="D602" s="1">
        <v>26186</v>
      </c>
      <c r="E602" s="2">
        <v>44476</v>
      </c>
      <c r="F602" s="2">
        <v>44681</v>
      </c>
      <c r="G602" s="3">
        <v>250292</v>
      </c>
      <c r="H602" s="1">
        <v>0</v>
      </c>
      <c r="I602" s="1" t="s">
        <v>1122</v>
      </c>
      <c r="J602" s="1" t="s">
        <v>13</v>
      </c>
    </row>
    <row r="603" spans="1:10" hidden="1" x14ac:dyDescent="0.25">
      <c r="A603" s="1" t="s">
        <v>78</v>
      </c>
      <c r="B603" s="1" t="s">
        <v>79</v>
      </c>
      <c r="C603" s="1">
        <v>16631</v>
      </c>
      <c r="D603" s="1">
        <v>25594</v>
      </c>
      <c r="E603" s="2">
        <v>44432</v>
      </c>
      <c r="F603" s="2">
        <v>44681</v>
      </c>
      <c r="G603" s="3">
        <v>135896.20000000001</v>
      </c>
      <c r="H603" s="1">
        <v>0</v>
      </c>
      <c r="I603" s="1" t="s">
        <v>1124</v>
      </c>
      <c r="J603" s="1" t="s">
        <v>68</v>
      </c>
    </row>
    <row r="604" spans="1:10" hidden="1" x14ac:dyDescent="0.25">
      <c r="A604" s="1" t="s">
        <v>10</v>
      </c>
      <c r="B604" s="1" t="s">
        <v>11</v>
      </c>
      <c r="C604" s="1">
        <v>17500</v>
      </c>
      <c r="D604" s="1">
        <v>26506</v>
      </c>
      <c r="E604" s="2">
        <v>44495</v>
      </c>
      <c r="F604" s="2">
        <v>44681</v>
      </c>
      <c r="G604" s="3">
        <v>4000</v>
      </c>
      <c r="H604" s="1">
        <v>0</v>
      </c>
      <c r="I604" s="1" t="s">
        <v>1125</v>
      </c>
      <c r="J604" s="1" t="s">
        <v>13</v>
      </c>
    </row>
    <row r="605" spans="1:10" hidden="1" x14ac:dyDescent="0.25">
      <c r="A605" s="1" t="s">
        <v>268</v>
      </c>
      <c r="B605" s="1" t="s">
        <v>269</v>
      </c>
      <c r="C605" s="1">
        <v>17518</v>
      </c>
      <c r="D605" s="1">
        <v>26524</v>
      </c>
      <c r="E605" s="2">
        <v>44496</v>
      </c>
      <c r="F605" s="2">
        <v>44681</v>
      </c>
      <c r="G605" s="3">
        <v>23679</v>
      </c>
      <c r="H605" s="1">
        <v>0</v>
      </c>
      <c r="I605" s="1" t="s">
        <v>1126</v>
      </c>
      <c r="J605" s="1" t="s">
        <v>31</v>
      </c>
    </row>
    <row r="606" spans="1:10" hidden="1" x14ac:dyDescent="0.25">
      <c r="A606" s="1" t="s">
        <v>116</v>
      </c>
      <c r="B606" s="1" t="s">
        <v>117</v>
      </c>
      <c r="C606" s="1">
        <v>18522</v>
      </c>
      <c r="D606" s="1">
        <v>27523</v>
      </c>
      <c r="E606" s="2">
        <v>44586</v>
      </c>
      <c r="F606" s="2">
        <v>44681</v>
      </c>
      <c r="G606" s="3">
        <v>18000</v>
      </c>
      <c r="H606" s="1">
        <v>0</v>
      </c>
      <c r="I606" s="1" t="s">
        <v>1133</v>
      </c>
      <c r="J606" s="1" t="s">
        <v>50</v>
      </c>
    </row>
    <row r="607" spans="1:10" hidden="1" x14ac:dyDescent="0.25">
      <c r="A607" s="1" t="s">
        <v>321</v>
      </c>
      <c r="B607" s="1" t="s">
        <v>322</v>
      </c>
      <c r="C607" s="1">
        <v>16577</v>
      </c>
      <c r="D607" s="1">
        <v>25541</v>
      </c>
      <c r="E607" s="2">
        <v>44426</v>
      </c>
      <c r="F607" s="2">
        <v>44606</v>
      </c>
      <c r="G607" s="3">
        <v>12313.01</v>
      </c>
      <c r="H607" s="1">
        <v>24</v>
      </c>
      <c r="I607" s="1" t="s">
        <v>646</v>
      </c>
      <c r="J607" s="1" t="s">
        <v>27</v>
      </c>
    </row>
    <row r="608" spans="1:10" hidden="1" x14ac:dyDescent="0.25">
      <c r="A608" s="1" t="s">
        <v>1134</v>
      </c>
      <c r="B608" s="1" t="s">
        <v>1135</v>
      </c>
      <c r="C608" s="1">
        <v>16750</v>
      </c>
      <c r="D608" s="1">
        <v>25719</v>
      </c>
      <c r="E608" s="2">
        <v>44447</v>
      </c>
      <c r="F608" s="2">
        <v>44681</v>
      </c>
      <c r="G608" s="3">
        <v>16800</v>
      </c>
      <c r="H608" s="1">
        <v>0</v>
      </c>
      <c r="I608" s="1" t="s">
        <v>1136</v>
      </c>
      <c r="J608" s="1" t="s">
        <v>18</v>
      </c>
    </row>
    <row r="609" spans="1:10" hidden="1" x14ac:dyDescent="0.25">
      <c r="A609" s="1" t="s">
        <v>428</v>
      </c>
      <c r="B609" s="1" t="s">
        <v>429</v>
      </c>
      <c r="C609" s="1">
        <v>17068</v>
      </c>
      <c r="D609" s="1">
        <v>26079</v>
      </c>
      <c r="E609" s="2">
        <v>44469</v>
      </c>
      <c r="F609" s="2">
        <v>44681</v>
      </c>
      <c r="G609" s="3">
        <v>59840</v>
      </c>
      <c r="H609" s="1">
        <v>0</v>
      </c>
      <c r="I609" s="1" t="s">
        <v>1144</v>
      </c>
      <c r="J609" s="1" t="s">
        <v>31</v>
      </c>
    </row>
    <row r="610" spans="1:10" hidden="1" x14ac:dyDescent="0.25">
      <c r="A610" s="1" t="s">
        <v>268</v>
      </c>
      <c r="B610" s="1" t="s">
        <v>269</v>
      </c>
      <c r="C610" s="1">
        <v>17141</v>
      </c>
      <c r="D610" s="1">
        <v>26148</v>
      </c>
      <c r="E610" s="2">
        <v>44474</v>
      </c>
      <c r="F610" s="2">
        <v>44681</v>
      </c>
      <c r="G610" s="3">
        <v>13520.5</v>
      </c>
      <c r="H610" s="1">
        <v>0</v>
      </c>
      <c r="I610" s="1" t="s">
        <v>1149</v>
      </c>
      <c r="J610" s="1" t="s">
        <v>31</v>
      </c>
    </row>
    <row r="611" spans="1:10" hidden="1" x14ac:dyDescent="0.25">
      <c r="A611" s="1" t="s">
        <v>624</v>
      </c>
      <c r="B611" s="1" t="s">
        <v>625</v>
      </c>
      <c r="C611" s="1">
        <v>17361</v>
      </c>
      <c r="D611" s="1">
        <v>26364</v>
      </c>
      <c r="E611" s="2">
        <v>44489</v>
      </c>
      <c r="F611" s="2">
        <v>44681</v>
      </c>
      <c r="G611" s="3">
        <v>6696</v>
      </c>
      <c r="H611" s="1">
        <v>0</v>
      </c>
      <c r="I611" s="1" t="s">
        <v>1163</v>
      </c>
      <c r="J611" s="1" t="s">
        <v>54</v>
      </c>
    </row>
    <row r="612" spans="1:10" hidden="1" x14ac:dyDescent="0.25">
      <c r="A612" s="1" t="s">
        <v>47</v>
      </c>
      <c r="B612" s="1" t="s">
        <v>48</v>
      </c>
      <c r="C612" s="1">
        <v>17212</v>
      </c>
      <c r="D612" s="1">
        <v>26209</v>
      </c>
      <c r="E612" s="2">
        <v>44480</v>
      </c>
      <c r="F612" s="2">
        <v>44681</v>
      </c>
      <c r="G612" s="3">
        <v>59000</v>
      </c>
      <c r="H612" s="1">
        <v>0</v>
      </c>
      <c r="I612" s="1" t="s">
        <v>1186</v>
      </c>
      <c r="J612" s="1" t="s">
        <v>50</v>
      </c>
    </row>
    <row r="613" spans="1:10" hidden="1" x14ac:dyDescent="0.25">
      <c r="A613" s="1" t="s">
        <v>263</v>
      </c>
      <c r="B613" s="1" t="s">
        <v>264</v>
      </c>
      <c r="C613" s="1">
        <v>17204</v>
      </c>
      <c r="D613" s="1">
        <v>26202</v>
      </c>
      <c r="E613" s="2">
        <v>44477</v>
      </c>
      <c r="F613" s="2">
        <v>44681</v>
      </c>
      <c r="G613" s="3">
        <v>332640</v>
      </c>
      <c r="H613" s="1">
        <v>0</v>
      </c>
      <c r="I613" s="1" t="s">
        <v>1195</v>
      </c>
      <c r="J613" s="1" t="s">
        <v>13</v>
      </c>
    </row>
    <row r="614" spans="1:10" hidden="1" x14ac:dyDescent="0.25">
      <c r="A614" s="1" t="s">
        <v>47</v>
      </c>
      <c r="B614" s="1" t="s">
        <v>48</v>
      </c>
      <c r="C614" s="1">
        <v>17593</v>
      </c>
      <c r="D614" s="1">
        <v>26596</v>
      </c>
      <c r="E614" s="2">
        <v>44504</v>
      </c>
      <c r="F614" s="2">
        <v>44681</v>
      </c>
      <c r="G614" s="3">
        <v>13920</v>
      </c>
      <c r="H614" s="1">
        <v>0</v>
      </c>
      <c r="I614" s="1" t="s">
        <v>1196</v>
      </c>
      <c r="J614" s="1" t="s">
        <v>50</v>
      </c>
    </row>
    <row r="615" spans="1:10" hidden="1" x14ac:dyDescent="0.25">
      <c r="A615" s="1" t="s">
        <v>428</v>
      </c>
      <c r="B615" s="1" t="s">
        <v>429</v>
      </c>
      <c r="C615" s="1">
        <v>16508</v>
      </c>
      <c r="D615" s="1">
        <v>25455</v>
      </c>
      <c r="E615" s="2">
        <v>44417</v>
      </c>
      <c r="F615" s="2">
        <v>44681</v>
      </c>
      <c r="G615" s="3">
        <v>90192</v>
      </c>
      <c r="H615" s="1">
        <v>0</v>
      </c>
      <c r="I615" s="1" t="s">
        <v>1197</v>
      </c>
      <c r="J615" s="1" t="s">
        <v>31</v>
      </c>
    </row>
    <row r="616" spans="1:10" x14ac:dyDescent="0.25">
      <c r="A616" s="1" t="s">
        <v>554</v>
      </c>
      <c r="B616" s="1" t="s">
        <v>555</v>
      </c>
      <c r="C616" s="1">
        <v>17561</v>
      </c>
      <c r="D616" s="1">
        <v>26568</v>
      </c>
      <c r="E616" s="2">
        <v>44501</v>
      </c>
      <c r="F616" s="2">
        <v>44681</v>
      </c>
      <c r="G616" s="3">
        <v>11854.8</v>
      </c>
      <c r="H616" s="1">
        <v>0</v>
      </c>
      <c r="I616" s="1" t="s">
        <v>1198</v>
      </c>
      <c r="J616" s="1" t="s">
        <v>27</v>
      </c>
    </row>
    <row r="617" spans="1:10" hidden="1" x14ac:dyDescent="0.25">
      <c r="A617" s="1" t="s">
        <v>39</v>
      </c>
      <c r="B617" s="1" t="s">
        <v>40</v>
      </c>
      <c r="C617" s="1">
        <v>17074</v>
      </c>
      <c r="D617" s="1">
        <v>26085</v>
      </c>
      <c r="E617" s="2">
        <v>44469</v>
      </c>
      <c r="F617" s="2">
        <v>44681</v>
      </c>
      <c r="G617" s="1">
        <v>810</v>
      </c>
      <c r="H617" s="1">
        <v>0</v>
      </c>
      <c r="I617" s="1" t="s">
        <v>1209</v>
      </c>
      <c r="J617" s="1" t="s">
        <v>31</v>
      </c>
    </row>
    <row r="618" spans="1:10" hidden="1" x14ac:dyDescent="0.25">
      <c r="A618" s="1" t="s">
        <v>39</v>
      </c>
      <c r="B618" s="1" t="s">
        <v>40</v>
      </c>
      <c r="C618" s="1">
        <v>16505</v>
      </c>
      <c r="D618" s="1">
        <v>25452</v>
      </c>
      <c r="E618" s="2">
        <v>44417</v>
      </c>
      <c r="F618" s="2">
        <v>44681</v>
      </c>
      <c r="G618" s="3">
        <v>132381</v>
      </c>
      <c r="H618" s="1">
        <v>0</v>
      </c>
      <c r="I618" s="1" t="s">
        <v>1222</v>
      </c>
      <c r="J618" s="1" t="s">
        <v>31</v>
      </c>
    </row>
    <row r="619" spans="1:10" hidden="1" x14ac:dyDescent="0.25">
      <c r="A619" s="1" t="s">
        <v>745</v>
      </c>
      <c r="B619" s="1" t="s">
        <v>746</v>
      </c>
      <c r="C619" s="1">
        <v>16645</v>
      </c>
      <c r="D619" s="1">
        <v>25608</v>
      </c>
      <c r="E619" s="2">
        <v>44433</v>
      </c>
      <c r="F619" s="2">
        <v>44681</v>
      </c>
      <c r="G619" s="3">
        <v>7763.75</v>
      </c>
      <c r="H619" s="1">
        <v>0</v>
      </c>
      <c r="I619" s="1" t="s">
        <v>1226</v>
      </c>
      <c r="J619" s="1" t="s">
        <v>54</v>
      </c>
    </row>
    <row r="620" spans="1:10" hidden="1" x14ac:dyDescent="0.25">
      <c r="A620" s="1" t="s">
        <v>428</v>
      </c>
      <c r="B620" s="1" t="s">
        <v>429</v>
      </c>
      <c r="C620" s="1">
        <v>16954</v>
      </c>
      <c r="D620" s="1">
        <v>25951</v>
      </c>
      <c r="E620" s="2">
        <v>44462</v>
      </c>
      <c r="F620" s="2">
        <v>44681</v>
      </c>
      <c r="G620" s="3">
        <v>23673.599999999999</v>
      </c>
      <c r="H620" s="1">
        <v>0</v>
      </c>
      <c r="I620" s="1" t="s">
        <v>1228</v>
      </c>
      <c r="J620" s="1" t="s">
        <v>31</v>
      </c>
    </row>
    <row r="621" spans="1:10" hidden="1" x14ac:dyDescent="0.25">
      <c r="A621" s="1" t="s">
        <v>268</v>
      </c>
      <c r="B621" s="1" t="s">
        <v>269</v>
      </c>
      <c r="C621" s="1">
        <v>17143</v>
      </c>
      <c r="D621" s="1">
        <v>26150</v>
      </c>
      <c r="E621" s="2">
        <v>44474</v>
      </c>
      <c r="F621" s="2">
        <v>44681</v>
      </c>
      <c r="G621" s="3">
        <v>6986</v>
      </c>
      <c r="H621" s="1">
        <v>0</v>
      </c>
      <c r="I621" s="1" t="s">
        <v>1244</v>
      </c>
      <c r="J621" s="1" t="s">
        <v>31</v>
      </c>
    </row>
    <row r="622" spans="1:10" hidden="1" x14ac:dyDescent="0.25">
      <c r="A622" s="1" t="s">
        <v>100</v>
      </c>
      <c r="B622" s="1" t="s">
        <v>101</v>
      </c>
      <c r="C622" s="1">
        <v>18087</v>
      </c>
      <c r="D622" s="1">
        <v>27099</v>
      </c>
      <c r="E622" s="2">
        <v>44544</v>
      </c>
      <c r="F622" s="2">
        <v>44681</v>
      </c>
      <c r="G622" s="3">
        <v>3740</v>
      </c>
      <c r="H622" s="1">
        <v>0</v>
      </c>
      <c r="I622" s="1" t="s">
        <v>1257</v>
      </c>
      <c r="J622" s="1" t="s">
        <v>92</v>
      </c>
    </row>
    <row r="623" spans="1:10" hidden="1" x14ac:dyDescent="0.25">
      <c r="A623" s="1" t="s">
        <v>405</v>
      </c>
      <c r="B623" s="1" t="s">
        <v>406</v>
      </c>
      <c r="C623" s="1">
        <v>16792</v>
      </c>
      <c r="D623" s="1">
        <v>25765</v>
      </c>
      <c r="E623" s="2">
        <v>44452</v>
      </c>
      <c r="F623" s="2">
        <v>44681</v>
      </c>
      <c r="G623" s="3">
        <v>29772.95</v>
      </c>
      <c r="H623" s="1">
        <v>0</v>
      </c>
      <c r="I623" s="1" t="s">
        <v>1269</v>
      </c>
      <c r="J623" s="1" t="s">
        <v>77</v>
      </c>
    </row>
    <row r="624" spans="1:10" hidden="1" x14ac:dyDescent="0.25">
      <c r="A624" s="1" t="s">
        <v>39</v>
      </c>
      <c r="B624" s="1" t="s">
        <v>40</v>
      </c>
      <c r="C624" s="1">
        <v>17258</v>
      </c>
      <c r="D624" s="1">
        <v>26254</v>
      </c>
      <c r="E624" s="2">
        <v>44482</v>
      </c>
      <c r="F624" s="2">
        <v>44681</v>
      </c>
      <c r="G624" s="3">
        <v>57000</v>
      </c>
      <c r="H624" s="1">
        <v>0</v>
      </c>
      <c r="I624" s="1" t="s">
        <v>1271</v>
      </c>
      <c r="J624" s="1" t="s">
        <v>31</v>
      </c>
    </row>
    <row r="625" spans="1:10" hidden="1" x14ac:dyDescent="0.25">
      <c r="A625" s="1" t="s">
        <v>39</v>
      </c>
      <c r="B625" s="1" t="s">
        <v>40</v>
      </c>
      <c r="C625" s="1">
        <v>17073</v>
      </c>
      <c r="D625" s="1">
        <v>26084</v>
      </c>
      <c r="E625" s="2">
        <v>44469</v>
      </c>
      <c r="F625" s="2">
        <v>44681</v>
      </c>
      <c r="G625" s="3">
        <v>95970</v>
      </c>
      <c r="H625" s="1">
        <v>0</v>
      </c>
      <c r="I625" s="1" t="s">
        <v>1277</v>
      </c>
      <c r="J625" s="1" t="s">
        <v>31</v>
      </c>
    </row>
    <row r="626" spans="1:10" hidden="1" x14ac:dyDescent="0.25">
      <c r="A626" s="1" t="s">
        <v>165</v>
      </c>
      <c r="B626" s="1" t="s">
        <v>29</v>
      </c>
      <c r="C626" s="1">
        <v>17077</v>
      </c>
      <c r="D626" s="1">
        <v>26088</v>
      </c>
      <c r="E626" s="2">
        <v>44469</v>
      </c>
      <c r="F626" s="2">
        <v>44681</v>
      </c>
      <c r="G626" s="3">
        <v>7893</v>
      </c>
      <c r="H626" s="1">
        <v>0</v>
      </c>
      <c r="I626" s="1" t="s">
        <v>1284</v>
      </c>
      <c r="J626" s="1" t="s">
        <v>31</v>
      </c>
    </row>
    <row r="627" spans="1:10" hidden="1" x14ac:dyDescent="0.25">
      <c r="A627" s="1" t="s">
        <v>1294</v>
      </c>
      <c r="B627" s="1" t="s">
        <v>1295</v>
      </c>
      <c r="C627" s="1">
        <v>18060</v>
      </c>
      <c r="D627" s="1">
        <v>27074</v>
      </c>
      <c r="E627" s="2">
        <v>44543</v>
      </c>
      <c r="F627" s="2">
        <v>44681</v>
      </c>
      <c r="G627" s="3">
        <v>2680</v>
      </c>
      <c r="H627" s="1">
        <v>0</v>
      </c>
      <c r="I627" s="1" t="s">
        <v>1296</v>
      </c>
      <c r="J627" s="1" t="s">
        <v>54</v>
      </c>
    </row>
    <row r="628" spans="1:10" hidden="1" x14ac:dyDescent="0.25">
      <c r="A628" s="1" t="s">
        <v>39</v>
      </c>
      <c r="B628" s="1" t="s">
        <v>40</v>
      </c>
      <c r="C628" s="1">
        <v>17069</v>
      </c>
      <c r="D628" s="1">
        <v>26080</v>
      </c>
      <c r="E628" s="2">
        <v>44469</v>
      </c>
      <c r="F628" s="2">
        <v>44681</v>
      </c>
      <c r="G628" s="3">
        <v>192486</v>
      </c>
      <c r="H628" s="1">
        <v>0</v>
      </c>
      <c r="I628" s="1" t="s">
        <v>1306</v>
      </c>
      <c r="J628" s="1" t="s">
        <v>31</v>
      </c>
    </row>
    <row r="629" spans="1:10" hidden="1" x14ac:dyDescent="0.25">
      <c r="A629" s="1" t="s">
        <v>1308</v>
      </c>
      <c r="B629" s="1" t="s">
        <v>1309</v>
      </c>
      <c r="C629" s="1">
        <v>17144</v>
      </c>
      <c r="D629" s="1">
        <v>26151</v>
      </c>
      <c r="E629" s="2">
        <v>44474</v>
      </c>
      <c r="F629" s="2">
        <v>44681</v>
      </c>
      <c r="G629" s="3">
        <v>63241.5</v>
      </c>
      <c r="H629" s="1">
        <v>0</v>
      </c>
      <c r="I629" s="1" t="s">
        <v>1310</v>
      </c>
      <c r="J629" s="1" t="s">
        <v>84</v>
      </c>
    </row>
    <row r="630" spans="1:10" hidden="1" x14ac:dyDescent="0.25">
      <c r="A630" s="1" t="s">
        <v>405</v>
      </c>
      <c r="B630" s="1" t="s">
        <v>406</v>
      </c>
      <c r="C630" s="1">
        <v>17423</v>
      </c>
      <c r="D630" s="1">
        <v>26424</v>
      </c>
      <c r="E630" s="2">
        <v>44490</v>
      </c>
      <c r="F630" s="2">
        <v>44681</v>
      </c>
      <c r="G630" s="3">
        <v>22836</v>
      </c>
      <c r="H630" s="1">
        <v>0</v>
      </c>
      <c r="I630" s="1" t="s">
        <v>1322</v>
      </c>
      <c r="J630" s="1" t="s">
        <v>77</v>
      </c>
    </row>
    <row r="631" spans="1:10" hidden="1" x14ac:dyDescent="0.25">
      <c r="A631" s="1" t="s">
        <v>510</v>
      </c>
      <c r="B631" s="1" t="s">
        <v>511</v>
      </c>
      <c r="C631" s="1">
        <v>16996</v>
      </c>
      <c r="D631" s="1">
        <v>26003</v>
      </c>
      <c r="E631" s="2">
        <v>44466</v>
      </c>
      <c r="F631" s="2">
        <v>44681</v>
      </c>
      <c r="G631" s="3">
        <v>41988.5</v>
      </c>
      <c r="H631" s="1">
        <v>0</v>
      </c>
      <c r="I631" s="1" t="s">
        <v>1329</v>
      </c>
      <c r="J631" s="1" t="s">
        <v>92</v>
      </c>
    </row>
    <row r="632" spans="1:10" hidden="1" x14ac:dyDescent="0.25">
      <c r="A632" s="1" t="s">
        <v>405</v>
      </c>
      <c r="B632" s="1" t="s">
        <v>406</v>
      </c>
      <c r="C632" s="1">
        <v>17421</v>
      </c>
      <c r="D632" s="1">
        <v>26422</v>
      </c>
      <c r="E632" s="2">
        <v>44490</v>
      </c>
      <c r="F632" s="2">
        <v>44681</v>
      </c>
      <c r="G632" s="3">
        <v>49072</v>
      </c>
      <c r="H632" s="1">
        <v>0</v>
      </c>
      <c r="I632" s="1" t="s">
        <v>1338</v>
      </c>
      <c r="J632" s="1" t="s">
        <v>77</v>
      </c>
    </row>
    <row r="633" spans="1:10" hidden="1" x14ac:dyDescent="0.25">
      <c r="A633" s="1" t="s">
        <v>884</v>
      </c>
      <c r="B633" s="1" t="s">
        <v>885</v>
      </c>
      <c r="C633" s="1">
        <v>18485</v>
      </c>
      <c r="D633" s="1">
        <v>27483</v>
      </c>
      <c r="E633" s="2">
        <v>44581</v>
      </c>
      <c r="F633" s="2">
        <v>44681</v>
      </c>
      <c r="G633" s="3">
        <v>5600</v>
      </c>
      <c r="H633" s="1">
        <v>0</v>
      </c>
      <c r="I633" s="1" t="s">
        <v>1341</v>
      </c>
      <c r="J633" s="1" t="s">
        <v>54</v>
      </c>
    </row>
    <row r="634" spans="1:10" hidden="1" x14ac:dyDescent="0.25">
      <c r="A634" s="1" t="s">
        <v>103</v>
      </c>
      <c r="B634" s="1" t="s">
        <v>104</v>
      </c>
      <c r="C634" s="1">
        <v>16412</v>
      </c>
      <c r="D634" s="1">
        <v>25360</v>
      </c>
      <c r="E634" s="2">
        <v>44411</v>
      </c>
      <c r="F634" s="2">
        <v>44681</v>
      </c>
      <c r="G634" s="3">
        <v>10080</v>
      </c>
      <c r="H634" s="1">
        <v>0</v>
      </c>
      <c r="I634" s="1" t="s">
        <v>1365</v>
      </c>
      <c r="J634" s="1" t="s">
        <v>54</v>
      </c>
    </row>
    <row r="635" spans="1:10" hidden="1" x14ac:dyDescent="0.25">
      <c r="A635" s="1" t="s">
        <v>100</v>
      </c>
      <c r="B635" s="1" t="s">
        <v>101</v>
      </c>
      <c r="C635" s="1">
        <v>16919</v>
      </c>
      <c r="D635" s="1">
        <v>25904</v>
      </c>
      <c r="E635" s="2">
        <v>44461</v>
      </c>
      <c r="F635" s="2">
        <v>44681</v>
      </c>
      <c r="G635" s="3">
        <v>22893</v>
      </c>
      <c r="H635" s="1">
        <v>0</v>
      </c>
      <c r="I635" s="1" t="s">
        <v>1367</v>
      </c>
      <c r="J635" s="1" t="s">
        <v>92</v>
      </c>
    </row>
    <row r="636" spans="1:10" hidden="1" x14ac:dyDescent="0.25">
      <c r="A636" s="1" t="s">
        <v>510</v>
      </c>
      <c r="B636" s="1" t="s">
        <v>511</v>
      </c>
      <c r="C636" s="1">
        <v>16994</v>
      </c>
      <c r="D636" s="1">
        <v>26001</v>
      </c>
      <c r="E636" s="2">
        <v>44466</v>
      </c>
      <c r="F636" s="2">
        <v>44681</v>
      </c>
      <c r="G636" s="3">
        <v>105888.9</v>
      </c>
      <c r="H636" s="1">
        <v>0</v>
      </c>
      <c r="I636" s="1" t="s">
        <v>1368</v>
      </c>
      <c r="J636" s="1" t="s">
        <v>92</v>
      </c>
    </row>
    <row r="637" spans="1:10" hidden="1" x14ac:dyDescent="0.25">
      <c r="A637" s="1" t="s">
        <v>39</v>
      </c>
      <c r="B637" s="1" t="s">
        <v>40</v>
      </c>
      <c r="C637" s="1">
        <v>17072</v>
      </c>
      <c r="D637" s="1">
        <v>26083</v>
      </c>
      <c r="E637" s="2">
        <v>44469</v>
      </c>
      <c r="F637" s="2">
        <v>44681</v>
      </c>
      <c r="G637" s="3">
        <v>17214.400000000001</v>
      </c>
      <c r="H637" s="1">
        <v>0</v>
      </c>
      <c r="I637" s="1" t="s">
        <v>1375</v>
      </c>
      <c r="J637" s="1" t="s">
        <v>31</v>
      </c>
    </row>
    <row r="638" spans="1:10" hidden="1" x14ac:dyDescent="0.25">
      <c r="A638" s="1" t="s">
        <v>103</v>
      </c>
      <c r="B638" s="1" t="s">
        <v>104</v>
      </c>
      <c r="C638" s="1">
        <v>17096</v>
      </c>
      <c r="D638" s="1">
        <v>26107</v>
      </c>
      <c r="E638" s="2">
        <v>44473</v>
      </c>
      <c r="F638" s="2">
        <v>44681</v>
      </c>
      <c r="G638" s="3">
        <v>1280</v>
      </c>
      <c r="H638" s="1">
        <v>0</v>
      </c>
      <c r="I638" s="1" t="s">
        <v>1396</v>
      </c>
      <c r="J638" s="1" t="s">
        <v>54</v>
      </c>
    </row>
    <row r="639" spans="1:10" hidden="1" x14ac:dyDescent="0.25">
      <c r="A639" s="1" t="s">
        <v>10</v>
      </c>
      <c r="B639" s="1" t="s">
        <v>11</v>
      </c>
      <c r="C639" s="1">
        <v>17329</v>
      </c>
      <c r="D639" s="1">
        <v>26333</v>
      </c>
      <c r="E639" s="2">
        <v>44488</v>
      </c>
      <c r="F639" s="2">
        <v>44681</v>
      </c>
      <c r="G639" s="3">
        <v>11720</v>
      </c>
      <c r="H639" s="1">
        <v>0</v>
      </c>
      <c r="I639" s="1" t="s">
        <v>1409</v>
      </c>
      <c r="J639" s="1" t="s">
        <v>13</v>
      </c>
    </row>
    <row r="640" spans="1:10" hidden="1" x14ac:dyDescent="0.25">
      <c r="A640" s="1" t="s">
        <v>268</v>
      </c>
      <c r="B640" s="1" t="s">
        <v>269</v>
      </c>
      <c r="C640" s="1">
        <v>17142</v>
      </c>
      <c r="D640" s="1">
        <v>26149</v>
      </c>
      <c r="E640" s="2">
        <v>44474</v>
      </c>
      <c r="F640" s="2">
        <v>44681</v>
      </c>
      <c r="G640" s="3">
        <v>5647.2</v>
      </c>
      <c r="H640" s="1">
        <v>0</v>
      </c>
      <c r="I640" s="1" t="s">
        <v>1414</v>
      </c>
      <c r="J640" s="1" t="s">
        <v>31</v>
      </c>
    </row>
    <row r="641" spans="1:10" hidden="1" x14ac:dyDescent="0.25">
      <c r="A641" s="1" t="s">
        <v>100</v>
      </c>
      <c r="B641" s="1" t="s">
        <v>101</v>
      </c>
      <c r="C641" s="1">
        <v>18222</v>
      </c>
      <c r="D641" s="1">
        <v>27233</v>
      </c>
      <c r="E641" s="2">
        <v>44558</v>
      </c>
      <c r="F641" s="2">
        <v>44681</v>
      </c>
      <c r="G641" s="3">
        <v>46050</v>
      </c>
      <c r="H641" s="1">
        <v>0</v>
      </c>
      <c r="I641" s="1" t="s">
        <v>1426</v>
      </c>
      <c r="J641" s="1" t="s">
        <v>92</v>
      </c>
    </row>
    <row r="642" spans="1:10" hidden="1" x14ac:dyDescent="0.25">
      <c r="A642" s="1" t="s">
        <v>510</v>
      </c>
      <c r="B642" s="1" t="s">
        <v>511</v>
      </c>
      <c r="C642" s="1">
        <v>17513</v>
      </c>
      <c r="D642" s="1">
        <v>26519</v>
      </c>
      <c r="E642" s="2">
        <v>44496</v>
      </c>
      <c r="F642" s="2">
        <v>44681</v>
      </c>
      <c r="G642" s="3">
        <v>10792</v>
      </c>
      <c r="H642" s="1">
        <v>0</v>
      </c>
      <c r="I642" s="1" t="s">
        <v>1431</v>
      </c>
      <c r="J642" s="1" t="s">
        <v>92</v>
      </c>
    </row>
    <row r="643" spans="1:10" hidden="1" x14ac:dyDescent="0.25">
      <c r="A643" s="1" t="s">
        <v>263</v>
      </c>
      <c r="B643" s="1" t="s">
        <v>264</v>
      </c>
      <c r="C643" s="1">
        <v>17720</v>
      </c>
      <c r="D643" s="1">
        <v>26714</v>
      </c>
      <c r="E643" s="2">
        <v>44510</v>
      </c>
      <c r="F643" s="2">
        <v>44681</v>
      </c>
      <c r="G643" s="3">
        <v>178500</v>
      </c>
      <c r="H643" s="1">
        <v>0</v>
      </c>
      <c r="I643" s="1" t="s">
        <v>1436</v>
      </c>
      <c r="J643" s="1" t="s">
        <v>13</v>
      </c>
    </row>
    <row r="644" spans="1:10" hidden="1" x14ac:dyDescent="0.25">
      <c r="A644" s="1" t="s">
        <v>103</v>
      </c>
      <c r="B644" s="1" t="s">
        <v>104</v>
      </c>
      <c r="C644" s="1">
        <v>18481</v>
      </c>
      <c r="D644" s="1">
        <v>27479</v>
      </c>
      <c r="E644" s="2">
        <v>44581</v>
      </c>
      <c r="F644" s="2">
        <v>44681</v>
      </c>
      <c r="G644" s="3">
        <v>12072.5</v>
      </c>
      <c r="H644" s="1">
        <v>0</v>
      </c>
      <c r="I644" s="1" t="s">
        <v>1438</v>
      </c>
      <c r="J644" s="1" t="s">
        <v>54</v>
      </c>
    </row>
    <row r="645" spans="1:10" hidden="1" x14ac:dyDescent="0.25">
      <c r="A645" s="1" t="s">
        <v>1439</v>
      </c>
      <c r="B645" s="1" t="s">
        <v>1440</v>
      </c>
      <c r="C645" s="1">
        <v>18483</v>
      </c>
      <c r="D645" s="1">
        <v>27481</v>
      </c>
      <c r="E645" s="2">
        <v>44581</v>
      </c>
      <c r="F645" s="2">
        <v>44681</v>
      </c>
      <c r="G645" s="1">
        <v>987.5</v>
      </c>
      <c r="H645" s="1">
        <v>0</v>
      </c>
      <c r="I645" s="1" t="s">
        <v>1441</v>
      </c>
      <c r="J645" s="1" t="s">
        <v>54</v>
      </c>
    </row>
    <row r="646" spans="1:10" hidden="1" x14ac:dyDescent="0.25">
      <c r="A646" s="1" t="s">
        <v>1134</v>
      </c>
      <c r="B646" s="1" t="s">
        <v>1135</v>
      </c>
      <c r="C646" s="1">
        <v>16744</v>
      </c>
      <c r="D646" s="1">
        <v>25714</v>
      </c>
      <c r="E646" s="2">
        <v>44447</v>
      </c>
      <c r="F646" s="2">
        <v>44681</v>
      </c>
      <c r="G646" s="3">
        <v>32700</v>
      </c>
      <c r="H646" s="1">
        <v>0</v>
      </c>
      <c r="I646" s="1" t="s">
        <v>1453</v>
      </c>
      <c r="J646" s="1" t="s">
        <v>18</v>
      </c>
    </row>
    <row r="647" spans="1:10" hidden="1" x14ac:dyDescent="0.25">
      <c r="A647" s="1" t="s">
        <v>39</v>
      </c>
      <c r="B647" s="1" t="s">
        <v>40</v>
      </c>
      <c r="C647" s="1">
        <v>18598</v>
      </c>
      <c r="D647" s="1">
        <v>27606</v>
      </c>
      <c r="E647" s="2">
        <v>44593</v>
      </c>
      <c r="F647" s="2">
        <v>44681</v>
      </c>
      <c r="G647" s="3">
        <v>36845.879999999997</v>
      </c>
      <c r="H647" s="1">
        <v>0</v>
      </c>
      <c r="I647" s="1" t="s">
        <v>1475</v>
      </c>
      <c r="J647" s="1" t="s">
        <v>31</v>
      </c>
    </row>
    <row r="648" spans="1:10" hidden="1" x14ac:dyDescent="0.25">
      <c r="A648" s="1" t="s">
        <v>268</v>
      </c>
      <c r="B648" s="1" t="s">
        <v>269</v>
      </c>
      <c r="C648" s="1">
        <v>17702</v>
      </c>
      <c r="D648" s="1">
        <v>26698</v>
      </c>
      <c r="E648" s="2">
        <v>44510</v>
      </c>
      <c r="F648" s="2">
        <v>44681</v>
      </c>
      <c r="G648" s="3">
        <v>3031.6</v>
      </c>
      <c r="H648" s="1">
        <v>0</v>
      </c>
      <c r="I648" s="1" t="s">
        <v>1494</v>
      </c>
      <c r="J648" s="1" t="s">
        <v>31</v>
      </c>
    </row>
    <row r="649" spans="1:10" hidden="1" x14ac:dyDescent="0.25">
      <c r="A649" s="1" t="s">
        <v>402</v>
      </c>
      <c r="B649" s="1" t="s">
        <v>403</v>
      </c>
      <c r="C649" s="1">
        <v>17083</v>
      </c>
      <c r="D649" s="1">
        <v>26094</v>
      </c>
      <c r="E649" s="2">
        <v>44470</v>
      </c>
      <c r="F649" s="2">
        <v>44681</v>
      </c>
      <c r="G649" s="3">
        <v>44795.040000000001</v>
      </c>
      <c r="H649" s="1">
        <v>0</v>
      </c>
      <c r="I649" s="1" t="s">
        <v>1502</v>
      </c>
      <c r="J649" s="1" t="s">
        <v>50</v>
      </c>
    </row>
    <row r="650" spans="1:10" hidden="1" x14ac:dyDescent="0.25">
      <c r="A650" s="1" t="s">
        <v>1294</v>
      </c>
      <c r="B650" s="1" t="s">
        <v>1295</v>
      </c>
      <c r="C650" s="1">
        <v>16415</v>
      </c>
      <c r="D650" s="1">
        <v>25362</v>
      </c>
      <c r="E650" s="2">
        <v>44411</v>
      </c>
      <c r="F650" s="2">
        <v>44681</v>
      </c>
      <c r="G650" s="3">
        <v>27930.2</v>
      </c>
      <c r="H650" s="1">
        <v>0</v>
      </c>
      <c r="I650" s="1" t="s">
        <v>1296</v>
      </c>
      <c r="J650" s="1" t="s">
        <v>54</v>
      </c>
    </row>
    <row r="651" spans="1:10" hidden="1" x14ac:dyDescent="0.25">
      <c r="A651" s="1" t="s">
        <v>1511</v>
      </c>
      <c r="B651" s="1" t="s">
        <v>29</v>
      </c>
      <c r="C651" s="1">
        <v>16983</v>
      </c>
      <c r="D651" s="1">
        <v>25987</v>
      </c>
      <c r="E651" s="2">
        <v>44463</v>
      </c>
      <c r="F651" s="2">
        <v>44681</v>
      </c>
      <c r="G651" s="3">
        <v>93760</v>
      </c>
      <c r="H651" s="1">
        <v>0</v>
      </c>
      <c r="I651" s="1" t="s">
        <v>1512</v>
      </c>
      <c r="J651" s="1" t="s">
        <v>31</v>
      </c>
    </row>
    <row r="652" spans="1:10" hidden="1" x14ac:dyDescent="0.25">
      <c r="A652" s="1" t="s">
        <v>510</v>
      </c>
      <c r="B652" s="1" t="s">
        <v>511</v>
      </c>
      <c r="C652" s="1">
        <v>17365</v>
      </c>
      <c r="D652" s="1">
        <v>26370</v>
      </c>
      <c r="E652" s="2">
        <v>44489</v>
      </c>
      <c r="F652" s="2">
        <v>44681</v>
      </c>
      <c r="G652" s="3">
        <v>142561.5</v>
      </c>
      <c r="H652" s="1">
        <v>0</v>
      </c>
      <c r="I652" s="1" t="s">
        <v>1518</v>
      </c>
      <c r="J652" s="1" t="s">
        <v>92</v>
      </c>
    </row>
    <row r="653" spans="1:10" hidden="1" x14ac:dyDescent="0.25">
      <c r="A653" s="1" t="s">
        <v>510</v>
      </c>
      <c r="B653" s="1" t="s">
        <v>511</v>
      </c>
      <c r="C653" s="1">
        <v>18121</v>
      </c>
      <c r="D653" s="1">
        <v>27132</v>
      </c>
      <c r="E653" s="2">
        <v>44546</v>
      </c>
      <c r="F653" s="2">
        <v>44681</v>
      </c>
      <c r="G653" s="3">
        <v>27906</v>
      </c>
      <c r="H653" s="1">
        <v>0</v>
      </c>
      <c r="I653" s="1" t="s">
        <v>1547</v>
      </c>
      <c r="J653" s="1" t="s">
        <v>92</v>
      </c>
    </row>
    <row r="654" spans="1:10" hidden="1" x14ac:dyDescent="0.25">
      <c r="A654" s="1" t="s">
        <v>1079</v>
      </c>
      <c r="B654" s="1" t="s">
        <v>1080</v>
      </c>
      <c r="C654" s="1">
        <v>17700</v>
      </c>
      <c r="D654" s="1">
        <v>26696</v>
      </c>
      <c r="E654" s="2">
        <v>44510</v>
      </c>
      <c r="F654" s="2">
        <v>44681</v>
      </c>
      <c r="G654" s="3">
        <v>78740</v>
      </c>
      <c r="H654" s="1">
        <v>0</v>
      </c>
      <c r="I654" s="1" t="s">
        <v>1572</v>
      </c>
      <c r="J654" s="1" t="s">
        <v>84</v>
      </c>
    </row>
    <row r="655" spans="1:10" hidden="1" x14ac:dyDescent="0.25">
      <c r="A655" s="1" t="s">
        <v>402</v>
      </c>
      <c r="B655" s="1" t="s">
        <v>403</v>
      </c>
      <c r="C655" s="1">
        <v>17082</v>
      </c>
      <c r="D655" s="1">
        <v>26093</v>
      </c>
      <c r="E655" s="2">
        <v>44470</v>
      </c>
      <c r="F655" s="2">
        <v>44681</v>
      </c>
      <c r="G655" s="3">
        <v>178100</v>
      </c>
      <c r="H655" s="1">
        <v>0</v>
      </c>
      <c r="I655" s="1" t="s">
        <v>1578</v>
      </c>
      <c r="J655" s="1" t="s">
        <v>50</v>
      </c>
    </row>
    <row r="656" spans="1:10" hidden="1" x14ac:dyDescent="0.25">
      <c r="A656" s="1" t="s">
        <v>268</v>
      </c>
      <c r="B656" s="1" t="s">
        <v>269</v>
      </c>
      <c r="C656" s="1">
        <v>16969</v>
      </c>
      <c r="D656" s="1">
        <v>25966</v>
      </c>
      <c r="E656" s="2">
        <v>44462</v>
      </c>
      <c r="F656" s="2">
        <v>44681</v>
      </c>
      <c r="G656" s="3">
        <v>65379.4</v>
      </c>
      <c r="H656" s="1">
        <v>0</v>
      </c>
      <c r="I656" s="1" t="s">
        <v>1605</v>
      </c>
      <c r="J656" s="1" t="s">
        <v>31</v>
      </c>
    </row>
    <row r="657" spans="1:10" hidden="1" x14ac:dyDescent="0.25">
      <c r="A657" s="1" t="s">
        <v>1294</v>
      </c>
      <c r="B657" s="1" t="s">
        <v>1295</v>
      </c>
      <c r="C657" s="1">
        <v>16851</v>
      </c>
      <c r="D657" s="1">
        <v>25821</v>
      </c>
      <c r="E657" s="2">
        <v>44455</v>
      </c>
      <c r="F657" s="2">
        <v>44681</v>
      </c>
      <c r="G657" s="1">
        <v>715.2</v>
      </c>
      <c r="H657" s="1">
        <v>0</v>
      </c>
      <c r="I657" s="1" t="s">
        <v>1615</v>
      </c>
      <c r="J657" s="1" t="s">
        <v>54</v>
      </c>
    </row>
    <row r="658" spans="1:10" hidden="1" x14ac:dyDescent="0.25">
      <c r="A658" s="1" t="s">
        <v>405</v>
      </c>
      <c r="B658" s="1" t="s">
        <v>406</v>
      </c>
      <c r="C658" s="1">
        <v>17578</v>
      </c>
      <c r="D658" s="1">
        <v>26585</v>
      </c>
      <c r="E658" s="2">
        <v>44503</v>
      </c>
      <c r="F658" s="2">
        <v>44681</v>
      </c>
      <c r="G658" s="3">
        <v>100104</v>
      </c>
      <c r="H658" s="1">
        <v>0</v>
      </c>
      <c r="I658" s="1" t="s">
        <v>1626</v>
      </c>
      <c r="J658" s="1" t="s">
        <v>77</v>
      </c>
    </row>
    <row r="659" spans="1:10" hidden="1" x14ac:dyDescent="0.25">
      <c r="A659" s="1" t="s">
        <v>884</v>
      </c>
      <c r="B659" s="1" t="s">
        <v>885</v>
      </c>
      <c r="C659" s="1">
        <v>16410</v>
      </c>
      <c r="D659" s="1">
        <v>25358</v>
      </c>
      <c r="E659" s="2">
        <v>44411</v>
      </c>
      <c r="F659" s="2">
        <v>44681</v>
      </c>
      <c r="G659" s="3">
        <v>27400</v>
      </c>
      <c r="H659" s="1">
        <v>0</v>
      </c>
      <c r="I659" s="1" t="s">
        <v>1628</v>
      </c>
      <c r="J659" s="1" t="s">
        <v>54</v>
      </c>
    </row>
    <row r="660" spans="1:10" hidden="1" x14ac:dyDescent="0.25">
      <c r="A660" s="1" t="s">
        <v>428</v>
      </c>
      <c r="B660" s="1" t="s">
        <v>429</v>
      </c>
      <c r="C660" s="1">
        <v>16953</v>
      </c>
      <c r="D660" s="1">
        <v>25950</v>
      </c>
      <c r="E660" s="2">
        <v>44462</v>
      </c>
      <c r="F660" s="2">
        <v>44681</v>
      </c>
      <c r="G660" s="3">
        <v>125100</v>
      </c>
      <c r="H660" s="1">
        <v>0</v>
      </c>
      <c r="I660" s="1" t="s">
        <v>1631</v>
      </c>
      <c r="J660" s="1" t="s">
        <v>31</v>
      </c>
    </row>
    <row r="661" spans="1:10" hidden="1" x14ac:dyDescent="0.25">
      <c r="A661" s="1" t="s">
        <v>1079</v>
      </c>
      <c r="B661" s="1" t="s">
        <v>1080</v>
      </c>
      <c r="C661" s="1">
        <v>18625</v>
      </c>
      <c r="D661" s="1">
        <v>27636</v>
      </c>
      <c r="E661" s="2">
        <v>44596</v>
      </c>
      <c r="F661" s="2">
        <v>44681</v>
      </c>
      <c r="G661" s="3">
        <v>2375</v>
      </c>
      <c r="H661" s="1">
        <v>0</v>
      </c>
      <c r="I661" s="1" t="s">
        <v>1637</v>
      </c>
      <c r="J661" s="1" t="s">
        <v>84</v>
      </c>
    </row>
    <row r="662" spans="1:10" hidden="1" x14ac:dyDescent="0.25">
      <c r="A662" s="1" t="s">
        <v>428</v>
      </c>
      <c r="B662" s="1" t="s">
        <v>429</v>
      </c>
      <c r="C662" s="1">
        <v>17253</v>
      </c>
      <c r="D662" s="1">
        <v>26249</v>
      </c>
      <c r="E662" s="2">
        <v>44482</v>
      </c>
      <c r="F662" s="2">
        <v>44681</v>
      </c>
      <c r="G662" s="3">
        <v>115700</v>
      </c>
      <c r="H662" s="1">
        <v>0</v>
      </c>
      <c r="I662" s="1" t="s">
        <v>1639</v>
      </c>
      <c r="J662" s="1" t="s">
        <v>31</v>
      </c>
    </row>
    <row r="663" spans="1:10" hidden="1" x14ac:dyDescent="0.25">
      <c r="A663" s="1" t="s">
        <v>402</v>
      </c>
      <c r="B663" s="1" t="s">
        <v>403</v>
      </c>
      <c r="C663" s="1">
        <v>17414</v>
      </c>
      <c r="D663" s="1">
        <v>26416</v>
      </c>
      <c r="E663" s="2">
        <v>44490</v>
      </c>
      <c r="F663" s="2">
        <v>44681</v>
      </c>
      <c r="G663" s="3">
        <v>41600</v>
      </c>
      <c r="H663" s="1">
        <v>0</v>
      </c>
      <c r="I663" s="1" t="s">
        <v>1641</v>
      </c>
      <c r="J663" s="1" t="s">
        <v>50</v>
      </c>
    </row>
    <row r="664" spans="1:10" hidden="1" x14ac:dyDescent="0.25">
      <c r="A664" s="1" t="s">
        <v>165</v>
      </c>
      <c r="B664" s="1" t="s">
        <v>29</v>
      </c>
      <c r="C664" s="1">
        <v>17078</v>
      </c>
      <c r="D664" s="1">
        <v>26089</v>
      </c>
      <c r="E664" s="2">
        <v>44469</v>
      </c>
      <c r="F664" s="2">
        <v>44681</v>
      </c>
      <c r="G664" s="3">
        <v>6900</v>
      </c>
      <c r="H664" s="1">
        <v>0</v>
      </c>
      <c r="I664" s="1" t="s">
        <v>1642</v>
      </c>
      <c r="J664" s="1" t="s">
        <v>31</v>
      </c>
    </row>
    <row r="665" spans="1:10" hidden="1" x14ac:dyDescent="0.25">
      <c r="A665" s="1" t="s">
        <v>39</v>
      </c>
      <c r="B665" s="1" t="s">
        <v>40</v>
      </c>
      <c r="C665" s="1">
        <v>17536</v>
      </c>
      <c r="D665" s="1">
        <v>26543</v>
      </c>
      <c r="E665" s="2">
        <v>44497</v>
      </c>
      <c r="F665" s="2">
        <v>44681</v>
      </c>
      <c r="G665" s="3">
        <v>11840</v>
      </c>
      <c r="H665" s="1">
        <v>0</v>
      </c>
      <c r="I665" s="1" t="s">
        <v>1652</v>
      </c>
      <c r="J665" s="1" t="s">
        <v>31</v>
      </c>
    </row>
    <row r="666" spans="1:10" hidden="1" x14ac:dyDescent="0.25">
      <c r="A666" s="1" t="s">
        <v>613</v>
      </c>
      <c r="B666" s="1" t="s">
        <v>614</v>
      </c>
      <c r="C666" s="1">
        <v>16640</v>
      </c>
      <c r="D666" s="1">
        <v>25603</v>
      </c>
      <c r="E666" s="2">
        <v>44433</v>
      </c>
      <c r="F666" s="2">
        <v>44681</v>
      </c>
      <c r="G666" s="3">
        <v>20758.5</v>
      </c>
      <c r="H666" s="1">
        <v>0</v>
      </c>
      <c r="I666" s="1" t="s">
        <v>1676</v>
      </c>
      <c r="J666" s="1" t="s">
        <v>54</v>
      </c>
    </row>
    <row r="667" spans="1:10" hidden="1" x14ac:dyDescent="0.25">
      <c r="A667" s="1" t="s">
        <v>47</v>
      </c>
      <c r="B667" s="1" t="s">
        <v>48</v>
      </c>
      <c r="C667" s="1">
        <v>17591</v>
      </c>
      <c r="D667" s="1">
        <v>26595</v>
      </c>
      <c r="E667" s="2">
        <v>44504</v>
      </c>
      <c r="F667" s="2">
        <v>44681</v>
      </c>
      <c r="G667" s="3">
        <v>222500</v>
      </c>
      <c r="H667" s="1">
        <v>0</v>
      </c>
      <c r="I667" s="1" t="s">
        <v>1677</v>
      </c>
      <c r="J667" s="1" t="s">
        <v>50</v>
      </c>
    </row>
    <row r="668" spans="1:10" hidden="1" x14ac:dyDescent="0.25">
      <c r="A668" s="1" t="s">
        <v>510</v>
      </c>
      <c r="B668" s="1" t="s">
        <v>511</v>
      </c>
      <c r="C668" s="1">
        <v>17925</v>
      </c>
      <c r="D668" s="1">
        <v>26939</v>
      </c>
      <c r="E668" s="2">
        <v>44532</v>
      </c>
      <c r="F668" s="2">
        <v>44681</v>
      </c>
      <c r="G668" s="3">
        <v>81327</v>
      </c>
      <c r="H668" s="1">
        <v>0</v>
      </c>
      <c r="I668" s="1" t="s">
        <v>1679</v>
      </c>
      <c r="J668" s="1" t="s">
        <v>92</v>
      </c>
    </row>
    <row r="669" spans="1:10" hidden="1" x14ac:dyDescent="0.25">
      <c r="A669" s="1" t="s">
        <v>263</v>
      </c>
      <c r="B669" s="1" t="s">
        <v>264</v>
      </c>
      <c r="C669" s="1">
        <v>17776</v>
      </c>
      <c r="D669" s="1">
        <v>26780</v>
      </c>
      <c r="E669" s="2">
        <v>44517</v>
      </c>
      <c r="F669" s="2">
        <v>44681</v>
      </c>
      <c r="G669" s="3">
        <v>43800</v>
      </c>
      <c r="H669" s="1">
        <v>0</v>
      </c>
      <c r="I669" s="1" t="s">
        <v>1683</v>
      </c>
      <c r="J669" s="1" t="s">
        <v>13</v>
      </c>
    </row>
    <row r="670" spans="1:10" hidden="1" x14ac:dyDescent="0.25">
      <c r="A670" s="1" t="s">
        <v>268</v>
      </c>
      <c r="B670" s="1" t="s">
        <v>269</v>
      </c>
      <c r="C670" s="1">
        <v>17088</v>
      </c>
      <c r="D670" s="1">
        <v>26099</v>
      </c>
      <c r="E670" s="2">
        <v>44470</v>
      </c>
      <c r="F670" s="2">
        <v>44681</v>
      </c>
      <c r="G670" s="3">
        <v>196452</v>
      </c>
      <c r="H670" s="1">
        <v>0</v>
      </c>
      <c r="I670" s="1" t="s">
        <v>1694</v>
      </c>
      <c r="J670" s="1" t="s">
        <v>31</v>
      </c>
    </row>
    <row r="671" spans="1:10" hidden="1" x14ac:dyDescent="0.25">
      <c r="A671" s="1" t="s">
        <v>405</v>
      </c>
      <c r="B671" s="1" t="s">
        <v>406</v>
      </c>
      <c r="C671" s="1">
        <v>18194</v>
      </c>
      <c r="D671" s="1">
        <v>27205</v>
      </c>
      <c r="E671" s="2">
        <v>44552</v>
      </c>
      <c r="F671" s="2">
        <v>44681</v>
      </c>
      <c r="G671" s="3">
        <v>2190</v>
      </c>
      <c r="H671" s="1">
        <v>0</v>
      </c>
      <c r="I671" s="1" t="s">
        <v>1626</v>
      </c>
      <c r="J671" s="1" t="s">
        <v>77</v>
      </c>
    </row>
    <row r="672" spans="1:10" hidden="1" x14ac:dyDescent="0.25">
      <c r="A672" s="1" t="s">
        <v>165</v>
      </c>
      <c r="B672" s="1" t="s">
        <v>29</v>
      </c>
      <c r="C672" s="1">
        <v>16955</v>
      </c>
      <c r="D672" s="1">
        <v>25952</v>
      </c>
      <c r="E672" s="2">
        <v>44462</v>
      </c>
      <c r="F672" s="2">
        <v>44681</v>
      </c>
      <c r="G672" s="3">
        <v>38085</v>
      </c>
      <c r="H672" s="1">
        <v>0</v>
      </c>
      <c r="I672" s="1" t="s">
        <v>1702</v>
      </c>
      <c r="J672" s="1" t="s">
        <v>31</v>
      </c>
    </row>
    <row r="673" spans="1:10" hidden="1" x14ac:dyDescent="0.25">
      <c r="A673" s="1" t="s">
        <v>338</v>
      </c>
      <c r="B673" s="1" t="s">
        <v>305</v>
      </c>
      <c r="C673" s="1">
        <v>17915</v>
      </c>
      <c r="D673" s="1">
        <v>26928</v>
      </c>
      <c r="E673" s="2">
        <v>44532</v>
      </c>
      <c r="F673" s="2">
        <v>44682</v>
      </c>
      <c r="G673" s="3">
        <v>2920</v>
      </c>
      <c r="H673" s="1">
        <v>0</v>
      </c>
      <c r="I673" s="1" t="s">
        <v>354</v>
      </c>
      <c r="J673" s="1" t="s">
        <v>27</v>
      </c>
    </row>
    <row r="674" spans="1:10" hidden="1" x14ac:dyDescent="0.25">
      <c r="A674" s="1" t="s">
        <v>97</v>
      </c>
      <c r="B674" s="1" t="s">
        <v>98</v>
      </c>
      <c r="C674" s="1">
        <v>17920</v>
      </c>
      <c r="D674" s="1">
        <v>26933</v>
      </c>
      <c r="E674" s="2">
        <v>44532</v>
      </c>
      <c r="F674" s="2">
        <v>44682</v>
      </c>
      <c r="G674" s="3">
        <v>78240</v>
      </c>
      <c r="H674" s="1">
        <v>0</v>
      </c>
      <c r="I674" s="1" t="s">
        <v>903</v>
      </c>
      <c r="J674" s="1" t="s">
        <v>27</v>
      </c>
    </row>
    <row r="675" spans="1:10" hidden="1" x14ac:dyDescent="0.25">
      <c r="A675" s="1" t="s">
        <v>231</v>
      </c>
      <c r="B675" s="1" t="s">
        <v>232</v>
      </c>
      <c r="C675" s="1">
        <v>17926</v>
      </c>
      <c r="D675" s="1">
        <v>26940</v>
      </c>
      <c r="E675" s="2">
        <v>44532</v>
      </c>
      <c r="F675" s="2">
        <v>44682</v>
      </c>
      <c r="G675" s="3">
        <v>1500</v>
      </c>
      <c r="H675" s="1">
        <v>0</v>
      </c>
      <c r="I675" s="1" t="s">
        <v>1067</v>
      </c>
      <c r="J675" s="1" t="s">
        <v>13</v>
      </c>
    </row>
    <row r="676" spans="1:10" hidden="1" x14ac:dyDescent="0.25">
      <c r="A676" s="1" t="s">
        <v>231</v>
      </c>
      <c r="B676" s="1" t="s">
        <v>232</v>
      </c>
      <c r="C676" s="1">
        <v>17928</v>
      </c>
      <c r="D676" s="1">
        <v>26942</v>
      </c>
      <c r="E676" s="2">
        <v>44532</v>
      </c>
      <c r="F676" s="2">
        <v>44682</v>
      </c>
      <c r="G676" s="3">
        <v>105000</v>
      </c>
      <c r="H676" s="1">
        <v>0</v>
      </c>
      <c r="I676" s="1" t="s">
        <v>1051</v>
      </c>
      <c r="J676" s="1" t="s">
        <v>13</v>
      </c>
    </row>
    <row r="677" spans="1:10" hidden="1" x14ac:dyDescent="0.25">
      <c r="A677" s="1" t="s">
        <v>304</v>
      </c>
      <c r="B677" s="1" t="s">
        <v>305</v>
      </c>
      <c r="C677" s="1">
        <v>17916</v>
      </c>
      <c r="D677" s="1">
        <v>26929</v>
      </c>
      <c r="E677" s="2">
        <v>44532</v>
      </c>
      <c r="F677" s="2">
        <v>44682</v>
      </c>
      <c r="G677" s="3">
        <v>2920</v>
      </c>
      <c r="H677" s="1">
        <v>0</v>
      </c>
      <c r="I677" s="1" t="s">
        <v>1319</v>
      </c>
      <c r="J677" s="1" t="s">
        <v>27</v>
      </c>
    </row>
    <row r="678" spans="1:10" hidden="1" x14ac:dyDescent="0.25">
      <c r="A678" s="1" t="s">
        <v>304</v>
      </c>
      <c r="B678" s="1" t="s">
        <v>305</v>
      </c>
      <c r="C678" s="1">
        <v>17917</v>
      </c>
      <c r="D678" s="1">
        <v>26930</v>
      </c>
      <c r="E678" s="2">
        <v>44532</v>
      </c>
      <c r="F678" s="2">
        <v>44682</v>
      </c>
      <c r="G678" s="3">
        <v>53889</v>
      </c>
      <c r="H678" s="1">
        <v>0</v>
      </c>
      <c r="I678" s="1" t="s">
        <v>1343</v>
      </c>
      <c r="J678" s="1" t="s">
        <v>27</v>
      </c>
    </row>
    <row r="679" spans="1:10" hidden="1" x14ac:dyDescent="0.25">
      <c r="A679" s="1" t="s">
        <v>70</v>
      </c>
      <c r="B679" s="1" t="s">
        <v>71</v>
      </c>
      <c r="C679" s="1">
        <v>17794</v>
      </c>
      <c r="D679" s="1">
        <v>26796</v>
      </c>
      <c r="E679" s="2">
        <v>44518</v>
      </c>
      <c r="F679" s="2">
        <v>44683</v>
      </c>
      <c r="G679" s="3">
        <v>6199.99</v>
      </c>
      <c r="H679" s="1">
        <v>0</v>
      </c>
      <c r="I679" s="1" t="s">
        <v>218</v>
      </c>
      <c r="J679" s="1" t="s">
        <v>73</v>
      </c>
    </row>
    <row r="680" spans="1:10" hidden="1" x14ac:dyDescent="0.25">
      <c r="A680" s="1" t="s">
        <v>70</v>
      </c>
      <c r="B680" s="1" t="s">
        <v>71</v>
      </c>
      <c r="C680" s="1">
        <v>17793</v>
      </c>
      <c r="D680" s="1">
        <v>26795</v>
      </c>
      <c r="E680" s="2">
        <v>44518</v>
      </c>
      <c r="F680" s="2">
        <v>44683</v>
      </c>
      <c r="G680" s="3">
        <v>10333.32</v>
      </c>
      <c r="H680" s="1">
        <v>0</v>
      </c>
      <c r="I680" s="1" t="s">
        <v>300</v>
      </c>
      <c r="J680" s="1" t="s">
        <v>73</v>
      </c>
    </row>
    <row r="681" spans="1:10" hidden="1" x14ac:dyDescent="0.25">
      <c r="A681" s="1" t="s">
        <v>70</v>
      </c>
      <c r="B681" s="1" t="s">
        <v>71</v>
      </c>
      <c r="C681" s="1">
        <v>17572</v>
      </c>
      <c r="D681" s="1">
        <v>26579</v>
      </c>
      <c r="E681" s="2">
        <v>44503</v>
      </c>
      <c r="F681" s="2">
        <v>44683</v>
      </c>
      <c r="G681" s="3">
        <v>6200.08</v>
      </c>
      <c r="H681" s="1">
        <v>0</v>
      </c>
      <c r="I681" s="1" t="s">
        <v>358</v>
      </c>
      <c r="J681" s="1" t="s">
        <v>73</v>
      </c>
    </row>
    <row r="682" spans="1:10" hidden="1" x14ac:dyDescent="0.25">
      <c r="A682" s="1" t="s">
        <v>70</v>
      </c>
      <c r="B682" s="1" t="s">
        <v>71</v>
      </c>
      <c r="C682" s="1">
        <v>17573</v>
      </c>
      <c r="D682" s="1">
        <v>26580</v>
      </c>
      <c r="E682" s="2">
        <v>44503</v>
      </c>
      <c r="F682" s="2">
        <v>44683</v>
      </c>
      <c r="G682" s="3">
        <v>10333.44</v>
      </c>
      <c r="H682" s="1">
        <v>0</v>
      </c>
      <c r="I682" s="1" t="s">
        <v>785</v>
      </c>
      <c r="J682" s="1" t="s">
        <v>73</v>
      </c>
    </row>
    <row r="683" spans="1:10" hidden="1" x14ac:dyDescent="0.25">
      <c r="A683" s="1" t="s">
        <v>55</v>
      </c>
      <c r="B683" s="1" t="s">
        <v>56</v>
      </c>
      <c r="C683" s="1">
        <v>17950</v>
      </c>
      <c r="D683" s="1">
        <v>26964</v>
      </c>
      <c r="E683" s="2">
        <v>44533</v>
      </c>
      <c r="F683" s="2">
        <v>44683</v>
      </c>
      <c r="G683" s="3">
        <v>138000</v>
      </c>
      <c r="H683" s="1">
        <v>0</v>
      </c>
      <c r="I683" s="1" t="s">
        <v>961</v>
      </c>
      <c r="J683" s="1" t="s">
        <v>58</v>
      </c>
    </row>
    <row r="684" spans="1:10" hidden="1" x14ac:dyDescent="0.25">
      <c r="A684" s="1" t="s">
        <v>108</v>
      </c>
      <c r="B684" s="1" t="s">
        <v>109</v>
      </c>
      <c r="C684" s="1">
        <v>17100</v>
      </c>
      <c r="D684" s="1">
        <v>26111</v>
      </c>
      <c r="E684" s="2">
        <v>44473</v>
      </c>
      <c r="F684" s="2">
        <v>44683</v>
      </c>
      <c r="G684" s="3">
        <v>101400</v>
      </c>
      <c r="H684" s="1">
        <v>0</v>
      </c>
      <c r="I684" s="1" t="s">
        <v>1155</v>
      </c>
      <c r="J684" s="1" t="s">
        <v>88</v>
      </c>
    </row>
    <row r="685" spans="1:10" hidden="1" x14ac:dyDescent="0.25">
      <c r="A685" s="1" t="s">
        <v>180</v>
      </c>
      <c r="B685" s="1" t="s">
        <v>181</v>
      </c>
      <c r="C685" s="1">
        <v>17114</v>
      </c>
      <c r="D685" s="1">
        <v>26121</v>
      </c>
      <c r="E685" s="2">
        <v>44473</v>
      </c>
      <c r="F685" s="2">
        <v>44683</v>
      </c>
      <c r="G685" s="3">
        <v>2300.4</v>
      </c>
      <c r="H685" s="1">
        <v>0</v>
      </c>
      <c r="I685" s="1" t="s">
        <v>1246</v>
      </c>
      <c r="J685" s="1" t="s">
        <v>88</v>
      </c>
    </row>
    <row r="686" spans="1:10" hidden="1" x14ac:dyDescent="0.25">
      <c r="A686" s="1" t="s">
        <v>108</v>
      </c>
      <c r="B686" s="1" t="s">
        <v>109</v>
      </c>
      <c r="C686" s="1">
        <v>17098</v>
      </c>
      <c r="D686" s="1">
        <v>26109</v>
      </c>
      <c r="E686" s="2">
        <v>44473</v>
      </c>
      <c r="F686" s="2">
        <v>44683</v>
      </c>
      <c r="G686" s="3">
        <v>29640</v>
      </c>
      <c r="H686" s="1">
        <v>0</v>
      </c>
      <c r="I686" s="1" t="s">
        <v>1559</v>
      </c>
      <c r="J686" s="1" t="s">
        <v>88</v>
      </c>
    </row>
    <row r="687" spans="1:10" hidden="1" x14ac:dyDescent="0.25">
      <c r="A687" s="1" t="s">
        <v>277</v>
      </c>
      <c r="B687" s="1" t="s">
        <v>278</v>
      </c>
      <c r="C687" s="1">
        <v>18879</v>
      </c>
      <c r="D687" s="1">
        <v>27896</v>
      </c>
      <c r="E687" s="2">
        <v>44623</v>
      </c>
      <c r="F687" s="2">
        <v>44683</v>
      </c>
      <c r="G687" s="3">
        <v>12259.32</v>
      </c>
      <c r="H687" s="1">
        <v>0</v>
      </c>
      <c r="I687" s="1" t="s">
        <v>1600</v>
      </c>
      <c r="J687" s="1" t="s">
        <v>13</v>
      </c>
    </row>
    <row r="688" spans="1:10" hidden="1" x14ac:dyDescent="0.25">
      <c r="A688" s="1" t="s">
        <v>231</v>
      </c>
      <c r="B688" s="1" t="s">
        <v>232</v>
      </c>
      <c r="C688" s="1">
        <v>18584</v>
      </c>
      <c r="D688" s="1">
        <v>27595</v>
      </c>
      <c r="E688" s="2">
        <v>44593</v>
      </c>
      <c r="F688" s="2">
        <v>44683</v>
      </c>
      <c r="G688" s="3">
        <v>50105</v>
      </c>
      <c r="H688" s="1">
        <v>0</v>
      </c>
      <c r="I688" s="1" t="s">
        <v>1613</v>
      </c>
      <c r="J688" s="1" t="s">
        <v>13</v>
      </c>
    </row>
    <row r="689" spans="1:10" hidden="1" x14ac:dyDescent="0.25">
      <c r="A689" s="1" t="s">
        <v>108</v>
      </c>
      <c r="B689" s="1" t="s">
        <v>109</v>
      </c>
      <c r="C689" s="1">
        <v>17099</v>
      </c>
      <c r="D689" s="1">
        <v>26110</v>
      </c>
      <c r="E689" s="2">
        <v>44473</v>
      </c>
      <c r="F689" s="2">
        <v>44683</v>
      </c>
      <c r="G689" s="3">
        <v>56630</v>
      </c>
      <c r="H689" s="1">
        <v>0</v>
      </c>
      <c r="I689" s="1" t="s">
        <v>1659</v>
      </c>
      <c r="J689" s="1" t="s">
        <v>88</v>
      </c>
    </row>
    <row r="690" spans="1:10" hidden="1" x14ac:dyDescent="0.25">
      <c r="A690" s="1" t="s">
        <v>535</v>
      </c>
      <c r="B690" s="1" t="s">
        <v>536</v>
      </c>
      <c r="C690" s="1">
        <v>18235</v>
      </c>
      <c r="D690" s="1">
        <v>27247</v>
      </c>
      <c r="E690" s="2">
        <v>44564</v>
      </c>
      <c r="F690" s="2">
        <v>44684</v>
      </c>
      <c r="G690" s="3">
        <v>37366.18</v>
      </c>
      <c r="H690" s="1">
        <v>0</v>
      </c>
      <c r="I690" s="1" t="s">
        <v>537</v>
      </c>
      <c r="J690" s="1" t="s">
        <v>58</v>
      </c>
    </row>
    <row r="691" spans="1:10" hidden="1" x14ac:dyDescent="0.25">
      <c r="A691" s="1" t="s">
        <v>420</v>
      </c>
      <c r="B691" s="1" t="s">
        <v>421</v>
      </c>
      <c r="C691" s="1">
        <v>18234</v>
      </c>
      <c r="D691" s="1">
        <v>27246</v>
      </c>
      <c r="E691" s="2">
        <v>44564</v>
      </c>
      <c r="F691" s="2">
        <v>44684</v>
      </c>
      <c r="G691" s="3">
        <v>103563.35</v>
      </c>
      <c r="H691" s="1">
        <v>0</v>
      </c>
      <c r="I691" s="1" t="s">
        <v>561</v>
      </c>
      <c r="J691" s="1" t="s">
        <v>23</v>
      </c>
    </row>
    <row r="692" spans="1:10" hidden="1" x14ac:dyDescent="0.25">
      <c r="A692" s="1" t="s">
        <v>10</v>
      </c>
      <c r="B692" s="1" t="s">
        <v>11</v>
      </c>
      <c r="C692" s="1">
        <v>17643</v>
      </c>
      <c r="D692" s="1">
        <v>26645</v>
      </c>
      <c r="E692" s="2">
        <v>44505</v>
      </c>
      <c r="F692" s="2">
        <v>44685</v>
      </c>
      <c r="G692" s="3">
        <v>126000</v>
      </c>
      <c r="H692" s="1">
        <v>0</v>
      </c>
      <c r="I692" s="1" t="s">
        <v>167</v>
      </c>
      <c r="J692" s="1" t="s">
        <v>13</v>
      </c>
    </row>
    <row r="693" spans="1:10" hidden="1" x14ac:dyDescent="0.25">
      <c r="A693" s="1" t="s">
        <v>24</v>
      </c>
      <c r="B693" s="1" t="s">
        <v>25</v>
      </c>
      <c r="C693" s="1">
        <v>17172</v>
      </c>
      <c r="D693" s="1">
        <v>26168</v>
      </c>
      <c r="E693" s="2">
        <v>44475</v>
      </c>
      <c r="F693" s="2">
        <v>44685</v>
      </c>
      <c r="G693" s="3">
        <v>5965.61</v>
      </c>
      <c r="H693" s="1">
        <v>0</v>
      </c>
      <c r="I693" s="1" t="s">
        <v>983</v>
      </c>
      <c r="J693" s="1" t="s">
        <v>27</v>
      </c>
    </row>
    <row r="694" spans="1:10" hidden="1" x14ac:dyDescent="0.25">
      <c r="A694" s="1" t="s">
        <v>70</v>
      </c>
      <c r="B694" s="1" t="s">
        <v>71</v>
      </c>
      <c r="C694" s="1">
        <v>18168</v>
      </c>
      <c r="D694" s="1">
        <v>27179</v>
      </c>
      <c r="E694" s="2">
        <v>44550</v>
      </c>
      <c r="F694" s="2">
        <v>44685</v>
      </c>
      <c r="G694" s="1">
        <v>840</v>
      </c>
      <c r="H694" s="1">
        <v>0</v>
      </c>
      <c r="I694" s="1" t="s">
        <v>1160</v>
      </c>
      <c r="J694" s="1" t="s">
        <v>73</v>
      </c>
    </row>
    <row r="695" spans="1:10" hidden="1" x14ac:dyDescent="0.25">
      <c r="A695" s="1" t="s">
        <v>70</v>
      </c>
      <c r="B695" s="1" t="s">
        <v>71</v>
      </c>
      <c r="C695" s="1">
        <v>18167</v>
      </c>
      <c r="D695" s="1">
        <v>27178</v>
      </c>
      <c r="E695" s="2">
        <v>44550</v>
      </c>
      <c r="F695" s="2">
        <v>44685</v>
      </c>
      <c r="G695" s="3">
        <v>14222.82</v>
      </c>
      <c r="H695" s="1">
        <v>0</v>
      </c>
      <c r="I695" s="1" t="s">
        <v>1160</v>
      </c>
      <c r="J695" s="1" t="s">
        <v>73</v>
      </c>
    </row>
    <row r="696" spans="1:10" hidden="1" x14ac:dyDescent="0.25">
      <c r="A696" s="1" t="s">
        <v>1157</v>
      </c>
      <c r="B696" s="1" t="s">
        <v>1158</v>
      </c>
      <c r="C696" s="1">
        <v>18613</v>
      </c>
      <c r="D696" s="1">
        <v>27621</v>
      </c>
      <c r="E696" s="2">
        <v>44595</v>
      </c>
      <c r="F696" s="2">
        <v>44685</v>
      </c>
      <c r="G696" s="3">
        <v>6750</v>
      </c>
      <c r="H696" s="1">
        <v>0</v>
      </c>
      <c r="I696" s="1" t="s">
        <v>1357</v>
      </c>
      <c r="J696" s="1" t="s">
        <v>88</v>
      </c>
    </row>
    <row r="697" spans="1:10" hidden="1" x14ac:dyDescent="0.25">
      <c r="A697" s="1" t="s">
        <v>150</v>
      </c>
      <c r="B697" s="1" t="s">
        <v>151</v>
      </c>
      <c r="C697" s="1">
        <v>18256</v>
      </c>
      <c r="D697" s="1">
        <v>27267</v>
      </c>
      <c r="E697" s="2">
        <v>44565</v>
      </c>
      <c r="F697" s="2">
        <v>44685</v>
      </c>
      <c r="G697" s="3">
        <v>123000</v>
      </c>
      <c r="H697" s="1">
        <v>0</v>
      </c>
      <c r="I697" s="1" t="s">
        <v>1427</v>
      </c>
      <c r="J697" s="1" t="s">
        <v>58</v>
      </c>
    </row>
    <row r="698" spans="1:10" hidden="1" x14ac:dyDescent="0.25">
      <c r="A698" s="1" t="s">
        <v>70</v>
      </c>
      <c r="B698" s="1" t="s">
        <v>71</v>
      </c>
      <c r="C698" s="1">
        <v>18166</v>
      </c>
      <c r="D698" s="1">
        <v>27177</v>
      </c>
      <c r="E698" s="2">
        <v>44550</v>
      </c>
      <c r="F698" s="2">
        <v>44685</v>
      </c>
      <c r="G698" s="1">
        <v>86.56</v>
      </c>
      <c r="H698" s="1">
        <v>0</v>
      </c>
      <c r="I698" s="1" t="s">
        <v>1160</v>
      </c>
      <c r="J698" s="1" t="s">
        <v>73</v>
      </c>
    </row>
    <row r="699" spans="1:10" hidden="1" x14ac:dyDescent="0.25">
      <c r="A699" s="1" t="s">
        <v>24</v>
      </c>
      <c r="B699" s="1" t="s">
        <v>25</v>
      </c>
      <c r="C699" s="1">
        <v>17173</v>
      </c>
      <c r="D699" s="1">
        <v>26169</v>
      </c>
      <c r="E699" s="2">
        <v>44475</v>
      </c>
      <c r="F699" s="2">
        <v>44685</v>
      </c>
      <c r="G699" s="3">
        <v>12812.5</v>
      </c>
      <c r="H699" s="1">
        <v>0</v>
      </c>
      <c r="I699" s="1" t="s">
        <v>1595</v>
      </c>
      <c r="J699" s="1" t="s">
        <v>27</v>
      </c>
    </row>
    <row r="700" spans="1:10" hidden="1" x14ac:dyDescent="0.25">
      <c r="A700" s="1" t="s">
        <v>70</v>
      </c>
      <c r="B700" s="1" t="s">
        <v>71</v>
      </c>
      <c r="C700" s="1">
        <v>18169</v>
      </c>
      <c r="D700" s="1">
        <v>27180</v>
      </c>
      <c r="E700" s="2">
        <v>44550</v>
      </c>
      <c r="F700" s="2">
        <v>44685</v>
      </c>
      <c r="G700" s="1">
        <v>840</v>
      </c>
      <c r="H700" s="1">
        <v>0</v>
      </c>
      <c r="I700" s="1" t="s">
        <v>1052</v>
      </c>
      <c r="J700" s="1" t="s">
        <v>73</v>
      </c>
    </row>
    <row r="701" spans="1:10" hidden="1" x14ac:dyDescent="0.25">
      <c r="A701" s="1" t="s">
        <v>24</v>
      </c>
      <c r="B701" s="1" t="s">
        <v>25</v>
      </c>
      <c r="C701" s="1">
        <v>18288</v>
      </c>
      <c r="D701" s="1">
        <v>27297</v>
      </c>
      <c r="E701" s="2">
        <v>44566</v>
      </c>
      <c r="F701" s="2">
        <v>44686</v>
      </c>
      <c r="G701" s="3">
        <v>38212.5</v>
      </c>
      <c r="H701" s="1">
        <v>0</v>
      </c>
      <c r="I701" s="1" t="s">
        <v>44</v>
      </c>
      <c r="J701" s="1" t="s">
        <v>27</v>
      </c>
    </row>
    <row r="702" spans="1:10" hidden="1" x14ac:dyDescent="0.25">
      <c r="A702" s="1" t="s">
        <v>51</v>
      </c>
      <c r="B702" s="1" t="s">
        <v>52</v>
      </c>
      <c r="C702" s="1">
        <v>17568</v>
      </c>
      <c r="D702" s="1">
        <v>26575</v>
      </c>
      <c r="E702" s="2">
        <v>44503</v>
      </c>
      <c r="F702" s="2">
        <v>44686</v>
      </c>
      <c r="G702" s="3">
        <v>87780</v>
      </c>
      <c r="H702" s="1">
        <v>0</v>
      </c>
      <c r="I702" s="1" t="s">
        <v>53</v>
      </c>
      <c r="J702" s="1" t="s">
        <v>54</v>
      </c>
    </row>
    <row r="703" spans="1:10" hidden="1" x14ac:dyDescent="0.25">
      <c r="A703" s="1" t="s">
        <v>70</v>
      </c>
      <c r="B703" s="1" t="s">
        <v>71</v>
      </c>
      <c r="C703" s="1">
        <v>18286</v>
      </c>
      <c r="D703" s="1">
        <v>27295</v>
      </c>
      <c r="E703" s="2">
        <v>44566</v>
      </c>
      <c r="F703" s="2">
        <v>44686</v>
      </c>
      <c r="G703" s="3">
        <v>10147.77</v>
      </c>
      <c r="H703" s="1">
        <v>0</v>
      </c>
      <c r="I703" s="1" t="s">
        <v>72</v>
      </c>
      <c r="J703" s="1" t="s">
        <v>73</v>
      </c>
    </row>
    <row r="704" spans="1:10" hidden="1" x14ac:dyDescent="0.25">
      <c r="A704" s="1" t="s">
        <v>94</v>
      </c>
      <c r="B704" s="1" t="s">
        <v>95</v>
      </c>
      <c r="C704" s="1">
        <v>16416</v>
      </c>
      <c r="D704" s="1">
        <v>25363</v>
      </c>
      <c r="E704" s="2">
        <v>44411</v>
      </c>
      <c r="F704" s="2">
        <v>44686</v>
      </c>
      <c r="G704" s="3">
        <v>84463.6</v>
      </c>
      <c r="H704" s="1">
        <v>0</v>
      </c>
      <c r="I704" s="1" t="s">
        <v>96</v>
      </c>
      <c r="J704" s="1" t="s">
        <v>54</v>
      </c>
    </row>
    <row r="705" spans="1:10" hidden="1" x14ac:dyDescent="0.25">
      <c r="A705" s="1" t="s">
        <v>128</v>
      </c>
      <c r="B705" s="1" t="s">
        <v>129</v>
      </c>
      <c r="C705" s="1">
        <v>16510</v>
      </c>
      <c r="D705" s="1">
        <v>25458</v>
      </c>
      <c r="E705" s="2">
        <v>44418</v>
      </c>
      <c r="F705" s="2">
        <v>44686</v>
      </c>
      <c r="G705" s="3">
        <v>355347.6</v>
      </c>
      <c r="H705" s="1">
        <v>0</v>
      </c>
      <c r="I705" s="1" t="s">
        <v>130</v>
      </c>
      <c r="J705" s="1" t="s">
        <v>131</v>
      </c>
    </row>
    <row r="706" spans="1:10" hidden="1" x14ac:dyDescent="0.25">
      <c r="A706" s="1" t="s">
        <v>51</v>
      </c>
      <c r="B706" s="1" t="s">
        <v>52</v>
      </c>
      <c r="C706" s="1">
        <v>17028</v>
      </c>
      <c r="D706" s="1">
        <v>26037</v>
      </c>
      <c r="E706" s="2">
        <v>44467</v>
      </c>
      <c r="F706" s="2">
        <v>44686</v>
      </c>
      <c r="G706" s="3">
        <v>16723.8</v>
      </c>
      <c r="H706" s="1">
        <v>0</v>
      </c>
      <c r="I706" s="1" t="s">
        <v>132</v>
      </c>
      <c r="J706" s="1" t="s">
        <v>54</v>
      </c>
    </row>
    <row r="707" spans="1:10" hidden="1" x14ac:dyDescent="0.25">
      <c r="A707" s="1" t="s">
        <v>55</v>
      </c>
      <c r="B707" s="1" t="s">
        <v>56</v>
      </c>
      <c r="C707" s="1">
        <v>17957</v>
      </c>
      <c r="D707" s="1">
        <v>26972</v>
      </c>
      <c r="E707" s="2">
        <v>44536</v>
      </c>
      <c r="F707" s="2">
        <v>44686</v>
      </c>
      <c r="G707" s="3">
        <v>5730</v>
      </c>
      <c r="H707" s="1">
        <v>0</v>
      </c>
      <c r="I707" s="1" t="s">
        <v>139</v>
      </c>
      <c r="J707" s="1" t="s">
        <v>58</v>
      </c>
    </row>
    <row r="708" spans="1:10" hidden="1" x14ac:dyDescent="0.25">
      <c r="A708" s="1" t="s">
        <v>159</v>
      </c>
      <c r="B708" s="1" t="s">
        <v>129</v>
      </c>
      <c r="C708" s="1">
        <v>17764</v>
      </c>
      <c r="D708" s="1">
        <v>26764</v>
      </c>
      <c r="E708" s="2">
        <v>44516</v>
      </c>
      <c r="F708" s="2">
        <v>44686</v>
      </c>
      <c r="G708" s="3">
        <v>138000</v>
      </c>
      <c r="H708" s="1">
        <v>0</v>
      </c>
      <c r="I708" s="1" t="s">
        <v>160</v>
      </c>
      <c r="J708" s="1" t="s">
        <v>131</v>
      </c>
    </row>
    <row r="709" spans="1:10" hidden="1" x14ac:dyDescent="0.25">
      <c r="A709" s="1" t="s">
        <v>159</v>
      </c>
      <c r="B709" s="1" t="s">
        <v>129</v>
      </c>
      <c r="C709" s="1">
        <v>16976</v>
      </c>
      <c r="D709" s="1">
        <v>25973</v>
      </c>
      <c r="E709" s="2">
        <v>44462</v>
      </c>
      <c r="F709" s="2">
        <v>44686</v>
      </c>
      <c r="G709" s="3">
        <v>366592.64</v>
      </c>
      <c r="H709" s="1">
        <v>0</v>
      </c>
      <c r="I709" s="1" t="s">
        <v>227</v>
      </c>
      <c r="J709" s="1" t="s">
        <v>131</v>
      </c>
    </row>
    <row r="710" spans="1:10" hidden="1" x14ac:dyDescent="0.25">
      <c r="A710" s="1" t="s">
        <v>51</v>
      </c>
      <c r="B710" s="1" t="s">
        <v>52</v>
      </c>
      <c r="C710" s="1">
        <v>17825</v>
      </c>
      <c r="D710" s="1">
        <v>26828</v>
      </c>
      <c r="E710" s="2">
        <v>44522</v>
      </c>
      <c r="F710" s="2">
        <v>44686</v>
      </c>
      <c r="G710" s="3">
        <v>32139.9</v>
      </c>
      <c r="H710" s="1">
        <v>0</v>
      </c>
      <c r="I710" s="1" t="s">
        <v>236</v>
      </c>
      <c r="J710" s="1" t="s">
        <v>54</v>
      </c>
    </row>
    <row r="711" spans="1:10" hidden="1" x14ac:dyDescent="0.25">
      <c r="A711" s="1" t="s">
        <v>159</v>
      </c>
      <c r="B711" s="1" t="s">
        <v>129</v>
      </c>
      <c r="C711" s="1">
        <v>17923</v>
      </c>
      <c r="D711" s="1">
        <v>26937</v>
      </c>
      <c r="E711" s="2">
        <v>44532</v>
      </c>
      <c r="F711" s="2">
        <v>44686</v>
      </c>
      <c r="G711" s="3">
        <v>60480</v>
      </c>
      <c r="H711" s="1">
        <v>0</v>
      </c>
      <c r="I711" s="1" t="s">
        <v>272</v>
      </c>
      <c r="J711" s="1" t="s">
        <v>131</v>
      </c>
    </row>
    <row r="712" spans="1:10" hidden="1" x14ac:dyDescent="0.25">
      <c r="A712" s="1" t="s">
        <v>128</v>
      </c>
      <c r="B712" s="1" t="s">
        <v>129</v>
      </c>
      <c r="C712" s="1">
        <v>16737</v>
      </c>
      <c r="D712" s="1">
        <v>25704</v>
      </c>
      <c r="E712" s="2">
        <v>44445</v>
      </c>
      <c r="F712" s="2">
        <v>44686</v>
      </c>
      <c r="G712" s="3">
        <v>66300</v>
      </c>
      <c r="H712" s="1">
        <v>0</v>
      </c>
      <c r="I712" s="1" t="s">
        <v>283</v>
      </c>
      <c r="J712" s="1" t="s">
        <v>131</v>
      </c>
    </row>
    <row r="713" spans="1:10" hidden="1" x14ac:dyDescent="0.25">
      <c r="A713" s="1" t="s">
        <v>147</v>
      </c>
      <c r="B713" s="1" t="s">
        <v>148</v>
      </c>
      <c r="C713" s="1">
        <v>18281</v>
      </c>
      <c r="D713" s="1">
        <v>27291</v>
      </c>
      <c r="E713" s="2">
        <v>44566</v>
      </c>
      <c r="F713" s="2">
        <v>44686</v>
      </c>
      <c r="G713" s="3">
        <v>229881.16</v>
      </c>
      <c r="H713" s="1">
        <v>0</v>
      </c>
      <c r="I713" s="1" t="s">
        <v>336</v>
      </c>
      <c r="J713" s="1" t="s">
        <v>23</v>
      </c>
    </row>
    <row r="714" spans="1:10" hidden="1" x14ac:dyDescent="0.25">
      <c r="A714" s="1" t="s">
        <v>128</v>
      </c>
      <c r="B714" s="1" t="s">
        <v>129</v>
      </c>
      <c r="C714" s="1">
        <v>17885</v>
      </c>
      <c r="D714" s="1">
        <v>26894</v>
      </c>
      <c r="E714" s="2">
        <v>44529</v>
      </c>
      <c r="F714" s="2">
        <v>44686</v>
      </c>
      <c r="G714" s="3">
        <v>354200</v>
      </c>
      <c r="H714" s="1">
        <v>0</v>
      </c>
      <c r="I714" s="1" t="s">
        <v>399</v>
      </c>
      <c r="J714" s="1" t="s">
        <v>131</v>
      </c>
    </row>
    <row r="715" spans="1:10" hidden="1" x14ac:dyDescent="0.25">
      <c r="A715" s="1" t="s">
        <v>128</v>
      </c>
      <c r="B715" s="1" t="s">
        <v>129</v>
      </c>
      <c r="C715" s="1">
        <v>17681</v>
      </c>
      <c r="D715" s="1">
        <v>26679</v>
      </c>
      <c r="E715" s="2">
        <v>44509</v>
      </c>
      <c r="F715" s="2">
        <v>44686</v>
      </c>
      <c r="G715" s="3">
        <v>213000</v>
      </c>
      <c r="H715" s="1">
        <v>0</v>
      </c>
      <c r="I715" s="1" t="s">
        <v>418</v>
      </c>
      <c r="J715" s="1" t="s">
        <v>131</v>
      </c>
    </row>
    <row r="716" spans="1:10" hidden="1" x14ac:dyDescent="0.25">
      <c r="A716" s="1" t="s">
        <v>159</v>
      </c>
      <c r="B716" s="1" t="s">
        <v>129</v>
      </c>
      <c r="C716" s="1">
        <v>17313</v>
      </c>
      <c r="D716" s="1">
        <v>26311</v>
      </c>
      <c r="E716" s="2">
        <v>44487</v>
      </c>
      <c r="F716" s="2">
        <v>44686</v>
      </c>
      <c r="G716" s="3">
        <v>136092.79999999999</v>
      </c>
      <c r="H716" s="1">
        <v>0</v>
      </c>
      <c r="I716" s="1" t="s">
        <v>431</v>
      </c>
      <c r="J716" s="1" t="s">
        <v>131</v>
      </c>
    </row>
    <row r="717" spans="1:10" hidden="1" x14ac:dyDescent="0.25">
      <c r="A717" s="1" t="s">
        <v>140</v>
      </c>
      <c r="B717" s="1" t="s">
        <v>141</v>
      </c>
      <c r="C717" s="1">
        <v>18282</v>
      </c>
      <c r="D717" s="1">
        <v>27292</v>
      </c>
      <c r="E717" s="2">
        <v>44566</v>
      </c>
      <c r="F717" s="2">
        <v>44686</v>
      </c>
      <c r="G717" s="3">
        <v>12243.32</v>
      </c>
      <c r="H717" s="1">
        <v>0</v>
      </c>
      <c r="I717" s="1" t="s">
        <v>440</v>
      </c>
      <c r="J717" s="1" t="s">
        <v>73</v>
      </c>
    </row>
    <row r="718" spans="1:10" hidden="1" x14ac:dyDescent="0.25">
      <c r="A718" s="1" t="s">
        <v>159</v>
      </c>
      <c r="B718" s="1" t="s">
        <v>129</v>
      </c>
      <c r="C718" s="1">
        <v>17807</v>
      </c>
      <c r="D718" s="1">
        <v>26810</v>
      </c>
      <c r="E718" s="2">
        <v>44518</v>
      </c>
      <c r="F718" s="2">
        <v>44686</v>
      </c>
      <c r="G718" s="3">
        <v>11550</v>
      </c>
      <c r="H718" s="1">
        <v>0</v>
      </c>
      <c r="I718" s="1" t="s">
        <v>505</v>
      </c>
      <c r="J718" s="1" t="s">
        <v>131</v>
      </c>
    </row>
    <row r="719" spans="1:10" hidden="1" x14ac:dyDescent="0.25">
      <c r="A719" s="1" t="s">
        <v>277</v>
      </c>
      <c r="B719" s="1" t="s">
        <v>278</v>
      </c>
      <c r="C719" s="1">
        <v>17965</v>
      </c>
      <c r="D719" s="1">
        <v>26980</v>
      </c>
      <c r="E719" s="2">
        <v>44536</v>
      </c>
      <c r="F719" s="2">
        <v>44686</v>
      </c>
      <c r="G719" s="3">
        <v>21022.5</v>
      </c>
      <c r="H719" s="1">
        <v>0</v>
      </c>
      <c r="I719" s="1" t="s">
        <v>519</v>
      </c>
      <c r="J719" s="1" t="s">
        <v>13</v>
      </c>
    </row>
    <row r="720" spans="1:10" hidden="1" x14ac:dyDescent="0.25">
      <c r="A720" s="1" t="s">
        <v>159</v>
      </c>
      <c r="B720" s="1" t="s">
        <v>129</v>
      </c>
      <c r="C720" s="1">
        <v>17765</v>
      </c>
      <c r="D720" s="1">
        <v>26765</v>
      </c>
      <c r="E720" s="2">
        <v>44516</v>
      </c>
      <c r="F720" s="2">
        <v>44686</v>
      </c>
      <c r="G720" s="3">
        <v>220800</v>
      </c>
      <c r="H720" s="1">
        <v>0</v>
      </c>
      <c r="I720" s="1" t="s">
        <v>520</v>
      </c>
      <c r="J720" s="1" t="s">
        <v>131</v>
      </c>
    </row>
    <row r="721" spans="1:10" hidden="1" x14ac:dyDescent="0.25">
      <c r="A721" s="1" t="s">
        <v>70</v>
      </c>
      <c r="B721" s="1" t="s">
        <v>71</v>
      </c>
      <c r="C721" s="1">
        <v>18287</v>
      </c>
      <c r="D721" s="1">
        <v>27296</v>
      </c>
      <c r="E721" s="2">
        <v>44566</v>
      </c>
      <c r="F721" s="2">
        <v>44686</v>
      </c>
      <c r="G721" s="3">
        <v>4083.33</v>
      </c>
      <c r="H721" s="1">
        <v>0</v>
      </c>
      <c r="I721" s="1" t="s">
        <v>570</v>
      </c>
      <c r="J721" s="1" t="s">
        <v>73</v>
      </c>
    </row>
    <row r="722" spans="1:10" hidden="1" x14ac:dyDescent="0.25">
      <c r="A722" s="1" t="s">
        <v>128</v>
      </c>
      <c r="B722" s="1" t="s">
        <v>129</v>
      </c>
      <c r="C722" s="1">
        <v>17505</v>
      </c>
      <c r="D722" s="1">
        <v>26511</v>
      </c>
      <c r="E722" s="2">
        <v>44495</v>
      </c>
      <c r="F722" s="2">
        <v>44686</v>
      </c>
      <c r="G722" s="3">
        <v>105000</v>
      </c>
      <c r="H722" s="1">
        <v>0</v>
      </c>
      <c r="I722" s="1" t="s">
        <v>733</v>
      </c>
      <c r="J722" s="1" t="s">
        <v>131</v>
      </c>
    </row>
    <row r="723" spans="1:10" hidden="1" x14ac:dyDescent="0.25">
      <c r="A723" s="1" t="s">
        <v>159</v>
      </c>
      <c r="B723" s="1" t="s">
        <v>129</v>
      </c>
      <c r="C723" s="1">
        <v>18648</v>
      </c>
      <c r="D723" s="1">
        <v>27658</v>
      </c>
      <c r="E723" s="2">
        <v>44599</v>
      </c>
      <c r="F723" s="2">
        <v>44686</v>
      </c>
      <c r="G723" s="3">
        <v>83520</v>
      </c>
      <c r="H723" s="1">
        <v>0</v>
      </c>
      <c r="I723" s="1" t="s">
        <v>750</v>
      </c>
      <c r="J723" s="1" t="s">
        <v>131</v>
      </c>
    </row>
    <row r="724" spans="1:10" hidden="1" x14ac:dyDescent="0.25">
      <c r="A724" s="1" t="s">
        <v>147</v>
      </c>
      <c r="B724" s="1" t="s">
        <v>148</v>
      </c>
      <c r="C724" s="1">
        <v>18280</v>
      </c>
      <c r="D724" s="1">
        <v>27290</v>
      </c>
      <c r="E724" s="2">
        <v>44566</v>
      </c>
      <c r="F724" s="2">
        <v>44686</v>
      </c>
      <c r="G724" s="3">
        <v>86700</v>
      </c>
      <c r="H724" s="1">
        <v>0</v>
      </c>
      <c r="I724" s="1" t="s">
        <v>854</v>
      </c>
      <c r="J724" s="1" t="s">
        <v>23</v>
      </c>
    </row>
    <row r="725" spans="1:10" hidden="1" x14ac:dyDescent="0.25">
      <c r="A725" s="1" t="s">
        <v>402</v>
      </c>
      <c r="B725" s="1" t="s">
        <v>403</v>
      </c>
      <c r="C725" s="1">
        <v>17412</v>
      </c>
      <c r="D725" s="1">
        <v>26414</v>
      </c>
      <c r="E725" s="2">
        <v>44490</v>
      </c>
      <c r="F725" s="2">
        <v>44686</v>
      </c>
      <c r="G725" s="3">
        <v>17906</v>
      </c>
      <c r="H725" s="1">
        <v>0</v>
      </c>
      <c r="I725" s="1" t="s">
        <v>868</v>
      </c>
      <c r="J725" s="1" t="s">
        <v>50</v>
      </c>
    </row>
    <row r="726" spans="1:10" hidden="1" x14ac:dyDescent="0.25">
      <c r="A726" s="1" t="s">
        <v>159</v>
      </c>
      <c r="B726" s="1" t="s">
        <v>129</v>
      </c>
      <c r="C726" s="1">
        <v>16404</v>
      </c>
      <c r="D726" s="1">
        <v>25352</v>
      </c>
      <c r="E726" s="2">
        <v>44410</v>
      </c>
      <c r="F726" s="2">
        <v>44686</v>
      </c>
      <c r="G726" s="3">
        <v>339285</v>
      </c>
      <c r="H726" s="1">
        <v>0</v>
      </c>
      <c r="I726" s="1" t="s">
        <v>972</v>
      </c>
      <c r="J726" s="1" t="s">
        <v>131</v>
      </c>
    </row>
    <row r="727" spans="1:10" hidden="1" x14ac:dyDescent="0.25">
      <c r="A727" s="1" t="s">
        <v>94</v>
      </c>
      <c r="B727" s="1" t="s">
        <v>95</v>
      </c>
      <c r="C727" s="1">
        <v>16841</v>
      </c>
      <c r="D727" s="1">
        <v>25807</v>
      </c>
      <c r="E727" s="2">
        <v>44454</v>
      </c>
      <c r="F727" s="2">
        <v>44686</v>
      </c>
      <c r="G727" s="3">
        <v>11692.8</v>
      </c>
      <c r="H727" s="1">
        <v>0</v>
      </c>
      <c r="I727" s="1" t="s">
        <v>1074</v>
      </c>
      <c r="J727" s="1" t="s">
        <v>54</v>
      </c>
    </row>
    <row r="728" spans="1:10" hidden="1" x14ac:dyDescent="0.25">
      <c r="A728" s="1" t="s">
        <v>1096</v>
      </c>
      <c r="B728" s="1" t="s">
        <v>343</v>
      </c>
      <c r="C728" s="1">
        <v>18283</v>
      </c>
      <c r="D728" s="1">
        <v>27293</v>
      </c>
      <c r="E728" s="2">
        <v>44566</v>
      </c>
      <c r="F728" s="2">
        <v>44686</v>
      </c>
      <c r="G728" s="3">
        <v>77500</v>
      </c>
      <c r="H728" s="1">
        <v>0</v>
      </c>
      <c r="I728" s="1" t="s">
        <v>1097</v>
      </c>
      <c r="J728" s="1" t="s">
        <v>73</v>
      </c>
    </row>
    <row r="729" spans="1:10" hidden="1" x14ac:dyDescent="0.25">
      <c r="A729" s="1" t="s">
        <v>10</v>
      </c>
      <c r="B729" s="1" t="s">
        <v>11</v>
      </c>
      <c r="C729" s="1">
        <v>17187</v>
      </c>
      <c r="D729" s="1">
        <v>26184</v>
      </c>
      <c r="E729" s="2">
        <v>44476</v>
      </c>
      <c r="F729" s="2">
        <v>44686</v>
      </c>
      <c r="G729" s="3">
        <v>44000.08</v>
      </c>
      <c r="H729" s="1">
        <v>0</v>
      </c>
      <c r="I729" s="1" t="s">
        <v>1185</v>
      </c>
      <c r="J729" s="1" t="s">
        <v>13</v>
      </c>
    </row>
    <row r="730" spans="1:10" hidden="1" x14ac:dyDescent="0.25">
      <c r="A730" s="1" t="s">
        <v>128</v>
      </c>
      <c r="B730" s="1" t="s">
        <v>129</v>
      </c>
      <c r="C730" s="1">
        <v>16707</v>
      </c>
      <c r="D730" s="1">
        <v>25675</v>
      </c>
      <c r="E730" s="2">
        <v>44442</v>
      </c>
      <c r="F730" s="2">
        <v>44686</v>
      </c>
      <c r="G730" s="3">
        <v>397137.64</v>
      </c>
      <c r="H730" s="1">
        <v>0</v>
      </c>
      <c r="I730" s="1" t="s">
        <v>1265</v>
      </c>
      <c r="J730" s="1" t="s">
        <v>131</v>
      </c>
    </row>
    <row r="731" spans="1:10" hidden="1" x14ac:dyDescent="0.25">
      <c r="A731" s="1" t="s">
        <v>847</v>
      </c>
      <c r="B731" s="1" t="s">
        <v>848</v>
      </c>
      <c r="C731" s="1">
        <v>18177</v>
      </c>
      <c r="D731" s="1">
        <v>27188</v>
      </c>
      <c r="E731" s="2">
        <v>44551</v>
      </c>
      <c r="F731" s="2">
        <v>44686</v>
      </c>
      <c r="G731" s="3">
        <v>1902.6</v>
      </c>
      <c r="H731" s="1">
        <v>0</v>
      </c>
      <c r="I731" s="1" t="s">
        <v>1281</v>
      </c>
      <c r="J731" s="1" t="s">
        <v>73</v>
      </c>
    </row>
    <row r="732" spans="1:10" hidden="1" x14ac:dyDescent="0.25">
      <c r="A732" s="1" t="s">
        <v>128</v>
      </c>
      <c r="B732" s="1" t="s">
        <v>129</v>
      </c>
      <c r="C732" s="1">
        <v>16401</v>
      </c>
      <c r="D732" s="1">
        <v>25349</v>
      </c>
      <c r="E732" s="2">
        <v>44410</v>
      </c>
      <c r="F732" s="2">
        <v>44686</v>
      </c>
      <c r="G732" s="3">
        <v>301035</v>
      </c>
      <c r="H732" s="1">
        <v>0</v>
      </c>
      <c r="I732" s="1" t="s">
        <v>1364</v>
      </c>
      <c r="J732" s="1" t="s">
        <v>131</v>
      </c>
    </row>
    <row r="733" spans="1:10" hidden="1" x14ac:dyDescent="0.25">
      <c r="A733" s="1" t="s">
        <v>847</v>
      </c>
      <c r="B733" s="1" t="s">
        <v>848</v>
      </c>
      <c r="C733" s="1">
        <v>18182</v>
      </c>
      <c r="D733" s="1">
        <v>27194</v>
      </c>
      <c r="E733" s="2">
        <v>44551</v>
      </c>
      <c r="F733" s="2">
        <v>44686</v>
      </c>
      <c r="G733" s="3">
        <v>1644</v>
      </c>
      <c r="H733" s="1">
        <v>0</v>
      </c>
      <c r="I733" s="1" t="s">
        <v>849</v>
      </c>
      <c r="J733" s="1" t="s">
        <v>73</v>
      </c>
    </row>
    <row r="734" spans="1:10" hidden="1" x14ac:dyDescent="0.25">
      <c r="A734" s="1" t="s">
        <v>94</v>
      </c>
      <c r="B734" s="1" t="s">
        <v>95</v>
      </c>
      <c r="C734" s="1">
        <v>18488</v>
      </c>
      <c r="D734" s="1">
        <v>27486</v>
      </c>
      <c r="E734" s="2">
        <v>44581</v>
      </c>
      <c r="F734" s="2">
        <v>44686</v>
      </c>
      <c r="G734" s="3">
        <v>52747</v>
      </c>
      <c r="H734" s="1">
        <v>0</v>
      </c>
      <c r="I734" s="1" t="s">
        <v>1496</v>
      </c>
      <c r="J734" s="1" t="s">
        <v>54</v>
      </c>
    </row>
    <row r="735" spans="1:10" hidden="1" x14ac:dyDescent="0.25">
      <c r="A735" s="1" t="s">
        <v>94</v>
      </c>
      <c r="B735" s="1" t="s">
        <v>95</v>
      </c>
      <c r="C735" s="1">
        <v>17932</v>
      </c>
      <c r="D735" s="1">
        <v>26946</v>
      </c>
      <c r="E735" s="2">
        <v>44532</v>
      </c>
      <c r="F735" s="2">
        <v>44686</v>
      </c>
      <c r="G735" s="3">
        <v>4566.9799999999996</v>
      </c>
      <c r="H735" s="1">
        <v>0</v>
      </c>
      <c r="I735" s="1" t="s">
        <v>1632</v>
      </c>
      <c r="J735" s="1" t="s">
        <v>54</v>
      </c>
    </row>
    <row r="736" spans="1:10" hidden="1" x14ac:dyDescent="0.25">
      <c r="A736" s="1" t="s">
        <v>159</v>
      </c>
      <c r="B736" s="1" t="s">
        <v>129</v>
      </c>
      <c r="C736" s="1">
        <v>17314</v>
      </c>
      <c r="D736" s="1">
        <v>26312</v>
      </c>
      <c r="E736" s="2">
        <v>44487</v>
      </c>
      <c r="F736" s="2">
        <v>44686</v>
      </c>
      <c r="G736" s="3">
        <v>230010.4</v>
      </c>
      <c r="H736" s="1">
        <v>0</v>
      </c>
      <c r="I736" s="1" t="s">
        <v>1640</v>
      </c>
      <c r="J736" s="1" t="s">
        <v>131</v>
      </c>
    </row>
    <row r="737" spans="1:10" hidden="1" x14ac:dyDescent="0.25">
      <c r="A737" s="1" t="s">
        <v>128</v>
      </c>
      <c r="B737" s="1" t="s">
        <v>129</v>
      </c>
      <c r="C737" s="1">
        <v>17808</v>
      </c>
      <c r="D737" s="1">
        <v>26811</v>
      </c>
      <c r="E737" s="2">
        <v>44518</v>
      </c>
      <c r="F737" s="2">
        <v>44686</v>
      </c>
      <c r="G737" s="3">
        <v>11550</v>
      </c>
      <c r="H737" s="1">
        <v>0</v>
      </c>
      <c r="I737" s="1" t="s">
        <v>1684</v>
      </c>
      <c r="J737" s="1" t="s">
        <v>131</v>
      </c>
    </row>
    <row r="738" spans="1:10" hidden="1" x14ac:dyDescent="0.25">
      <c r="A738" s="1" t="s">
        <v>1714</v>
      </c>
      <c r="B738" s="1" t="s">
        <v>848</v>
      </c>
      <c r="C738" s="1">
        <v>18184</v>
      </c>
      <c r="D738" s="1">
        <v>27195</v>
      </c>
      <c r="E738" s="2">
        <v>44551</v>
      </c>
      <c r="F738" s="2">
        <v>44686</v>
      </c>
      <c r="G738" s="1">
        <v>744</v>
      </c>
      <c r="H738" s="1">
        <v>0</v>
      </c>
      <c r="I738" s="1" t="s">
        <v>1715</v>
      </c>
      <c r="J738" s="1" t="s">
        <v>73</v>
      </c>
    </row>
    <row r="739" spans="1:10" hidden="1" x14ac:dyDescent="0.25">
      <c r="A739" s="1" t="s">
        <v>140</v>
      </c>
      <c r="B739" s="1" t="s">
        <v>141</v>
      </c>
      <c r="C739" s="1">
        <v>17996</v>
      </c>
      <c r="D739" s="1">
        <v>27008</v>
      </c>
      <c r="E739" s="2">
        <v>44537</v>
      </c>
      <c r="F739" s="2">
        <v>44687</v>
      </c>
      <c r="G739" s="3">
        <v>5814.68</v>
      </c>
      <c r="H739" s="1">
        <v>0</v>
      </c>
      <c r="I739" s="1" t="s">
        <v>142</v>
      </c>
      <c r="J739" s="1" t="s">
        <v>73</v>
      </c>
    </row>
    <row r="740" spans="1:10" hidden="1" x14ac:dyDescent="0.25">
      <c r="A740" s="1" t="s">
        <v>140</v>
      </c>
      <c r="B740" s="1" t="s">
        <v>141</v>
      </c>
      <c r="C740" s="1">
        <v>17993</v>
      </c>
      <c r="D740" s="1">
        <v>27004</v>
      </c>
      <c r="E740" s="2">
        <v>44537</v>
      </c>
      <c r="F740" s="2">
        <v>44687</v>
      </c>
      <c r="G740" s="3">
        <v>54443.44</v>
      </c>
      <c r="H740" s="1">
        <v>0</v>
      </c>
      <c r="I740" s="1" t="s">
        <v>229</v>
      </c>
      <c r="J740" s="1" t="s">
        <v>73</v>
      </c>
    </row>
    <row r="741" spans="1:10" hidden="1" x14ac:dyDescent="0.25">
      <c r="A741" s="1" t="s">
        <v>70</v>
      </c>
      <c r="B741" s="1" t="s">
        <v>71</v>
      </c>
      <c r="C741" s="1">
        <v>18510</v>
      </c>
      <c r="D741" s="1">
        <v>27508</v>
      </c>
      <c r="E741" s="2">
        <v>44582</v>
      </c>
      <c r="F741" s="2">
        <v>44687</v>
      </c>
      <c r="G741" s="3">
        <v>21746.92</v>
      </c>
      <c r="H741" s="1">
        <v>0</v>
      </c>
      <c r="I741" s="1" t="s">
        <v>237</v>
      </c>
      <c r="J741" s="1" t="s">
        <v>73</v>
      </c>
    </row>
    <row r="742" spans="1:10" hidden="1" x14ac:dyDescent="0.25">
      <c r="A742" s="1" t="s">
        <v>70</v>
      </c>
      <c r="B742" s="1" t="s">
        <v>71</v>
      </c>
      <c r="C742" s="1">
        <v>17991</v>
      </c>
      <c r="D742" s="1">
        <v>27002</v>
      </c>
      <c r="E742" s="2">
        <v>44537</v>
      </c>
      <c r="F742" s="2">
        <v>44687</v>
      </c>
      <c r="G742" s="3">
        <v>8074.44</v>
      </c>
      <c r="H742" s="1">
        <v>0</v>
      </c>
      <c r="I742" s="1" t="s">
        <v>273</v>
      </c>
      <c r="J742" s="1" t="s">
        <v>73</v>
      </c>
    </row>
    <row r="743" spans="1:10" hidden="1" x14ac:dyDescent="0.25">
      <c r="A743" s="1" t="s">
        <v>97</v>
      </c>
      <c r="B743" s="1" t="s">
        <v>98</v>
      </c>
      <c r="C743" s="1">
        <v>18003</v>
      </c>
      <c r="D743" s="1">
        <v>27015</v>
      </c>
      <c r="E743" s="2">
        <v>44537</v>
      </c>
      <c r="F743" s="2">
        <v>44687</v>
      </c>
      <c r="G743" s="3">
        <v>17115</v>
      </c>
      <c r="H743" s="1">
        <v>0</v>
      </c>
      <c r="I743" s="1" t="s">
        <v>389</v>
      </c>
      <c r="J743" s="1" t="s">
        <v>27</v>
      </c>
    </row>
    <row r="744" spans="1:10" hidden="1" x14ac:dyDescent="0.25">
      <c r="A744" s="1" t="s">
        <v>97</v>
      </c>
      <c r="B744" s="1" t="s">
        <v>98</v>
      </c>
      <c r="C744" s="1">
        <v>18001</v>
      </c>
      <c r="D744" s="1">
        <v>27013</v>
      </c>
      <c r="E744" s="2">
        <v>44537</v>
      </c>
      <c r="F744" s="2">
        <v>44687</v>
      </c>
      <c r="G744" s="3">
        <v>56502.5</v>
      </c>
      <c r="H744" s="1">
        <v>0</v>
      </c>
      <c r="I744" s="1" t="s">
        <v>638</v>
      </c>
      <c r="J744" s="1" t="s">
        <v>27</v>
      </c>
    </row>
    <row r="745" spans="1:10" hidden="1" x14ac:dyDescent="0.25">
      <c r="A745" s="1" t="s">
        <v>140</v>
      </c>
      <c r="B745" s="1" t="s">
        <v>141</v>
      </c>
      <c r="C745" s="1">
        <v>17994</v>
      </c>
      <c r="D745" s="1">
        <v>27005</v>
      </c>
      <c r="E745" s="2">
        <v>44537</v>
      </c>
      <c r="F745" s="2">
        <v>44687</v>
      </c>
      <c r="G745" s="1">
        <v>572.79999999999995</v>
      </c>
      <c r="H745" s="1">
        <v>0</v>
      </c>
      <c r="I745" s="1" t="s">
        <v>711</v>
      </c>
      <c r="J745" s="1" t="s">
        <v>73</v>
      </c>
    </row>
    <row r="746" spans="1:10" hidden="1" x14ac:dyDescent="0.25">
      <c r="A746" s="1" t="s">
        <v>70</v>
      </c>
      <c r="B746" s="1" t="s">
        <v>71</v>
      </c>
      <c r="C746" s="1">
        <v>17997</v>
      </c>
      <c r="D746" s="1">
        <v>27009</v>
      </c>
      <c r="E746" s="2">
        <v>44537</v>
      </c>
      <c r="F746" s="2">
        <v>44687</v>
      </c>
      <c r="G746" s="3">
        <v>8153.99</v>
      </c>
      <c r="H746" s="1">
        <v>0</v>
      </c>
      <c r="I746" s="1" t="s">
        <v>812</v>
      </c>
      <c r="J746" s="1" t="s">
        <v>73</v>
      </c>
    </row>
    <row r="747" spans="1:10" hidden="1" x14ac:dyDescent="0.25">
      <c r="A747" s="1" t="s">
        <v>10</v>
      </c>
      <c r="B747" s="1" t="s">
        <v>11</v>
      </c>
      <c r="C747" s="1">
        <v>17999</v>
      </c>
      <c r="D747" s="1">
        <v>27011</v>
      </c>
      <c r="E747" s="2">
        <v>44537</v>
      </c>
      <c r="F747" s="2">
        <v>44687</v>
      </c>
      <c r="G747" s="3">
        <v>8833.32</v>
      </c>
      <c r="H747" s="1">
        <v>0</v>
      </c>
      <c r="I747" s="1" t="s">
        <v>813</v>
      </c>
      <c r="J747" s="1" t="s">
        <v>13</v>
      </c>
    </row>
    <row r="748" spans="1:10" hidden="1" x14ac:dyDescent="0.25">
      <c r="A748" s="1" t="s">
        <v>24</v>
      </c>
      <c r="B748" s="1" t="s">
        <v>25</v>
      </c>
      <c r="C748" s="1">
        <v>18013</v>
      </c>
      <c r="D748" s="1">
        <v>27024</v>
      </c>
      <c r="E748" s="2">
        <v>44537</v>
      </c>
      <c r="F748" s="2">
        <v>44687</v>
      </c>
      <c r="G748" s="3">
        <v>1185</v>
      </c>
      <c r="H748" s="1">
        <v>0</v>
      </c>
      <c r="I748" s="1" t="s">
        <v>937</v>
      </c>
      <c r="J748" s="1" t="s">
        <v>27</v>
      </c>
    </row>
    <row r="749" spans="1:10" hidden="1" x14ac:dyDescent="0.25">
      <c r="A749" s="1" t="s">
        <v>70</v>
      </c>
      <c r="B749" s="1" t="s">
        <v>71</v>
      </c>
      <c r="C749" s="1">
        <v>18505</v>
      </c>
      <c r="D749" s="1">
        <v>27503</v>
      </c>
      <c r="E749" s="2">
        <v>44582</v>
      </c>
      <c r="F749" s="2">
        <v>44687</v>
      </c>
      <c r="G749" s="3">
        <v>1600</v>
      </c>
      <c r="H749" s="1">
        <v>0</v>
      </c>
      <c r="I749" s="1" t="s">
        <v>119</v>
      </c>
      <c r="J749" s="1" t="s">
        <v>73</v>
      </c>
    </row>
    <row r="750" spans="1:10" hidden="1" x14ac:dyDescent="0.25">
      <c r="A750" s="1" t="s">
        <v>10</v>
      </c>
      <c r="B750" s="1" t="s">
        <v>11</v>
      </c>
      <c r="C750" s="1">
        <v>18009</v>
      </c>
      <c r="D750" s="1">
        <v>27020</v>
      </c>
      <c r="E750" s="2">
        <v>44537</v>
      </c>
      <c r="F750" s="2">
        <v>44687</v>
      </c>
      <c r="G750" s="3">
        <v>117000</v>
      </c>
      <c r="H750" s="1">
        <v>0</v>
      </c>
      <c r="I750" s="1" t="s">
        <v>1291</v>
      </c>
      <c r="J750" s="1" t="s">
        <v>13</v>
      </c>
    </row>
    <row r="751" spans="1:10" hidden="1" x14ac:dyDescent="0.25">
      <c r="A751" s="1" t="s">
        <v>24</v>
      </c>
      <c r="B751" s="1" t="s">
        <v>25</v>
      </c>
      <c r="C751" s="1">
        <v>18011</v>
      </c>
      <c r="D751" s="1">
        <v>27022</v>
      </c>
      <c r="E751" s="2">
        <v>44537</v>
      </c>
      <c r="F751" s="2">
        <v>44687</v>
      </c>
      <c r="G751" s="3">
        <v>5125</v>
      </c>
      <c r="H751" s="1">
        <v>0</v>
      </c>
      <c r="I751" s="1" t="s">
        <v>1225</v>
      </c>
      <c r="J751" s="1" t="s">
        <v>27</v>
      </c>
    </row>
    <row r="752" spans="1:10" hidden="1" x14ac:dyDescent="0.25">
      <c r="A752" s="1" t="s">
        <v>24</v>
      </c>
      <c r="B752" s="1" t="s">
        <v>25</v>
      </c>
      <c r="C752" s="1">
        <v>18012</v>
      </c>
      <c r="D752" s="1">
        <v>27023</v>
      </c>
      <c r="E752" s="2">
        <v>44537</v>
      </c>
      <c r="F752" s="2">
        <v>44687</v>
      </c>
      <c r="G752" s="3">
        <v>12375</v>
      </c>
      <c r="H752" s="1">
        <v>0</v>
      </c>
      <c r="I752" s="1" t="s">
        <v>1386</v>
      </c>
      <c r="J752" s="1" t="s">
        <v>27</v>
      </c>
    </row>
    <row r="753" spans="1:10" hidden="1" x14ac:dyDescent="0.25">
      <c r="A753" s="1" t="s">
        <v>321</v>
      </c>
      <c r="B753" s="1" t="s">
        <v>322</v>
      </c>
      <c r="C753" s="1">
        <v>18506</v>
      </c>
      <c r="D753" s="1">
        <v>27504</v>
      </c>
      <c r="E753" s="2">
        <v>44582</v>
      </c>
      <c r="F753" s="2">
        <v>44687</v>
      </c>
      <c r="G753" s="3">
        <v>2853.33</v>
      </c>
      <c r="H753" s="1">
        <v>0</v>
      </c>
      <c r="I753" s="1" t="s">
        <v>1667</v>
      </c>
      <c r="J753" s="1" t="s">
        <v>27</v>
      </c>
    </row>
    <row r="754" spans="1:10" hidden="1" x14ac:dyDescent="0.25">
      <c r="A754" s="1" t="s">
        <v>20</v>
      </c>
      <c r="B754" s="1" t="s">
        <v>21</v>
      </c>
      <c r="C754" s="1">
        <v>17659</v>
      </c>
      <c r="D754" s="1">
        <v>26657</v>
      </c>
      <c r="E754" s="2">
        <v>44508</v>
      </c>
      <c r="F754" s="2">
        <v>44688</v>
      </c>
      <c r="G754" s="3">
        <v>30713.119999999999</v>
      </c>
      <c r="H754" s="1">
        <v>0</v>
      </c>
      <c r="I754" s="1" t="s">
        <v>583</v>
      </c>
      <c r="J754" s="1" t="s">
        <v>23</v>
      </c>
    </row>
    <row r="755" spans="1:10" hidden="1" x14ac:dyDescent="0.25">
      <c r="A755" s="1" t="s">
        <v>735</v>
      </c>
      <c r="B755" s="1" t="s">
        <v>736</v>
      </c>
      <c r="C755" s="1">
        <v>18941</v>
      </c>
      <c r="D755" s="1">
        <v>27955</v>
      </c>
      <c r="E755" s="2">
        <v>44628</v>
      </c>
      <c r="F755" s="2">
        <v>44688</v>
      </c>
      <c r="G755" s="3">
        <v>2390.7600000000002</v>
      </c>
      <c r="H755" s="1">
        <v>0</v>
      </c>
      <c r="I755" s="1" t="s">
        <v>737</v>
      </c>
      <c r="J755" s="1" t="s">
        <v>88</v>
      </c>
    </row>
    <row r="756" spans="1:10" hidden="1" x14ac:dyDescent="0.25">
      <c r="A756" s="1" t="s">
        <v>20</v>
      </c>
      <c r="B756" s="1" t="s">
        <v>21</v>
      </c>
      <c r="C756" s="1">
        <v>18035</v>
      </c>
      <c r="D756" s="1">
        <v>27045</v>
      </c>
      <c r="E756" s="2">
        <v>44539</v>
      </c>
      <c r="F756" s="2">
        <v>44689</v>
      </c>
      <c r="G756" s="3">
        <v>7333.33</v>
      </c>
      <c r="H756" s="1">
        <v>0</v>
      </c>
      <c r="I756" s="1" t="s">
        <v>69</v>
      </c>
      <c r="J756" s="1" t="s">
        <v>23</v>
      </c>
    </row>
    <row r="757" spans="1:10" hidden="1" x14ac:dyDescent="0.25">
      <c r="A757" s="1" t="s">
        <v>20</v>
      </c>
      <c r="B757" s="1" t="s">
        <v>21</v>
      </c>
      <c r="C757" s="1">
        <v>18034</v>
      </c>
      <c r="D757" s="1">
        <v>27044</v>
      </c>
      <c r="E757" s="2">
        <v>44539</v>
      </c>
      <c r="F757" s="2">
        <v>44689</v>
      </c>
      <c r="G757" s="3">
        <v>2936.66</v>
      </c>
      <c r="H757" s="1">
        <v>0</v>
      </c>
      <c r="I757" s="1" t="s">
        <v>106</v>
      </c>
      <c r="J757" s="1" t="s">
        <v>23</v>
      </c>
    </row>
    <row r="758" spans="1:10" hidden="1" x14ac:dyDescent="0.25">
      <c r="A758" s="1" t="s">
        <v>10</v>
      </c>
      <c r="B758" s="1" t="s">
        <v>11</v>
      </c>
      <c r="C758" s="1">
        <v>18037</v>
      </c>
      <c r="D758" s="1">
        <v>27048</v>
      </c>
      <c r="E758" s="2">
        <v>44539</v>
      </c>
      <c r="F758" s="2">
        <v>44689</v>
      </c>
      <c r="G758" s="3">
        <v>11166.66</v>
      </c>
      <c r="H758" s="1">
        <v>0</v>
      </c>
      <c r="I758" s="1" t="s">
        <v>107</v>
      </c>
      <c r="J758" s="1" t="s">
        <v>13</v>
      </c>
    </row>
    <row r="759" spans="1:10" hidden="1" x14ac:dyDescent="0.25">
      <c r="A759" s="1" t="s">
        <v>70</v>
      </c>
      <c r="B759" s="1" t="s">
        <v>71</v>
      </c>
      <c r="C759" s="1">
        <v>18653</v>
      </c>
      <c r="D759" s="1">
        <v>27665</v>
      </c>
      <c r="E759" s="2">
        <v>44599</v>
      </c>
      <c r="F759" s="2">
        <v>44689</v>
      </c>
      <c r="G759" s="3">
        <v>8959.99</v>
      </c>
      <c r="H759" s="1">
        <v>0</v>
      </c>
      <c r="I759" s="1" t="s">
        <v>260</v>
      </c>
      <c r="J759" s="1" t="s">
        <v>73</v>
      </c>
    </row>
    <row r="760" spans="1:10" hidden="1" x14ac:dyDescent="0.25">
      <c r="A760" s="1" t="s">
        <v>70</v>
      </c>
      <c r="B760" s="1" t="s">
        <v>71</v>
      </c>
      <c r="C760" s="1">
        <v>18654</v>
      </c>
      <c r="D760" s="1">
        <v>27666</v>
      </c>
      <c r="E760" s="2">
        <v>44599</v>
      </c>
      <c r="F760" s="2">
        <v>44689</v>
      </c>
      <c r="G760" s="3">
        <v>21746.92</v>
      </c>
      <c r="H760" s="1">
        <v>0</v>
      </c>
      <c r="I760" s="1" t="s">
        <v>261</v>
      </c>
      <c r="J760" s="1" t="s">
        <v>73</v>
      </c>
    </row>
    <row r="761" spans="1:10" hidden="1" x14ac:dyDescent="0.25">
      <c r="A761" s="1" t="s">
        <v>20</v>
      </c>
      <c r="B761" s="1" t="s">
        <v>21</v>
      </c>
      <c r="C761" s="1">
        <v>18033</v>
      </c>
      <c r="D761" s="1">
        <v>27043</v>
      </c>
      <c r="E761" s="2">
        <v>44539</v>
      </c>
      <c r="F761" s="2">
        <v>44689</v>
      </c>
      <c r="G761" s="3">
        <v>6078.08</v>
      </c>
      <c r="H761" s="1">
        <v>0</v>
      </c>
      <c r="I761" s="1" t="s">
        <v>616</v>
      </c>
      <c r="J761" s="1" t="s">
        <v>23</v>
      </c>
    </row>
    <row r="762" spans="1:10" hidden="1" x14ac:dyDescent="0.25">
      <c r="A762" s="1" t="s">
        <v>70</v>
      </c>
      <c r="B762" s="1" t="s">
        <v>71</v>
      </c>
      <c r="C762" s="1">
        <v>18652</v>
      </c>
      <c r="D762" s="1">
        <v>27664</v>
      </c>
      <c r="E762" s="2">
        <v>44599</v>
      </c>
      <c r="F762" s="2">
        <v>44689</v>
      </c>
      <c r="G762" s="3">
        <v>2066.66</v>
      </c>
      <c r="H762" s="1">
        <v>0</v>
      </c>
      <c r="I762" s="1" t="s">
        <v>643</v>
      </c>
      <c r="J762" s="1" t="s">
        <v>73</v>
      </c>
    </row>
    <row r="763" spans="1:10" hidden="1" x14ac:dyDescent="0.25">
      <c r="A763" s="1" t="s">
        <v>231</v>
      </c>
      <c r="B763" s="1" t="s">
        <v>232</v>
      </c>
      <c r="C763" s="1">
        <v>17684</v>
      </c>
      <c r="D763" s="1">
        <v>26682</v>
      </c>
      <c r="E763" s="2">
        <v>44509</v>
      </c>
      <c r="F763" s="2">
        <v>44689</v>
      </c>
      <c r="G763" s="3">
        <v>28003.38</v>
      </c>
      <c r="H763" s="1">
        <v>0</v>
      </c>
      <c r="I763" s="1" t="s">
        <v>898</v>
      </c>
      <c r="J763" s="1" t="s">
        <v>13</v>
      </c>
    </row>
    <row r="764" spans="1:10" hidden="1" x14ac:dyDescent="0.25">
      <c r="A764" s="1" t="s">
        <v>847</v>
      </c>
      <c r="B764" s="1" t="s">
        <v>848</v>
      </c>
      <c r="C764" s="1">
        <v>18656</v>
      </c>
      <c r="D764" s="1">
        <v>27668</v>
      </c>
      <c r="E764" s="2">
        <v>44599</v>
      </c>
      <c r="F764" s="2">
        <v>44689</v>
      </c>
      <c r="G764" s="3">
        <v>16572</v>
      </c>
      <c r="H764" s="1">
        <v>0</v>
      </c>
      <c r="I764" s="1" t="s">
        <v>949</v>
      </c>
      <c r="J764" s="1" t="s">
        <v>73</v>
      </c>
    </row>
    <row r="765" spans="1:10" hidden="1" x14ac:dyDescent="0.25">
      <c r="A765" s="1" t="s">
        <v>159</v>
      </c>
      <c r="B765" s="1" t="s">
        <v>129</v>
      </c>
      <c r="C765" s="1">
        <v>18646</v>
      </c>
      <c r="D765" s="1">
        <v>27656</v>
      </c>
      <c r="E765" s="2">
        <v>44599</v>
      </c>
      <c r="F765" s="2">
        <v>44689</v>
      </c>
      <c r="G765" s="3">
        <v>19116</v>
      </c>
      <c r="H765" s="1">
        <v>0</v>
      </c>
      <c r="I765" s="1" t="s">
        <v>1082</v>
      </c>
      <c r="J765" s="1" t="s">
        <v>131</v>
      </c>
    </row>
    <row r="766" spans="1:10" hidden="1" x14ac:dyDescent="0.25">
      <c r="A766" s="1" t="s">
        <v>78</v>
      </c>
      <c r="B766" s="1" t="s">
        <v>79</v>
      </c>
      <c r="C766" s="1">
        <v>16769</v>
      </c>
      <c r="D766" s="1">
        <v>25741</v>
      </c>
      <c r="E766" s="2">
        <v>44449</v>
      </c>
      <c r="F766" s="2">
        <v>44689</v>
      </c>
      <c r="G766" s="3">
        <v>70860</v>
      </c>
      <c r="H766" s="1">
        <v>0</v>
      </c>
      <c r="I766" s="1" t="s">
        <v>1458</v>
      </c>
      <c r="J766" s="1" t="s">
        <v>68</v>
      </c>
    </row>
    <row r="767" spans="1:10" hidden="1" x14ac:dyDescent="0.25">
      <c r="A767" s="1" t="s">
        <v>20</v>
      </c>
      <c r="B767" s="1" t="s">
        <v>21</v>
      </c>
      <c r="C767" s="1">
        <v>17685</v>
      </c>
      <c r="D767" s="1">
        <v>26683</v>
      </c>
      <c r="E767" s="2">
        <v>44509</v>
      </c>
      <c r="F767" s="2">
        <v>44689</v>
      </c>
      <c r="G767" s="3">
        <v>1691.93</v>
      </c>
      <c r="H767" s="1">
        <v>0</v>
      </c>
      <c r="I767" s="1" t="s">
        <v>1571</v>
      </c>
      <c r="J767" s="1" t="s">
        <v>23</v>
      </c>
    </row>
    <row r="768" spans="1:10" hidden="1" x14ac:dyDescent="0.25">
      <c r="A768" s="1" t="s">
        <v>20</v>
      </c>
      <c r="B768" s="1" t="s">
        <v>21</v>
      </c>
      <c r="C768" s="1">
        <v>18032</v>
      </c>
      <c r="D768" s="1">
        <v>27042</v>
      </c>
      <c r="E768" s="2">
        <v>44539</v>
      </c>
      <c r="F768" s="2">
        <v>44689</v>
      </c>
      <c r="G768" s="3">
        <v>1103.33</v>
      </c>
      <c r="H768" s="1">
        <v>0</v>
      </c>
      <c r="I768" s="1" t="s">
        <v>1633</v>
      </c>
      <c r="J768" s="1" t="s">
        <v>23</v>
      </c>
    </row>
    <row r="769" spans="1:10" hidden="1" x14ac:dyDescent="0.25">
      <c r="A769" s="1" t="s">
        <v>81</v>
      </c>
      <c r="B769" s="1" t="s">
        <v>82</v>
      </c>
      <c r="C769" s="1">
        <v>17699</v>
      </c>
      <c r="D769" s="1">
        <v>26695</v>
      </c>
      <c r="E769" s="2">
        <v>44510</v>
      </c>
      <c r="F769" s="2">
        <v>44690</v>
      </c>
      <c r="G769" s="1">
        <v>638.36</v>
      </c>
      <c r="H769" s="1">
        <v>0</v>
      </c>
      <c r="I769" s="1" t="s">
        <v>83</v>
      </c>
      <c r="J769" s="1" t="s">
        <v>84</v>
      </c>
    </row>
    <row r="770" spans="1:10" hidden="1" x14ac:dyDescent="0.25">
      <c r="A770" s="1" t="s">
        <v>70</v>
      </c>
      <c r="B770" s="1" t="s">
        <v>71</v>
      </c>
      <c r="C770" s="1">
        <v>17719</v>
      </c>
      <c r="D770" s="1">
        <v>26713</v>
      </c>
      <c r="E770" s="2">
        <v>44510</v>
      </c>
      <c r="F770" s="2">
        <v>44690</v>
      </c>
      <c r="G770" s="3">
        <v>27128.62</v>
      </c>
      <c r="H770" s="1">
        <v>0</v>
      </c>
      <c r="I770" s="1" t="s">
        <v>111</v>
      </c>
      <c r="J770" s="1" t="s">
        <v>73</v>
      </c>
    </row>
    <row r="771" spans="1:10" hidden="1" x14ac:dyDescent="0.25">
      <c r="A771" s="1" t="s">
        <v>185</v>
      </c>
      <c r="B771" s="1" t="s">
        <v>186</v>
      </c>
      <c r="C771" s="1">
        <v>18052</v>
      </c>
      <c r="D771" s="1">
        <v>27064</v>
      </c>
      <c r="E771" s="2">
        <v>44540</v>
      </c>
      <c r="F771" s="2">
        <v>44690</v>
      </c>
      <c r="G771" s="3">
        <v>156000</v>
      </c>
      <c r="H771" s="1">
        <v>0</v>
      </c>
      <c r="I771" s="1" t="s">
        <v>477</v>
      </c>
      <c r="J771" s="1" t="s">
        <v>13</v>
      </c>
    </row>
    <row r="772" spans="1:10" hidden="1" x14ac:dyDescent="0.25">
      <c r="A772" s="1" t="s">
        <v>70</v>
      </c>
      <c r="B772" s="1" t="s">
        <v>71</v>
      </c>
      <c r="C772" s="1">
        <v>17688</v>
      </c>
      <c r="D772" s="1">
        <v>26686</v>
      </c>
      <c r="E772" s="2">
        <v>44510</v>
      </c>
      <c r="F772" s="2">
        <v>44690</v>
      </c>
      <c r="G772" s="3">
        <v>1166.6400000000001</v>
      </c>
      <c r="H772" s="1">
        <v>0</v>
      </c>
      <c r="I772" s="1" t="s">
        <v>1213</v>
      </c>
      <c r="J772" s="1" t="s">
        <v>73</v>
      </c>
    </row>
    <row r="773" spans="1:10" hidden="1" x14ac:dyDescent="0.25">
      <c r="A773" s="1" t="s">
        <v>70</v>
      </c>
      <c r="B773" s="1" t="s">
        <v>71</v>
      </c>
      <c r="C773" s="1">
        <v>17690</v>
      </c>
      <c r="D773" s="1">
        <v>26688</v>
      </c>
      <c r="E773" s="2">
        <v>44510</v>
      </c>
      <c r="F773" s="2">
        <v>44690</v>
      </c>
      <c r="G773" s="1">
        <v>750</v>
      </c>
      <c r="H773" s="1">
        <v>0</v>
      </c>
      <c r="I773" s="1" t="s">
        <v>1214</v>
      </c>
      <c r="J773" s="1" t="s">
        <v>73</v>
      </c>
    </row>
    <row r="774" spans="1:10" hidden="1" x14ac:dyDescent="0.25">
      <c r="A774" s="1" t="s">
        <v>147</v>
      </c>
      <c r="B774" s="1" t="s">
        <v>148</v>
      </c>
      <c r="C774" s="1">
        <v>18339</v>
      </c>
      <c r="D774" s="1">
        <v>27346</v>
      </c>
      <c r="E774" s="2">
        <v>44571</v>
      </c>
      <c r="F774" s="2">
        <v>44691</v>
      </c>
      <c r="G774" s="3">
        <v>60550</v>
      </c>
      <c r="H774" s="1">
        <v>0</v>
      </c>
      <c r="I774" s="1" t="s">
        <v>149</v>
      </c>
      <c r="J774" s="1" t="s">
        <v>23</v>
      </c>
    </row>
    <row r="775" spans="1:10" hidden="1" x14ac:dyDescent="0.25">
      <c r="A775" s="1" t="s">
        <v>10</v>
      </c>
      <c r="B775" s="1" t="s">
        <v>11</v>
      </c>
      <c r="C775" s="1">
        <v>17743</v>
      </c>
      <c r="D775" s="1">
        <v>26736</v>
      </c>
      <c r="E775" s="2">
        <v>44511</v>
      </c>
      <c r="F775" s="2">
        <v>44691</v>
      </c>
      <c r="G775" s="3">
        <v>105000</v>
      </c>
      <c r="H775" s="1">
        <v>0</v>
      </c>
      <c r="I775" s="1" t="s">
        <v>217</v>
      </c>
      <c r="J775" s="1" t="s">
        <v>13</v>
      </c>
    </row>
    <row r="776" spans="1:10" hidden="1" x14ac:dyDescent="0.25">
      <c r="A776" s="1" t="s">
        <v>252</v>
      </c>
      <c r="B776" s="1" t="s">
        <v>253</v>
      </c>
      <c r="C776" s="1">
        <v>18336</v>
      </c>
      <c r="D776" s="1">
        <v>27343</v>
      </c>
      <c r="E776" s="2">
        <v>44571</v>
      </c>
      <c r="F776" s="2">
        <v>44691</v>
      </c>
      <c r="G776" s="3">
        <v>83614.559999999998</v>
      </c>
      <c r="H776" s="1">
        <v>0</v>
      </c>
      <c r="I776" s="1" t="s">
        <v>254</v>
      </c>
      <c r="J776" s="1" t="s">
        <v>58</v>
      </c>
    </row>
    <row r="777" spans="1:10" hidden="1" x14ac:dyDescent="0.25">
      <c r="A777" s="1" t="s">
        <v>321</v>
      </c>
      <c r="B777" s="1" t="s">
        <v>322</v>
      </c>
      <c r="C777" s="1">
        <v>17740</v>
      </c>
      <c r="D777" s="1">
        <v>26733</v>
      </c>
      <c r="E777" s="2">
        <v>44511</v>
      </c>
      <c r="F777" s="2">
        <v>44691</v>
      </c>
      <c r="G777" s="3">
        <v>1268</v>
      </c>
      <c r="H777" s="1">
        <v>0</v>
      </c>
      <c r="I777" s="1" t="s">
        <v>324</v>
      </c>
      <c r="J777" s="1" t="s">
        <v>27</v>
      </c>
    </row>
    <row r="778" spans="1:10" hidden="1" x14ac:dyDescent="0.25">
      <c r="A778" s="1" t="s">
        <v>70</v>
      </c>
      <c r="B778" s="1" t="s">
        <v>71</v>
      </c>
      <c r="C778" s="1">
        <v>18526</v>
      </c>
      <c r="D778" s="1">
        <v>27527</v>
      </c>
      <c r="E778" s="2">
        <v>44586</v>
      </c>
      <c r="F778" s="2">
        <v>44691</v>
      </c>
      <c r="G778" s="3">
        <v>3360</v>
      </c>
      <c r="H778" s="1">
        <v>0</v>
      </c>
      <c r="I778" s="1" t="s">
        <v>349</v>
      </c>
      <c r="J778" s="1" t="s">
        <v>73</v>
      </c>
    </row>
    <row r="779" spans="1:10" hidden="1" x14ac:dyDescent="0.25">
      <c r="A779" s="1" t="s">
        <v>361</v>
      </c>
      <c r="B779" s="1" t="s">
        <v>362</v>
      </c>
      <c r="C779" s="1">
        <v>17354</v>
      </c>
      <c r="D779" s="1">
        <v>26356</v>
      </c>
      <c r="E779" s="2">
        <v>44488</v>
      </c>
      <c r="F779" s="2">
        <v>44691</v>
      </c>
      <c r="G779" s="3">
        <v>26466</v>
      </c>
      <c r="H779" s="1">
        <v>0</v>
      </c>
      <c r="I779" s="1" t="s">
        <v>953</v>
      </c>
      <c r="J779" s="1" t="s">
        <v>92</v>
      </c>
    </row>
    <row r="780" spans="1:10" hidden="1" x14ac:dyDescent="0.25">
      <c r="A780" s="1" t="s">
        <v>321</v>
      </c>
      <c r="B780" s="1" t="s">
        <v>322</v>
      </c>
      <c r="C780" s="1">
        <v>17739</v>
      </c>
      <c r="D780" s="1">
        <v>26732</v>
      </c>
      <c r="E780" s="2">
        <v>44511</v>
      </c>
      <c r="F780" s="2">
        <v>44691</v>
      </c>
      <c r="G780" s="3">
        <v>3691.1</v>
      </c>
      <c r="H780" s="1">
        <v>0</v>
      </c>
      <c r="I780" s="1" t="s">
        <v>1113</v>
      </c>
      <c r="J780" s="1" t="s">
        <v>27</v>
      </c>
    </row>
    <row r="781" spans="1:10" hidden="1" x14ac:dyDescent="0.25">
      <c r="A781" s="1" t="s">
        <v>321</v>
      </c>
      <c r="B781" s="1" t="s">
        <v>322</v>
      </c>
      <c r="C781" s="1">
        <v>17737</v>
      </c>
      <c r="D781" s="1">
        <v>26730</v>
      </c>
      <c r="E781" s="2">
        <v>44511</v>
      </c>
      <c r="F781" s="2">
        <v>44691</v>
      </c>
      <c r="G781" s="1">
        <v>380</v>
      </c>
      <c r="H781" s="1">
        <v>0</v>
      </c>
      <c r="I781" s="1" t="s">
        <v>1707</v>
      </c>
      <c r="J781" s="1" t="s">
        <v>27</v>
      </c>
    </row>
    <row r="782" spans="1:10" hidden="1" x14ac:dyDescent="0.25">
      <c r="A782" s="1" t="s">
        <v>277</v>
      </c>
      <c r="B782" s="1" t="s">
        <v>278</v>
      </c>
      <c r="C782" s="1">
        <v>18341</v>
      </c>
      <c r="D782" s="1">
        <v>27348</v>
      </c>
      <c r="E782" s="2">
        <v>44572</v>
      </c>
      <c r="F782" s="2">
        <v>44692</v>
      </c>
      <c r="G782" s="3">
        <v>2850</v>
      </c>
      <c r="H782" s="1">
        <v>0</v>
      </c>
      <c r="I782" s="1" t="s">
        <v>279</v>
      </c>
      <c r="J782" s="1" t="s">
        <v>13</v>
      </c>
    </row>
    <row r="783" spans="1:10" hidden="1" x14ac:dyDescent="0.25">
      <c r="A783" s="1" t="s">
        <v>277</v>
      </c>
      <c r="B783" s="1" t="s">
        <v>278</v>
      </c>
      <c r="C783" s="1">
        <v>18340</v>
      </c>
      <c r="D783" s="1">
        <v>27347</v>
      </c>
      <c r="E783" s="2">
        <v>44572</v>
      </c>
      <c r="F783" s="2">
        <v>44692</v>
      </c>
      <c r="G783" s="3">
        <v>2422.5</v>
      </c>
      <c r="H783" s="1">
        <v>0</v>
      </c>
      <c r="I783" s="1" t="s">
        <v>319</v>
      </c>
      <c r="J783" s="1" t="s">
        <v>13</v>
      </c>
    </row>
    <row r="784" spans="1:10" hidden="1" x14ac:dyDescent="0.25">
      <c r="A784" s="1" t="s">
        <v>277</v>
      </c>
      <c r="B784" s="1" t="s">
        <v>278</v>
      </c>
      <c r="C784" s="1">
        <v>18342</v>
      </c>
      <c r="D784" s="1">
        <v>27349</v>
      </c>
      <c r="E784" s="2">
        <v>44572</v>
      </c>
      <c r="F784" s="2">
        <v>44692</v>
      </c>
      <c r="G784" s="3">
        <v>33450</v>
      </c>
      <c r="H784" s="1">
        <v>0</v>
      </c>
      <c r="I784" s="1" t="s">
        <v>369</v>
      </c>
      <c r="J784" s="1" t="s">
        <v>13</v>
      </c>
    </row>
    <row r="785" spans="1:10" hidden="1" x14ac:dyDescent="0.25">
      <c r="A785" s="1" t="s">
        <v>10</v>
      </c>
      <c r="B785" s="1" t="s">
        <v>11</v>
      </c>
      <c r="C785" s="1">
        <v>17266</v>
      </c>
      <c r="D785" s="1">
        <v>26262</v>
      </c>
      <c r="E785" s="2">
        <v>44483</v>
      </c>
      <c r="F785" s="2">
        <v>44693</v>
      </c>
      <c r="G785" s="3">
        <v>34800.06</v>
      </c>
      <c r="H785" s="1">
        <v>0</v>
      </c>
      <c r="I785" s="1" t="s">
        <v>644</v>
      </c>
      <c r="J785" s="1" t="s">
        <v>13</v>
      </c>
    </row>
    <row r="786" spans="1:10" hidden="1" x14ac:dyDescent="0.25">
      <c r="A786" s="1" t="s">
        <v>24</v>
      </c>
      <c r="B786" s="1" t="s">
        <v>25</v>
      </c>
      <c r="C786" s="1">
        <v>18053</v>
      </c>
      <c r="D786" s="1">
        <v>27066</v>
      </c>
      <c r="E786" s="2">
        <v>44543</v>
      </c>
      <c r="F786" s="2">
        <v>44693</v>
      </c>
      <c r="G786" s="3">
        <v>82080</v>
      </c>
      <c r="H786" s="1">
        <v>0</v>
      </c>
      <c r="I786" s="1" t="s">
        <v>962</v>
      </c>
      <c r="J786" s="1" t="s">
        <v>27</v>
      </c>
    </row>
    <row r="787" spans="1:10" hidden="1" x14ac:dyDescent="0.25">
      <c r="A787" s="1" t="s">
        <v>847</v>
      </c>
      <c r="B787" s="1" t="s">
        <v>848</v>
      </c>
      <c r="C787" s="1">
        <v>18675</v>
      </c>
      <c r="D787" s="1">
        <v>27687</v>
      </c>
      <c r="E787" s="2">
        <v>44600</v>
      </c>
      <c r="F787" s="2">
        <v>44693</v>
      </c>
      <c r="G787" s="3">
        <v>326205</v>
      </c>
      <c r="H787" s="1">
        <v>0</v>
      </c>
      <c r="I787" s="1" t="s">
        <v>1121</v>
      </c>
      <c r="J787" s="1" t="s">
        <v>73</v>
      </c>
    </row>
    <row r="788" spans="1:10" hidden="1" x14ac:dyDescent="0.25">
      <c r="A788" s="1" t="s">
        <v>108</v>
      </c>
      <c r="B788" s="1" t="s">
        <v>109</v>
      </c>
      <c r="C788" s="1">
        <v>17273</v>
      </c>
      <c r="D788" s="1">
        <v>26266</v>
      </c>
      <c r="E788" s="2">
        <v>44483</v>
      </c>
      <c r="F788" s="2">
        <v>44693</v>
      </c>
      <c r="G788" s="3">
        <v>462343</v>
      </c>
      <c r="H788" s="1">
        <v>0</v>
      </c>
      <c r="I788" s="1" t="s">
        <v>1272</v>
      </c>
      <c r="J788" s="1" t="s">
        <v>88</v>
      </c>
    </row>
    <row r="789" spans="1:10" hidden="1" x14ac:dyDescent="0.25">
      <c r="A789" s="1" t="s">
        <v>140</v>
      </c>
      <c r="B789" s="1" t="s">
        <v>141</v>
      </c>
      <c r="C789" s="1">
        <v>18710</v>
      </c>
      <c r="D789" s="1">
        <v>27724</v>
      </c>
      <c r="E789" s="2">
        <v>44603</v>
      </c>
      <c r="F789" s="2">
        <v>44693</v>
      </c>
      <c r="G789" s="3">
        <v>39340.080000000002</v>
      </c>
      <c r="H789" s="1">
        <v>0</v>
      </c>
      <c r="I789" s="1" t="s">
        <v>1374</v>
      </c>
      <c r="J789" s="1" t="s">
        <v>73</v>
      </c>
    </row>
    <row r="790" spans="1:10" hidden="1" x14ac:dyDescent="0.25">
      <c r="A790" s="1" t="s">
        <v>10</v>
      </c>
      <c r="B790" s="1" t="s">
        <v>11</v>
      </c>
      <c r="C790" s="1">
        <v>17279</v>
      </c>
      <c r="D790" s="1">
        <v>26272</v>
      </c>
      <c r="E790" s="2">
        <v>44483</v>
      </c>
      <c r="F790" s="2">
        <v>44693</v>
      </c>
      <c r="G790" s="3">
        <v>3166.68</v>
      </c>
      <c r="H790" s="1">
        <v>0</v>
      </c>
      <c r="I790" s="1" t="s">
        <v>1442</v>
      </c>
      <c r="J790" s="1" t="s">
        <v>13</v>
      </c>
    </row>
    <row r="791" spans="1:10" hidden="1" x14ac:dyDescent="0.25">
      <c r="A791" s="1" t="s">
        <v>108</v>
      </c>
      <c r="B791" s="1" t="s">
        <v>109</v>
      </c>
      <c r="C791" s="1">
        <v>17282</v>
      </c>
      <c r="D791" s="1">
        <v>26278</v>
      </c>
      <c r="E791" s="2">
        <v>44484</v>
      </c>
      <c r="F791" s="2">
        <v>44694</v>
      </c>
      <c r="G791" s="3">
        <v>369673.92</v>
      </c>
      <c r="H791" s="1">
        <v>0</v>
      </c>
      <c r="I791" s="1" t="s">
        <v>1139</v>
      </c>
      <c r="J791" s="1" t="s">
        <v>88</v>
      </c>
    </row>
    <row r="792" spans="1:10" hidden="1" x14ac:dyDescent="0.25">
      <c r="A792" s="1" t="s">
        <v>188</v>
      </c>
      <c r="B792" s="1" t="s">
        <v>189</v>
      </c>
      <c r="C792" s="1">
        <v>18413</v>
      </c>
      <c r="D792" s="1">
        <v>27416</v>
      </c>
      <c r="E792" s="2">
        <v>44575</v>
      </c>
      <c r="F792" s="2">
        <v>44695</v>
      </c>
      <c r="G792" s="3">
        <v>7000.02</v>
      </c>
      <c r="H792" s="1">
        <v>0</v>
      </c>
      <c r="I792" s="1" t="s">
        <v>190</v>
      </c>
      <c r="J792" s="1" t="s">
        <v>58</v>
      </c>
    </row>
    <row r="793" spans="1:10" hidden="1" x14ac:dyDescent="0.25">
      <c r="A793" s="1" t="s">
        <v>89</v>
      </c>
      <c r="B793" s="1" t="s">
        <v>90</v>
      </c>
      <c r="C793" s="1">
        <v>16658</v>
      </c>
      <c r="D793" s="1">
        <v>25624</v>
      </c>
      <c r="E793" s="2">
        <v>44438</v>
      </c>
      <c r="F793" s="2">
        <v>44695</v>
      </c>
      <c r="G793" s="3">
        <v>351322.5</v>
      </c>
      <c r="H793" s="1">
        <v>0</v>
      </c>
      <c r="I793" s="1" t="s">
        <v>191</v>
      </c>
      <c r="J793" s="1" t="s">
        <v>92</v>
      </c>
    </row>
    <row r="794" spans="1:10" hidden="1" x14ac:dyDescent="0.25">
      <c r="A794" s="1" t="s">
        <v>413</v>
      </c>
      <c r="B794" s="1" t="s">
        <v>414</v>
      </c>
      <c r="C794" s="1">
        <v>18392</v>
      </c>
      <c r="D794" s="1">
        <v>27400</v>
      </c>
      <c r="E794" s="2">
        <v>44575</v>
      </c>
      <c r="F794" s="2">
        <v>44695</v>
      </c>
      <c r="G794" s="3">
        <v>32563.68</v>
      </c>
      <c r="H794" s="1">
        <v>0</v>
      </c>
      <c r="I794" s="1" t="s">
        <v>415</v>
      </c>
      <c r="J794" s="1" t="s">
        <v>27</v>
      </c>
    </row>
    <row r="795" spans="1:10" hidden="1" x14ac:dyDescent="0.25">
      <c r="A795" s="1" t="s">
        <v>231</v>
      </c>
      <c r="B795" s="1" t="s">
        <v>232</v>
      </c>
      <c r="C795" s="1">
        <v>18117</v>
      </c>
      <c r="D795" s="1">
        <v>27128</v>
      </c>
      <c r="E795" s="2">
        <v>44545</v>
      </c>
      <c r="F795" s="2">
        <v>44695</v>
      </c>
      <c r="G795" s="3">
        <v>170137.8</v>
      </c>
      <c r="H795" s="1">
        <v>0</v>
      </c>
      <c r="I795" s="1" t="s">
        <v>1016</v>
      </c>
      <c r="J795" s="1" t="s">
        <v>13</v>
      </c>
    </row>
    <row r="796" spans="1:10" hidden="1" x14ac:dyDescent="0.25">
      <c r="A796" s="1" t="s">
        <v>198</v>
      </c>
      <c r="B796" s="1" t="s">
        <v>199</v>
      </c>
      <c r="C796" s="1">
        <v>18118</v>
      </c>
      <c r="D796" s="1">
        <v>27129</v>
      </c>
      <c r="E796" s="2">
        <v>44545</v>
      </c>
      <c r="F796" s="2">
        <v>44695</v>
      </c>
      <c r="G796" s="3">
        <v>164757.6</v>
      </c>
      <c r="H796" s="1">
        <v>0</v>
      </c>
      <c r="I796" s="1" t="s">
        <v>1145</v>
      </c>
      <c r="J796" s="1" t="s">
        <v>13</v>
      </c>
    </row>
    <row r="797" spans="1:10" hidden="1" x14ac:dyDescent="0.25">
      <c r="A797" s="1" t="s">
        <v>78</v>
      </c>
      <c r="B797" s="1" t="s">
        <v>79</v>
      </c>
      <c r="C797" s="1">
        <v>16700</v>
      </c>
      <c r="D797" s="1">
        <v>25666</v>
      </c>
      <c r="E797" s="2">
        <v>44441</v>
      </c>
      <c r="F797" s="2">
        <v>44696</v>
      </c>
      <c r="G797" s="3">
        <v>360000</v>
      </c>
      <c r="H797" s="1">
        <v>0</v>
      </c>
      <c r="I797" s="1" t="s">
        <v>80</v>
      </c>
      <c r="J797" s="1" t="s">
        <v>68</v>
      </c>
    </row>
    <row r="798" spans="1:10" hidden="1" x14ac:dyDescent="0.25">
      <c r="A798" s="1" t="s">
        <v>136</v>
      </c>
      <c r="B798" s="1" t="s">
        <v>137</v>
      </c>
      <c r="C798" s="1">
        <v>17939</v>
      </c>
      <c r="D798" s="1">
        <v>26953</v>
      </c>
      <c r="E798" s="2">
        <v>44533</v>
      </c>
      <c r="F798" s="2">
        <v>44696</v>
      </c>
      <c r="G798" s="3">
        <v>40500</v>
      </c>
      <c r="H798" s="1">
        <v>0</v>
      </c>
      <c r="I798" s="1" t="s">
        <v>138</v>
      </c>
      <c r="J798" s="1" t="s">
        <v>77</v>
      </c>
    </row>
    <row r="799" spans="1:10" hidden="1" x14ac:dyDescent="0.25">
      <c r="A799" s="1" t="s">
        <v>136</v>
      </c>
      <c r="B799" s="1" t="s">
        <v>137</v>
      </c>
      <c r="C799" s="1">
        <v>17023</v>
      </c>
      <c r="D799" s="1">
        <v>26032</v>
      </c>
      <c r="E799" s="2">
        <v>44467</v>
      </c>
      <c r="F799" s="2">
        <v>44696</v>
      </c>
      <c r="G799" s="3">
        <v>13820</v>
      </c>
      <c r="H799" s="1">
        <v>0</v>
      </c>
      <c r="I799" s="1" t="s">
        <v>228</v>
      </c>
      <c r="J799" s="1" t="s">
        <v>77</v>
      </c>
    </row>
    <row r="800" spans="1:10" hidden="1" x14ac:dyDescent="0.25">
      <c r="A800" s="1" t="s">
        <v>136</v>
      </c>
      <c r="B800" s="1" t="s">
        <v>137</v>
      </c>
      <c r="C800" s="1">
        <v>17019</v>
      </c>
      <c r="D800" s="1">
        <v>26028</v>
      </c>
      <c r="E800" s="2">
        <v>44467</v>
      </c>
      <c r="F800" s="2">
        <v>44696</v>
      </c>
      <c r="G800" s="3">
        <v>248975</v>
      </c>
      <c r="H800" s="1">
        <v>0</v>
      </c>
      <c r="I800" s="1" t="s">
        <v>271</v>
      </c>
      <c r="J800" s="1" t="s">
        <v>77</v>
      </c>
    </row>
    <row r="801" spans="1:10" hidden="1" x14ac:dyDescent="0.25">
      <c r="A801" s="1" t="s">
        <v>136</v>
      </c>
      <c r="B801" s="1" t="s">
        <v>137</v>
      </c>
      <c r="C801" s="1">
        <v>17940</v>
      </c>
      <c r="D801" s="1">
        <v>26954</v>
      </c>
      <c r="E801" s="2">
        <v>44533</v>
      </c>
      <c r="F801" s="2">
        <v>44696</v>
      </c>
      <c r="G801" s="3">
        <v>7800</v>
      </c>
      <c r="H801" s="1">
        <v>0</v>
      </c>
      <c r="I801" s="1" t="s">
        <v>315</v>
      </c>
      <c r="J801" s="1" t="s">
        <v>77</v>
      </c>
    </row>
    <row r="802" spans="1:10" hidden="1" x14ac:dyDescent="0.25">
      <c r="A802" s="1" t="s">
        <v>39</v>
      </c>
      <c r="B802" s="1" t="s">
        <v>40</v>
      </c>
      <c r="C802" s="1">
        <v>16982</v>
      </c>
      <c r="D802" s="1">
        <v>25986</v>
      </c>
      <c r="E802" s="2">
        <v>44463</v>
      </c>
      <c r="F802" s="2">
        <v>44696</v>
      </c>
      <c r="G802" s="3">
        <v>71610</v>
      </c>
      <c r="H802" s="1">
        <v>0</v>
      </c>
      <c r="I802" s="1" t="s">
        <v>388</v>
      </c>
      <c r="J802" s="1" t="s">
        <v>31</v>
      </c>
    </row>
    <row r="803" spans="1:10" hidden="1" x14ac:dyDescent="0.25">
      <c r="A803" s="1" t="s">
        <v>78</v>
      </c>
      <c r="B803" s="1" t="s">
        <v>79</v>
      </c>
      <c r="C803" s="1">
        <v>17900</v>
      </c>
      <c r="D803" s="1">
        <v>26912</v>
      </c>
      <c r="E803" s="2">
        <v>44531</v>
      </c>
      <c r="F803" s="2">
        <v>44696</v>
      </c>
      <c r="G803" s="3">
        <v>8800</v>
      </c>
      <c r="H803" s="1">
        <v>0</v>
      </c>
      <c r="I803" s="1" t="s">
        <v>80</v>
      </c>
      <c r="J803" s="1" t="s">
        <v>68</v>
      </c>
    </row>
    <row r="804" spans="1:10" hidden="1" x14ac:dyDescent="0.25">
      <c r="A804" s="1" t="s">
        <v>70</v>
      </c>
      <c r="B804" s="1" t="s">
        <v>71</v>
      </c>
      <c r="C804" s="1">
        <v>18726</v>
      </c>
      <c r="D804" s="1">
        <v>27742</v>
      </c>
      <c r="E804" s="2">
        <v>44606</v>
      </c>
      <c r="F804" s="2">
        <v>44696</v>
      </c>
      <c r="G804" s="3">
        <v>18583.48</v>
      </c>
      <c r="H804" s="1">
        <v>0</v>
      </c>
      <c r="I804" s="1" t="s">
        <v>432</v>
      </c>
      <c r="J804" s="1" t="s">
        <v>73</v>
      </c>
    </row>
    <row r="805" spans="1:10" hidden="1" x14ac:dyDescent="0.25">
      <c r="A805" s="1" t="s">
        <v>70</v>
      </c>
      <c r="B805" s="1" t="s">
        <v>71</v>
      </c>
      <c r="C805" s="1">
        <v>18725</v>
      </c>
      <c r="D805" s="1">
        <v>27741</v>
      </c>
      <c r="E805" s="2">
        <v>44606</v>
      </c>
      <c r="F805" s="2">
        <v>44696</v>
      </c>
      <c r="G805" s="3">
        <v>3430</v>
      </c>
      <c r="H805" s="1">
        <v>0</v>
      </c>
      <c r="I805" s="1" t="s">
        <v>464</v>
      </c>
      <c r="J805" s="1" t="s">
        <v>73</v>
      </c>
    </row>
    <row r="806" spans="1:10" hidden="1" x14ac:dyDescent="0.25">
      <c r="A806" s="1" t="s">
        <v>136</v>
      </c>
      <c r="B806" s="1" t="s">
        <v>137</v>
      </c>
      <c r="C806" s="1">
        <v>17566</v>
      </c>
      <c r="D806" s="1">
        <v>26573</v>
      </c>
      <c r="E806" s="2">
        <v>44503</v>
      </c>
      <c r="F806" s="2">
        <v>44696</v>
      </c>
      <c r="G806" s="3">
        <v>20920</v>
      </c>
      <c r="H806" s="1">
        <v>0</v>
      </c>
      <c r="I806" s="1" t="s">
        <v>315</v>
      </c>
      <c r="J806" s="1" t="s">
        <v>77</v>
      </c>
    </row>
    <row r="807" spans="1:10" hidden="1" x14ac:dyDescent="0.25">
      <c r="A807" s="1" t="s">
        <v>78</v>
      </c>
      <c r="B807" s="1" t="s">
        <v>79</v>
      </c>
      <c r="C807" s="1">
        <v>16998</v>
      </c>
      <c r="D807" s="1">
        <v>26006</v>
      </c>
      <c r="E807" s="2">
        <v>44466</v>
      </c>
      <c r="F807" s="2">
        <v>44696</v>
      </c>
      <c r="G807" s="3">
        <v>330000</v>
      </c>
      <c r="H807" s="1">
        <v>0</v>
      </c>
      <c r="I807" s="1" t="s">
        <v>566</v>
      </c>
      <c r="J807" s="1" t="s">
        <v>68</v>
      </c>
    </row>
    <row r="808" spans="1:10" hidden="1" x14ac:dyDescent="0.25">
      <c r="A808" s="1" t="s">
        <v>78</v>
      </c>
      <c r="B808" s="1" t="s">
        <v>79</v>
      </c>
      <c r="C808" s="1">
        <v>17018</v>
      </c>
      <c r="D808" s="1">
        <v>26027</v>
      </c>
      <c r="E808" s="2">
        <v>44467</v>
      </c>
      <c r="F808" s="2">
        <v>44696</v>
      </c>
      <c r="G808" s="3">
        <v>14650</v>
      </c>
      <c r="H808" s="1">
        <v>0</v>
      </c>
      <c r="I808" s="1" t="s">
        <v>651</v>
      </c>
      <c r="J808" s="1" t="s">
        <v>68</v>
      </c>
    </row>
    <row r="809" spans="1:10" hidden="1" x14ac:dyDescent="0.25">
      <c r="A809" s="1" t="s">
        <v>136</v>
      </c>
      <c r="B809" s="1" t="s">
        <v>137</v>
      </c>
      <c r="C809" s="1">
        <v>17022</v>
      </c>
      <c r="D809" s="1">
        <v>26031</v>
      </c>
      <c r="E809" s="2">
        <v>44467</v>
      </c>
      <c r="F809" s="2">
        <v>44696</v>
      </c>
      <c r="G809" s="3">
        <v>9039</v>
      </c>
      <c r="H809" s="1">
        <v>0</v>
      </c>
      <c r="I809" s="1" t="s">
        <v>652</v>
      </c>
      <c r="J809" s="1" t="s">
        <v>77</v>
      </c>
    </row>
    <row r="810" spans="1:10" hidden="1" x14ac:dyDescent="0.25">
      <c r="A810" s="1" t="s">
        <v>244</v>
      </c>
      <c r="B810" s="1" t="s">
        <v>98</v>
      </c>
      <c r="C810" s="1">
        <v>17762</v>
      </c>
      <c r="D810" s="1">
        <v>26762</v>
      </c>
      <c r="E810" s="2">
        <v>44516</v>
      </c>
      <c r="F810" s="2">
        <v>44696</v>
      </c>
      <c r="G810" s="3">
        <v>84450</v>
      </c>
      <c r="H810" s="1">
        <v>0</v>
      </c>
      <c r="I810" s="1" t="s">
        <v>861</v>
      </c>
      <c r="J810" s="1" t="s">
        <v>27</v>
      </c>
    </row>
    <row r="811" spans="1:10" hidden="1" x14ac:dyDescent="0.25">
      <c r="A811" s="1" t="s">
        <v>78</v>
      </c>
      <c r="B811" s="1" t="s">
        <v>79</v>
      </c>
      <c r="C811" s="1">
        <v>17901</v>
      </c>
      <c r="D811" s="1">
        <v>26913</v>
      </c>
      <c r="E811" s="2">
        <v>44531</v>
      </c>
      <c r="F811" s="2">
        <v>44696</v>
      </c>
      <c r="G811" s="3">
        <v>112200</v>
      </c>
      <c r="H811" s="1">
        <v>0</v>
      </c>
      <c r="I811" s="1" t="s">
        <v>902</v>
      </c>
      <c r="J811" s="1" t="s">
        <v>68</v>
      </c>
    </row>
    <row r="812" spans="1:10" hidden="1" x14ac:dyDescent="0.25">
      <c r="A812" s="1" t="s">
        <v>136</v>
      </c>
      <c r="B812" s="1" t="s">
        <v>137</v>
      </c>
      <c r="C812" s="1">
        <v>17020</v>
      </c>
      <c r="D812" s="1">
        <v>26029</v>
      </c>
      <c r="E812" s="2">
        <v>44467</v>
      </c>
      <c r="F812" s="2">
        <v>44696</v>
      </c>
      <c r="G812" s="3">
        <v>5880</v>
      </c>
      <c r="H812" s="1">
        <v>0</v>
      </c>
      <c r="I812" s="1" t="s">
        <v>933</v>
      </c>
      <c r="J812" s="1" t="s">
        <v>77</v>
      </c>
    </row>
    <row r="813" spans="1:10" hidden="1" x14ac:dyDescent="0.25">
      <c r="A813" s="1" t="s">
        <v>78</v>
      </c>
      <c r="B813" s="1" t="s">
        <v>79</v>
      </c>
      <c r="C813" s="1">
        <v>17197</v>
      </c>
      <c r="D813" s="1">
        <v>26196</v>
      </c>
      <c r="E813" s="2">
        <v>44477</v>
      </c>
      <c r="F813" s="2">
        <v>44696</v>
      </c>
      <c r="G813" s="3">
        <v>52800</v>
      </c>
      <c r="H813" s="1">
        <v>0</v>
      </c>
      <c r="I813" s="1" t="s">
        <v>984</v>
      </c>
      <c r="J813" s="1" t="s">
        <v>68</v>
      </c>
    </row>
    <row r="814" spans="1:10" hidden="1" x14ac:dyDescent="0.25">
      <c r="A814" s="1" t="s">
        <v>70</v>
      </c>
      <c r="B814" s="1" t="s">
        <v>71</v>
      </c>
      <c r="C814" s="1">
        <v>18727</v>
      </c>
      <c r="D814" s="1">
        <v>27743</v>
      </c>
      <c r="E814" s="2">
        <v>44606</v>
      </c>
      <c r="F814" s="2">
        <v>44696</v>
      </c>
      <c r="G814" s="3">
        <v>17024.43</v>
      </c>
      <c r="H814" s="1">
        <v>0</v>
      </c>
      <c r="I814" s="1" t="s">
        <v>990</v>
      </c>
      <c r="J814" s="1" t="s">
        <v>73</v>
      </c>
    </row>
    <row r="815" spans="1:10" hidden="1" x14ac:dyDescent="0.25">
      <c r="A815" s="1" t="s">
        <v>221</v>
      </c>
      <c r="B815" s="1" t="s">
        <v>222</v>
      </c>
      <c r="C815" s="1">
        <v>18120</v>
      </c>
      <c r="D815" s="1">
        <v>27131</v>
      </c>
      <c r="E815" s="2">
        <v>44546</v>
      </c>
      <c r="F815" s="2">
        <v>44696</v>
      </c>
      <c r="G815" s="3">
        <v>84450</v>
      </c>
      <c r="H815" s="1">
        <v>0</v>
      </c>
      <c r="I815" s="1" t="s">
        <v>1055</v>
      </c>
      <c r="J815" s="1" t="s">
        <v>27</v>
      </c>
    </row>
    <row r="816" spans="1:10" hidden="1" x14ac:dyDescent="0.25">
      <c r="A816" s="1" t="s">
        <v>136</v>
      </c>
      <c r="B816" s="1" t="s">
        <v>137</v>
      </c>
      <c r="C816" s="1">
        <v>18347</v>
      </c>
      <c r="D816" s="1">
        <v>27355</v>
      </c>
      <c r="E816" s="2">
        <v>44572</v>
      </c>
      <c r="F816" s="2">
        <v>44696</v>
      </c>
      <c r="G816" s="3">
        <v>28545</v>
      </c>
      <c r="H816" s="1">
        <v>0</v>
      </c>
      <c r="I816" s="1" t="s">
        <v>1098</v>
      </c>
      <c r="J816" s="1" t="s">
        <v>77</v>
      </c>
    </row>
    <row r="817" spans="1:10" hidden="1" x14ac:dyDescent="0.25">
      <c r="A817" s="1" t="s">
        <v>136</v>
      </c>
      <c r="B817" s="1" t="s">
        <v>137</v>
      </c>
      <c r="C817" s="1">
        <v>17571</v>
      </c>
      <c r="D817" s="1">
        <v>26578</v>
      </c>
      <c r="E817" s="2">
        <v>44503</v>
      </c>
      <c r="F817" s="2">
        <v>44696</v>
      </c>
      <c r="G817" s="3">
        <v>10903.2</v>
      </c>
      <c r="H817" s="1">
        <v>0</v>
      </c>
      <c r="I817" s="1" t="s">
        <v>1105</v>
      </c>
      <c r="J817" s="1" t="s">
        <v>77</v>
      </c>
    </row>
    <row r="818" spans="1:10" hidden="1" x14ac:dyDescent="0.25">
      <c r="A818" s="1" t="s">
        <v>280</v>
      </c>
      <c r="B818" s="1" t="s">
        <v>281</v>
      </c>
      <c r="C818" s="1">
        <v>17725</v>
      </c>
      <c r="D818" s="1">
        <v>26719</v>
      </c>
      <c r="E818" s="2">
        <v>44511</v>
      </c>
      <c r="F818" s="2">
        <v>44696</v>
      </c>
      <c r="G818" s="3">
        <v>22263.8</v>
      </c>
      <c r="H818" s="1">
        <v>0</v>
      </c>
      <c r="I818" s="1" t="s">
        <v>1203</v>
      </c>
      <c r="J818" s="1" t="s">
        <v>77</v>
      </c>
    </row>
    <row r="819" spans="1:10" hidden="1" x14ac:dyDescent="0.25">
      <c r="A819" s="1" t="s">
        <v>136</v>
      </c>
      <c r="B819" s="1" t="s">
        <v>137</v>
      </c>
      <c r="C819" s="1">
        <v>17021</v>
      </c>
      <c r="D819" s="1">
        <v>26030</v>
      </c>
      <c r="E819" s="2">
        <v>44467</v>
      </c>
      <c r="F819" s="2">
        <v>44696</v>
      </c>
      <c r="G819" s="3">
        <v>14462.4</v>
      </c>
      <c r="H819" s="1">
        <v>0</v>
      </c>
      <c r="I819" s="1" t="s">
        <v>1330</v>
      </c>
      <c r="J819" s="1" t="s">
        <v>77</v>
      </c>
    </row>
    <row r="820" spans="1:10" hidden="1" x14ac:dyDescent="0.25">
      <c r="A820" s="1" t="s">
        <v>78</v>
      </c>
      <c r="B820" s="1" t="s">
        <v>79</v>
      </c>
      <c r="C820" s="1">
        <v>16683</v>
      </c>
      <c r="D820" s="1">
        <v>25650</v>
      </c>
      <c r="E820" s="2">
        <v>44440</v>
      </c>
      <c r="F820" s="2">
        <v>44696</v>
      </c>
      <c r="G820" s="3">
        <v>198020</v>
      </c>
      <c r="H820" s="1">
        <v>0</v>
      </c>
      <c r="I820" s="1" t="s">
        <v>1492</v>
      </c>
      <c r="J820" s="1" t="s">
        <v>68</v>
      </c>
    </row>
    <row r="821" spans="1:10" hidden="1" x14ac:dyDescent="0.25">
      <c r="A821" s="1" t="s">
        <v>244</v>
      </c>
      <c r="B821" s="1" t="s">
        <v>98</v>
      </c>
      <c r="C821" s="1">
        <v>18119</v>
      </c>
      <c r="D821" s="1">
        <v>27130</v>
      </c>
      <c r="E821" s="2">
        <v>44546</v>
      </c>
      <c r="F821" s="2">
        <v>44696</v>
      </c>
      <c r="G821" s="3">
        <v>5630</v>
      </c>
      <c r="H821" s="1">
        <v>0</v>
      </c>
      <c r="I821" s="1" t="s">
        <v>1525</v>
      </c>
      <c r="J821" s="1" t="s">
        <v>27</v>
      </c>
    </row>
    <row r="822" spans="1:10" hidden="1" x14ac:dyDescent="0.25">
      <c r="A822" s="1" t="s">
        <v>1526</v>
      </c>
      <c r="B822" s="1" t="s">
        <v>1527</v>
      </c>
      <c r="C822" s="1">
        <v>17420</v>
      </c>
      <c r="D822" s="1">
        <v>26421</v>
      </c>
      <c r="E822" s="2">
        <v>44490</v>
      </c>
      <c r="F822" s="2">
        <v>44696</v>
      </c>
      <c r="G822" s="3">
        <v>50347.5</v>
      </c>
      <c r="H822" s="1">
        <v>0</v>
      </c>
      <c r="I822" s="1" t="s">
        <v>1528</v>
      </c>
      <c r="J822" s="1" t="s">
        <v>77</v>
      </c>
    </row>
    <row r="823" spans="1:10" hidden="1" x14ac:dyDescent="0.25">
      <c r="A823" s="1" t="s">
        <v>78</v>
      </c>
      <c r="B823" s="1" t="s">
        <v>79</v>
      </c>
      <c r="C823" s="1">
        <v>17439</v>
      </c>
      <c r="D823" s="1">
        <v>26443</v>
      </c>
      <c r="E823" s="2">
        <v>44491</v>
      </c>
      <c r="F823" s="2">
        <v>44696</v>
      </c>
      <c r="G823" s="3">
        <v>44000</v>
      </c>
      <c r="H823" s="1">
        <v>0</v>
      </c>
      <c r="I823" s="1" t="s">
        <v>1629</v>
      </c>
      <c r="J823" s="1" t="s">
        <v>68</v>
      </c>
    </row>
    <row r="824" spans="1:10" hidden="1" x14ac:dyDescent="0.25">
      <c r="A824" s="1" t="s">
        <v>136</v>
      </c>
      <c r="B824" s="1" t="s">
        <v>137</v>
      </c>
      <c r="C824" s="1">
        <v>17567</v>
      </c>
      <c r="D824" s="1">
        <v>26574</v>
      </c>
      <c r="E824" s="2">
        <v>44503</v>
      </c>
      <c r="F824" s="2">
        <v>44696</v>
      </c>
      <c r="G824" s="3">
        <v>328190</v>
      </c>
      <c r="H824" s="1">
        <v>0</v>
      </c>
      <c r="I824" s="1" t="s">
        <v>1650</v>
      </c>
      <c r="J824" s="1" t="s">
        <v>77</v>
      </c>
    </row>
    <row r="825" spans="1:10" hidden="1" x14ac:dyDescent="0.25">
      <c r="A825" s="1" t="s">
        <v>10</v>
      </c>
      <c r="B825" s="1" t="s">
        <v>11</v>
      </c>
      <c r="C825" s="1">
        <v>17768</v>
      </c>
      <c r="D825" s="1">
        <v>26768</v>
      </c>
      <c r="E825" s="2">
        <v>44517</v>
      </c>
      <c r="F825" s="2">
        <v>44697</v>
      </c>
      <c r="G825" s="3">
        <v>14220</v>
      </c>
      <c r="H825" s="1">
        <v>0</v>
      </c>
      <c r="I825" s="1" t="s">
        <v>257</v>
      </c>
      <c r="J825" s="1" t="s">
        <v>13</v>
      </c>
    </row>
    <row r="826" spans="1:10" hidden="1" x14ac:dyDescent="0.25">
      <c r="A826" s="1" t="s">
        <v>10</v>
      </c>
      <c r="B826" s="1" t="s">
        <v>11</v>
      </c>
      <c r="C826" s="1">
        <v>17782</v>
      </c>
      <c r="D826" s="1">
        <v>26786</v>
      </c>
      <c r="E826" s="2">
        <v>44517</v>
      </c>
      <c r="F826" s="2">
        <v>44697</v>
      </c>
      <c r="G826" s="3">
        <v>71999.929999999993</v>
      </c>
      <c r="H826" s="1">
        <v>0</v>
      </c>
      <c r="I826" s="1" t="s">
        <v>504</v>
      </c>
      <c r="J826" s="1" t="s">
        <v>13</v>
      </c>
    </row>
    <row r="827" spans="1:10" hidden="1" x14ac:dyDescent="0.25">
      <c r="A827" s="1" t="s">
        <v>252</v>
      </c>
      <c r="B827" s="1" t="s">
        <v>253</v>
      </c>
      <c r="C827" s="1">
        <v>17773</v>
      </c>
      <c r="D827" s="1">
        <v>26777</v>
      </c>
      <c r="E827" s="2">
        <v>44517</v>
      </c>
      <c r="F827" s="2">
        <v>44697</v>
      </c>
      <c r="G827" s="3">
        <v>2600</v>
      </c>
      <c r="H827" s="1">
        <v>0</v>
      </c>
      <c r="I827" s="1" t="s">
        <v>792</v>
      </c>
      <c r="J827" s="1" t="s">
        <v>58</v>
      </c>
    </row>
    <row r="828" spans="1:10" hidden="1" x14ac:dyDescent="0.25">
      <c r="A828" s="1" t="s">
        <v>10</v>
      </c>
      <c r="B828" s="1" t="s">
        <v>11</v>
      </c>
      <c r="C828" s="1">
        <v>17766</v>
      </c>
      <c r="D828" s="1">
        <v>26766</v>
      </c>
      <c r="E828" s="2">
        <v>44517</v>
      </c>
      <c r="F828" s="2">
        <v>44697</v>
      </c>
      <c r="G828" s="3">
        <v>8999.99</v>
      </c>
      <c r="H828" s="1">
        <v>0</v>
      </c>
      <c r="I828" s="1" t="s">
        <v>543</v>
      </c>
      <c r="J828" s="1" t="s">
        <v>13</v>
      </c>
    </row>
    <row r="829" spans="1:10" hidden="1" x14ac:dyDescent="0.25">
      <c r="A829" s="1" t="s">
        <v>140</v>
      </c>
      <c r="B829" s="1" t="s">
        <v>141</v>
      </c>
      <c r="C829" s="1">
        <v>18730</v>
      </c>
      <c r="D829" s="1">
        <v>27746</v>
      </c>
      <c r="E829" s="2">
        <v>44607</v>
      </c>
      <c r="F829" s="2">
        <v>44697</v>
      </c>
      <c r="G829" s="3">
        <v>77390.820000000007</v>
      </c>
      <c r="H829" s="1">
        <v>0</v>
      </c>
      <c r="I829" s="1" t="s">
        <v>928</v>
      </c>
      <c r="J829" s="1" t="s">
        <v>73</v>
      </c>
    </row>
    <row r="830" spans="1:10" hidden="1" x14ac:dyDescent="0.25">
      <c r="A830" s="1" t="s">
        <v>97</v>
      </c>
      <c r="B830" s="1" t="s">
        <v>98</v>
      </c>
      <c r="C830" s="1">
        <v>18133</v>
      </c>
      <c r="D830" s="1">
        <v>27147</v>
      </c>
      <c r="E830" s="2">
        <v>44547</v>
      </c>
      <c r="F830" s="2">
        <v>44697</v>
      </c>
      <c r="G830" s="3">
        <v>30615</v>
      </c>
      <c r="H830" s="1">
        <v>0</v>
      </c>
      <c r="I830" s="1" t="s">
        <v>968</v>
      </c>
      <c r="J830" s="1" t="s">
        <v>27</v>
      </c>
    </row>
    <row r="831" spans="1:10" hidden="1" x14ac:dyDescent="0.25">
      <c r="A831" s="1" t="s">
        <v>221</v>
      </c>
      <c r="B831" s="1" t="s">
        <v>222</v>
      </c>
      <c r="C831" s="1">
        <v>18135</v>
      </c>
      <c r="D831" s="1">
        <v>27149</v>
      </c>
      <c r="E831" s="2">
        <v>44547</v>
      </c>
      <c r="F831" s="2">
        <v>44697</v>
      </c>
      <c r="G831" s="3">
        <v>17342.099999999999</v>
      </c>
      <c r="H831" s="1">
        <v>0</v>
      </c>
      <c r="I831" s="1" t="s">
        <v>1017</v>
      </c>
      <c r="J831" s="1" t="s">
        <v>27</v>
      </c>
    </row>
    <row r="832" spans="1:10" hidden="1" x14ac:dyDescent="0.25">
      <c r="A832" s="1" t="s">
        <v>180</v>
      </c>
      <c r="B832" s="1" t="s">
        <v>181</v>
      </c>
      <c r="C832" s="1">
        <v>17321</v>
      </c>
      <c r="D832" s="1">
        <v>26319</v>
      </c>
      <c r="E832" s="2">
        <v>44487</v>
      </c>
      <c r="F832" s="2">
        <v>44697</v>
      </c>
      <c r="G832" s="3">
        <v>282334</v>
      </c>
      <c r="H832" s="1">
        <v>0</v>
      </c>
      <c r="I832" s="1" t="s">
        <v>1119</v>
      </c>
      <c r="J832" s="1" t="s">
        <v>88</v>
      </c>
    </row>
    <row r="833" spans="1:10" hidden="1" x14ac:dyDescent="0.25">
      <c r="A833" s="1" t="s">
        <v>97</v>
      </c>
      <c r="B833" s="1" t="s">
        <v>98</v>
      </c>
      <c r="C833" s="1">
        <v>18134</v>
      </c>
      <c r="D833" s="1">
        <v>27148</v>
      </c>
      <c r="E833" s="2">
        <v>44547</v>
      </c>
      <c r="F833" s="2">
        <v>44697</v>
      </c>
      <c r="G833" s="3">
        <v>9999.99</v>
      </c>
      <c r="H833" s="1">
        <v>0</v>
      </c>
      <c r="I833" s="1" t="s">
        <v>1402</v>
      </c>
      <c r="J833" s="1" t="s">
        <v>27</v>
      </c>
    </row>
    <row r="834" spans="1:10" hidden="1" x14ac:dyDescent="0.25">
      <c r="A834" s="1" t="s">
        <v>221</v>
      </c>
      <c r="B834" s="1" t="s">
        <v>222</v>
      </c>
      <c r="C834" s="1">
        <v>18137</v>
      </c>
      <c r="D834" s="1">
        <v>27151</v>
      </c>
      <c r="E834" s="2">
        <v>44547</v>
      </c>
      <c r="F834" s="2">
        <v>44697</v>
      </c>
      <c r="G834" s="3">
        <v>9999.99</v>
      </c>
      <c r="H834" s="1">
        <v>0</v>
      </c>
      <c r="I834" s="1" t="s">
        <v>1469</v>
      </c>
      <c r="J834" s="1" t="s">
        <v>27</v>
      </c>
    </row>
    <row r="835" spans="1:10" hidden="1" x14ac:dyDescent="0.25">
      <c r="A835" s="1" t="s">
        <v>24</v>
      </c>
      <c r="B835" s="1" t="s">
        <v>25</v>
      </c>
      <c r="C835" s="1">
        <v>18127</v>
      </c>
      <c r="D835" s="1">
        <v>27141</v>
      </c>
      <c r="E835" s="2">
        <v>44547</v>
      </c>
      <c r="F835" s="2">
        <v>44697</v>
      </c>
      <c r="G835" s="3">
        <v>4080</v>
      </c>
      <c r="H835" s="1">
        <v>0</v>
      </c>
      <c r="I835" s="1" t="s">
        <v>1590</v>
      </c>
      <c r="J835" s="1" t="s">
        <v>27</v>
      </c>
    </row>
    <row r="836" spans="1:10" hidden="1" x14ac:dyDescent="0.25">
      <c r="A836" s="1" t="s">
        <v>20</v>
      </c>
      <c r="B836" s="1" t="s">
        <v>21</v>
      </c>
      <c r="C836" s="1">
        <v>18420</v>
      </c>
      <c r="D836" s="1">
        <v>27423</v>
      </c>
      <c r="E836" s="2">
        <v>44578</v>
      </c>
      <c r="F836" s="2">
        <v>44698</v>
      </c>
      <c r="G836" s="3">
        <v>2000</v>
      </c>
      <c r="H836" s="1">
        <v>0</v>
      </c>
      <c r="I836" s="1" t="s">
        <v>46</v>
      </c>
      <c r="J836" s="1" t="s">
        <v>23</v>
      </c>
    </row>
    <row r="837" spans="1:10" hidden="1" x14ac:dyDescent="0.25">
      <c r="A837" s="1" t="s">
        <v>20</v>
      </c>
      <c r="B837" s="1" t="s">
        <v>21</v>
      </c>
      <c r="C837" s="1">
        <v>18425</v>
      </c>
      <c r="D837" s="1">
        <v>27426</v>
      </c>
      <c r="E837" s="2">
        <v>44578</v>
      </c>
      <c r="F837" s="2">
        <v>44698</v>
      </c>
      <c r="G837" s="3">
        <v>47739.95</v>
      </c>
      <c r="H837" s="1">
        <v>0</v>
      </c>
      <c r="I837" s="1" t="s">
        <v>153</v>
      </c>
      <c r="J837" s="1" t="s">
        <v>23</v>
      </c>
    </row>
    <row r="838" spans="1:10" hidden="1" x14ac:dyDescent="0.25">
      <c r="A838" s="1" t="s">
        <v>70</v>
      </c>
      <c r="B838" s="1" t="s">
        <v>71</v>
      </c>
      <c r="C838" s="1">
        <v>17794</v>
      </c>
      <c r="D838" s="1">
        <v>26796</v>
      </c>
      <c r="E838" s="2">
        <v>44518</v>
      </c>
      <c r="F838" s="2">
        <v>44698</v>
      </c>
      <c r="G838" s="3">
        <v>6200.08</v>
      </c>
      <c r="H838" s="1">
        <v>0</v>
      </c>
      <c r="I838" s="1" t="s">
        <v>218</v>
      </c>
      <c r="J838" s="1" t="s">
        <v>73</v>
      </c>
    </row>
    <row r="839" spans="1:10" hidden="1" x14ac:dyDescent="0.25">
      <c r="A839" s="1" t="s">
        <v>70</v>
      </c>
      <c r="B839" s="1" t="s">
        <v>71</v>
      </c>
      <c r="C839" s="1">
        <v>17793</v>
      </c>
      <c r="D839" s="1">
        <v>26795</v>
      </c>
      <c r="E839" s="2">
        <v>44518</v>
      </c>
      <c r="F839" s="2">
        <v>44698</v>
      </c>
      <c r="G839" s="3">
        <v>10333.44</v>
      </c>
      <c r="H839" s="1">
        <v>0</v>
      </c>
      <c r="I839" s="1" t="s">
        <v>300</v>
      </c>
      <c r="J839" s="1" t="s">
        <v>73</v>
      </c>
    </row>
    <row r="840" spans="1:10" hidden="1" x14ac:dyDescent="0.25">
      <c r="A840" s="1" t="s">
        <v>108</v>
      </c>
      <c r="B840" s="1" t="s">
        <v>109</v>
      </c>
      <c r="C840" s="1">
        <v>17347</v>
      </c>
      <c r="D840" s="1">
        <v>26351</v>
      </c>
      <c r="E840" s="2">
        <v>44488</v>
      </c>
      <c r="F840" s="2">
        <v>44698</v>
      </c>
      <c r="G840" s="3">
        <v>16867.2</v>
      </c>
      <c r="H840" s="1">
        <v>0</v>
      </c>
      <c r="I840" s="1" t="s">
        <v>952</v>
      </c>
      <c r="J840" s="1" t="s">
        <v>88</v>
      </c>
    </row>
    <row r="841" spans="1:10" hidden="1" x14ac:dyDescent="0.25">
      <c r="A841" s="1" t="s">
        <v>578</v>
      </c>
      <c r="B841" s="1" t="s">
        <v>579</v>
      </c>
      <c r="C841" s="1">
        <v>16605</v>
      </c>
      <c r="D841" s="1">
        <v>25568</v>
      </c>
      <c r="E841" s="2">
        <v>44428</v>
      </c>
      <c r="F841" s="2">
        <v>44698</v>
      </c>
      <c r="G841" s="3">
        <v>79190.399999999994</v>
      </c>
      <c r="H841" s="1">
        <v>0</v>
      </c>
      <c r="I841" s="1" t="s">
        <v>1058</v>
      </c>
      <c r="J841" s="1" t="s">
        <v>73</v>
      </c>
    </row>
    <row r="842" spans="1:10" hidden="1" x14ac:dyDescent="0.25">
      <c r="A842" s="1" t="s">
        <v>1238</v>
      </c>
      <c r="B842" s="1" t="s">
        <v>1239</v>
      </c>
      <c r="C842" s="1"/>
      <c r="D842" s="1">
        <v>176646</v>
      </c>
      <c r="E842" s="2">
        <v>44547</v>
      </c>
      <c r="F842" s="2">
        <v>44698</v>
      </c>
      <c r="G842" s="3">
        <v>2400</v>
      </c>
      <c r="H842" s="1">
        <v>0</v>
      </c>
      <c r="I842" s="1" t="s">
        <v>1240</v>
      </c>
      <c r="J842" s="1" t="s">
        <v>730</v>
      </c>
    </row>
    <row r="843" spans="1:10" hidden="1" x14ac:dyDescent="0.25">
      <c r="A843" s="1" t="s">
        <v>147</v>
      </c>
      <c r="B843" s="1" t="s">
        <v>148</v>
      </c>
      <c r="C843" s="1">
        <v>18745</v>
      </c>
      <c r="D843" s="1">
        <v>27762</v>
      </c>
      <c r="E843" s="2">
        <v>44608</v>
      </c>
      <c r="F843" s="2">
        <v>44698</v>
      </c>
      <c r="G843" s="3">
        <v>73470.600000000006</v>
      </c>
      <c r="H843" s="1">
        <v>0</v>
      </c>
      <c r="I843" s="1" t="s">
        <v>1564</v>
      </c>
      <c r="J843" s="1" t="s">
        <v>23</v>
      </c>
    </row>
    <row r="844" spans="1:10" hidden="1" x14ac:dyDescent="0.25">
      <c r="A844" s="1" t="s">
        <v>78</v>
      </c>
      <c r="B844" s="1" t="s">
        <v>79</v>
      </c>
      <c r="C844" s="1">
        <v>16874</v>
      </c>
      <c r="D844" s="1">
        <v>25849</v>
      </c>
      <c r="E844" s="2">
        <v>44459</v>
      </c>
      <c r="F844" s="2">
        <v>44699</v>
      </c>
      <c r="G844" s="3">
        <v>70890</v>
      </c>
      <c r="H844" s="1">
        <v>0</v>
      </c>
      <c r="I844" s="1" t="s">
        <v>307</v>
      </c>
      <c r="J844" s="1" t="s">
        <v>68</v>
      </c>
    </row>
    <row r="845" spans="1:10" hidden="1" x14ac:dyDescent="0.25">
      <c r="A845" s="1" t="s">
        <v>535</v>
      </c>
      <c r="B845" s="1" t="s">
        <v>536</v>
      </c>
      <c r="C845" s="1">
        <v>18235</v>
      </c>
      <c r="D845" s="1">
        <v>27247</v>
      </c>
      <c r="E845" s="2">
        <v>44564</v>
      </c>
      <c r="F845" s="2">
        <v>44699</v>
      </c>
      <c r="G845" s="3">
        <v>37366.18</v>
      </c>
      <c r="H845" s="1">
        <v>0</v>
      </c>
      <c r="I845" s="1" t="s">
        <v>537</v>
      </c>
      <c r="J845" s="1" t="s">
        <v>58</v>
      </c>
    </row>
    <row r="846" spans="1:10" hidden="1" x14ac:dyDescent="0.25">
      <c r="A846" s="1" t="s">
        <v>10</v>
      </c>
      <c r="B846" s="1" t="s">
        <v>11</v>
      </c>
      <c r="C846" s="1">
        <v>17397</v>
      </c>
      <c r="D846" s="1">
        <v>26401</v>
      </c>
      <c r="E846" s="2">
        <v>44489</v>
      </c>
      <c r="F846" s="2">
        <v>44699</v>
      </c>
      <c r="G846" s="3">
        <v>5973.34</v>
      </c>
      <c r="H846" s="1">
        <v>0</v>
      </c>
      <c r="I846" s="1" t="s">
        <v>533</v>
      </c>
      <c r="J846" s="1" t="s">
        <v>13</v>
      </c>
    </row>
    <row r="847" spans="1:10" hidden="1" x14ac:dyDescent="0.25">
      <c r="A847" s="1" t="s">
        <v>20</v>
      </c>
      <c r="B847" s="1" t="s">
        <v>21</v>
      </c>
      <c r="C847" s="1">
        <v>18751</v>
      </c>
      <c r="D847" s="1">
        <v>27770</v>
      </c>
      <c r="E847" s="2">
        <v>44609</v>
      </c>
      <c r="F847" s="2">
        <v>44699</v>
      </c>
      <c r="G847" s="3">
        <v>5089.99</v>
      </c>
      <c r="H847" s="1">
        <v>0</v>
      </c>
      <c r="I847" s="1" t="s">
        <v>1219</v>
      </c>
      <c r="J847" s="1" t="s">
        <v>23</v>
      </c>
    </row>
    <row r="848" spans="1:10" hidden="1" x14ac:dyDescent="0.25">
      <c r="A848" s="1" t="s">
        <v>20</v>
      </c>
      <c r="B848" s="1" t="s">
        <v>21</v>
      </c>
      <c r="C848" s="1">
        <v>18149</v>
      </c>
      <c r="D848" s="1">
        <v>27160</v>
      </c>
      <c r="E848" s="2">
        <v>44549</v>
      </c>
      <c r="F848" s="2">
        <v>44699</v>
      </c>
      <c r="G848" s="3">
        <v>5454.16</v>
      </c>
      <c r="H848" s="1">
        <v>0</v>
      </c>
      <c r="I848" s="1" t="s">
        <v>1286</v>
      </c>
      <c r="J848" s="1" t="s">
        <v>23</v>
      </c>
    </row>
    <row r="849" spans="1:10" hidden="1" x14ac:dyDescent="0.25">
      <c r="A849" s="1" t="s">
        <v>10</v>
      </c>
      <c r="B849" s="1" t="s">
        <v>11</v>
      </c>
      <c r="C849" s="1">
        <v>17396</v>
      </c>
      <c r="D849" s="1">
        <v>26400</v>
      </c>
      <c r="E849" s="2">
        <v>44489</v>
      </c>
      <c r="F849" s="2">
        <v>44699</v>
      </c>
      <c r="G849" s="3">
        <v>33365.4</v>
      </c>
      <c r="H849" s="1">
        <v>0</v>
      </c>
      <c r="I849" s="1" t="s">
        <v>1393</v>
      </c>
      <c r="J849" s="1" t="s">
        <v>13</v>
      </c>
    </row>
    <row r="850" spans="1:10" hidden="1" x14ac:dyDescent="0.25">
      <c r="A850" s="1" t="s">
        <v>1499</v>
      </c>
      <c r="B850" s="1" t="s">
        <v>1500</v>
      </c>
      <c r="C850" s="1">
        <v>18755</v>
      </c>
      <c r="D850" s="1">
        <v>27774</v>
      </c>
      <c r="E850" s="2">
        <v>44609</v>
      </c>
      <c r="F850" s="2">
        <v>44699</v>
      </c>
      <c r="G850" s="3">
        <v>4935</v>
      </c>
      <c r="H850" s="1">
        <v>0</v>
      </c>
      <c r="I850" s="1" t="s">
        <v>1501</v>
      </c>
      <c r="J850" s="1" t="s">
        <v>1174</v>
      </c>
    </row>
    <row r="851" spans="1:10" hidden="1" x14ac:dyDescent="0.25">
      <c r="A851" s="1" t="s">
        <v>20</v>
      </c>
      <c r="B851" s="1" t="s">
        <v>21</v>
      </c>
      <c r="C851" s="1">
        <v>18752</v>
      </c>
      <c r="D851" s="1">
        <v>27771</v>
      </c>
      <c r="E851" s="2">
        <v>44609</v>
      </c>
      <c r="F851" s="2">
        <v>44699</v>
      </c>
      <c r="G851" s="3">
        <v>3412.5</v>
      </c>
      <c r="H851" s="1">
        <v>0</v>
      </c>
      <c r="I851" s="1" t="s">
        <v>1558</v>
      </c>
      <c r="J851" s="1" t="s">
        <v>23</v>
      </c>
    </row>
    <row r="852" spans="1:10" hidden="1" x14ac:dyDescent="0.25">
      <c r="A852" s="1" t="s">
        <v>20</v>
      </c>
      <c r="B852" s="1" t="s">
        <v>21</v>
      </c>
      <c r="C852" s="1">
        <v>18147</v>
      </c>
      <c r="D852" s="1">
        <v>27158</v>
      </c>
      <c r="E852" s="2">
        <v>44549</v>
      </c>
      <c r="F852" s="2">
        <v>44699</v>
      </c>
      <c r="G852" s="1">
        <v>360</v>
      </c>
      <c r="H852" s="1">
        <v>0</v>
      </c>
      <c r="I852" s="1" t="s">
        <v>1593</v>
      </c>
      <c r="J852" s="1" t="s">
        <v>23</v>
      </c>
    </row>
    <row r="853" spans="1:10" hidden="1" x14ac:dyDescent="0.25">
      <c r="A853" s="1" t="s">
        <v>20</v>
      </c>
      <c r="B853" s="1" t="s">
        <v>21</v>
      </c>
      <c r="C853" s="1">
        <v>18148</v>
      </c>
      <c r="D853" s="1">
        <v>27159</v>
      </c>
      <c r="E853" s="2">
        <v>44549</v>
      </c>
      <c r="F853" s="2">
        <v>44699</v>
      </c>
      <c r="G853" s="3">
        <v>28886.639999999999</v>
      </c>
      <c r="H853" s="1">
        <v>0</v>
      </c>
      <c r="I853" s="1" t="s">
        <v>1619</v>
      </c>
      <c r="J853" s="1" t="s">
        <v>23</v>
      </c>
    </row>
    <row r="854" spans="1:10" hidden="1" x14ac:dyDescent="0.25">
      <c r="A854" s="1" t="s">
        <v>20</v>
      </c>
      <c r="B854" s="1" t="s">
        <v>21</v>
      </c>
      <c r="C854" s="1">
        <v>18754</v>
      </c>
      <c r="D854" s="1">
        <v>27773</v>
      </c>
      <c r="E854" s="2">
        <v>44609</v>
      </c>
      <c r="F854" s="2">
        <v>44699</v>
      </c>
      <c r="G854" s="3">
        <v>30105</v>
      </c>
      <c r="H854" s="1">
        <v>0</v>
      </c>
      <c r="I854" s="1" t="s">
        <v>1658</v>
      </c>
      <c r="J854" s="1" t="s">
        <v>23</v>
      </c>
    </row>
    <row r="855" spans="1:10" hidden="1" x14ac:dyDescent="0.25">
      <c r="A855" s="1" t="s">
        <v>10</v>
      </c>
      <c r="B855" s="1" t="s">
        <v>11</v>
      </c>
      <c r="C855" s="1">
        <v>18471</v>
      </c>
      <c r="D855" s="1">
        <v>27470</v>
      </c>
      <c r="E855" s="2">
        <v>44580</v>
      </c>
      <c r="F855" s="2">
        <v>44700</v>
      </c>
      <c r="G855" s="3">
        <v>31999.97</v>
      </c>
      <c r="H855" s="1">
        <v>0</v>
      </c>
      <c r="I855" s="1" t="s">
        <v>547</v>
      </c>
      <c r="J855" s="1" t="s">
        <v>13</v>
      </c>
    </row>
    <row r="856" spans="1:10" hidden="1" x14ac:dyDescent="0.25">
      <c r="A856" s="1" t="s">
        <v>140</v>
      </c>
      <c r="B856" s="1" t="s">
        <v>141</v>
      </c>
      <c r="C856" s="1">
        <v>18165</v>
      </c>
      <c r="D856" s="1">
        <v>27176</v>
      </c>
      <c r="E856" s="2">
        <v>44550</v>
      </c>
      <c r="F856" s="2">
        <v>44700</v>
      </c>
      <c r="G856" s="3">
        <v>1493.34</v>
      </c>
      <c r="H856" s="1">
        <v>0</v>
      </c>
      <c r="I856" s="1" t="s">
        <v>1022</v>
      </c>
      <c r="J856" s="1" t="s">
        <v>73</v>
      </c>
    </row>
    <row r="857" spans="1:10" hidden="1" x14ac:dyDescent="0.25">
      <c r="A857" s="1" t="s">
        <v>321</v>
      </c>
      <c r="B857" s="1" t="s">
        <v>322</v>
      </c>
      <c r="C857" s="1">
        <v>17820</v>
      </c>
      <c r="D857" s="1">
        <v>26823</v>
      </c>
      <c r="E857" s="2">
        <v>44519</v>
      </c>
      <c r="F857" s="2">
        <v>44700</v>
      </c>
      <c r="G857" s="3">
        <v>38220</v>
      </c>
      <c r="H857" s="1">
        <v>0</v>
      </c>
      <c r="I857" s="1" t="s">
        <v>1043</v>
      </c>
      <c r="J857" s="1" t="s">
        <v>27</v>
      </c>
    </row>
    <row r="858" spans="1:10" hidden="1" x14ac:dyDescent="0.25">
      <c r="A858" s="1" t="s">
        <v>70</v>
      </c>
      <c r="B858" s="1" t="s">
        <v>71</v>
      </c>
      <c r="C858" s="1">
        <v>18168</v>
      </c>
      <c r="D858" s="1">
        <v>27179</v>
      </c>
      <c r="E858" s="2">
        <v>44550</v>
      </c>
      <c r="F858" s="2">
        <v>44700</v>
      </c>
      <c r="G858" s="1">
        <v>840</v>
      </c>
      <c r="H858" s="1">
        <v>0</v>
      </c>
      <c r="I858" s="1" t="s">
        <v>1160</v>
      </c>
      <c r="J858" s="1" t="s">
        <v>73</v>
      </c>
    </row>
    <row r="859" spans="1:10" hidden="1" x14ac:dyDescent="0.25">
      <c r="A859" s="1" t="s">
        <v>70</v>
      </c>
      <c r="B859" s="1" t="s">
        <v>71</v>
      </c>
      <c r="C859" s="1">
        <v>18167</v>
      </c>
      <c r="D859" s="1">
        <v>27178</v>
      </c>
      <c r="E859" s="2">
        <v>44550</v>
      </c>
      <c r="F859" s="2">
        <v>44700</v>
      </c>
      <c r="G859" s="3">
        <v>14222.82</v>
      </c>
      <c r="H859" s="1">
        <v>0</v>
      </c>
      <c r="I859" s="1" t="s">
        <v>1160</v>
      </c>
      <c r="J859" s="1" t="s">
        <v>73</v>
      </c>
    </row>
    <row r="860" spans="1:10" hidden="1" x14ac:dyDescent="0.25">
      <c r="A860" s="1" t="s">
        <v>321</v>
      </c>
      <c r="B860" s="1" t="s">
        <v>322</v>
      </c>
      <c r="C860" s="1">
        <v>17819</v>
      </c>
      <c r="D860" s="1">
        <v>26822</v>
      </c>
      <c r="E860" s="2">
        <v>44519</v>
      </c>
      <c r="F860" s="2">
        <v>44700</v>
      </c>
      <c r="G860" s="3">
        <v>47600</v>
      </c>
      <c r="H860" s="1">
        <v>0</v>
      </c>
      <c r="I860" s="1" t="s">
        <v>1515</v>
      </c>
      <c r="J860" s="1" t="s">
        <v>27</v>
      </c>
    </row>
    <row r="861" spans="1:10" hidden="1" x14ac:dyDescent="0.25">
      <c r="A861" s="1" t="s">
        <v>70</v>
      </c>
      <c r="B861" s="1" t="s">
        <v>71</v>
      </c>
      <c r="C861" s="1">
        <v>18166</v>
      </c>
      <c r="D861" s="1">
        <v>27177</v>
      </c>
      <c r="E861" s="2">
        <v>44550</v>
      </c>
      <c r="F861" s="2">
        <v>44700</v>
      </c>
      <c r="G861" s="1">
        <v>86.56</v>
      </c>
      <c r="H861" s="1">
        <v>0</v>
      </c>
      <c r="I861" s="1" t="s">
        <v>1160</v>
      </c>
      <c r="J861" s="1" t="s">
        <v>73</v>
      </c>
    </row>
    <row r="862" spans="1:10" hidden="1" x14ac:dyDescent="0.25">
      <c r="A862" s="1" t="s">
        <v>140</v>
      </c>
      <c r="B862" s="1" t="s">
        <v>141</v>
      </c>
      <c r="C862" s="1">
        <v>18164</v>
      </c>
      <c r="D862" s="1">
        <v>27175</v>
      </c>
      <c r="E862" s="2">
        <v>44550</v>
      </c>
      <c r="F862" s="2">
        <v>44700</v>
      </c>
      <c r="G862" s="3">
        <v>1160</v>
      </c>
      <c r="H862" s="1">
        <v>0</v>
      </c>
      <c r="I862" s="1" t="s">
        <v>1548</v>
      </c>
      <c r="J862" s="1" t="s">
        <v>73</v>
      </c>
    </row>
    <row r="863" spans="1:10" hidden="1" x14ac:dyDescent="0.25">
      <c r="A863" s="1" t="s">
        <v>24</v>
      </c>
      <c r="B863" s="1" t="s">
        <v>25</v>
      </c>
      <c r="C863" s="1">
        <v>18161</v>
      </c>
      <c r="D863" s="1">
        <v>27172</v>
      </c>
      <c r="E863" s="2">
        <v>44550</v>
      </c>
      <c r="F863" s="2">
        <v>44700</v>
      </c>
      <c r="G863" s="3">
        <v>2856</v>
      </c>
      <c r="H863" s="1">
        <v>0</v>
      </c>
      <c r="I863" s="1" t="s">
        <v>1591</v>
      </c>
      <c r="J863" s="1" t="s">
        <v>27</v>
      </c>
    </row>
    <row r="864" spans="1:10" hidden="1" x14ac:dyDescent="0.25">
      <c r="A864" s="1" t="s">
        <v>70</v>
      </c>
      <c r="B864" s="1" t="s">
        <v>71</v>
      </c>
      <c r="C864" s="1">
        <v>18169</v>
      </c>
      <c r="D864" s="1">
        <v>27180</v>
      </c>
      <c r="E864" s="2">
        <v>44550</v>
      </c>
      <c r="F864" s="2">
        <v>44700</v>
      </c>
      <c r="G864" s="1">
        <v>840</v>
      </c>
      <c r="H864" s="1">
        <v>0</v>
      </c>
      <c r="I864" s="1" t="s">
        <v>1052</v>
      </c>
      <c r="J864" s="1" t="s">
        <v>73</v>
      </c>
    </row>
    <row r="865" spans="1:10" hidden="1" x14ac:dyDescent="0.25">
      <c r="A865" s="1" t="s">
        <v>97</v>
      </c>
      <c r="B865" s="1" t="s">
        <v>98</v>
      </c>
      <c r="C865" s="1">
        <v>18174</v>
      </c>
      <c r="D865" s="1">
        <v>27185</v>
      </c>
      <c r="E865" s="2">
        <v>44550</v>
      </c>
      <c r="F865" s="2">
        <v>44700</v>
      </c>
      <c r="G865" s="3">
        <v>90080</v>
      </c>
      <c r="H865" s="1">
        <v>0</v>
      </c>
      <c r="I865" s="1" t="s">
        <v>1671</v>
      </c>
      <c r="J865" s="1" t="s">
        <v>27</v>
      </c>
    </row>
    <row r="866" spans="1:10" hidden="1" x14ac:dyDescent="0.25">
      <c r="A866" s="1" t="s">
        <v>24</v>
      </c>
      <c r="B866" s="1" t="s">
        <v>25</v>
      </c>
      <c r="C866" s="1">
        <v>16949</v>
      </c>
      <c r="D866" s="1">
        <v>25943</v>
      </c>
      <c r="E866" s="2">
        <v>44461</v>
      </c>
      <c r="F866" s="2">
        <v>44701</v>
      </c>
      <c r="G866" s="3">
        <v>130480</v>
      </c>
      <c r="H866" s="1">
        <v>0</v>
      </c>
      <c r="I866" s="1" t="s">
        <v>60</v>
      </c>
      <c r="J866" s="1" t="s">
        <v>27</v>
      </c>
    </row>
    <row r="867" spans="1:10" hidden="1" x14ac:dyDescent="0.25">
      <c r="A867" s="1" t="s">
        <v>61</v>
      </c>
      <c r="B867" s="1" t="s">
        <v>62</v>
      </c>
      <c r="C867" s="1">
        <v>16964</v>
      </c>
      <c r="D867" s="1">
        <v>25961</v>
      </c>
      <c r="E867" s="2">
        <v>44462</v>
      </c>
      <c r="F867" s="2">
        <v>44701</v>
      </c>
      <c r="G867" s="3">
        <v>80730</v>
      </c>
      <c r="H867" s="1">
        <v>0</v>
      </c>
      <c r="I867" s="1" t="s">
        <v>63</v>
      </c>
      <c r="J867" s="1" t="s">
        <v>64</v>
      </c>
    </row>
    <row r="868" spans="1:10" hidden="1" x14ac:dyDescent="0.25">
      <c r="A868" s="1" t="s">
        <v>70</v>
      </c>
      <c r="B868" s="1" t="s">
        <v>71</v>
      </c>
      <c r="C868" s="1">
        <v>18286</v>
      </c>
      <c r="D868" s="1">
        <v>27295</v>
      </c>
      <c r="E868" s="2">
        <v>44566</v>
      </c>
      <c r="F868" s="2">
        <v>44701</v>
      </c>
      <c r="G868" s="3">
        <v>10147.77</v>
      </c>
      <c r="H868" s="1">
        <v>0</v>
      </c>
      <c r="I868" s="1" t="s">
        <v>72</v>
      </c>
      <c r="J868" s="1" t="s">
        <v>73</v>
      </c>
    </row>
    <row r="869" spans="1:10" hidden="1" x14ac:dyDescent="0.25">
      <c r="A869" s="1" t="s">
        <v>61</v>
      </c>
      <c r="B869" s="1" t="s">
        <v>62</v>
      </c>
      <c r="C869" s="1">
        <v>16734</v>
      </c>
      <c r="D869" s="1">
        <v>25701</v>
      </c>
      <c r="E869" s="2">
        <v>44445</v>
      </c>
      <c r="F869" s="2">
        <v>44701</v>
      </c>
      <c r="G869" s="3">
        <v>18106</v>
      </c>
      <c r="H869" s="1">
        <v>0</v>
      </c>
      <c r="I869" s="1" t="s">
        <v>370</v>
      </c>
      <c r="J869" s="1" t="s">
        <v>64</v>
      </c>
    </row>
    <row r="870" spans="1:10" hidden="1" x14ac:dyDescent="0.25">
      <c r="A870" s="1" t="s">
        <v>61</v>
      </c>
      <c r="B870" s="1" t="s">
        <v>62</v>
      </c>
      <c r="C870" s="1">
        <v>16732</v>
      </c>
      <c r="D870" s="1">
        <v>25699</v>
      </c>
      <c r="E870" s="2">
        <v>44445</v>
      </c>
      <c r="F870" s="2">
        <v>44701</v>
      </c>
      <c r="G870" s="3">
        <v>82080</v>
      </c>
      <c r="H870" s="1">
        <v>0</v>
      </c>
      <c r="I870" s="1" t="s">
        <v>395</v>
      </c>
      <c r="J870" s="1" t="s">
        <v>64</v>
      </c>
    </row>
    <row r="871" spans="1:10" hidden="1" x14ac:dyDescent="0.25">
      <c r="A871" s="1" t="s">
        <v>455</v>
      </c>
      <c r="B871" s="1" t="s">
        <v>456</v>
      </c>
      <c r="C871" s="1">
        <v>17239</v>
      </c>
      <c r="D871" s="1">
        <v>26238</v>
      </c>
      <c r="E871" s="2">
        <v>44482</v>
      </c>
      <c r="F871" s="2">
        <v>44701</v>
      </c>
      <c r="G871" s="3">
        <v>38100.68</v>
      </c>
      <c r="H871" s="1">
        <v>0</v>
      </c>
      <c r="I871" s="1" t="s">
        <v>457</v>
      </c>
      <c r="J871" s="1" t="s">
        <v>92</v>
      </c>
    </row>
    <row r="872" spans="1:10" hidden="1" x14ac:dyDescent="0.25">
      <c r="A872" s="1" t="s">
        <v>78</v>
      </c>
      <c r="B872" s="1" t="s">
        <v>79</v>
      </c>
      <c r="C872" s="1">
        <v>16951</v>
      </c>
      <c r="D872" s="1">
        <v>25945</v>
      </c>
      <c r="E872" s="2">
        <v>44461</v>
      </c>
      <c r="F872" s="2">
        <v>44701</v>
      </c>
      <c r="G872" s="3">
        <v>112200</v>
      </c>
      <c r="H872" s="1">
        <v>0</v>
      </c>
      <c r="I872" s="1" t="s">
        <v>473</v>
      </c>
      <c r="J872" s="1" t="s">
        <v>68</v>
      </c>
    </row>
    <row r="873" spans="1:10" hidden="1" x14ac:dyDescent="0.25">
      <c r="A873" s="1" t="s">
        <v>61</v>
      </c>
      <c r="B873" s="1" t="s">
        <v>62</v>
      </c>
      <c r="C873" s="1">
        <v>16703</v>
      </c>
      <c r="D873" s="1">
        <v>25670</v>
      </c>
      <c r="E873" s="2">
        <v>44441</v>
      </c>
      <c r="F873" s="2">
        <v>44701</v>
      </c>
      <c r="G873" s="3">
        <v>117390</v>
      </c>
      <c r="H873" s="1">
        <v>0</v>
      </c>
      <c r="I873" s="1" t="s">
        <v>501</v>
      </c>
      <c r="J873" s="1" t="s">
        <v>64</v>
      </c>
    </row>
    <row r="874" spans="1:10" hidden="1" x14ac:dyDescent="0.25">
      <c r="A874" s="1" t="s">
        <v>70</v>
      </c>
      <c r="B874" s="1" t="s">
        <v>71</v>
      </c>
      <c r="C874" s="1">
        <v>18287</v>
      </c>
      <c r="D874" s="1">
        <v>27296</v>
      </c>
      <c r="E874" s="2">
        <v>44566</v>
      </c>
      <c r="F874" s="2">
        <v>44701</v>
      </c>
      <c r="G874" s="3">
        <v>4083.33</v>
      </c>
      <c r="H874" s="1">
        <v>0</v>
      </c>
      <c r="I874" s="1" t="s">
        <v>570</v>
      </c>
      <c r="J874" s="1" t="s">
        <v>73</v>
      </c>
    </row>
    <row r="875" spans="1:10" hidden="1" x14ac:dyDescent="0.25">
      <c r="A875" s="1" t="s">
        <v>619</v>
      </c>
      <c r="B875" s="1" t="s">
        <v>620</v>
      </c>
      <c r="C875" s="1">
        <v>16704</v>
      </c>
      <c r="D875" s="1">
        <v>25671</v>
      </c>
      <c r="E875" s="2">
        <v>44441</v>
      </c>
      <c r="F875" s="2">
        <v>44701</v>
      </c>
      <c r="G875" s="3">
        <v>205530</v>
      </c>
      <c r="H875" s="1">
        <v>0</v>
      </c>
      <c r="I875" s="1" t="s">
        <v>621</v>
      </c>
      <c r="J875" s="1" t="s">
        <v>64</v>
      </c>
    </row>
    <row r="876" spans="1:10" hidden="1" x14ac:dyDescent="0.25">
      <c r="A876" s="1" t="s">
        <v>627</v>
      </c>
      <c r="B876" s="1" t="s">
        <v>628</v>
      </c>
      <c r="C876" s="1">
        <v>17319</v>
      </c>
      <c r="D876" s="1">
        <v>26317</v>
      </c>
      <c r="E876" s="2">
        <v>44487</v>
      </c>
      <c r="F876" s="2">
        <v>44701</v>
      </c>
      <c r="G876" s="3">
        <v>2347.1999999999998</v>
      </c>
      <c r="H876" s="1">
        <v>0</v>
      </c>
      <c r="I876" s="1" t="s">
        <v>867</v>
      </c>
      <c r="J876" s="1" t="s">
        <v>58</v>
      </c>
    </row>
    <row r="877" spans="1:10" hidden="1" x14ac:dyDescent="0.25">
      <c r="A877" s="1" t="s">
        <v>909</v>
      </c>
      <c r="B877" s="1" t="s">
        <v>910</v>
      </c>
      <c r="C877" s="1">
        <v>17302</v>
      </c>
      <c r="D877" s="1">
        <v>26301</v>
      </c>
      <c r="E877" s="2">
        <v>44487</v>
      </c>
      <c r="F877" s="2">
        <v>44701</v>
      </c>
      <c r="G877" s="3">
        <v>12000</v>
      </c>
      <c r="H877" s="1">
        <v>0</v>
      </c>
      <c r="I877" s="1" t="s">
        <v>911</v>
      </c>
      <c r="J877" s="1" t="s">
        <v>64</v>
      </c>
    </row>
    <row r="878" spans="1:10" hidden="1" x14ac:dyDescent="0.25">
      <c r="A878" s="1" t="s">
        <v>61</v>
      </c>
      <c r="B878" s="1" t="s">
        <v>62</v>
      </c>
      <c r="C878" s="1">
        <v>16710</v>
      </c>
      <c r="D878" s="1">
        <v>25677</v>
      </c>
      <c r="E878" s="2">
        <v>44442</v>
      </c>
      <c r="F878" s="2">
        <v>44701</v>
      </c>
      <c r="G878" s="3">
        <v>34566</v>
      </c>
      <c r="H878" s="1">
        <v>0</v>
      </c>
      <c r="I878" s="1" t="s">
        <v>998</v>
      </c>
      <c r="J878" s="1" t="s">
        <v>64</v>
      </c>
    </row>
    <row r="879" spans="1:10" hidden="1" x14ac:dyDescent="0.25">
      <c r="A879" s="1" t="s">
        <v>455</v>
      </c>
      <c r="B879" s="1" t="s">
        <v>456</v>
      </c>
      <c r="C879" s="1">
        <v>17240</v>
      </c>
      <c r="D879" s="1">
        <v>26239</v>
      </c>
      <c r="E879" s="2">
        <v>44482</v>
      </c>
      <c r="F879" s="2">
        <v>44701</v>
      </c>
      <c r="G879" s="3">
        <v>20424.96</v>
      </c>
      <c r="H879" s="1">
        <v>0</v>
      </c>
      <c r="I879" s="1" t="s">
        <v>1083</v>
      </c>
      <c r="J879" s="1" t="s">
        <v>92</v>
      </c>
    </row>
    <row r="880" spans="1:10" hidden="1" x14ac:dyDescent="0.25">
      <c r="A880" s="1" t="s">
        <v>61</v>
      </c>
      <c r="B880" s="1" t="s">
        <v>62</v>
      </c>
      <c r="C880" s="1">
        <v>17303</v>
      </c>
      <c r="D880" s="1">
        <v>26302</v>
      </c>
      <c r="E880" s="2">
        <v>44487</v>
      </c>
      <c r="F880" s="2">
        <v>44701</v>
      </c>
      <c r="G880" s="3">
        <v>52800</v>
      </c>
      <c r="H880" s="1">
        <v>0</v>
      </c>
      <c r="I880" s="1" t="s">
        <v>1118</v>
      </c>
      <c r="J880" s="1" t="s">
        <v>64</v>
      </c>
    </row>
    <row r="881" spans="1:10" hidden="1" x14ac:dyDescent="0.25">
      <c r="A881" s="1" t="s">
        <v>185</v>
      </c>
      <c r="B881" s="1" t="s">
        <v>186</v>
      </c>
      <c r="C881" s="1">
        <v>18185</v>
      </c>
      <c r="D881" s="1">
        <v>27198</v>
      </c>
      <c r="E881" s="2">
        <v>44551</v>
      </c>
      <c r="F881" s="2">
        <v>44701</v>
      </c>
      <c r="G881" s="3">
        <v>167100</v>
      </c>
      <c r="H881" s="1">
        <v>0</v>
      </c>
      <c r="I881" s="1" t="s">
        <v>1349</v>
      </c>
      <c r="J881" s="1" t="s">
        <v>13</v>
      </c>
    </row>
    <row r="882" spans="1:10" hidden="1" x14ac:dyDescent="0.25">
      <c r="A882" s="1" t="s">
        <v>61</v>
      </c>
      <c r="B882" s="1" t="s">
        <v>62</v>
      </c>
      <c r="C882" s="1">
        <v>16805</v>
      </c>
      <c r="D882" s="1">
        <v>25775</v>
      </c>
      <c r="E882" s="2">
        <v>44453</v>
      </c>
      <c r="F882" s="2">
        <v>44701</v>
      </c>
      <c r="G882" s="3">
        <v>60750</v>
      </c>
      <c r="H882" s="1">
        <v>0</v>
      </c>
      <c r="I882" s="1" t="s">
        <v>1354</v>
      </c>
      <c r="J882" s="1" t="s">
        <v>64</v>
      </c>
    </row>
    <row r="883" spans="1:10" hidden="1" x14ac:dyDescent="0.25">
      <c r="A883" s="1" t="s">
        <v>847</v>
      </c>
      <c r="B883" s="1" t="s">
        <v>848</v>
      </c>
      <c r="C883" s="1">
        <v>18177</v>
      </c>
      <c r="D883" s="1">
        <v>27188</v>
      </c>
      <c r="E883" s="2">
        <v>44551</v>
      </c>
      <c r="F883" s="2">
        <v>44701</v>
      </c>
      <c r="G883" s="3">
        <v>1902.6</v>
      </c>
      <c r="H883" s="1">
        <v>0</v>
      </c>
      <c r="I883" s="1" t="s">
        <v>1281</v>
      </c>
      <c r="J883" s="1" t="s">
        <v>73</v>
      </c>
    </row>
    <row r="884" spans="1:10" hidden="1" x14ac:dyDescent="0.25">
      <c r="A884" s="1" t="s">
        <v>847</v>
      </c>
      <c r="B884" s="1" t="s">
        <v>848</v>
      </c>
      <c r="C884" s="1">
        <v>18182</v>
      </c>
      <c r="D884" s="1">
        <v>27194</v>
      </c>
      <c r="E884" s="2">
        <v>44551</v>
      </c>
      <c r="F884" s="2">
        <v>44701</v>
      </c>
      <c r="G884" s="3">
        <v>1644</v>
      </c>
      <c r="H884" s="1">
        <v>0</v>
      </c>
      <c r="I884" s="1" t="s">
        <v>849</v>
      </c>
      <c r="J884" s="1" t="s">
        <v>73</v>
      </c>
    </row>
    <row r="885" spans="1:10" hidden="1" x14ac:dyDescent="0.25">
      <c r="A885" s="1" t="s">
        <v>909</v>
      </c>
      <c r="B885" s="1" t="s">
        <v>910</v>
      </c>
      <c r="C885" s="1">
        <v>16731</v>
      </c>
      <c r="D885" s="1">
        <v>25698</v>
      </c>
      <c r="E885" s="2">
        <v>44445</v>
      </c>
      <c r="F885" s="2">
        <v>44701</v>
      </c>
      <c r="G885" s="3">
        <v>118190</v>
      </c>
      <c r="H885" s="1">
        <v>0</v>
      </c>
      <c r="I885" s="1" t="s">
        <v>1570</v>
      </c>
      <c r="J885" s="1" t="s">
        <v>64</v>
      </c>
    </row>
    <row r="886" spans="1:10" hidden="1" x14ac:dyDescent="0.25">
      <c r="A886" s="1" t="s">
        <v>909</v>
      </c>
      <c r="B886" s="1" t="s">
        <v>910</v>
      </c>
      <c r="C886" s="1">
        <v>16806</v>
      </c>
      <c r="D886" s="1">
        <v>25776</v>
      </c>
      <c r="E886" s="2">
        <v>44453</v>
      </c>
      <c r="F886" s="2">
        <v>44701</v>
      </c>
      <c r="G886" s="3">
        <v>60560</v>
      </c>
      <c r="H886" s="1">
        <v>0</v>
      </c>
      <c r="I886" s="1" t="s">
        <v>1686</v>
      </c>
      <c r="J886" s="1" t="s">
        <v>64</v>
      </c>
    </row>
    <row r="887" spans="1:10" hidden="1" x14ac:dyDescent="0.25">
      <c r="A887" s="1" t="s">
        <v>1714</v>
      </c>
      <c r="B887" s="1" t="s">
        <v>848</v>
      </c>
      <c r="C887" s="1">
        <v>18184</v>
      </c>
      <c r="D887" s="1">
        <v>27195</v>
      </c>
      <c r="E887" s="2">
        <v>44551</v>
      </c>
      <c r="F887" s="2">
        <v>44701</v>
      </c>
      <c r="G887" s="1">
        <v>744</v>
      </c>
      <c r="H887" s="1">
        <v>0</v>
      </c>
      <c r="I887" s="1" t="s">
        <v>1715</v>
      </c>
      <c r="J887" s="1" t="s">
        <v>73</v>
      </c>
    </row>
    <row r="888" spans="1:10" hidden="1" x14ac:dyDescent="0.25">
      <c r="A888" s="1" t="s">
        <v>10</v>
      </c>
      <c r="B888" s="1" t="s">
        <v>11</v>
      </c>
      <c r="C888" s="1">
        <v>17843</v>
      </c>
      <c r="D888" s="1">
        <v>26847</v>
      </c>
      <c r="E888" s="2">
        <v>44522</v>
      </c>
      <c r="F888" s="2">
        <v>44702</v>
      </c>
      <c r="G888" s="3">
        <v>47499.95</v>
      </c>
      <c r="H888" s="1">
        <v>0</v>
      </c>
      <c r="I888" s="1" t="s">
        <v>219</v>
      </c>
      <c r="J888" s="1" t="s">
        <v>13</v>
      </c>
    </row>
    <row r="889" spans="1:10" hidden="1" x14ac:dyDescent="0.25">
      <c r="A889" s="1" t="s">
        <v>70</v>
      </c>
      <c r="B889" s="1" t="s">
        <v>71</v>
      </c>
      <c r="C889" s="1">
        <v>18510</v>
      </c>
      <c r="D889" s="1">
        <v>27508</v>
      </c>
      <c r="E889" s="2">
        <v>44582</v>
      </c>
      <c r="F889" s="2">
        <v>44702</v>
      </c>
      <c r="G889" s="3">
        <v>21746.92</v>
      </c>
      <c r="H889" s="1">
        <v>0</v>
      </c>
      <c r="I889" s="1" t="s">
        <v>237</v>
      </c>
      <c r="J889" s="1" t="s">
        <v>73</v>
      </c>
    </row>
    <row r="890" spans="1:10" hidden="1" x14ac:dyDescent="0.25">
      <c r="A890" s="1" t="s">
        <v>70</v>
      </c>
      <c r="B890" s="1" t="s">
        <v>71</v>
      </c>
      <c r="C890" s="1">
        <v>17991</v>
      </c>
      <c r="D890" s="1">
        <v>27002</v>
      </c>
      <c r="E890" s="2">
        <v>44537</v>
      </c>
      <c r="F890" s="2">
        <v>44702</v>
      </c>
      <c r="G890" s="3">
        <v>8074.44</v>
      </c>
      <c r="H890" s="1">
        <v>0</v>
      </c>
      <c r="I890" s="1" t="s">
        <v>273</v>
      </c>
      <c r="J890" s="1" t="s">
        <v>73</v>
      </c>
    </row>
    <row r="891" spans="1:10" hidden="1" x14ac:dyDescent="0.25">
      <c r="A891" s="1" t="s">
        <v>10</v>
      </c>
      <c r="B891" s="1" t="s">
        <v>11</v>
      </c>
      <c r="C891" s="1">
        <v>17842</v>
      </c>
      <c r="D891" s="1">
        <v>26846</v>
      </c>
      <c r="E891" s="2">
        <v>44522</v>
      </c>
      <c r="F891" s="2">
        <v>44702</v>
      </c>
      <c r="G891" s="1">
        <v>652.5</v>
      </c>
      <c r="H891" s="1">
        <v>0</v>
      </c>
      <c r="I891" s="1" t="s">
        <v>301</v>
      </c>
      <c r="J891" s="1" t="s">
        <v>13</v>
      </c>
    </row>
    <row r="892" spans="1:10" hidden="1" x14ac:dyDescent="0.25">
      <c r="A892" s="1" t="s">
        <v>24</v>
      </c>
      <c r="B892" s="1" t="s">
        <v>25</v>
      </c>
      <c r="C892" s="1">
        <v>18502</v>
      </c>
      <c r="D892" s="1">
        <v>27500</v>
      </c>
      <c r="E892" s="2">
        <v>44582</v>
      </c>
      <c r="F892" s="2">
        <v>44702</v>
      </c>
      <c r="G892" s="3">
        <v>3170</v>
      </c>
      <c r="H892" s="1">
        <v>0</v>
      </c>
      <c r="I892" s="1" t="s">
        <v>482</v>
      </c>
      <c r="J892" s="1" t="s">
        <v>27</v>
      </c>
    </row>
    <row r="893" spans="1:10" hidden="1" x14ac:dyDescent="0.25">
      <c r="A893" s="1" t="s">
        <v>321</v>
      </c>
      <c r="B893" s="1" t="s">
        <v>322</v>
      </c>
      <c r="C893" s="1">
        <v>18507</v>
      </c>
      <c r="D893" s="1">
        <v>27505</v>
      </c>
      <c r="E893" s="2">
        <v>44582</v>
      </c>
      <c r="F893" s="2">
        <v>44702</v>
      </c>
      <c r="G893" s="3">
        <v>1237.33</v>
      </c>
      <c r="H893" s="1">
        <v>0</v>
      </c>
      <c r="I893" s="1" t="s">
        <v>507</v>
      </c>
      <c r="J893" s="1" t="s">
        <v>27</v>
      </c>
    </row>
    <row r="894" spans="1:10" hidden="1" x14ac:dyDescent="0.25">
      <c r="A894" s="1" t="s">
        <v>321</v>
      </c>
      <c r="B894" s="1" t="s">
        <v>322</v>
      </c>
      <c r="C894" s="1">
        <v>18508</v>
      </c>
      <c r="D894" s="1">
        <v>27506</v>
      </c>
      <c r="E894" s="2">
        <v>44582</v>
      </c>
      <c r="F894" s="2">
        <v>44702</v>
      </c>
      <c r="G894" s="3">
        <v>8093.8</v>
      </c>
      <c r="H894" s="1">
        <v>0</v>
      </c>
      <c r="I894" s="1" t="s">
        <v>773</v>
      </c>
      <c r="J894" s="1" t="s">
        <v>27</v>
      </c>
    </row>
    <row r="895" spans="1:10" hidden="1" x14ac:dyDescent="0.25">
      <c r="A895" s="1" t="s">
        <v>70</v>
      </c>
      <c r="B895" s="1" t="s">
        <v>71</v>
      </c>
      <c r="C895" s="1">
        <v>17997</v>
      </c>
      <c r="D895" s="1">
        <v>27009</v>
      </c>
      <c r="E895" s="2">
        <v>44537</v>
      </c>
      <c r="F895" s="2">
        <v>44702</v>
      </c>
      <c r="G895" s="3">
        <v>8153.99</v>
      </c>
      <c r="H895" s="1">
        <v>0</v>
      </c>
      <c r="I895" s="1" t="s">
        <v>812</v>
      </c>
      <c r="J895" s="1" t="s">
        <v>73</v>
      </c>
    </row>
    <row r="896" spans="1:10" hidden="1" x14ac:dyDescent="0.25">
      <c r="A896" s="1" t="s">
        <v>70</v>
      </c>
      <c r="B896" s="1" t="s">
        <v>71</v>
      </c>
      <c r="C896" s="1">
        <v>18505</v>
      </c>
      <c r="D896" s="1">
        <v>27503</v>
      </c>
      <c r="E896" s="2">
        <v>44582</v>
      </c>
      <c r="F896" s="2">
        <v>44702</v>
      </c>
      <c r="G896" s="3">
        <v>1600</v>
      </c>
      <c r="H896" s="1">
        <v>0</v>
      </c>
      <c r="I896" s="1" t="s">
        <v>119</v>
      </c>
      <c r="J896" s="1" t="s">
        <v>73</v>
      </c>
    </row>
    <row r="897" spans="1:10" hidden="1" x14ac:dyDescent="0.25">
      <c r="A897" s="1" t="s">
        <v>528</v>
      </c>
      <c r="B897" s="1" t="s">
        <v>529</v>
      </c>
      <c r="C897" s="1">
        <v>18189</v>
      </c>
      <c r="D897" s="1">
        <v>27201</v>
      </c>
      <c r="E897" s="2">
        <v>44552</v>
      </c>
      <c r="F897" s="2">
        <v>44702</v>
      </c>
      <c r="G897" s="3">
        <v>141000</v>
      </c>
      <c r="H897" s="1">
        <v>0</v>
      </c>
      <c r="I897" s="1" t="s">
        <v>1260</v>
      </c>
      <c r="J897" s="1" t="s">
        <v>58</v>
      </c>
    </row>
    <row r="898" spans="1:10" hidden="1" x14ac:dyDescent="0.25">
      <c r="A898" s="1" t="s">
        <v>140</v>
      </c>
      <c r="B898" s="1" t="s">
        <v>141</v>
      </c>
      <c r="C898" s="1">
        <v>17857</v>
      </c>
      <c r="D898" s="1">
        <v>26859</v>
      </c>
      <c r="E898" s="2">
        <v>44522</v>
      </c>
      <c r="F898" s="2">
        <v>44702</v>
      </c>
      <c r="G898" s="3">
        <v>6100</v>
      </c>
      <c r="H898" s="1">
        <v>0</v>
      </c>
      <c r="I898" s="1" t="s">
        <v>1316</v>
      </c>
      <c r="J898" s="1" t="s">
        <v>73</v>
      </c>
    </row>
    <row r="899" spans="1:10" hidden="1" x14ac:dyDescent="0.25">
      <c r="A899" s="1" t="s">
        <v>10</v>
      </c>
      <c r="B899" s="1" t="s">
        <v>11</v>
      </c>
      <c r="C899" s="1">
        <v>18190</v>
      </c>
      <c r="D899" s="1">
        <v>27202</v>
      </c>
      <c r="E899" s="2">
        <v>44552</v>
      </c>
      <c r="F899" s="2">
        <v>44702</v>
      </c>
      <c r="G899" s="3">
        <v>24440</v>
      </c>
      <c r="H899" s="1">
        <v>0</v>
      </c>
      <c r="I899" s="1" t="s">
        <v>1594</v>
      </c>
      <c r="J899" s="1" t="s">
        <v>13</v>
      </c>
    </row>
    <row r="900" spans="1:10" hidden="1" x14ac:dyDescent="0.25">
      <c r="A900" s="1" t="s">
        <v>321</v>
      </c>
      <c r="B900" s="1" t="s">
        <v>322</v>
      </c>
      <c r="C900" s="1">
        <v>18506</v>
      </c>
      <c r="D900" s="1">
        <v>27504</v>
      </c>
      <c r="E900" s="2">
        <v>44582</v>
      </c>
      <c r="F900" s="2">
        <v>44702</v>
      </c>
      <c r="G900" s="3">
        <v>2853.33</v>
      </c>
      <c r="H900" s="1">
        <v>0</v>
      </c>
      <c r="I900" s="1" t="s">
        <v>1667</v>
      </c>
      <c r="J900" s="1" t="s">
        <v>27</v>
      </c>
    </row>
    <row r="901" spans="1:10" hidden="1" x14ac:dyDescent="0.25">
      <c r="A901" s="1" t="s">
        <v>24</v>
      </c>
      <c r="B901" s="1" t="s">
        <v>25</v>
      </c>
      <c r="C901" s="1">
        <v>17865</v>
      </c>
      <c r="D901" s="1">
        <v>26868</v>
      </c>
      <c r="E901" s="2">
        <v>44523</v>
      </c>
      <c r="F901" s="2">
        <v>44703</v>
      </c>
      <c r="G901" s="3">
        <v>34230</v>
      </c>
      <c r="H901" s="1">
        <v>0</v>
      </c>
      <c r="I901" s="1" t="s">
        <v>630</v>
      </c>
      <c r="J901" s="1" t="s">
        <v>27</v>
      </c>
    </row>
    <row r="902" spans="1:10" hidden="1" x14ac:dyDescent="0.25">
      <c r="A902" s="1" t="s">
        <v>10</v>
      </c>
      <c r="B902" s="1" t="s">
        <v>11</v>
      </c>
      <c r="C902" s="1">
        <v>17874</v>
      </c>
      <c r="D902" s="1">
        <v>26877</v>
      </c>
      <c r="E902" s="2">
        <v>44523</v>
      </c>
      <c r="F902" s="2">
        <v>44703</v>
      </c>
      <c r="G902" s="3">
        <v>49799.95</v>
      </c>
      <c r="H902" s="1">
        <v>0</v>
      </c>
      <c r="I902" s="1" t="s">
        <v>631</v>
      </c>
      <c r="J902" s="1" t="s">
        <v>13</v>
      </c>
    </row>
    <row r="903" spans="1:10" hidden="1" x14ac:dyDescent="0.25">
      <c r="A903" s="1" t="s">
        <v>150</v>
      </c>
      <c r="B903" s="1" t="s">
        <v>151</v>
      </c>
      <c r="C903" s="1">
        <v>18767</v>
      </c>
      <c r="D903" s="1">
        <v>27788</v>
      </c>
      <c r="E903" s="2">
        <v>44613</v>
      </c>
      <c r="F903" s="2">
        <v>44703</v>
      </c>
      <c r="G903" s="3">
        <v>39750</v>
      </c>
      <c r="H903" s="1">
        <v>0</v>
      </c>
      <c r="I903" s="1" t="s">
        <v>693</v>
      </c>
      <c r="J903" s="1" t="s">
        <v>58</v>
      </c>
    </row>
    <row r="904" spans="1:10" hidden="1" x14ac:dyDescent="0.25">
      <c r="A904" s="1" t="s">
        <v>10</v>
      </c>
      <c r="B904" s="1" t="s">
        <v>11</v>
      </c>
      <c r="C904" s="1">
        <v>17875</v>
      </c>
      <c r="D904" s="1">
        <v>26878</v>
      </c>
      <c r="E904" s="2">
        <v>44523</v>
      </c>
      <c r="F904" s="2">
        <v>44703</v>
      </c>
      <c r="G904" s="1">
        <v>675</v>
      </c>
      <c r="H904" s="1">
        <v>0</v>
      </c>
      <c r="I904" s="1" t="s">
        <v>724</v>
      </c>
      <c r="J904" s="1" t="s">
        <v>13</v>
      </c>
    </row>
    <row r="905" spans="1:10" hidden="1" x14ac:dyDescent="0.25">
      <c r="A905" s="1" t="s">
        <v>24</v>
      </c>
      <c r="B905" s="1" t="s">
        <v>25</v>
      </c>
      <c r="C905" s="1">
        <v>17873</v>
      </c>
      <c r="D905" s="1">
        <v>26876</v>
      </c>
      <c r="E905" s="2">
        <v>44523</v>
      </c>
      <c r="F905" s="2">
        <v>44703</v>
      </c>
      <c r="G905" s="3">
        <v>35210</v>
      </c>
      <c r="H905" s="1">
        <v>0</v>
      </c>
      <c r="I905" s="1" t="s">
        <v>797</v>
      </c>
      <c r="J905" s="1" t="s">
        <v>27</v>
      </c>
    </row>
    <row r="906" spans="1:10" hidden="1" x14ac:dyDescent="0.25">
      <c r="A906" s="1" t="s">
        <v>150</v>
      </c>
      <c r="B906" s="1" t="s">
        <v>151</v>
      </c>
      <c r="C906" s="1">
        <v>18770</v>
      </c>
      <c r="D906" s="1">
        <v>27791</v>
      </c>
      <c r="E906" s="2">
        <v>44613</v>
      </c>
      <c r="F906" s="2">
        <v>44703</v>
      </c>
      <c r="G906" s="3">
        <v>36240</v>
      </c>
      <c r="H906" s="1">
        <v>0</v>
      </c>
      <c r="I906" s="1" t="s">
        <v>914</v>
      </c>
      <c r="J906" s="1" t="s">
        <v>58</v>
      </c>
    </row>
    <row r="907" spans="1:10" hidden="1" x14ac:dyDescent="0.25">
      <c r="A907" s="1" t="s">
        <v>847</v>
      </c>
      <c r="B907" s="1" t="s">
        <v>848</v>
      </c>
      <c r="C907" s="1">
        <v>18757</v>
      </c>
      <c r="D907" s="1">
        <v>27777</v>
      </c>
      <c r="E907" s="2">
        <v>44610</v>
      </c>
      <c r="F907" s="2">
        <v>44703</v>
      </c>
      <c r="G907" s="3">
        <v>375630</v>
      </c>
      <c r="H907" s="1">
        <v>0</v>
      </c>
      <c r="I907" s="1" t="s">
        <v>1189</v>
      </c>
      <c r="J907" s="1" t="s">
        <v>73</v>
      </c>
    </row>
    <row r="908" spans="1:10" hidden="1" x14ac:dyDescent="0.25">
      <c r="A908" s="1" t="s">
        <v>10</v>
      </c>
      <c r="B908" s="1" t="s">
        <v>11</v>
      </c>
      <c r="C908" s="1">
        <v>17864</v>
      </c>
      <c r="D908" s="1">
        <v>26867</v>
      </c>
      <c r="E908" s="2">
        <v>44523</v>
      </c>
      <c r="F908" s="2">
        <v>44703</v>
      </c>
      <c r="G908" s="3">
        <v>3531.6</v>
      </c>
      <c r="H908" s="1">
        <v>0</v>
      </c>
      <c r="I908" s="1" t="s">
        <v>1391</v>
      </c>
      <c r="J908" s="1" t="s">
        <v>13</v>
      </c>
    </row>
    <row r="909" spans="1:10" hidden="1" x14ac:dyDescent="0.25">
      <c r="A909" s="1" t="s">
        <v>150</v>
      </c>
      <c r="B909" s="1" t="s">
        <v>151</v>
      </c>
      <c r="C909" s="1">
        <v>18769</v>
      </c>
      <c r="D909" s="1">
        <v>27790</v>
      </c>
      <c r="E909" s="2">
        <v>44613</v>
      </c>
      <c r="F909" s="2">
        <v>44703</v>
      </c>
      <c r="G909" s="3">
        <v>6500</v>
      </c>
      <c r="H909" s="1">
        <v>0</v>
      </c>
      <c r="I909" s="1" t="s">
        <v>1523</v>
      </c>
      <c r="J909" s="1" t="s">
        <v>58</v>
      </c>
    </row>
    <row r="910" spans="1:10" hidden="1" x14ac:dyDescent="0.25">
      <c r="A910" s="1" t="s">
        <v>20</v>
      </c>
      <c r="B910" s="1" t="s">
        <v>21</v>
      </c>
      <c r="C910" s="1">
        <v>17451</v>
      </c>
      <c r="D910" s="1">
        <v>26459</v>
      </c>
      <c r="E910" s="2">
        <v>44494</v>
      </c>
      <c r="F910" s="2">
        <v>44704</v>
      </c>
      <c r="G910" s="3">
        <v>18426.75</v>
      </c>
      <c r="H910" s="1">
        <v>0</v>
      </c>
      <c r="I910" s="1" t="s">
        <v>22</v>
      </c>
      <c r="J910" s="1" t="s">
        <v>23</v>
      </c>
    </row>
    <row r="911" spans="1:10" hidden="1" x14ac:dyDescent="0.25">
      <c r="A911" s="1" t="s">
        <v>70</v>
      </c>
      <c r="B911" s="1" t="s">
        <v>71</v>
      </c>
      <c r="C911" s="1">
        <v>18653</v>
      </c>
      <c r="D911" s="1">
        <v>27665</v>
      </c>
      <c r="E911" s="2">
        <v>44599</v>
      </c>
      <c r="F911" s="2">
        <v>44704</v>
      </c>
      <c r="G911" s="3">
        <v>8959.99</v>
      </c>
      <c r="H911" s="1">
        <v>0</v>
      </c>
      <c r="I911" s="1" t="s">
        <v>260</v>
      </c>
      <c r="J911" s="1" t="s">
        <v>73</v>
      </c>
    </row>
    <row r="912" spans="1:10" hidden="1" x14ac:dyDescent="0.25">
      <c r="A912" s="1" t="s">
        <v>70</v>
      </c>
      <c r="B912" s="1" t="s">
        <v>71</v>
      </c>
      <c r="C912" s="1">
        <v>18652</v>
      </c>
      <c r="D912" s="1">
        <v>27664</v>
      </c>
      <c r="E912" s="2">
        <v>44599</v>
      </c>
      <c r="F912" s="2">
        <v>44704</v>
      </c>
      <c r="G912" s="3">
        <v>2066.66</v>
      </c>
      <c r="H912" s="1">
        <v>0</v>
      </c>
      <c r="I912" s="1" t="s">
        <v>643</v>
      </c>
      <c r="J912" s="1" t="s">
        <v>73</v>
      </c>
    </row>
    <row r="913" spans="1:10" hidden="1" x14ac:dyDescent="0.25">
      <c r="A913" s="1" t="s">
        <v>847</v>
      </c>
      <c r="B913" s="1" t="s">
        <v>848</v>
      </c>
      <c r="C913" s="1">
        <v>18766</v>
      </c>
      <c r="D913" s="1">
        <v>27787</v>
      </c>
      <c r="E913" s="2">
        <v>44613</v>
      </c>
      <c r="F913" s="2">
        <v>44704</v>
      </c>
      <c r="G913" s="3">
        <v>326205</v>
      </c>
      <c r="H913" s="1">
        <v>0</v>
      </c>
      <c r="I913" s="1" t="s">
        <v>872</v>
      </c>
      <c r="J913" s="1" t="s">
        <v>73</v>
      </c>
    </row>
    <row r="914" spans="1:10" hidden="1" x14ac:dyDescent="0.25">
      <c r="A914" s="1" t="s">
        <v>847</v>
      </c>
      <c r="B914" s="1" t="s">
        <v>848</v>
      </c>
      <c r="C914" s="1">
        <v>18656</v>
      </c>
      <c r="D914" s="1">
        <v>27668</v>
      </c>
      <c r="E914" s="2">
        <v>44599</v>
      </c>
      <c r="F914" s="2">
        <v>44704</v>
      </c>
      <c r="G914" s="3">
        <v>16572</v>
      </c>
      <c r="H914" s="1">
        <v>0</v>
      </c>
      <c r="I914" s="1" t="s">
        <v>949</v>
      </c>
      <c r="J914" s="1" t="s">
        <v>73</v>
      </c>
    </row>
    <row r="915" spans="1:10" hidden="1" x14ac:dyDescent="0.25">
      <c r="A915" s="1" t="s">
        <v>70</v>
      </c>
      <c r="B915" s="1" t="s">
        <v>71</v>
      </c>
      <c r="C915" s="1">
        <v>18654</v>
      </c>
      <c r="D915" s="1">
        <v>27666</v>
      </c>
      <c r="E915" s="2">
        <v>44599</v>
      </c>
      <c r="F915" s="2">
        <v>44704</v>
      </c>
      <c r="G915" s="3">
        <v>21746.92</v>
      </c>
      <c r="H915" s="1">
        <v>0</v>
      </c>
      <c r="I915" s="1" t="s">
        <v>261</v>
      </c>
      <c r="J915" s="1" t="s">
        <v>73</v>
      </c>
    </row>
    <row r="916" spans="1:10" hidden="1" x14ac:dyDescent="0.25">
      <c r="A916" s="1" t="s">
        <v>420</v>
      </c>
      <c r="B916" s="1" t="s">
        <v>421</v>
      </c>
      <c r="C916" s="1">
        <v>18794</v>
      </c>
      <c r="D916" s="1">
        <v>27816</v>
      </c>
      <c r="E916" s="2">
        <v>44614</v>
      </c>
      <c r="F916" s="2">
        <v>44704</v>
      </c>
      <c r="G916" s="3">
        <v>100080</v>
      </c>
      <c r="H916" s="1">
        <v>0</v>
      </c>
      <c r="I916" s="1" t="s">
        <v>1183</v>
      </c>
      <c r="J916" s="1" t="s">
        <v>23</v>
      </c>
    </row>
    <row r="917" spans="1:10" hidden="1" x14ac:dyDescent="0.25">
      <c r="A917" s="1" t="s">
        <v>24</v>
      </c>
      <c r="B917" s="1" t="s">
        <v>25</v>
      </c>
      <c r="C917" s="1">
        <v>17484</v>
      </c>
      <c r="D917" s="1">
        <v>26490</v>
      </c>
      <c r="E917" s="2">
        <v>44495</v>
      </c>
      <c r="F917" s="2">
        <v>44705</v>
      </c>
      <c r="G917" s="3">
        <v>1287</v>
      </c>
      <c r="H917" s="1">
        <v>0</v>
      </c>
      <c r="I917" s="1" t="s">
        <v>26</v>
      </c>
      <c r="J917" s="1" t="s">
        <v>27</v>
      </c>
    </row>
    <row r="918" spans="1:10" hidden="1" x14ac:dyDescent="0.25">
      <c r="A918" s="1" t="s">
        <v>24</v>
      </c>
      <c r="B918" s="1" t="s">
        <v>25</v>
      </c>
      <c r="C918" s="1">
        <v>18511</v>
      </c>
      <c r="D918" s="1">
        <v>27509</v>
      </c>
      <c r="E918" s="2">
        <v>44585</v>
      </c>
      <c r="F918" s="2">
        <v>44705</v>
      </c>
      <c r="G918" s="3">
        <v>11326.2</v>
      </c>
      <c r="H918" s="1">
        <v>0</v>
      </c>
      <c r="I918" s="1" t="s">
        <v>192</v>
      </c>
      <c r="J918" s="1" t="s">
        <v>27</v>
      </c>
    </row>
    <row r="919" spans="1:10" hidden="1" x14ac:dyDescent="0.25">
      <c r="A919" s="1" t="s">
        <v>20</v>
      </c>
      <c r="B919" s="1" t="s">
        <v>21</v>
      </c>
      <c r="C919" s="1">
        <v>17443</v>
      </c>
      <c r="D919" s="1">
        <v>26447</v>
      </c>
      <c r="E919" s="2">
        <v>44492</v>
      </c>
      <c r="F919" s="2">
        <v>44705</v>
      </c>
      <c r="G919" s="3">
        <v>18858.25</v>
      </c>
      <c r="H919" s="1">
        <v>0</v>
      </c>
      <c r="I919" s="1" t="s">
        <v>208</v>
      </c>
      <c r="J919" s="1" t="s">
        <v>23</v>
      </c>
    </row>
    <row r="920" spans="1:10" hidden="1" x14ac:dyDescent="0.25">
      <c r="A920" s="1" t="s">
        <v>89</v>
      </c>
      <c r="B920" s="1" t="s">
        <v>90</v>
      </c>
      <c r="C920" s="1">
        <v>16659</v>
      </c>
      <c r="D920" s="1">
        <v>25625</v>
      </c>
      <c r="E920" s="2">
        <v>44438</v>
      </c>
      <c r="F920" s="2">
        <v>44705</v>
      </c>
      <c r="G920" s="3">
        <v>276085.59999999998</v>
      </c>
      <c r="H920" s="1">
        <v>0</v>
      </c>
      <c r="I920" s="1" t="s">
        <v>320</v>
      </c>
      <c r="J920" s="1" t="s">
        <v>92</v>
      </c>
    </row>
    <row r="921" spans="1:10" hidden="1" x14ac:dyDescent="0.25">
      <c r="A921" s="1" t="s">
        <v>24</v>
      </c>
      <c r="B921" s="1" t="s">
        <v>25</v>
      </c>
      <c r="C921" s="1">
        <v>17487</v>
      </c>
      <c r="D921" s="1">
        <v>26493</v>
      </c>
      <c r="E921" s="2">
        <v>44495</v>
      </c>
      <c r="F921" s="2">
        <v>44705</v>
      </c>
      <c r="G921" s="3">
        <v>4080</v>
      </c>
      <c r="H921" s="1">
        <v>0</v>
      </c>
      <c r="I921" s="1" t="s">
        <v>787</v>
      </c>
      <c r="J921" s="1" t="s">
        <v>27</v>
      </c>
    </row>
    <row r="922" spans="1:10" hidden="1" x14ac:dyDescent="0.25">
      <c r="A922" s="1" t="s">
        <v>20</v>
      </c>
      <c r="B922" s="1" t="s">
        <v>21</v>
      </c>
      <c r="C922" s="1">
        <v>18810</v>
      </c>
      <c r="D922" s="1">
        <v>27833</v>
      </c>
      <c r="E922" s="2">
        <v>44615</v>
      </c>
      <c r="F922" s="2">
        <v>44705</v>
      </c>
      <c r="G922" s="3">
        <v>25400</v>
      </c>
      <c r="H922" s="1">
        <v>0</v>
      </c>
      <c r="I922" s="1" t="s">
        <v>969</v>
      </c>
      <c r="J922" s="1" t="s">
        <v>23</v>
      </c>
    </row>
    <row r="923" spans="1:10" hidden="1" x14ac:dyDescent="0.25">
      <c r="A923" s="1" t="s">
        <v>10</v>
      </c>
      <c r="B923" s="1" t="s">
        <v>11</v>
      </c>
      <c r="C923" s="1">
        <v>17878</v>
      </c>
      <c r="D923" s="1">
        <v>26883</v>
      </c>
      <c r="E923" s="2">
        <v>44525</v>
      </c>
      <c r="F923" s="2">
        <v>44705</v>
      </c>
      <c r="G923" s="3">
        <v>51499.95</v>
      </c>
      <c r="H923" s="1">
        <v>0</v>
      </c>
      <c r="I923" s="1" t="s">
        <v>1076</v>
      </c>
      <c r="J923" s="1" t="s">
        <v>13</v>
      </c>
    </row>
    <row r="924" spans="1:10" hidden="1" x14ac:dyDescent="0.25">
      <c r="A924" s="1" t="s">
        <v>24</v>
      </c>
      <c r="B924" s="1" t="s">
        <v>25</v>
      </c>
      <c r="C924" s="1">
        <v>17486</v>
      </c>
      <c r="D924" s="1">
        <v>26492</v>
      </c>
      <c r="E924" s="2">
        <v>44495</v>
      </c>
      <c r="F924" s="2">
        <v>44705</v>
      </c>
      <c r="G924" s="3">
        <v>1274.25</v>
      </c>
      <c r="H924" s="1">
        <v>0</v>
      </c>
      <c r="I924" s="1" t="s">
        <v>1429</v>
      </c>
      <c r="J924" s="1" t="s">
        <v>27</v>
      </c>
    </row>
    <row r="925" spans="1:10" hidden="1" x14ac:dyDescent="0.25">
      <c r="A925" s="1" t="s">
        <v>24</v>
      </c>
      <c r="B925" s="1" t="s">
        <v>25</v>
      </c>
      <c r="C925" s="1">
        <v>17488</v>
      </c>
      <c r="D925" s="1">
        <v>26494</v>
      </c>
      <c r="E925" s="2">
        <v>44495</v>
      </c>
      <c r="F925" s="2">
        <v>44705</v>
      </c>
      <c r="G925" s="3">
        <v>7238.3</v>
      </c>
      <c r="H925" s="1">
        <v>0</v>
      </c>
      <c r="I925" s="1" t="s">
        <v>1430</v>
      </c>
      <c r="J925" s="1" t="s">
        <v>27</v>
      </c>
    </row>
    <row r="926" spans="1:10" hidden="1" x14ac:dyDescent="0.25">
      <c r="A926" s="1" t="s">
        <v>20</v>
      </c>
      <c r="B926" s="1" t="s">
        <v>21</v>
      </c>
      <c r="C926" s="1">
        <v>18809</v>
      </c>
      <c r="D926" s="1">
        <v>27832</v>
      </c>
      <c r="E926" s="2">
        <v>44615</v>
      </c>
      <c r="F926" s="2">
        <v>44705</v>
      </c>
      <c r="G926" s="3">
        <v>25400</v>
      </c>
      <c r="H926" s="1">
        <v>0</v>
      </c>
      <c r="I926" s="1" t="s">
        <v>1464</v>
      </c>
      <c r="J926" s="1" t="s">
        <v>23</v>
      </c>
    </row>
    <row r="927" spans="1:10" hidden="1" x14ac:dyDescent="0.25">
      <c r="A927" s="1" t="s">
        <v>905</v>
      </c>
      <c r="B927" s="1" t="s">
        <v>906</v>
      </c>
      <c r="C927" s="1">
        <v>18800</v>
      </c>
      <c r="D927" s="1">
        <v>27822</v>
      </c>
      <c r="E927" s="2">
        <v>44615</v>
      </c>
      <c r="F927" s="2">
        <v>44705</v>
      </c>
      <c r="G927" s="3">
        <v>35235</v>
      </c>
      <c r="H927" s="1">
        <v>0</v>
      </c>
      <c r="I927" s="1" t="s">
        <v>1486</v>
      </c>
      <c r="J927" s="1" t="s">
        <v>23</v>
      </c>
    </row>
    <row r="928" spans="1:10" hidden="1" x14ac:dyDescent="0.25">
      <c r="A928" s="1" t="s">
        <v>20</v>
      </c>
      <c r="B928" s="1" t="s">
        <v>21</v>
      </c>
      <c r="C928" s="1">
        <v>18811</v>
      </c>
      <c r="D928" s="1">
        <v>27834</v>
      </c>
      <c r="E928" s="2">
        <v>44615</v>
      </c>
      <c r="F928" s="2">
        <v>44705</v>
      </c>
      <c r="G928" s="3">
        <v>23250</v>
      </c>
      <c r="H928" s="1">
        <v>0</v>
      </c>
      <c r="I928" s="1" t="s">
        <v>1544</v>
      </c>
      <c r="J928" s="1" t="s">
        <v>23</v>
      </c>
    </row>
    <row r="929" spans="1:10" hidden="1" x14ac:dyDescent="0.25">
      <c r="A929" s="1" t="s">
        <v>147</v>
      </c>
      <c r="B929" s="1" t="s">
        <v>148</v>
      </c>
      <c r="C929" s="1">
        <v>18820</v>
      </c>
      <c r="D929" s="1">
        <v>27843</v>
      </c>
      <c r="E929" s="2">
        <v>44615</v>
      </c>
      <c r="F929" s="2">
        <v>44705</v>
      </c>
      <c r="G929" s="3">
        <v>38290</v>
      </c>
      <c r="H929" s="1">
        <v>0</v>
      </c>
      <c r="I929" s="1" t="s">
        <v>149</v>
      </c>
      <c r="J929" s="1" t="s">
        <v>23</v>
      </c>
    </row>
    <row r="930" spans="1:10" hidden="1" x14ac:dyDescent="0.25">
      <c r="A930" s="1" t="s">
        <v>905</v>
      </c>
      <c r="B930" s="1" t="s">
        <v>906</v>
      </c>
      <c r="C930" s="1">
        <v>18799</v>
      </c>
      <c r="D930" s="1">
        <v>27821</v>
      </c>
      <c r="E930" s="2">
        <v>44615</v>
      </c>
      <c r="F930" s="2">
        <v>44705</v>
      </c>
      <c r="G930" s="3">
        <v>1226.8</v>
      </c>
      <c r="H930" s="1">
        <v>0</v>
      </c>
      <c r="I930" s="1" t="s">
        <v>1584</v>
      </c>
      <c r="J930" s="1" t="s">
        <v>23</v>
      </c>
    </row>
    <row r="931" spans="1:10" hidden="1" x14ac:dyDescent="0.25">
      <c r="A931" s="1" t="s">
        <v>147</v>
      </c>
      <c r="B931" s="1" t="s">
        <v>148</v>
      </c>
      <c r="C931" s="1">
        <v>18818</v>
      </c>
      <c r="D931" s="1">
        <v>27841</v>
      </c>
      <c r="E931" s="2">
        <v>44615</v>
      </c>
      <c r="F931" s="2">
        <v>44705</v>
      </c>
      <c r="G931" s="3">
        <v>8163.4</v>
      </c>
      <c r="H931" s="1">
        <v>0</v>
      </c>
      <c r="I931" s="1" t="s">
        <v>1643</v>
      </c>
      <c r="J931" s="1" t="s">
        <v>23</v>
      </c>
    </row>
    <row r="932" spans="1:10" hidden="1" x14ac:dyDescent="0.25">
      <c r="A932" s="1" t="s">
        <v>147</v>
      </c>
      <c r="B932" s="1" t="s">
        <v>148</v>
      </c>
      <c r="C932" s="1">
        <v>18819</v>
      </c>
      <c r="D932" s="1">
        <v>27842</v>
      </c>
      <c r="E932" s="2">
        <v>44615</v>
      </c>
      <c r="F932" s="2">
        <v>44705</v>
      </c>
      <c r="G932" s="3">
        <v>101430.36</v>
      </c>
      <c r="H932" s="1">
        <v>0</v>
      </c>
      <c r="I932" s="1" t="s">
        <v>1647</v>
      </c>
      <c r="J932" s="1" t="s">
        <v>23</v>
      </c>
    </row>
    <row r="933" spans="1:10" hidden="1" x14ac:dyDescent="0.25">
      <c r="A933" s="1" t="s">
        <v>10</v>
      </c>
      <c r="B933" s="1" t="s">
        <v>11</v>
      </c>
      <c r="C933" s="1">
        <v>17495</v>
      </c>
      <c r="D933" s="1">
        <v>26502</v>
      </c>
      <c r="E933" s="2">
        <v>44495</v>
      </c>
      <c r="F933" s="2">
        <v>44705</v>
      </c>
      <c r="G933" s="3">
        <v>26290.06</v>
      </c>
      <c r="H933" s="1">
        <v>0</v>
      </c>
      <c r="I933" s="1" t="s">
        <v>1663</v>
      </c>
      <c r="J933" s="1" t="s">
        <v>13</v>
      </c>
    </row>
    <row r="934" spans="1:10" hidden="1" x14ac:dyDescent="0.25">
      <c r="A934" s="1" t="s">
        <v>70</v>
      </c>
      <c r="B934" s="1" t="s">
        <v>71</v>
      </c>
      <c r="C934" s="1">
        <v>18526</v>
      </c>
      <c r="D934" s="1">
        <v>27527</v>
      </c>
      <c r="E934" s="2">
        <v>44586</v>
      </c>
      <c r="F934" s="2">
        <v>44706</v>
      </c>
      <c r="G934" s="3">
        <v>3360</v>
      </c>
      <c r="H934" s="1">
        <v>0</v>
      </c>
      <c r="I934" s="1" t="s">
        <v>349</v>
      </c>
      <c r="J934" s="1" t="s">
        <v>73</v>
      </c>
    </row>
    <row r="935" spans="1:10" hidden="1" x14ac:dyDescent="0.25">
      <c r="A935" s="1" t="s">
        <v>309</v>
      </c>
      <c r="B935" s="1" t="s">
        <v>310</v>
      </c>
      <c r="C935" s="1">
        <v>14573</v>
      </c>
      <c r="D935" s="1">
        <v>23329</v>
      </c>
      <c r="E935" s="2">
        <v>44158</v>
      </c>
      <c r="F935" s="2">
        <v>44377</v>
      </c>
      <c r="G935" s="3">
        <v>83900</v>
      </c>
      <c r="H935" s="1">
        <v>253</v>
      </c>
      <c r="I935" s="1" t="s">
        <v>950</v>
      </c>
      <c r="J935" s="1" t="s">
        <v>84</v>
      </c>
    </row>
    <row r="936" spans="1:10" hidden="1" x14ac:dyDescent="0.25">
      <c r="A936" s="1" t="s">
        <v>20</v>
      </c>
      <c r="B936" s="1" t="s">
        <v>21</v>
      </c>
      <c r="C936" s="1">
        <v>18824</v>
      </c>
      <c r="D936" s="1">
        <v>27846</v>
      </c>
      <c r="E936" s="2">
        <v>44616</v>
      </c>
      <c r="F936" s="2">
        <v>44706</v>
      </c>
      <c r="G936" s="1">
        <v>559.58000000000004</v>
      </c>
      <c r="H936" s="1">
        <v>0</v>
      </c>
      <c r="I936" s="1" t="s">
        <v>1419</v>
      </c>
      <c r="J936" s="1" t="s">
        <v>23</v>
      </c>
    </row>
    <row r="937" spans="1:10" hidden="1" x14ac:dyDescent="0.25">
      <c r="A937" s="1" t="s">
        <v>291</v>
      </c>
      <c r="B937" s="1" t="s">
        <v>292</v>
      </c>
      <c r="C937" s="1">
        <v>17008</v>
      </c>
      <c r="D937" s="1">
        <v>26015</v>
      </c>
      <c r="E937" s="2">
        <v>44467</v>
      </c>
      <c r="F937" s="2">
        <v>44707</v>
      </c>
      <c r="G937" s="3">
        <v>7826.18</v>
      </c>
      <c r="H937" s="1">
        <v>0</v>
      </c>
      <c r="I937" s="1" t="s">
        <v>293</v>
      </c>
      <c r="J937" s="1" t="s">
        <v>115</v>
      </c>
    </row>
    <row r="938" spans="1:10" hidden="1" x14ac:dyDescent="0.25">
      <c r="A938" s="1" t="s">
        <v>231</v>
      </c>
      <c r="B938" s="1" t="s">
        <v>232</v>
      </c>
      <c r="C938" s="1">
        <v>18207</v>
      </c>
      <c r="D938" s="1">
        <v>27220</v>
      </c>
      <c r="E938" s="2">
        <v>44557</v>
      </c>
      <c r="F938" s="2">
        <v>44707</v>
      </c>
      <c r="G938" s="3">
        <v>51606</v>
      </c>
      <c r="H938" s="1">
        <v>0</v>
      </c>
      <c r="I938" s="1" t="s">
        <v>492</v>
      </c>
      <c r="J938" s="1" t="s">
        <v>13</v>
      </c>
    </row>
    <row r="939" spans="1:10" hidden="1" x14ac:dyDescent="0.25">
      <c r="A939" s="1" t="s">
        <v>78</v>
      </c>
      <c r="B939" s="1" t="s">
        <v>79</v>
      </c>
      <c r="C939" s="1">
        <v>17001</v>
      </c>
      <c r="D939" s="1">
        <v>26009</v>
      </c>
      <c r="E939" s="2">
        <v>44467</v>
      </c>
      <c r="F939" s="2">
        <v>44707</v>
      </c>
      <c r="G939" s="3">
        <v>13020</v>
      </c>
      <c r="H939" s="1">
        <v>0</v>
      </c>
      <c r="I939" s="1" t="s">
        <v>567</v>
      </c>
      <c r="J939" s="1" t="s">
        <v>68</v>
      </c>
    </row>
    <row r="940" spans="1:10" hidden="1" x14ac:dyDescent="0.25">
      <c r="A940" s="1" t="s">
        <v>231</v>
      </c>
      <c r="B940" s="1" t="s">
        <v>232</v>
      </c>
      <c r="C940" s="1">
        <v>18212</v>
      </c>
      <c r="D940" s="1">
        <v>27223</v>
      </c>
      <c r="E940" s="2">
        <v>44557</v>
      </c>
      <c r="F940" s="2">
        <v>44707</v>
      </c>
      <c r="G940" s="1">
        <v>156.30000000000001</v>
      </c>
      <c r="H940" s="1">
        <v>0</v>
      </c>
      <c r="I940" s="1" t="s">
        <v>581</v>
      </c>
      <c r="J940" s="1" t="s">
        <v>13</v>
      </c>
    </row>
    <row r="941" spans="1:10" hidden="1" x14ac:dyDescent="0.25">
      <c r="A941" s="1" t="s">
        <v>78</v>
      </c>
      <c r="B941" s="1" t="s">
        <v>79</v>
      </c>
      <c r="C941" s="1">
        <v>17003</v>
      </c>
      <c r="D941" s="1">
        <v>26010</v>
      </c>
      <c r="E941" s="2">
        <v>44467</v>
      </c>
      <c r="F941" s="2">
        <v>44707</v>
      </c>
      <c r="G941" s="3">
        <v>31620</v>
      </c>
      <c r="H941" s="1">
        <v>0</v>
      </c>
      <c r="I941" s="1" t="s">
        <v>826</v>
      </c>
      <c r="J941" s="1" t="s">
        <v>68</v>
      </c>
    </row>
    <row r="942" spans="1:10" hidden="1" x14ac:dyDescent="0.25">
      <c r="A942" s="1" t="s">
        <v>244</v>
      </c>
      <c r="B942" s="1" t="s">
        <v>98</v>
      </c>
      <c r="C942" s="1">
        <v>18539</v>
      </c>
      <c r="D942" s="1">
        <v>27537</v>
      </c>
      <c r="E942" s="2">
        <v>44587</v>
      </c>
      <c r="F942" s="2">
        <v>44707</v>
      </c>
      <c r="G942" s="3">
        <v>71623.649999999994</v>
      </c>
      <c r="H942" s="1">
        <v>0</v>
      </c>
      <c r="I942" s="1" t="s">
        <v>483</v>
      </c>
      <c r="J942" s="1" t="s">
        <v>27</v>
      </c>
    </row>
    <row r="943" spans="1:10" hidden="1" x14ac:dyDescent="0.25">
      <c r="A943" s="1" t="s">
        <v>221</v>
      </c>
      <c r="B943" s="1" t="s">
        <v>222</v>
      </c>
      <c r="C943" s="1">
        <v>18541</v>
      </c>
      <c r="D943" s="1">
        <v>27539</v>
      </c>
      <c r="E943" s="2">
        <v>44587</v>
      </c>
      <c r="F943" s="2">
        <v>44707</v>
      </c>
      <c r="G943" s="3">
        <v>24350</v>
      </c>
      <c r="H943" s="1">
        <v>0</v>
      </c>
      <c r="I943" s="1" t="s">
        <v>1457</v>
      </c>
      <c r="J943" s="1" t="s">
        <v>27</v>
      </c>
    </row>
    <row r="944" spans="1:10" hidden="1" x14ac:dyDescent="0.25">
      <c r="A944" s="1" t="s">
        <v>24</v>
      </c>
      <c r="B944" s="1" t="s">
        <v>25</v>
      </c>
      <c r="C944" s="1">
        <v>18203</v>
      </c>
      <c r="D944" s="1">
        <v>27216</v>
      </c>
      <c r="E944" s="2">
        <v>44557</v>
      </c>
      <c r="F944" s="2">
        <v>44707</v>
      </c>
      <c r="G944" s="3">
        <v>76950</v>
      </c>
      <c r="H944" s="1">
        <v>0</v>
      </c>
      <c r="I944" s="1" t="s">
        <v>1565</v>
      </c>
      <c r="J944" s="1" t="s">
        <v>27</v>
      </c>
    </row>
    <row r="945" spans="1:10" hidden="1" x14ac:dyDescent="0.25">
      <c r="A945" s="1" t="s">
        <v>89</v>
      </c>
      <c r="B945" s="1" t="s">
        <v>90</v>
      </c>
      <c r="C945" s="1">
        <v>18219</v>
      </c>
      <c r="D945" s="1">
        <v>27230</v>
      </c>
      <c r="E945" s="2">
        <v>44558</v>
      </c>
      <c r="F945" s="2">
        <v>44708</v>
      </c>
      <c r="G945" s="3">
        <v>10795.5</v>
      </c>
      <c r="H945" s="1">
        <v>0</v>
      </c>
      <c r="I945" s="1" t="s">
        <v>91</v>
      </c>
      <c r="J945" s="1" t="s">
        <v>92</v>
      </c>
    </row>
    <row r="946" spans="1:10" hidden="1" x14ac:dyDescent="0.25">
      <c r="A946" s="1" t="s">
        <v>20</v>
      </c>
      <c r="B946" s="1" t="s">
        <v>21</v>
      </c>
      <c r="C946" s="1">
        <v>18561</v>
      </c>
      <c r="D946" s="1">
        <v>27568</v>
      </c>
      <c r="E946" s="2">
        <v>44589</v>
      </c>
      <c r="F946" s="2">
        <v>44709</v>
      </c>
      <c r="G946" s="3">
        <v>6400</v>
      </c>
      <c r="H946" s="1">
        <v>0</v>
      </c>
      <c r="I946" s="1" t="s">
        <v>597</v>
      </c>
      <c r="J946" s="1" t="s">
        <v>23</v>
      </c>
    </row>
    <row r="947" spans="1:10" hidden="1" x14ac:dyDescent="0.25">
      <c r="A947" s="1" t="s">
        <v>535</v>
      </c>
      <c r="B947" s="1" t="s">
        <v>536</v>
      </c>
      <c r="C947" s="1">
        <v>18098</v>
      </c>
      <c r="D947" s="1">
        <v>27110</v>
      </c>
      <c r="E947" s="2">
        <v>44544</v>
      </c>
      <c r="F947" s="2">
        <v>44709</v>
      </c>
      <c r="G947" s="1">
        <v>770</v>
      </c>
      <c r="H947" s="1">
        <v>0</v>
      </c>
      <c r="I947" s="1" t="s">
        <v>871</v>
      </c>
      <c r="J947" s="1" t="s">
        <v>58</v>
      </c>
    </row>
    <row r="948" spans="1:10" hidden="1" x14ac:dyDescent="0.25">
      <c r="A948" s="1" t="s">
        <v>535</v>
      </c>
      <c r="B948" s="1" t="s">
        <v>536</v>
      </c>
      <c r="C948" s="1">
        <v>18099</v>
      </c>
      <c r="D948" s="1">
        <v>27111</v>
      </c>
      <c r="E948" s="2">
        <v>44544</v>
      </c>
      <c r="F948" s="2">
        <v>44709</v>
      </c>
      <c r="G948" s="1">
        <v>840</v>
      </c>
      <c r="H948" s="1">
        <v>0</v>
      </c>
      <c r="I948" s="1" t="s">
        <v>699</v>
      </c>
      <c r="J948" s="1" t="s">
        <v>58</v>
      </c>
    </row>
    <row r="949" spans="1:10" hidden="1" x14ac:dyDescent="0.25">
      <c r="A949" s="1" t="s">
        <v>20</v>
      </c>
      <c r="B949" s="1" t="s">
        <v>21</v>
      </c>
      <c r="C949" s="1">
        <v>18558</v>
      </c>
      <c r="D949" s="1">
        <v>27565</v>
      </c>
      <c r="E949" s="2">
        <v>44589</v>
      </c>
      <c r="F949" s="2">
        <v>44709</v>
      </c>
      <c r="G949" s="3">
        <v>2333.33</v>
      </c>
      <c r="H949" s="1">
        <v>0</v>
      </c>
      <c r="I949" s="1" t="s">
        <v>1102</v>
      </c>
      <c r="J949" s="1" t="s">
        <v>23</v>
      </c>
    </row>
    <row r="950" spans="1:10" hidden="1" x14ac:dyDescent="0.25">
      <c r="A950" s="1" t="s">
        <v>20</v>
      </c>
      <c r="B950" s="1" t="s">
        <v>21</v>
      </c>
      <c r="C950" s="1">
        <v>18560</v>
      </c>
      <c r="D950" s="1">
        <v>27567</v>
      </c>
      <c r="E950" s="2">
        <v>44589</v>
      </c>
      <c r="F950" s="2">
        <v>44709</v>
      </c>
      <c r="G950" s="3">
        <v>20500</v>
      </c>
      <c r="H950" s="1">
        <v>0</v>
      </c>
      <c r="I950" s="1" t="s">
        <v>1352</v>
      </c>
      <c r="J950" s="1" t="s">
        <v>23</v>
      </c>
    </row>
    <row r="951" spans="1:10" hidden="1" x14ac:dyDescent="0.25">
      <c r="A951" s="1" t="s">
        <v>221</v>
      </c>
      <c r="B951" s="1" t="s">
        <v>222</v>
      </c>
      <c r="C951" s="1">
        <v>17889</v>
      </c>
      <c r="D951" s="1">
        <v>26900</v>
      </c>
      <c r="E951" s="2">
        <v>44530</v>
      </c>
      <c r="F951" s="2">
        <v>44710</v>
      </c>
      <c r="G951" s="3">
        <v>37800</v>
      </c>
      <c r="H951" s="1">
        <v>0</v>
      </c>
      <c r="I951" s="1" t="s">
        <v>1116</v>
      </c>
      <c r="J951" s="1" t="s">
        <v>27</v>
      </c>
    </row>
    <row r="952" spans="1:10" hidden="1" x14ac:dyDescent="0.25">
      <c r="A952" s="1" t="s">
        <v>15</v>
      </c>
      <c r="B952" s="1" t="s">
        <v>16</v>
      </c>
      <c r="C952" s="1">
        <v>17433</v>
      </c>
      <c r="D952" s="1">
        <v>26436</v>
      </c>
      <c r="E952" s="2">
        <v>44491</v>
      </c>
      <c r="F952" s="2">
        <v>44711</v>
      </c>
      <c r="G952" s="3">
        <v>13000</v>
      </c>
      <c r="H952" s="1">
        <v>0</v>
      </c>
      <c r="I952" s="1" t="s">
        <v>19</v>
      </c>
      <c r="J952" s="1" t="s">
        <v>18</v>
      </c>
    </row>
    <row r="953" spans="1:10" hidden="1" x14ac:dyDescent="0.25">
      <c r="A953" s="1" t="s">
        <v>65</v>
      </c>
      <c r="B953" s="1" t="s">
        <v>66</v>
      </c>
      <c r="C953" s="1">
        <v>17935</v>
      </c>
      <c r="D953" s="1">
        <v>26949</v>
      </c>
      <c r="E953" s="2">
        <v>44533</v>
      </c>
      <c r="F953" s="2">
        <v>44711</v>
      </c>
      <c r="G953" s="3">
        <v>31000</v>
      </c>
      <c r="H953" s="1">
        <v>0</v>
      </c>
      <c r="I953" s="1" t="s">
        <v>67</v>
      </c>
      <c r="J953" s="1" t="s">
        <v>68</v>
      </c>
    </row>
    <row r="954" spans="1:10" hidden="1" x14ac:dyDescent="0.25">
      <c r="A954" s="1" t="s">
        <v>112</v>
      </c>
      <c r="B954" s="1" t="s">
        <v>113</v>
      </c>
      <c r="C954" s="1">
        <v>17769</v>
      </c>
      <c r="D954" s="1">
        <v>26773</v>
      </c>
      <c r="E954" s="2">
        <v>44517</v>
      </c>
      <c r="F954" s="2">
        <v>44711</v>
      </c>
      <c r="G954" s="3">
        <v>61261.2</v>
      </c>
      <c r="H954" s="1">
        <v>0</v>
      </c>
      <c r="I954" s="1" t="s">
        <v>114</v>
      </c>
      <c r="J954" s="1" t="s">
        <v>115</v>
      </c>
    </row>
    <row r="955" spans="1:10" hidden="1" x14ac:dyDescent="0.25">
      <c r="A955" s="1" t="s">
        <v>133</v>
      </c>
      <c r="B955" s="1" t="s">
        <v>134</v>
      </c>
      <c r="C955" s="1">
        <v>17046</v>
      </c>
      <c r="D955" s="1">
        <v>26054</v>
      </c>
      <c r="E955" s="2">
        <v>44468</v>
      </c>
      <c r="F955" s="2">
        <v>44711</v>
      </c>
      <c r="G955" s="3">
        <v>36000</v>
      </c>
      <c r="H955" s="1">
        <v>0</v>
      </c>
      <c r="I955" s="1" t="s">
        <v>135</v>
      </c>
      <c r="J955" s="1" t="s">
        <v>18</v>
      </c>
    </row>
    <row r="956" spans="1:10" hidden="1" x14ac:dyDescent="0.25">
      <c r="A956" s="1" t="s">
        <v>143</v>
      </c>
      <c r="B956" s="1" t="s">
        <v>144</v>
      </c>
      <c r="C956" s="1">
        <v>18014</v>
      </c>
      <c r="D956" s="1">
        <v>27026</v>
      </c>
      <c r="E956" s="2">
        <v>44538</v>
      </c>
      <c r="F956" s="2">
        <v>44711</v>
      </c>
      <c r="G956" s="3">
        <v>30327.35</v>
      </c>
      <c r="H956" s="1">
        <v>0</v>
      </c>
      <c r="I956" s="1" t="s">
        <v>145</v>
      </c>
      <c r="J956" s="1" t="s">
        <v>64</v>
      </c>
    </row>
    <row r="957" spans="1:10" hidden="1" x14ac:dyDescent="0.25">
      <c r="A957" s="1" t="s">
        <v>154</v>
      </c>
      <c r="B957" s="1" t="s">
        <v>144</v>
      </c>
      <c r="C957" s="1">
        <v>16721</v>
      </c>
      <c r="D957" s="1">
        <v>25686</v>
      </c>
      <c r="E957" s="2">
        <v>44442</v>
      </c>
      <c r="F957" s="2">
        <v>44711</v>
      </c>
      <c r="G957" s="3">
        <v>48000</v>
      </c>
      <c r="H957" s="1">
        <v>0</v>
      </c>
      <c r="I957" s="1" t="s">
        <v>155</v>
      </c>
      <c r="J957" s="1" t="s">
        <v>64</v>
      </c>
    </row>
    <row r="958" spans="1:10" hidden="1" x14ac:dyDescent="0.25">
      <c r="A958" s="1" t="s">
        <v>173</v>
      </c>
      <c r="B958" s="1" t="s">
        <v>174</v>
      </c>
      <c r="C958" s="1">
        <v>16909</v>
      </c>
      <c r="D958" s="1">
        <v>25895</v>
      </c>
      <c r="E958" s="2">
        <v>44460</v>
      </c>
      <c r="F958" s="2">
        <v>44711</v>
      </c>
      <c r="G958" s="3">
        <v>121527.48</v>
      </c>
      <c r="H958" s="1">
        <v>0</v>
      </c>
      <c r="I958" s="1" t="s">
        <v>175</v>
      </c>
      <c r="J958" s="1" t="s">
        <v>68</v>
      </c>
    </row>
    <row r="959" spans="1:10" hidden="1" x14ac:dyDescent="0.25">
      <c r="A959" s="1" t="s">
        <v>33</v>
      </c>
      <c r="B959" s="1" t="s">
        <v>34</v>
      </c>
      <c r="C959" s="1">
        <v>16588</v>
      </c>
      <c r="D959" s="1">
        <v>25553</v>
      </c>
      <c r="E959" s="2">
        <v>44427</v>
      </c>
      <c r="F959" s="2">
        <v>44711</v>
      </c>
      <c r="G959" s="3">
        <v>37360</v>
      </c>
      <c r="H959" s="1">
        <v>0</v>
      </c>
      <c r="I959" s="1" t="s">
        <v>204</v>
      </c>
      <c r="J959" s="1" t="s">
        <v>18</v>
      </c>
    </row>
    <row r="960" spans="1:10" hidden="1" x14ac:dyDescent="0.25">
      <c r="A960" s="1" t="s">
        <v>33</v>
      </c>
      <c r="B960" s="1" t="s">
        <v>34</v>
      </c>
      <c r="C960" s="1">
        <v>16590</v>
      </c>
      <c r="D960" s="1">
        <v>25555</v>
      </c>
      <c r="E960" s="2">
        <v>44427</v>
      </c>
      <c r="F960" s="2">
        <v>44711</v>
      </c>
      <c r="G960" s="3">
        <v>100390</v>
      </c>
      <c r="H960" s="1">
        <v>0</v>
      </c>
      <c r="I960" s="1" t="s">
        <v>205</v>
      </c>
      <c r="J960" s="1" t="s">
        <v>18</v>
      </c>
    </row>
    <row r="961" spans="1:10" hidden="1" x14ac:dyDescent="0.25">
      <c r="A961" s="1" t="s">
        <v>116</v>
      </c>
      <c r="B961" s="1" t="s">
        <v>117</v>
      </c>
      <c r="C961" s="1">
        <v>17609</v>
      </c>
      <c r="D961" s="1">
        <v>26611</v>
      </c>
      <c r="E961" s="2">
        <v>44504</v>
      </c>
      <c r="F961" s="2">
        <v>44711</v>
      </c>
      <c r="G961" s="3">
        <v>54600</v>
      </c>
      <c r="H961" s="1">
        <v>0</v>
      </c>
      <c r="I961" s="1" t="s">
        <v>207</v>
      </c>
      <c r="J961" s="1" t="s">
        <v>50</v>
      </c>
    </row>
    <row r="962" spans="1:10" hidden="1" x14ac:dyDescent="0.25">
      <c r="A962" s="1" t="s">
        <v>173</v>
      </c>
      <c r="B962" s="1" t="s">
        <v>174</v>
      </c>
      <c r="C962" s="1">
        <v>16907</v>
      </c>
      <c r="D962" s="1">
        <v>25893</v>
      </c>
      <c r="E962" s="2">
        <v>44460</v>
      </c>
      <c r="F962" s="2">
        <v>44711</v>
      </c>
      <c r="G962" s="3">
        <v>25800</v>
      </c>
      <c r="H962" s="1">
        <v>0</v>
      </c>
      <c r="I962" s="1" t="s">
        <v>211</v>
      </c>
      <c r="J962" s="1" t="s">
        <v>68</v>
      </c>
    </row>
    <row r="963" spans="1:10" hidden="1" x14ac:dyDescent="0.25">
      <c r="A963" s="1" t="s">
        <v>214</v>
      </c>
      <c r="B963" s="1" t="s">
        <v>215</v>
      </c>
      <c r="C963" s="1">
        <v>16690</v>
      </c>
      <c r="D963" s="1">
        <v>25656</v>
      </c>
      <c r="E963" s="2">
        <v>44440</v>
      </c>
      <c r="F963" s="2">
        <v>44711</v>
      </c>
      <c r="G963" s="3">
        <v>482000</v>
      </c>
      <c r="H963" s="1">
        <v>0</v>
      </c>
      <c r="I963" s="1" t="s">
        <v>216</v>
      </c>
      <c r="J963" s="1" t="s">
        <v>64</v>
      </c>
    </row>
    <row r="964" spans="1:10" hidden="1" x14ac:dyDescent="0.25">
      <c r="A964" s="1" t="s">
        <v>15</v>
      </c>
      <c r="B964" s="1" t="s">
        <v>16</v>
      </c>
      <c r="C964" s="1">
        <v>17625</v>
      </c>
      <c r="D964" s="1">
        <v>26627</v>
      </c>
      <c r="E964" s="2">
        <v>44505</v>
      </c>
      <c r="F964" s="2">
        <v>44711</v>
      </c>
      <c r="G964" s="3">
        <v>20750</v>
      </c>
      <c r="H964" s="1">
        <v>0</v>
      </c>
      <c r="I964" s="1" t="s">
        <v>225</v>
      </c>
      <c r="J964" s="1" t="s">
        <v>18</v>
      </c>
    </row>
    <row r="965" spans="1:10" hidden="1" x14ac:dyDescent="0.25">
      <c r="A965" s="1" t="s">
        <v>24</v>
      </c>
      <c r="B965" s="1" t="s">
        <v>25</v>
      </c>
      <c r="C965" s="1">
        <v>17557</v>
      </c>
      <c r="D965" s="1">
        <v>26564</v>
      </c>
      <c r="E965" s="2">
        <v>44501</v>
      </c>
      <c r="F965" s="2">
        <v>44711</v>
      </c>
      <c r="G965" s="3">
        <v>9510</v>
      </c>
      <c r="H965" s="1">
        <v>0</v>
      </c>
      <c r="I965" s="1" t="s">
        <v>226</v>
      </c>
      <c r="J965" s="1" t="s">
        <v>27</v>
      </c>
    </row>
    <row r="966" spans="1:10" hidden="1" x14ac:dyDescent="0.25">
      <c r="A966" s="1" t="s">
        <v>116</v>
      </c>
      <c r="B966" s="1" t="s">
        <v>117</v>
      </c>
      <c r="C966" s="1">
        <v>17676</v>
      </c>
      <c r="D966" s="1">
        <v>26675</v>
      </c>
      <c r="E966" s="2">
        <v>44509</v>
      </c>
      <c r="F966" s="2">
        <v>44711</v>
      </c>
      <c r="G966" s="3">
        <v>26880</v>
      </c>
      <c r="H966" s="1">
        <v>0</v>
      </c>
      <c r="I966" s="1" t="s">
        <v>235</v>
      </c>
      <c r="J966" s="1" t="s">
        <v>50</v>
      </c>
    </row>
    <row r="967" spans="1:10" hidden="1" x14ac:dyDescent="0.25">
      <c r="A967" s="1" t="s">
        <v>239</v>
      </c>
      <c r="B967" s="1" t="s">
        <v>240</v>
      </c>
      <c r="C967" s="1">
        <v>16755</v>
      </c>
      <c r="D967" s="1">
        <v>25723</v>
      </c>
      <c r="E967" s="2">
        <v>44447</v>
      </c>
      <c r="F967" s="2">
        <v>44711</v>
      </c>
      <c r="G967" s="3">
        <v>7890</v>
      </c>
      <c r="H967" s="1">
        <v>0</v>
      </c>
      <c r="I967" s="1" t="s">
        <v>241</v>
      </c>
      <c r="J967" s="1" t="s">
        <v>242</v>
      </c>
    </row>
    <row r="968" spans="1:10" hidden="1" x14ac:dyDescent="0.25">
      <c r="A968" s="1" t="s">
        <v>173</v>
      </c>
      <c r="B968" s="1" t="s">
        <v>174</v>
      </c>
      <c r="C968" s="1">
        <v>17635</v>
      </c>
      <c r="D968" s="1">
        <v>26638</v>
      </c>
      <c r="E968" s="2">
        <v>44505</v>
      </c>
      <c r="F968" s="2">
        <v>44711</v>
      </c>
      <c r="G968" s="3">
        <v>87187</v>
      </c>
      <c r="H968" s="1">
        <v>0</v>
      </c>
      <c r="I968" s="1" t="s">
        <v>243</v>
      </c>
      <c r="J968" s="1" t="s">
        <v>68</v>
      </c>
    </row>
    <row r="969" spans="1:10" hidden="1" x14ac:dyDescent="0.25">
      <c r="A969" s="1" t="s">
        <v>78</v>
      </c>
      <c r="B969" s="1" t="s">
        <v>79</v>
      </c>
      <c r="C969" s="1">
        <v>17032</v>
      </c>
      <c r="D969" s="1">
        <v>26040</v>
      </c>
      <c r="E969" s="2">
        <v>44467</v>
      </c>
      <c r="F969" s="2">
        <v>44711</v>
      </c>
      <c r="G969" s="3">
        <v>48000</v>
      </c>
      <c r="H969" s="1">
        <v>0</v>
      </c>
      <c r="I969" s="1" t="s">
        <v>246</v>
      </c>
      <c r="J969" s="1" t="s">
        <v>68</v>
      </c>
    </row>
    <row r="970" spans="1:10" hidden="1" x14ac:dyDescent="0.25">
      <c r="A970" s="1" t="s">
        <v>173</v>
      </c>
      <c r="B970" s="1" t="s">
        <v>174</v>
      </c>
      <c r="C970" s="1">
        <v>16782</v>
      </c>
      <c r="D970" s="1">
        <v>25755</v>
      </c>
      <c r="E970" s="2">
        <v>44452</v>
      </c>
      <c r="F970" s="2">
        <v>44711</v>
      </c>
      <c r="G970" s="3">
        <v>264819</v>
      </c>
      <c r="H970" s="1">
        <v>0</v>
      </c>
      <c r="I970" s="1" t="s">
        <v>259</v>
      </c>
      <c r="J970" s="1" t="s">
        <v>68</v>
      </c>
    </row>
    <row r="971" spans="1:10" hidden="1" x14ac:dyDescent="0.25">
      <c r="A971" s="1" t="s">
        <v>108</v>
      </c>
      <c r="B971" s="1" t="s">
        <v>109</v>
      </c>
      <c r="C971" s="1">
        <v>17562</v>
      </c>
      <c r="D971" s="1">
        <v>26569</v>
      </c>
      <c r="E971" s="2">
        <v>44501</v>
      </c>
      <c r="F971" s="2">
        <v>44711</v>
      </c>
      <c r="G971" s="3">
        <v>240480</v>
      </c>
      <c r="H971" s="1">
        <v>0</v>
      </c>
      <c r="I971" s="1" t="s">
        <v>266</v>
      </c>
      <c r="J971" s="1" t="s">
        <v>88</v>
      </c>
    </row>
    <row r="972" spans="1:10" hidden="1" x14ac:dyDescent="0.25">
      <c r="A972" s="1" t="s">
        <v>65</v>
      </c>
      <c r="B972" s="1" t="s">
        <v>66</v>
      </c>
      <c r="C972" s="1">
        <v>16051</v>
      </c>
      <c r="D972" s="1">
        <v>24942</v>
      </c>
      <c r="E972" s="2">
        <v>44343</v>
      </c>
      <c r="F972" s="2">
        <v>44711</v>
      </c>
      <c r="G972" s="3">
        <v>106250</v>
      </c>
      <c r="H972" s="1">
        <v>0</v>
      </c>
      <c r="I972" s="1" t="s">
        <v>267</v>
      </c>
      <c r="J972" s="1" t="s">
        <v>68</v>
      </c>
    </row>
    <row r="973" spans="1:10" hidden="1" x14ac:dyDescent="0.25">
      <c r="A973" s="1" t="s">
        <v>108</v>
      </c>
      <c r="B973" s="1" t="s">
        <v>109</v>
      </c>
      <c r="C973" s="1">
        <v>18030</v>
      </c>
      <c r="D973" s="1">
        <v>27040</v>
      </c>
      <c r="E973" s="2">
        <v>44538</v>
      </c>
      <c r="F973" s="2">
        <v>44711</v>
      </c>
      <c r="G973" s="3">
        <v>18740</v>
      </c>
      <c r="H973" s="1">
        <v>0</v>
      </c>
      <c r="I973" s="1" t="s">
        <v>275</v>
      </c>
      <c r="J973" s="1" t="s">
        <v>88</v>
      </c>
    </row>
    <row r="974" spans="1:10" hidden="1" x14ac:dyDescent="0.25">
      <c r="A974" s="1" t="s">
        <v>78</v>
      </c>
      <c r="B974" s="1" t="s">
        <v>79</v>
      </c>
      <c r="C974" s="1">
        <v>17798</v>
      </c>
      <c r="D974" s="1">
        <v>26801</v>
      </c>
      <c r="E974" s="2">
        <v>44518</v>
      </c>
      <c r="F974" s="2">
        <v>44711</v>
      </c>
      <c r="G974" s="3">
        <v>190350</v>
      </c>
      <c r="H974" s="1">
        <v>0</v>
      </c>
      <c r="I974" s="1" t="s">
        <v>284</v>
      </c>
      <c r="J974" s="1" t="s">
        <v>68</v>
      </c>
    </row>
    <row r="975" spans="1:10" hidden="1" x14ac:dyDescent="0.25">
      <c r="A975" s="1" t="s">
        <v>133</v>
      </c>
      <c r="B975" s="1" t="s">
        <v>134</v>
      </c>
      <c r="C975" s="1">
        <v>18261</v>
      </c>
      <c r="D975" s="1">
        <v>27270</v>
      </c>
      <c r="E975" s="2">
        <v>44566</v>
      </c>
      <c r="F975" s="2">
        <v>44711</v>
      </c>
      <c r="G975" s="3">
        <v>164000</v>
      </c>
      <c r="H975" s="1">
        <v>0</v>
      </c>
      <c r="I975" s="1" t="s">
        <v>287</v>
      </c>
      <c r="J975" s="1" t="s">
        <v>18</v>
      </c>
    </row>
    <row r="976" spans="1:10" hidden="1" x14ac:dyDescent="0.25">
      <c r="A976" s="1" t="s">
        <v>173</v>
      </c>
      <c r="B976" s="1" t="s">
        <v>174</v>
      </c>
      <c r="C976" s="1">
        <v>17440</v>
      </c>
      <c r="D976" s="1">
        <v>26444</v>
      </c>
      <c r="E976" s="2">
        <v>44491</v>
      </c>
      <c r="F976" s="2">
        <v>44711</v>
      </c>
      <c r="G976" s="3">
        <v>33000</v>
      </c>
      <c r="H976" s="1">
        <v>0</v>
      </c>
      <c r="I976" s="1" t="s">
        <v>288</v>
      </c>
      <c r="J976" s="1" t="s">
        <v>68</v>
      </c>
    </row>
    <row r="977" spans="1:10" hidden="1" x14ac:dyDescent="0.25">
      <c r="A977" s="1" t="s">
        <v>97</v>
      </c>
      <c r="B977" s="1" t="s">
        <v>98</v>
      </c>
      <c r="C977" s="1">
        <v>16087</v>
      </c>
      <c r="D977" s="1">
        <v>24985</v>
      </c>
      <c r="E977" s="2">
        <v>44354</v>
      </c>
      <c r="F977" s="2">
        <v>44711</v>
      </c>
      <c r="G977" s="3">
        <v>61320</v>
      </c>
      <c r="H977" s="1">
        <v>0</v>
      </c>
      <c r="I977" s="1" t="s">
        <v>289</v>
      </c>
      <c r="J977" s="1" t="s">
        <v>27</v>
      </c>
    </row>
    <row r="978" spans="1:10" hidden="1" x14ac:dyDescent="0.25">
      <c r="A978" s="1" t="s">
        <v>89</v>
      </c>
      <c r="B978" s="1" t="s">
        <v>90</v>
      </c>
      <c r="C978" s="1">
        <v>18061</v>
      </c>
      <c r="D978" s="1">
        <v>27075</v>
      </c>
      <c r="E978" s="2">
        <v>44543</v>
      </c>
      <c r="F978" s="2">
        <v>44711</v>
      </c>
      <c r="G978" s="3">
        <v>33000</v>
      </c>
      <c r="H978" s="1">
        <v>0</v>
      </c>
      <c r="I978" s="1" t="s">
        <v>295</v>
      </c>
      <c r="J978" s="1" t="s">
        <v>92</v>
      </c>
    </row>
    <row r="979" spans="1:10" hidden="1" x14ac:dyDescent="0.25">
      <c r="A979" s="1" t="s">
        <v>244</v>
      </c>
      <c r="B979" s="1" t="s">
        <v>98</v>
      </c>
      <c r="C979" s="1">
        <v>17893</v>
      </c>
      <c r="D979" s="1">
        <v>26905</v>
      </c>
      <c r="E979" s="2">
        <v>44531</v>
      </c>
      <c r="F979" s="2">
        <v>44711</v>
      </c>
      <c r="G979" s="3">
        <v>48000</v>
      </c>
      <c r="H979" s="1">
        <v>0</v>
      </c>
      <c r="I979" s="1" t="s">
        <v>308</v>
      </c>
      <c r="J979" s="1" t="s">
        <v>27</v>
      </c>
    </row>
    <row r="980" spans="1:10" hidden="1" x14ac:dyDescent="0.25">
      <c r="A980" s="1" t="s">
        <v>173</v>
      </c>
      <c r="B980" s="1" t="s">
        <v>174</v>
      </c>
      <c r="C980" s="1">
        <v>17436</v>
      </c>
      <c r="D980" s="1">
        <v>26440</v>
      </c>
      <c r="E980" s="2">
        <v>44491</v>
      </c>
      <c r="F980" s="2">
        <v>44711</v>
      </c>
      <c r="G980" s="3">
        <v>6600</v>
      </c>
      <c r="H980" s="1">
        <v>0</v>
      </c>
      <c r="I980" s="1" t="s">
        <v>313</v>
      </c>
      <c r="J980" s="1" t="s">
        <v>68</v>
      </c>
    </row>
    <row r="981" spans="1:10" hidden="1" x14ac:dyDescent="0.25">
      <c r="A981" s="1" t="s">
        <v>65</v>
      </c>
      <c r="B981" s="1" t="s">
        <v>66</v>
      </c>
      <c r="C981" s="1">
        <v>15991</v>
      </c>
      <c r="D981" s="1">
        <v>24864</v>
      </c>
      <c r="E981" s="2">
        <v>44333</v>
      </c>
      <c r="F981" s="2">
        <v>44711</v>
      </c>
      <c r="G981" s="3">
        <v>39250</v>
      </c>
      <c r="H981" s="1">
        <v>0</v>
      </c>
      <c r="I981" s="1" t="s">
        <v>331</v>
      </c>
      <c r="J981" s="1" t="s">
        <v>68</v>
      </c>
    </row>
    <row r="982" spans="1:10" hidden="1" x14ac:dyDescent="0.25">
      <c r="A982" s="1" t="s">
        <v>332</v>
      </c>
      <c r="B982" s="1" t="s">
        <v>333</v>
      </c>
      <c r="C982" s="1">
        <v>16761</v>
      </c>
      <c r="D982" s="1">
        <v>25729</v>
      </c>
      <c r="E982" s="2">
        <v>44447</v>
      </c>
      <c r="F982" s="2">
        <v>44711</v>
      </c>
      <c r="G982" s="3">
        <v>4338.75</v>
      </c>
      <c r="H982" s="1">
        <v>0</v>
      </c>
      <c r="I982" s="1" t="s">
        <v>334</v>
      </c>
      <c r="J982" s="1" t="s">
        <v>18</v>
      </c>
    </row>
    <row r="983" spans="1:10" hidden="1" x14ac:dyDescent="0.25">
      <c r="A983" s="1" t="s">
        <v>65</v>
      </c>
      <c r="B983" s="1" t="s">
        <v>66</v>
      </c>
      <c r="C983" s="1">
        <v>17954</v>
      </c>
      <c r="D983" s="1">
        <v>26969</v>
      </c>
      <c r="E983" s="2">
        <v>44536</v>
      </c>
      <c r="F983" s="2">
        <v>44711</v>
      </c>
      <c r="G983" s="3">
        <v>72000</v>
      </c>
      <c r="H983" s="1">
        <v>0</v>
      </c>
      <c r="I983" s="1" t="s">
        <v>341</v>
      </c>
      <c r="J983" s="1" t="s">
        <v>68</v>
      </c>
    </row>
    <row r="984" spans="1:10" hidden="1" x14ac:dyDescent="0.25">
      <c r="A984" s="1" t="s">
        <v>33</v>
      </c>
      <c r="B984" s="1" t="s">
        <v>34</v>
      </c>
      <c r="C984" s="1">
        <v>18315</v>
      </c>
      <c r="D984" s="1">
        <v>27325</v>
      </c>
      <c r="E984" s="2">
        <v>44568</v>
      </c>
      <c r="F984" s="2">
        <v>44711</v>
      </c>
      <c r="G984" s="3">
        <v>7668</v>
      </c>
      <c r="H984" s="1">
        <v>0</v>
      </c>
      <c r="I984" s="1" t="s">
        <v>346</v>
      </c>
      <c r="J984" s="1" t="s">
        <v>18</v>
      </c>
    </row>
    <row r="985" spans="1:10" hidden="1" x14ac:dyDescent="0.25">
      <c r="A985" s="1" t="s">
        <v>15</v>
      </c>
      <c r="B985" s="1" t="s">
        <v>16</v>
      </c>
      <c r="C985" s="1">
        <v>17849</v>
      </c>
      <c r="D985" s="1">
        <v>26853</v>
      </c>
      <c r="E985" s="2">
        <v>44522</v>
      </c>
      <c r="F985" s="2">
        <v>44711</v>
      </c>
      <c r="G985" s="3">
        <v>19800</v>
      </c>
      <c r="H985" s="1">
        <v>0</v>
      </c>
      <c r="I985" s="1" t="s">
        <v>348</v>
      </c>
      <c r="J985" s="1" t="s">
        <v>18</v>
      </c>
    </row>
    <row r="986" spans="1:10" hidden="1" x14ac:dyDescent="0.25">
      <c r="A986" s="1" t="s">
        <v>351</v>
      </c>
      <c r="B986" s="1" t="s">
        <v>352</v>
      </c>
      <c r="C986" s="1">
        <v>16754</v>
      </c>
      <c r="D986" s="1">
        <v>25722</v>
      </c>
      <c r="E986" s="2">
        <v>44447</v>
      </c>
      <c r="F986" s="2">
        <v>44711</v>
      </c>
      <c r="G986" s="3">
        <v>7680</v>
      </c>
      <c r="H986" s="1">
        <v>0</v>
      </c>
      <c r="I986" s="1" t="s">
        <v>353</v>
      </c>
      <c r="J986" s="1" t="s">
        <v>242</v>
      </c>
    </row>
    <row r="987" spans="1:10" hidden="1" x14ac:dyDescent="0.25">
      <c r="A987" s="1" t="s">
        <v>116</v>
      </c>
      <c r="B987" s="1" t="s">
        <v>117</v>
      </c>
      <c r="C987" s="1">
        <v>17606</v>
      </c>
      <c r="D987" s="1">
        <v>26608</v>
      </c>
      <c r="E987" s="2">
        <v>44504</v>
      </c>
      <c r="F987" s="2">
        <v>44711</v>
      </c>
      <c r="G987" s="3">
        <v>352800</v>
      </c>
      <c r="H987" s="1">
        <v>0</v>
      </c>
      <c r="I987" s="1" t="s">
        <v>359</v>
      </c>
      <c r="J987" s="1" t="s">
        <v>50</v>
      </c>
    </row>
    <row r="988" spans="1:10" hidden="1" x14ac:dyDescent="0.25">
      <c r="A988" s="1" t="s">
        <v>361</v>
      </c>
      <c r="B988" s="1" t="s">
        <v>362</v>
      </c>
      <c r="C988" s="1">
        <v>17504</v>
      </c>
      <c r="D988" s="1">
        <v>26510</v>
      </c>
      <c r="E988" s="2">
        <v>44495</v>
      </c>
      <c r="F988" s="2">
        <v>44711</v>
      </c>
      <c r="G988" s="3">
        <v>33324</v>
      </c>
      <c r="H988" s="1">
        <v>0</v>
      </c>
      <c r="I988" s="1" t="s">
        <v>363</v>
      </c>
      <c r="J988" s="1" t="s">
        <v>92</v>
      </c>
    </row>
    <row r="989" spans="1:10" hidden="1" x14ac:dyDescent="0.25">
      <c r="A989" s="1" t="s">
        <v>366</v>
      </c>
      <c r="B989" s="1" t="s">
        <v>174</v>
      </c>
      <c r="C989" s="1">
        <v>16993</v>
      </c>
      <c r="D989" s="1">
        <v>25998</v>
      </c>
      <c r="E989" s="2">
        <v>44466</v>
      </c>
      <c r="F989" s="2">
        <v>44711</v>
      </c>
      <c r="G989" s="3">
        <v>75260</v>
      </c>
      <c r="H989" s="1">
        <v>0</v>
      </c>
      <c r="I989" s="1" t="s">
        <v>367</v>
      </c>
      <c r="J989" s="1" t="s">
        <v>68</v>
      </c>
    </row>
    <row r="990" spans="1:10" hidden="1" x14ac:dyDescent="0.25">
      <c r="A990" s="1" t="s">
        <v>116</v>
      </c>
      <c r="B990" s="1" t="s">
        <v>117</v>
      </c>
      <c r="C990" s="1">
        <v>18476</v>
      </c>
      <c r="D990" s="1">
        <v>27474</v>
      </c>
      <c r="E990" s="2">
        <v>44581</v>
      </c>
      <c r="F990" s="2">
        <v>44711</v>
      </c>
      <c r="G990" s="3">
        <v>43776</v>
      </c>
      <c r="H990" s="1">
        <v>0</v>
      </c>
      <c r="I990" s="1" t="s">
        <v>375</v>
      </c>
      <c r="J990" s="1" t="s">
        <v>50</v>
      </c>
    </row>
    <row r="991" spans="1:10" hidden="1" x14ac:dyDescent="0.25">
      <c r="A991" s="1" t="s">
        <v>15</v>
      </c>
      <c r="B991" s="1" t="s">
        <v>16</v>
      </c>
      <c r="C991" s="1">
        <v>16868</v>
      </c>
      <c r="D991" s="1">
        <v>25844</v>
      </c>
      <c r="E991" s="2">
        <v>44456</v>
      </c>
      <c r="F991" s="2">
        <v>44711</v>
      </c>
      <c r="G991" s="3">
        <v>15840</v>
      </c>
      <c r="H991" s="1">
        <v>0</v>
      </c>
      <c r="I991" s="1" t="s">
        <v>377</v>
      </c>
      <c r="J991" s="1" t="s">
        <v>18</v>
      </c>
    </row>
    <row r="992" spans="1:10" hidden="1" x14ac:dyDescent="0.25">
      <c r="A992" s="1" t="s">
        <v>78</v>
      </c>
      <c r="B992" s="1" t="s">
        <v>79</v>
      </c>
      <c r="C992" s="1">
        <v>17667</v>
      </c>
      <c r="D992" s="1">
        <v>26664</v>
      </c>
      <c r="E992" s="2">
        <v>44508</v>
      </c>
      <c r="F992" s="2">
        <v>44711</v>
      </c>
      <c r="G992" s="3">
        <v>256600</v>
      </c>
      <c r="H992" s="1">
        <v>0</v>
      </c>
      <c r="I992" s="1" t="s">
        <v>381</v>
      </c>
      <c r="J992" s="1" t="s">
        <v>68</v>
      </c>
    </row>
    <row r="993" spans="1:10" hidden="1" x14ac:dyDescent="0.25">
      <c r="A993" s="1" t="s">
        <v>154</v>
      </c>
      <c r="B993" s="1" t="s">
        <v>144</v>
      </c>
      <c r="C993" s="1">
        <v>18017</v>
      </c>
      <c r="D993" s="1">
        <v>27029</v>
      </c>
      <c r="E993" s="2">
        <v>44538</v>
      </c>
      <c r="F993" s="2">
        <v>44711</v>
      </c>
      <c r="G993" s="3">
        <v>61800</v>
      </c>
      <c r="H993" s="1">
        <v>0</v>
      </c>
      <c r="I993" s="1" t="s">
        <v>390</v>
      </c>
      <c r="J993" s="1" t="s">
        <v>64</v>
      </c>
    </row>
    <row r="994" spans="1:10" hidden="1" x14ac:dyDescent="0.25">
      <c r="A994" s="1" t="s">
        <v>24</v>
      </c>
      <c r="B994" s="1" t="s">
        <v>25</v>
      </c>
      <c r="C994" s="1">
        <v>17556</v>
      </c>
      <c r="D994" s="1">
        <v>26563</v>
      </c>
      <c r="E994" s="2">
        <v>44501</v>
      </c>
      <c r="F994" s="2">
        <v>44711</v>
      </c>
      <c r="G994" s="3">
        <v>5125</v>
      </c>
      <c r="H994" s="1">
        <v>0</v>
      </c>
      <c r="I994" s="1" t="s">
        <v>410</v>
      </c>
      <c r="J994" s="1" t="s">
        <v>27</v>
      </c>
    </row>
    <row r="995" spans="1:10" hidden="1" x14ac:dyDescent="0.25">
      <c r="A995" s="1" t="s">
        <v>33</v>
      </c>
      <c r="B995" s="1" t="s">
        <v>34</v>
      </c>
      <c r="C995" s="1">
        <v>18317</v>
      </c>
      <c r="D995" s="1">
        <v>27327</v>
      </c>
      <c r="E995" s="2">
        <v>44568</v>
      </c>
      <c r="F995" s="2">
        <v>44711</v>
      </c>
      <c r="G995" s="3">
        <v>84000</v>
      </c>
      <c r="H995" s="1">
        <v>0</v>
      </c>
      <c r="I995" s="1" t="s">
        <v>412</v>
      </c>
      <c r="J995" s="1" t="s">
        <v>18</v>
      </c>
    </row>
    <row r="996" spans="1:10" hidden="1" x14ac:dyDescent="0.25">
      <c r="A996" s="1" t="s">
        <v>70</v>
      </c>
      <c r="B996" s="1" t="s">
        <v>71</v>
      </c>
      <c r="C996" s="1">
        <v>18726</v>
      </c>
      <c r="D996" s="1">
        <v>27742</v>
      </c>
      <c r="E996" s="2">
        <v>44606</v>
      </c>
      <c r="F996" s="2">
        <v>44711</v>
      </c>
      <c r="G996" s="3">
        <v>18583.48</v>
      </c>
      <c r="H996" s="1">
        <v>0</v>
      </c>
      <c r="I996" s="1" t="s">
        <v>432</v>
      </c>
      <c r="J996" s="1" t="s">
        <v>73</v>
      </c>
    </row>
    <row r="997" spans="1:10" hidden="1" x14ac:dyDescent="0.25">
      <c r="A997" s="1" t="s">
        <v>433</v>
      </c>
      <c r="B997" s="1" t="s">
        <v>434</v>
      </c>
      <c r="C997" s="1">
        <v>18225</v>
      </c>
      <c r="D997" s="1">
        <v>27236</v>
      </c>
      <c r="E997" s="2">
        <v>44558</v>
      </c>
      <c r="F997" s="2">
        <v>44711</v>
      </c>
      <c r="G997" s="3">
        <v>58430</v>
      </c>
      <c r="H997" s="1">
        <v>0</v>
      </c>
      <c r="I997" s="1" t="s">
        <v>435</v>
      </c>
      <c r="J997" s="1" t="s">
        <v>92</v>
      </c>
    </row>
    <row r="998" spans="1:10" hidden="1" x14ac:dyDescent="0.25">
      <c r="A998" s="1" t="s">
        <v>133</v>
      </c>
      <c r="B998" s="1" t="s">
        <v>134</v>
      </c>
      <c r="C998" s="1">
        <v>17721</v>
      </c>
      <c r="D998" s="1">
        <v>26715</v>
      </c>
      <c r="E998" s="2">
        <v>44511</v>
      </c>
      <c r="F998" s="2">
        <v>44711</v>
      </c>
      <c r="G998" s="3">
        <v>110000</v>
      </c>
      <c r="H998" s="1">
        <v>0</v>
      </c>
      <c r="I998" s="1" t="s">
        <v>446</v>
      </c>
      <c r="J998" s="1" t="s">
        <v>18</v>
      </c>
    </row>
    <row r="999" spans="1:10" hidden="1" x14ac:dyDescent="0.25">
      <c r="A999" s="1" t="s">
        <v>332</v>
      </c>
      <c r="B999" s="1" t="s">
        <v>333</v>
      </c>
      <c r="C999" s="1">
        <v>16760</v>
      </c>
      <c r="D999" s="1">
        <v>25728</v>
      </c>
      <c r="E999" s="2">
        <v>44447</v>
      </c>
      <c r="F999" s="2">
        <v>44711</v>
      </c>
      <c r="G999" s="3">
        <v>10080</v>
      </c>
      <c r="H999" s="1">
        <v>0</v>
      </c>
      <c r="I999" s="1" t="s">
        <v>450</v>
      </c>
      <c r="J999" s="1" t="s">
        <v>18</v>
      </c>
    </row>
    <row r="1000" spans="1:10" hidden="1" x14ac:dyDescent="0.25">
      <c r="A1000" s="1" t="s">
        <v>177</v>
      </c>
      <c r="B1000" s="1" t="s">
        <v>178</v>
      </c>
      <c r="C1000" s="1">
        <v>16730</v>
      </c>
      <c r="D1000" s="1">
        <v>25697</v>
      </c>
      <c r="E1000" s="2">
        <v>44445</v>
      </c>
      <c r="F1000" s="2">
        <v>44711</v>
      </c>
      <c r="G1000" s="3">
        <v>78750</v>
      </c>
      <c r="H1000" s="1">
        <v>0</v>
      </c>
      <c r="I1000" s="1" t="s">
        <v>479</v>
      </c>
      <c r="J1000" s="1" t="s">
        <v>58</v>
      </c>
    </row>
    <row r="1001" spans="1:10" hidden="1" x14ac:dyDescent="0.25">
      <c r="A1001" s="1" t="s">
        <v>480</v>
      </c>
      <c r="B1001" s="1" t="s">
        <v>434</v>
      </c>
      <c r="C1001" s="1">
        <v>17683</v>
      </c>
      <c r="D1001" s="1">
        <v>26681</v>
      </c>
      <c r="E1001" s="2">
        <v>44509</v>
      </c>
      <c r="F1001" s="2">
        <v>44711</v>
      </c>
      <c r="G1001" s="3">
        <v>32711.25</v>
      </c>
      <c r="H1001" s="1">
        <v>0</v>
      </c>
      <c r="I1001" s="1" t="s">
        <v>481</v>
      </c>
      <c r="J1001" s="1" t="s">
        <v>92</v>
      </c>
    </row>
    <row r="1002" spans="1:10" hidden="1" x14ac:dyDescent="0.25">
      <c r="A1002" s="1" t="s">
        <v>116</v>
      </c>
      <c r="B1002" s="1" t="s">
        <v>117</v>
      </c>
      <c r="C1002" s="1">
        <v>17884</v>
      </c>
      <c r="D1002" s="1">
        <v>26893</v>
      </c>
      <c r="E1002" s="2">
        <v>44529</v>
      </c>
      <c r="F1002" s="2">
        <v>44711</v>
      </c>
      <c r="G1002" s="3">
        <v>367500</v>
      </c>
      <c r="H1002" s="1">
        <v>0</v>
      </c>
      <c r="I1002" s="1" t="s">
        <v>487</v>
      </c>
      <c r="J1002" s="1" t="s">
        <v>50</v>
      </c>
    </row>
    <row r="1003" spans="1:10" hidden="1" x14ac:dyDescent="0.25">
      <c r="A1003" s="1" t="s">
        <v>89</v>
      </c>
      <c r="B1003" s="1" t="s">
        <v>90</v>
      </c>
      <c r="C1003" s="1">
        <v>17234</v>
      </c>
      <c r="D1003" s="1">
        <v>26233</v>
      </c>
      <c r="E1003" s="2">
        <v>44482</v>
      </c>
      <c r="F1003" s="2">
        <v>44711</v>
      </c>
      <c r="G1003" s="3">
        <v>169605.28</v>
      </c>
      <c r="H1003" s="1">
        <v>0</v>
      </c>
      <c r="I1003" s="1" t="s">
        <v>490</v>
      </c>
      <c r="J1003" s="1" t="s">
        <v>92</v>
      </c>
    </row>
    <row r="1004" spans="1:10" hidden="1" x14ac:dyDescent="0.25">
      <c r="A1004" s="1" t="s">
        <v>33</v>
      </c>
      <c r="B1004" s="1" t="s">
        <v>34</v>
      </c>
      <c r="C1004" s="1">
        <v>16428</v>
      </c>
      <c r="D1004" s="1">
        <v>25376</v>
      </c>
      <c r="E1004" s="2">
        <v>44412</v>
      </c>
      <c r="F1004" s="2">
        <v>44711</v>
      </c>
      <c r="G1004" s="3">
        <v>31200</v>
      </c>
      <c r="H1004" s="1">
        <v>0</v>
      </c>
      <c r="I1004" s="1" t="s">
        <v>496</v>
      </c>
      <c r="J1004" s="1" t="s">
        <v>18</v>
      </c>
    </row>
    <row r="1005" spans="1:10" hidden="1" x14ac:dyDescent="0.25">
      <c r="A1005" s="1" t="s">
        <v>33</v>
      </c>
      <c r="B1005" s="1" t="s">
        <v>34</v>
      </c>
      <c r="C1005" s="1">
        <v>17682</v>
      </c>
      <c r="D1005" s="1">
        <v>26680</v>
      </c>
      <c r="E1005" s="2">
        <v>44509</v>
      </c>
      <c r="F1005" s="2">
        <v>44711</v>
      </c>
      <c r="G1005" s="3">
        <v>117150</v>
      </c>
      <c r="H1005" s="1">
        <v>0</v>
      </c>
      <c r="I1005" s="1" t="s">
        <v>502</v>
      </c>
      <c r="J1005" s="1" t="s">
        <v>18</v>
      </c>
    </row>
    <row r="1006" spans="1:10" hidden="1" x14ac:dyDescent="0.25">
      <c r="A1006" s="1" t="s">
        <v>291</v>
      </c>
      <c r="B1006" s="1" t="s">
        <v>292</v>
      </c>
      <c r="C1006" s="1">
        <v>17714</v>
      </c>
      <c r="D1006" s="1">
        <v>26710</v>
      </c>
      <c r="E1006" s="2">
        <v>44510</v>
      </c>
      <c r="F1006" s="2">
        <v>44711</v>
      </c>
      <c r="G1006" s="3">
        <v>23300</v>
      </c>
      <c r="H1006" s="1">
        <v>0</v>
      </c>
      <c r="I1006" s="1" t="s">
        <v>503</v>
      </c>
      <c r="J1006" s="1" t="s">
        <v>115</v>
      </c>
    </row>
    <row r="1007" spans="1:10" hidden="1" x14ac:dyDescent="0.25">
      <c r="A1007" s="1" t="s">
        <v>65</v>
      </c>
      <c r="B1007" s="1" t="s">
        <v>66</v>
      </c>
      <c r="C1007" s="1">
        <v>18267</v>
      </c>
      <c r="D1007" s="1">
        <v>27275</v>
      </c>
      <c r="E1007" s="2">
        <v>44566</v>
      </c>
      <c r="F1007" s="2">
        <v>44711</v>
      </c>
      <c r="G1007" s="3">
        <v>207756</v>
      </c>
      <c r="H1007" s="1">
        <v>0</v>
      </c>
      <c r="I1007" s="1" t="s">
        <v>513</v>
      </c>
      <c r="J1007" s="1" t="s">
        <v>68</v>
      </c>
    </row>
    <row r="1008" spans="1:10" hidden="1" x14ac:dyDescent="0.25">
      <c r="A1008" s="1" t="s">
        <v>15</v>
      </c>
      <c r="B1008" s="1" t="s">
        <v>16</v>
      </c>
      <c r="C1008" s="1">
        <v>17431</v>
      </c>
      <c r="D1008" s="1">
        <v>26433</v>
      </c>
      <c r="E1008" s="2">
        <v>44491</v>
      </c>
      <c r="F1008" s="2">
        <v>44711</v>
      </c>
      <c r="G1008" s="3">
        <v>14125</v>
      </c>
      <c r="H1008" s="1">
        <v>0</v>
      </c>
      <c r="I1008" s="1" t="s">
        <v>516</v>
      </c>
      <c r="J1008" s="1" t="s">
        <v>18</v>
      </c>
    </row>
    <row r="1009" spans="1:10" hidden="1" x14ac:dyDescent="0.25">
      <c r="A1009" s="1" t="s">
        <v>10</v>
      </c>
      <c r="B1009" s="1" t="s">
        <v>11</v>
      </c>
      <c r="C1009" s="1">
        <v>17395</v>
      </c>
      <c r="D1009" s="1">
        <v>26399</v>
      </c>
      <c r="E1009" s="2">
        <v>44489</v>
      </c>
      <c r="F1009" s="2">
        <v>44711</v>
      </c>
      <c r="G1009" s="3">
        <v>11130</v>
      </c>
      <c r="H1009" s="1">
        <v>0</v>
      </c>
      <c r="I1009" s="1" t="s">
        <v>532</v>
      </c>
      <c r="J1009" s="1" t="s">
        <v>13</v>
      </c>
    </row>
    <row r="1010" spans="1:10" hidden="1" x14ac:dyDescent="0.25">
      <c r="A1010" s="1" t="s">
        <v>480</v>
      </c>
      <c r="B1010" s="1" t="s">
        <v>434</v>
      </c>
      <c r="C1010" s="1">
        <v>18221</v>
      </c>
      <c r="D1010" s="1">
        <v>27232</v>
      </c>
      <c r="E1010" s="2">
        <v>44558</v>
      </c>
      <c r="F1010" s="2">
        <v>44711</v>
      </c>
      <c r="G1010" s="3">
        <v>14688.8</v>
      </c>
      <c r="H1010" s="1">
        <v>0</v>
      </c>
      <c r="I1010" s="1" t="s">
        <v>534</v>
      </c>
      <c r="J1010" s="1" t="s">
        <v>92</v>
      </c>
    </row>
    <row r="1011" spans="1:10" hidden="1" x14ac:dyDescent="0.25">
      <c r="A1011" s="1" t="s">
        <v>133</v>
      </c>
      <c r="B1011" s="1" t="s">
        <v>134</v>
      </c>
      <c r="C1011" s="1">
        <v>17549</v>
      </c>
      <c r="D1011" s="1">
        <v>26556</v>
      </c>
      <c r="E1011" s="2">
        <v>44501</v>
      </c>
      <c r="F1011" s="2">
        <v>44711</v>
      </c>
      <c r="G1011" s="3">
        <v>196800</v>
      </c>
      <c r="H1011" s="1">
        <v>0</v>
      </c>
      <c r="I1011" s="1" t="s">
        <v>545</v>
      </c>
      <c r="J1011" s="1" t="s">
        <v>18</v>
      </c>
    </row>
    <row r="1012" spans="1:10" hidden="1" x14ac:dyDescent="0.25">
      <c r="A1012" s="1" t="s">
        <v>550</v>
      </c>
      <c r="B1012" s="1" t="s">
        <v>551</v>
      </c>
      <c r="C1012" s="1">
        <v>16749</v>
      </c>
      <c r="D1012" s="1">
        <v>25718</v>
      </c>
      <c r="E1012" s="2">
        <v>44447</v>
      </c>
      <c r="F1012" s="2">
        <v>44711</v>
      </c>
      <c r="G1012" s="3">
        <v>11240</v>
      </c>
      <c r="H1012" s="1">
        <v>0</v>
      </c>
      <c r="I1012" s="1" t="s">
        <v>552</v>
      </c>
      <c r="J1012" s="1" t="s">
        <v>242</v>
      </c>
    </row>
    <row r="1013" spans="1:10" hidden="1" x14ac:dyDescent="0.25">
      <c r="A1013" s="1" t="s">
        <v>15</v>
      </c>
      <c r="B1013" s="1" t="s">
        <v>16</v>
      </c>
      <c r="C1013" s="1">
        <v>17285</v>
      </c>
      <c r="D1013" s="1">
        <v>26283</v>
      </c>
      <c r="E1013" s="2">
        <v>44484</v>
      </c>
      <c r="F1013" s="2">
        <v>44711</v>
      </c>
      <c r="G1013" s="3">
        <v>32000</v>
      </c>
      <c r="H1013" s="1">
        <v>0</v>
      </c>
      <c r="I1013" s="1" t="s">
        <v>558</v>
      </c>
      <c r="J1013" s="1" t="s">
        <v>18</v>
      </c>
    </row>
    <row r="1014" spans="1:10" hidden="1" x14ac:dyDescent="0.25">
      <c r="A1014" s="1" t="s">
        <v>433</v>
      </c>
      <c r="B1014" s="1" t="s">
        <v>434</v>
      </c>
      <c r="C1014" s="1">
        <v>18220</v>
      </c>
      <c r="D1014" s="1">
        <v>27231</v>
      </c>
      <c r="E1014" s="2">
        <v>44558</v>
      </c>
      <c r="F1014" s="2">
        <v>44711</v>
      </c>
      <c r="G1014" s="3">
        <v>12810</v>
      </c>
      <c r="H1014" s="1">
        <v>0</v>
      </c>
      <c r="I1014" s="1" t="s">
        <v>560</v>
      </c>
      <c r="J1014" s="1" t="s">
        <v>92</v>
      </c>
    </row>
    <row r="1015" spans="1:10" hidden="1" x14ac:dyDescent="0.25">
      <c r="A1015" s="1" t="s">
        <v>402</v>
      </c>
      <c r="B1015" s="1" t="s">
        <v>403</v>
      </c>
      <c r="C1015" s="1">
        <v>17634</v>
      </c>
      <c r="D1015" s="1">
        <v>26636</v>
      </c>
      <c r="E1015" s="2">
        <v>44505</v>
      </c>
      <c r="F1015" s="2">
        <v>44711</v>
      </c>
      <c r="G1015" s="3">
        <v>35000</v>
      </c>
      <c r="H1015" s="1">
        <v>0</v>
      </c>
      <c r="I1015" s="1" t="s">
        <v>562</v>
      </c>
      <c r="J1015" s="1" t="s">
        <v>50</v>
      </c>
    </row>
    <row r="1016" spans="1:10" hidden="1" x14ac:dyDescent="0.25">
      <c r="A1016" s="1" t="s">
        <v>15</v>
      </c>
      <c r="B1016" s="1" t="s">
        <v>16</v>
      </c>
      <c r="C1016" s="1">
        <v>16984</v>
      </c>
      <c r="D1016" s="1">
        <v>25988</v>
      </c>
      <c r="E1016" s="2">
        <v>44463</v>
      </c>
      <c r="F1016" s="2">
        <v>44711</v>
      </c>
      <c r="G1016" s="3">
        <v>56910</v>
      </c>
      <c r="H1016" s="1">
        <v>0</v>
      </c>
      <c r="I1016" s="1" t="s">
        <v>565</v>
      </c>
      <c r="J1016" s="1" t="s">
        <v>18</v>
      </c>
    </row>
    <row r="1017" spans="1:10" hidden="1" x14ac:dyDescent="0.25">
      <c r="A1017" s="1" t="s">
        <v>383</v>
      </c>
      <c r="B1017" s="1" t="s">
        <v>384</v>
      </c>
      <c r="C1017" s="1">
        <v>17459</v>
      </c>
      <c r="D1017" s="1">
        <v>26466</v>
      </c>
      <c r="E1017" s="2">
        <v>44494</v>
      </c>
      <c r="F1017" s="2">
        <v>44711</v>
      </c>
      <c r="G1017" s="3">
        <v>135000</v>
      </c>
      <c r="H1017" s="1">
        <v>0</v>
      </c>
      <c r="I1017" s="1" t="s">
        <v>584</v>
      </c>
      <c r="J1017" s="1" t="s">
        <v>115</v>
      </c>
    </row>
    <row r="1018" spans="1:10" hidden="1" x14ac:dyDescent="0.25">
      <c r="A1018" s="1" t="s">
        <v>65</v>
      </c>
      <c r="B1018" s="1" t="s">
        <v>66</v>
      </c>
      <c r="C1018" s="1">
        <v>17025</v>
      </c>
      <c r="D1018" s="1">
        <v>26034</v>
      </c>
      <c r="E1018" s="2">
        <v>44467</v>
      </c>
      <c r="F1018" s="2">
        <v>44711</v>
      </c>
      <c r="G1018" s="3">
        <v>62000</v>
      </c>
      <c r="H1018" s="1">
        <v>0</v>
      </c>
      <c r="I1018" s="1" t="s">
        <v>587</v>
      </c>
      <c r="J1018" s="1" t="s">
        <v>68</v>
      </c>
    </row>
    <row r="1019" spans="1:10" hidden="1" x14ac:dyDescent="0.25">
      <c r="A1019" s="1" t="s">
        <v>480</v>
      </c>
      <c r="B1019" s="1" t="s">
        <v>434</v>
      </c>
      <c r="C1019" s="1">
        <v>17057</v>
      </c>
      <c r="D1019" s="1">
        <v>26064</v>
      </c>
      <c r="E1019" s="2">
        <v>44468</v>
      </c>
      <c r="F1019" s="2">
        <v>44711</v>
      </c>
      <c r="G1019" s="3">
        <v>19218</v>
      </c>
      <c r="H1019" s="1">
        <v>0</v>
      </c>
      <c r="I1019" s="1" t="s">
        <v>588</v>
      </c>
      <c r="J1019" s="1" t="s">
        <v>92</v>
      </c>
    </row>
    <row r="1020" spans="1:10" hidden="1" x14ac:dyDescent="0.25">
      <c r="A1020" s="1" t="s">
        <v>599</v>
      </c>
      <c r="B1020" s="1" t="s">
        <v>600</v>
      </c>
      <c r="C1020" s="1">
        <v>16757</v>
      </c>
      <c r="D1020" s="1">
        <v>25725</v>
      </c>
      <c r="E1020" s="2">
        <v>44447</v>
      </c>
      <c r="F1020" s="2">
        <v>44711</v>
      </c>
      <c r="G1020" s="3">
        <v>9594</v>
      </c>
      <c r="H1020" s="1">
        <v>0</v>
      </c>
      <c r="I1020" s="1" t="s">
        <v>601</v>
      </c>
      <c r="J1020" s="1" t="s">
        <v>242</v>
      </c>
    </row>
    <row r="1021" spans="1:10" hidden="1" x14ac:dyDescent="0.25">
      <c r="A1021" s="1" t="s">
        <v>65</v>
      </c>
      <c r="B1021" s="1" t="s">
        <v>66</v>
      </c>
      <c r="C1021" s="1">
        <v>17859</v>
      </c>
      <c r="D1021" s="1">
        <v>26862</v>
      </c>
      <c r="E1021" s="2">
        <v>44523</v>
      </c>
      <c r="F1021" s="2">
        <v>44711</v>
      </c>
      <c r="G1021" s="3">
        <v>28000</v>
      </c>
      <c r="H1021" s="1">
        <v>0</v>
      </c>
      <c r="I1021" s="1" t="s">
        <v>602</v>
      </c>
      <c r="J1021" s="1" t="s">
        <v>68</v>
      </c>
    </row>
    <row r="1022" spans="1:10" hidden="1" x14ac:dyDescent="0.25">
      <c r="A1022" s="1" t="s">
        <v>116</v>
      </c>
      <c r="B1022" s="1" t="s">
        <v>117</v>
      </c>
      <c r="C1022" s="1">
        <v>17604</v>
      </c>
      <c r="D1022" s="1">
        <v>26606</v>
      </c>
      <c r="E1022" s="2">
        <v>44504</v>
      </c>
      <c r="F1022" s="2">
        <v>44711</v>
      </c>
      <c r="G1022" s="3">
        <v>297300</v>
      </c>
      <c r="H1022" s="1">
        <v>0</v>
      </c>
      <c r="I1022" s="1" t="s">
        <v>605</v>
      </c>
      <c r="J1022" s="1" t="s">
        <v>50</v>
      </c>
    </row>
    <row r="1023" spans="1:10" hidden="1" x14ac:dyDescent="0.25">
      <c r="A1023" s="1" t="s">
        <v>221</v>
      </c>
      <c r="B1023" s="1" t="s">
        <v>222</v>
      </c>
      <c r="C1023" s="1">
        <v>16093</v>
      </c>
      <c r="D1023" s="1">
        <v>24990</v>
      </c>
      <c r="E1023" s="2">
        <v>44355</v>
      </c>
      <c r="F1023" s="2">
        <v>44711</v>
      </c>
      <c r="G1023" s="3">
        <v>63768</v>
      </c>
      <c r="H1023" s="1">
        <v>0</v>
      </c>
      <c r="I1023" s="1" t="s">
        <v>611</v>
      </c>
      <c r="J1023" s="1" t="s">
        <v>27</v>
      </c>
    </row>
    <row r="1024" spans="1:10" hidden="1" x14ac:dyDescent="0.25">
      <c r="A1024" s="1" t="s">
        <v>89</v>
      </c>
      <c r="B1024" s="1" t="s">
        <v>90</v>
      </c>
      <c r="C1024" s="1">
        <v>18063</v>
      </c>
      <c r="D1024" s="1">
        <v>27077</v>
      </c>
      <c r="E1024" s="2">
        <v>44543</v>
      </c>
      <c r="F1024" s="2">
        <v>44711</v>
      </c>
      <c r="G1024" s="3">
        <v>44048.92</v>
      </c>
      <c r="H1024" s="1">
        <v>0</v>
      </c>
      <c r="I1024" s="1" t="s">
        <v>617</v>
      </c>
      <c r="J1024" s="1" t="s">
        <v>92</v>
      </c>
    </row>
    <row r="1025" spans="1:10" hidden="1" x14ac:dyDescent="0.25">
      <c r="A1025" s="1" t="s">
        <v>622</v>
      </c>
      <c r="B1025" s="1" t="s">
        <v>174</v>
      </c>
      <c r="C1025" s="1">
        <v>16736</v>
      </c>
      <c r="D1025" s="1">
        <v>25702</v>
      </c>
      <c r="E1025" s="2">
        <v>44445</v>
      </c>
      <c r="F1025" s="2">
        <v>44711</v>
      </c>
      <c r="G1025" s="3">
        <v>61490</v>
      </c>
      <c r="H1025" s="1">
        <v>0</v>
      </c>
      <c r="I1025" s="1" t="s">
        <v>623</v>
      </c>
      <c r="J1025" s="1" t="s">
        <v>68</v>
      </c>
    </row>
    <row r="1026" spans="1:10" hidden="1" x14ac:dyDescent="0.25">
      <c r="A1026" s="1" t="s">
        <v>78</v>
      </c>
      <c r="B1026" s="1" t="s">
        <v>79</v>
      </c>
      <c r="C1026" s="1">
        <v>17897</v>
      </c>
      <c r="D1026" s="1">
        <v>26910</v>
      </c>
      <c r="E1026" s="2">
        <v>44531</v>
      </c>
      <c r="F1026" s="2">
        <v>44711</v>
      </c>
      <c r="G1026" s="3">
        <v>110000</v>
      </c>
      <c r="H1026" s="1">
        <v>0</v>
      </c>
      <c r="I1026" s="1" t="s">
        <v>632</v>
      </c>
      <c r="J1026" s="1" t="s">
        <v>68</v>
      </c>
    </row>
    <row r="1027" spans="1:10" hidden="1" x14ac:dyDescent="0.25">
      <c r="A1027" s="1" t="s">
        <v>133</v>
      </c>
      <c r="B1027" s="1" t="s">
        <v>134</v>
      </c>
      <c r="C1027" s="1">
        <v>17048</v>
      </c>
      <c r="D1027" s="1">
        <v>26055</v>
      </c>
      <c r="E1027" s="2">
        <v>44468</v>
      </c>
      <c r="F1027" s="2">
        <v>44711</v>
      </c>
      <c r="G1027" s="3">
        <v>295700</v>
      </c>
      <c r="H1027" s="1">
        <v>0</v>
      </c>
      <c r="I1027" s="1" t="s">
        <v>636</v>
      </c>
      <c r="J1027" s="1" t="s">
        <v>18</v>
      </c>
    </row>
    <row r="1028" spans="1:10" hidden="1" x14ac:dyDescent="0.25">
      <c r="A1028" s="1" t="s">
        <v>143</v>
      </c>
      <c r="B1028" s="1" t="s">
        <v>144</v>
      </c>
      <c r="C1028" s="1">
        <v>16783</v>
      </c>
      <c r="D1028" s="1">
        <v>25756</v>
      </c>
      <c r="E1028" s="2">
        <v>44452</v>
      </c>
      <c r="F1028" s="2">
        <v>44711</v>
      </c>
      <c r="G1028" s="3">
        <v>34000</v>
      </c>
      <c r="H1028" s="1">
        <v>0</v>
      </c>
      <c r="I1028" s="1" t="s">
        <v>641</v>
      </c>
      <c r="J1028" s="1" t="s">
        <v>64</v>
      </c>
    </row>
    <row r="1029" spans="1:10" hidden="1" x14ac:dyDescent="0.25">
      <c r="A1029" s="1" t="s">
        <v>159</v>
      </c>
      <c r="B1029" s="1" t="s">
        <v>129</v>
      </c>
      <c r="C1029" s="1">
        <v>16511</v>
      </c>
      <c r="D1029" s="1">
        <v>25459</v>
      </c>
      <c r="E1029" s="2">
        <v>44418</v>
      </c>
      <c r="F1029" s="2">
        <v>44711</v>
      </c>
      <c r="G1029" s="3">
        <v>264500</v>
      </c>
      <c r="H1029" s="1">
        <v>0</v>
      </c>
      <c r="I1029" s="1" t="s">
        <v>648</v>
      </c>
      <c r="J1029" s="1" t="s">
        <v>131</v>
      </c>
    </row>
    <row r="1030" spans="1:10" hidden="1" x14ac:dyDescent="0.25">
      <c r="A1030" s="1" t="s">
        <v>214</v>
      </c>
      <c r="B1030" s="1" t="s">
        <v>215</v>
      </c>
      <c r="C1030" s="1">
        <v>16811</v>
      </c>
      <c r="D1030" s="1">
        <v>25782</v>
      </c>
      <c r="E1030" s="2">
        <v>44453</v>
      </c>
      <c r="F1030" s="2">
        <v>44711</v>
      </c>
      <c r="G1030" s="3">
        <v>187800</v>
      </c>
      <c r="H1030" s="1">
        <v>0</v>
      </c>
      <c r="I1030" s="1" t="s">
        <v>657</v>
      </c>
      <c r="J1030" s="1" t="s">
        <v>64</v>
      </c>
    </row>
    <row r="1031" spans="1:10" hidden="1" x14ac:dyDescent="0.25">
      <c r="A1031" s="1" t="s">
        <v>89</v>
      </c>
      <c r="B1031" s="1" t="s">
        <v>90</v>
      </c>
      <c r="C1031" s="1">
        <v>17236</v>
      </c>
      <c r="D1031" s="1">
        <v>26235</v>
      </c>
      <c r="E1031" s="2">
        <v>44482</v>
      </c>
      <c r="F1031" s="2">
        <v>44711</v>
      </c>
      <c r="G1031" s="3">
        <v>79136.800000000003</v>
      </c>
      <c r="H1031" s="1">
        <v>0</v>
      </c>
      <c r="I1031" s="1" t="s">
        <v>688</v>
      </c>
      <c r="J1031" s="1" t="s">
        <v>92</v>
      </c>
    </row>
    <row r="1032" spans="1:10" hidden="1" x14ac:dyDescent="0.25">
      <c r="A1032" s="1" t="s">
        <v>15</v>
      </c>
      <c r="B1032" s="1" t="s">
        <v>16</v>
      </c>
      <c r="C1032" s="1">
        <v>17624</v>
      </c>
      <c r="D1032" s="1">
        <v>26626</v>
      </c>
      <c r="E1032" s="2">
        <v>44505</v>
      </c>
      <c r="F1032" s="2">
        <v>44711</v>
      </c>
      <c r="G1032" s="3">
        <v>32675</v>
      </c>
      <c r="H1032" s="1">
        <v>0</v>
      </c>
      <c r="I1032" s="1" t="s">
        <v>701</v>
      </c>
      <c r="J1032" s="1" t="s">
        <v>18</v>
      </c>
    </row>
    <row r="1033" spans="1:10" hidden="1" x14ac:dyDescent="0.25">
      <c r="A1033" s="1" t="s">
        <v>366</v>
      </c>
      <c r="B1033" s="1" t="s">
        <v>174</v>
      </c>
      <c r="C1033" s="1">
        <v>16992</v>
      </c>
      <c r="D1033" s="1">
        <v>25997</v>
      </c>
      <c r="E1033" s="2">
        <v>44466</v>
      </c>
      <c r="F1033" s="2">
        <v>44711</v>
      </c>
      <c r="G1033" s="3">
        <v>116948.6</v>
      </c>
      <c r="H1033" s="1">
        <v>0</v>
      </c>
      <c r="I1033" s="1" t="s">
        <v>708</v>
      </c>
      <c r="J1033" s="1" t="s">
        <v>68</v>
      </c>
    </row>
    <row r="1034" spans="1:10" hidden="1" x14ac:dyDescent="0.25">
      <c r="A1034" s="1" t="s">
        <v>709</v>
      </c>
      <c r="B1034" s="1" t="s">
        <v>434</v>
      </c>
      <c r="C1034" s="1">
        <v>17058</v>
      </c>
      <c r="D1034" s="1">
        <v>26065</v>
      </c>
      <c r="E1034" s="2">
        <v>44468</v>
      </c>
      <c r="F1034" s="2">
        <v>44711</v>
      </c>
      <c r="G1034" s="3">
        <v>19350</v>
      </c>
      <c r="H1034" s="1">
        <v>0</v>
      </c>
      <c r="I1034" s="1" t="s">
        <v>710</v>
      </c>
      <c r="J1034" s="1" t="s">
        <v>92</v>
      </c>
    </row>
    <row r="1035" spans="1:10" hidden="1" x14ac:dyDescent="0.25">
      <c r="A1035" s="1" t="s">
        <v>89</v>
      </c>
      <c r="B1035" s="1" t="s">
        <v>90</v>
      </c>
      <c r="C1035" s="1">
        <v>18062</v>
      </c>
      <c r="D1035" s="1">
        <v>27076</v>
      </c>
      <c r="E1035" s="2">
        <v>44543</v>
      </c>
      <c r="F1035" s="2">
        <v>44711</v>
      </c>
      <c r="G1035" s="3">
        <v>30592</v>
      </c>
      <c r="H1035" s="1">
        <v>0</v>
      </c>
      <c r="I1035" s="1" t="s">
        <v>715</v>
      </c>
      <c r="J1035" s="1" t="s">
        <v>92</v>
      </c>
    </row>
    <row r="1036" spans="1:10" hidden="1" x14ac:dyDescent="0.25">
      <c r="A1036" s="1" t="s">
        <v>89</v>
      </c>
      <c r="B1036" s="1" t="s">
        <v>90</v>
      </c>
      <c r="C1036" s="1">
        <v>17826</v>
      </c>
      <c r="D1036" s="1">
        <v>26829</v>
      </c>
      <c r="E1036" s="2">
        <v>44522</v>
      </c>
      <c r="F1036" s="2">
        <v>44711</v>
      </c>
      <c r="G1036" s="3">
        <v>15944</v>
      </c>
      <c r="H1036" s="1">
        <v>0</v>
      </c>
      <c r="I1036" s="1" t="s">
        <v>719</v>
      </c>
      <c r="J1036" s="1" t="s">
        <v>92</v>
      </c>
    </row>
    <row r="1037" spans="1:10" hidden="1" x14ac:dyDescent="0.25">
      <c r="A1037" s="1" t="s">
        <v>599</v>
      </c>
      <c r="B1037" s="1" t="s">
        <v>600</v>
      </c>
      <c r="C1037" s="1">
        <v>16758</v>
      </c>
      <c r="D1037" s="1">
        <v>25726</v>
      </c>
      <c r="E1037" s="2">
        <v>44447</v>
      </c>
      <c r="F1037" s="2">
        <v>44711</v>
      </c>
      <c r="G1037" s="3">
        <v>9594</v>
      </c>
      <c r="H1037" s="1">
        <v>0</v>
      </c>
      <c r="I1037" s="1" t="s">
        <v>722</v>
      </c>
      <c r="J1037" s="1" t="s">
        <v>242</v>
      </c>
    </row>
    <row r="1038" spans="1:10" hidden="1" x14ac:dyDescent="0.25">
      <c r="A1038" s="1" t="s">
        <v>65</v>
      </c>
      <c r="B1038" s="1" t="s">
        <v>66</v>
      </c>
      <c r="C1038" s="1">
        <v>17858</v>
      </c>
      <c r="D1038" s="1">
        <v>26861</v>
      </c>
      <c r="E1038" s="2">
        <v>44523</v>
      </c>
      <c r="F1038" s="2">
        <v>44711</v>
      </c>
      <c r="G1038" s="3">
        <v>48000</v>
      </c>
      <c r="H1038" s="1">
        <v>0</v>
      </c>
      <c r="I1038" s="1" t="s">
        <v>723</v>
      </c>
      <c r="J1038" s="1" t="s">
        <v>68</v>
      </c>
    </row>
    <row r="1039" spans="1:10" hidden="1" x14ac:dyDescent="0.25">
      <c r="A1039" s="1" t="s">
        <v>112</v>
      </c>
      <c r="B1039" s="1" t="s">
        <v>113</v>
      </c>
      <c r="C1039" s="1">
        <v>17326</v>
      </c>
      <c r="D1039" s="1">
        <v>26327</v>
      </c>
      <c r="E1039" s="2">
        <v>44488</v>
      </c>
      <c r="F1039" s="2">
        <v>44711</v>
      </c>
      <c r="G1039" s="3">
        <v>12898.4</v>
      </c>
      <c r="H1039" s="1">
        <v>0</v>
      </c>
      <c r="I1039" s="1" t="s">
        <v>725</v>
      </c>
      <c r="J1039" s="1" t="s">
        <v>115</v>
      </c>
    </row>
    <row r="1040" spans="1:10" hidden="1" x14ac:dyDescent="0.25">
      <c r="A1040" s="1" t="s">
        <v>15</v>
      </c>
      <c r="B1040" s="1" t="s">
        <v>16</v>
      </c>
      <c r="C1040" s="1">
        <v>17289</v>
      </c>
      <c r="D1040" s="1">
        <v>26287</v>
      </c>
      <c r="E1040" s="2">
        <v>44484</v>
      </c>
      <c r="F1040" s="2">
        <v>44711</v>
      </c>
      <c r="G1040" s="3">
        <v>2760</v>
      </c>
      <c r="H1040" s="1">
        <v>0</v>
      </c>
      <c r="I1040" s="1" t="s">
        <v>726</v>
      </c>
      <c r="J1040" s="1" t="s">
        <v>18</v>
      </c>
    </row>
    <row r="1041" spans="1:10" hidden="1" x14ac:dyDescent="0.25">
      <c r="A1041" s="1" t="s">
        <v>480</v>
      </c>
      <c r="B1041" s="1" t="s">
        <v>434</v>
      </c>
      <c r="C1041" s="1">
        <v>17055</v>
      </c>
      <c r="D1041" s="1">
        <v>26062</v>
      </c>
      <c r="E1041" s="2">
        <v>44468</v>
      </c>
      <c r="F1041" s="2">
        <v>44711</v>
      </c>
      <c r="G1041" s="3">
        <v>2172.8000000000002</v>
      </c>
      <c r="H1041" s="1">
        <v>0</v>
      </c>
      <c r="I1041" s="1" t="s">
        <v>739</v>
      </c>
      <c r="J1041" s="1" t="s">
        <v>92</v>
      </c>
    </row>
    <row r="1042" spans="1:10" hidden="1" x14ac:dyDescent="0.25">
      <c r="A1042" s="1" t="s">
        <v>33</v>
      </c>
      <c r="B1042" s="1" t="s">
        <v>34</v>
      </c>
      <c r="C1042" s="1">
        <v>17287</v>
      </c>
      <c r="D1042" s="1">
        <v>26285</v>
      </c>
      <c r="E1042" s="2">
        <v>44484</v>
      </c>
      <c r="F1042" s="2">
        <v>44711</v>
      </c>
      <c r="G1042" s="3">
        <v>18700</v>
      </c>
      <c r="H1042" s="1">
        <v>0</v>
      </c>
      <c r="I1042" s="1" t="s">
        <v>752</v>
      </c>
      <c r="J1042" s="1" t="s">
        <v>18</v>
      </c>
    </row>
    <row r="1043" spans="1:10" hidden="1" x14ac:dyDescent="0.25">
      <c r="A1043" s="1" t="s">
        <v>78</v>
      </c>
      <c r="B1043" s="1" t="s">
        <v>79</v>
      </c>
      <c r="C1043" s="1">
        <v>17665</v>
      </c>
      <c r="D1043" s="1">
        <v>26662</v>
      </c>
      <c r="E1043" s="2">
        <v>44508</v>
      </c>
      <c r="F1043" s="2">
        <v>44711</v>
      </c>
      <c r="G1043" s="3">
        <v>24000</v>
      </c>
      <c r="H1043" s="1">
        <v>0</v>
      </c>
      <c r="I1043" s="1" t="s">
        <v>755</v>
      </c>
      <c r="J1043" s="1" t="s">
        <v>68</v>
      </c>
    </row>
    <row r="1044" spans="1:10" hidden="1" x14ac:dyDescent="0.25">
      <c r="A1044" s="1" t="s">
        <v>78</v>
      </c>
      <c r="B1044" s="1" t="s">
        <v>79</v>
      </c>
      <c r="C1044" s="1">
        <v>17438</v>
      </c>
      <c r="D1044" s="1">
        <v>26442</v>
      </c>
      <c r="E1044" s="2">
        <v>44491</v>
      </c>
      <c r="F1044" s="2">
        <v>44711</v>
      </c>
      <c r="G1044" s="3">
        <v>121000</v>
      </c>
      <c r="H1044" s="1">
        <v>0</v>
      </c>
      <c r="I1044" s="1" t="s">
        <v>756</v>
      </c>
      <c r="J1044" s="1" t="s">
        <v>68</v>
      </c>
    </row>
    <row r="1045" spans="1:10" hidden="1" x14ac:dyDescent="0.25">
      <c r="A1045" s="1" t="s">
        <v>133</v>
      </c>
      <c r="B1045" s="1" t="s">
        <v>134</v>
      </c>
      <c r="C1045" s="1">
        <v>18374</v>
      </c>
      <c r="D1045" s="1">
        <v>27384</v>
      </c>
      <c r="E1045" s="2">
        <v>44574</v>
      </c>
      <c r="F1045" s="2">
        <v>44711</v>
      </c>
      <c r="G1045" s="3">
        <v>80400</v>
      </c>
      <c r="H1045" s="1">
        <v>0</v>
      </c>
      <c r="I1045" s="1" t="s">
        <v>767</v>
      </c>
      <c r="J1045" s="1" t="s">
        <v>18</v>
      </c>
    </row>
    <row r="1046" spans="1:10" hidden="1" x14ac:dyDescent="0.25">
      <c r="A1046" s="1" t="s">
        <v>10</v>
      </c>
      <c r="B1046" s="1" t="s">
        <v>11</v>
      </c>
      <c r="C1046" s="1">
        <v>16763</v>
      </c>
      <c r="D1046" s="1">
        <v>25731</v>
      </c>
      <c r="E1046" s="2">
        <v>44447</v>
      </c>
      <c r="F1046" s="2">
        <v>44711</v>
      </c>
      <c r="G1046" s="3">
        <v>57120</v>
      </c>
      <c r="H1046" s="1">
        <v>0</v>
      </c>
      <c r="I1046" s="1" t="s">
        <v>775</v>
      </c>
      <c r="J1046" s="1" t="s">
        <v>13</v>
      </c>
    </row>
    <row r="1047" spans="1:10" hidden="1" x14ac:dyDescent="0.25">
      <c r="A1047" s="1" t="s">
        <v>154</v>
      </c>
      <c r="B1047" s="1" t="s">
        <v>144</v>
      </c>
      <c r="C1047" s="1">
        <v>17306</v>
      </c>
      <c r="D1047" s="1">
        <v>26305</v>
      </c>
      <c r="E1047" s="2">
        <v>44487</v>
      </c>
      <c r="F1047" s="2">
        <v>44711</v>
      </c>
      <c r="G1047" s="3">
        <v>156760</v>
      </c>
      <c r="H1047" s="1">
        <v>0</v>
      </c>
      <c r="I1047" s="1" t="s">
        <v>778</v>
      </c>
      <c r="J1047" s="1" t="s">
        <v>64</v>
      </c>
    </row>
    <row r="1048" spans="1:10" hidden="1" x14ac:dyDescent="0.25">
      <c r="A1048" s="1" t="s">
        <v>779</v>
      </c>
      <c r="B1048" s="1" t="s">
        <v>780</v>
      </c>
      <c r="C1048" s="1">
        <v>17363</v>
      </c>
      <c r="D1048" s="1">
        <v>26366</v>
      </c>
      <c r="E1048" s="2">
        <v>44489</v>
      </c>
      <c r="F1048" s="2">
        <v>44711</v>
      </c>
      <c r="G1048" s="3">
        <v>155000</v>
      </c>
      <c r="H1048" s="1">
        <v>0</v>
      </c>
      <c r="I1048" s="1" t="s">
        <v>781</v>
      </c>
      <c r="J1048" s="1" t="s">
        <v>68</v>
      </c>
    </row>
    <row r="1049" spans="1:10" hidden="1" x14ac:dyDescent="0.25">
      <c r="A1049" s="1" t="s">
        <v>15</v>
      </c>
      <c r="B1049" s="1" t="s">
        <v>16</v>
      </c>
      <c r="C1049" s="1">
        <v>16937</v>
      </c>
      <c r="D1049" s="1">
        <v>25930</v>
      </c>
      <c r="E1049" s="2">
        <v>44461</v>
      </c>
      <c r="F1049" s="2">
        <v>44711</v>
      </c>
      <c r="G1049" s="3">
        <v>48960</v>
      </c>
      <c r="H1049" s="1">
        <v>0</v>
      </c>
      <c r="I1049" s="1" t="s">
        <v>789</v>
      </c>
      <c r="J1049" s="1" t="s">
        <v>18</v>
      </c>
    </row>
    <row r="1050" spans="1:10" hidden="1" x14ac:dyDescent="0.25">
      <c r="A1050" s="1" t="s">
        <v>361</v>
      </c>
      <c r="B1050" s="1" t="s">
        <v>362</v>
      </c>
      <c r="C1050" s="1">
        <v>17344</v>
      </c>
      <c r="D1050" s="1">
        <v>26348</v>
      </c>
      <c r="E1050" s="2">
        <v>44488</v>
      </c>
      <c r="F1050" s="2">
        <v>44711</v>
      </c>
      <c r="G1050" s="3">
        <v>48583.8</v>
      </c>
      <c r="H1050" s="1">
        <v>0</v>
      </c>
      <c r="I1050" s="1" t="s">
        <v>799</v>
      </c>
      <c r="J1050" s="1" t="s">
        <v>92</v>
      </c>
    </row>
    <row r="1051" spans="1:10" hidden="1" x14ac:dyDescent="0.25">
      <c r="A1051" s="1" t="s">
        <v>65</v>
      </c>
      <c r="B1051" s="1" t="s">
        <v>66</v>
      </c>
      <c r="C1051" s="1">
        <v>17373</v>
      </c>
      <c r="D1051" s="1">
        <v>26378</v>
      </c>
      <c r="E1051" s="2">
        <v>44489</v>
      </c>
      <c r="F1051" s="2">
        <v>44711</v>
      </c>
      <c r="G1051" s="3">
        <v>12000</v>
      </c>
      <c r="H1051" s="1">
        <v>0</v>
      </c>
      <c r="I1051" s="1" t="s">
        <v>800</v>
      </c>
      <c r="J1051" s="1" t="s">
        <v>68</v>
      </c>
    </row>
    <row r="1052" spans="1:10" hidden="1" x14ac:dyDescent="0.25">
      <c r="A1052" s="1" t="s">
        <v>709</v>
      </c>
      <c r="B1052" s="1" t="s">
        <v>434</v>
      </c>
      <c r="C1052" s="1">
        <v>17061</v>
      </c>
      <c r="D1052" s="1">
        <v>26068</v>
      </c>
      <c r="E1052" s="2">
        <v>44468</v>
      </c>
      <c r="F1052" s="2">
        <v>44711</v>
      </c>
      <c r="G1052" s="3">
        <v>4674.3999999999996</v>
      </c>
      <c r="H1052" s="1">
        <v>0</v>
      </c>
      <c r="I1052" s="1" t="s">
        <v>811</v>
      </c>
      <c r="J1052" s="1" t="s">
        <v>92</v>
      </c>
    </row>
    <row r="1053" spans="1:10" hidden="1" x14ac:dyDescent="0.25">
      <c r="A1053" s="1" t="s">
        <v>15</v>
      </c>
      <c r="B1053" s="1" t="s">
        <v>16</v>
      </c>
      <c r="C1053" s="1">
        <v>17430</v>
      </c>
      <c r="D1053" s="1">
        <v>26432</v>
      </c>
      <c r="E1053" s="2">
        <v>44491</v>
      </c>
      <c r="F1053" s="2">
        <v>44711</v>
      </c>
      <c r="G1053" s="3">
        <v>32500</v>
      </c>
      <c r="H1053" s="1">
        <v>0</v>
      </c>
      <c r="I1053" s="1" t="s">
        <v>855</v>
      </c>
      <c r="J1053" s="1" t="s">
        <v>18</v>
      </c>
    </row>
    <row r="1054" spans="1:10" hidden="1" x14ac:dyDescent="0.25">
      <c r="A1054" s="1" t="s">
        <v>15</v>
      </c>
      <c r="B1054" s="1" t="s">
        <v>16</v>
      </c>
      <c r="C1054" s="1">
        <v>17848</v>
      </c>
      <c r="D1054" s="1">
        <v>26852</v>
      </c>
      <c r="E1054" s="2">
        <v>44522</v>
      </c>
      <c r="F1054" s="2">
        <v>44711</v>
      </c>
      <c r="G1054" s="3">
        <v>20750</v>
      </c>
      <c r="H1054" s="1">
        <v>0</v>
      </c>
      <c r="I1054" s="1" t="s">
        <v>862</v>
      </c>
      <c r="J1054" s="1" t="s">
        <v>18</v>
      </c>
    </row>
    <row r="1055" spans="1:10" hidden="1" x14ac:dyDescent="0.25">
      <c r="A1055" s="1" t="s">
        <v>116</v>
      </c>
      <c r="B1055" s="1" t="s">
        <v>117</v>
      </c>
      <c r="C1055" s="1">
        <v>18523</v>
      </c>
      <c r="D1055" s="1">
        <v>27524</v>
      </c>
      <c r="E1055" s="2">
        <v>44586</v>
      </c>
      <c r="F1055" s="2">
        <v>44711</v>
      </c>
      <c r="G1055" s="3">
        <v>33000</v>
      </c>
      <c r="H1055" s="1">
        <v>0</v>
      </c>
      <c r="I1055" s="1" t="s">
        <v>863</v>
      </c>
      <c r="J1055" s="1" t="s">
        <v>50</v>
      </c>
    </row>
    <row r="1056" spans="1:10" hidden="1" x14ac:dyDescent="0.25">
      <c r="A1056" s="1" t="s">
        <v>33</v>
      </c>
      <c r="B1056" s="1" t="s">
        <v>34</v>
      </c>
      <c r="C1056" s="1">
        <v>17642</v>
      </c>
      <c r="D1056" s="1">
        <v>26644</v>
      </c>
      <c r="E1056" s="2">
        <v>44505</v>
      </c>
      <c r="F1056" s="2">
        <v>44711</v>
      </c>
      <c r="G1056" s="3">
        <v>44061</v>
      </c>
      <c r="H1056" s="1">
        <v>0</v>
      </c>
      <c r="I1056" s="1" t="s">
        <v>874</v>
      </c>
      <c r="J1056" s="1" t="s">
        <v>18</v>
      </c>
    </row>
    <row r="1057" spans="1:10" hidden="1" x14ac:dyDescent="0.25">
      <c r="A1057" s="1" t="s">
        <v>173</v>
      </c>
      <c r="B1057" s="1" t="s">
        <v>174</v>
      </c>
      <c r="C1057" s="1">
        <v>16908</v>
      </c>
      <c r="D1057" s="1">
        <v>25894</v>
      </c>
      <c r="E1057" s="2">
        <v>44460</v>
      </c>
      <c r="F1057" s="2">
        <v>44711</v>
      </c>
      <c r="G1057" s="3">
        <v>12750</v>
      </c>
      <c r="H1057" s="1">
        <v>0</v>
      </c>
      <c r="I1057" s="1" t="s">
        <v>881</v>
      </c>
      <c r="J1057" s="1" t="s">
        <v>68</v>
      </c>
    </row>
    <row r="1058" spans="1:10" hidden="1" x14ac:dyDescent="0.25">
      <c r="A1058" s="1" t="s">
        <v>33</v>
      </c>
      <c r="B1058" s="1" t="s">
        <v>34</v>
      </c>
      <c r="C1058" s="1">
        <v>17910</v>
      </c>
      <c r="D1058" s="1">
        <v>26923</v>
      </c>
      <c r="E1058" s="2">
        <v>44532</v>
      </c>
      <c r="F1058" s="2">
        <v>44711</v>
      </c>
      <c r="G1058" s="3">
        <v>3000</v>
      </c>
      <c r="H1058" s="1">
        <v>0</v>
      </c>
      <c r="I1058" s="1" t="s">
        <v>890</v>
      </c>
      <c r="J1058" s="1" t="s">
        <v>18</v>
      </c>
    </row>
    <row r="1059" spans="1:10" hidden="1" x14ac:dyDescent="0.25">
      <c r="A1059" s="1" t="s">
        <v>15</v>
      </c>
      <c r="B1059" s="1" t="s">
        <v>16</v>
      </c>
      <c r="C1059" s="1">
        <v>18610</v>
      </c>
      <c r="D1059" s="1">
        <v>27618</v>
      </c>
      <c r="E1059" s="2">
        <v>44594</v>
      </c>
      <c r="F1059" s="2">
        <v>44711</v>
      </c>
      <c r="G1059" s="3">
        <v>55878</v>
      </c>
      <c r="H1059" s="1">
        <v>0</v>
      </c>
      <c r="I1059" s="1" t="s">
        <v>891</v>
      </c>
      <c r="J1059" s="1" t="s">
        <v>18</v>
      </c>
    </row>
    <row r="1060" spans="1:10" hidden="1" x14ac:dyDescent="0.25">
      <c r="A1060" s="1" t="s">
        <v>15</v>
      </c>
      <c r="B1060" s="1" t="s">
        <v>16</v>
      </c>
      <c r="C1060" s="1">
        <v>16866</v>
      </c>
      <c r="D1060" s="1">
        <v>25842</v>
      </c>
      <c r="E1060" s="2">
        <v>44456</v>
      </c>
      <c r="F1060" s="2">
        <v>44711</v>
      </c>
      <c r="G1060" s="3">
        <v>59820</v>
      </c>
      <c r="H1060" s="1">
        <v>0</v>
      </c>
      <c r="I1060" s="1" t="s">
        <v>901</v>
      </c>
      <c r="J1060" s="1" t="s">
        <v>18</v>
      </c>
    </row>
    <row r="1061" spans="1:10" hidden="1" x14ac:dyDescent="0.25">
      <c r="A1061" s="1" t="s">
        <v>622</v>
      </c>
      <c r="B1061" s="1" t="s">
        <v>174</v>
      </c>
      <c r="C1061" s="1">
        <v>17301</v>
      </c>
      <c r="D1061" s="1">
        <v>26299</v>
      </c>
      <c r="E1061" s="2">
        <v>44484</v>
      </c>
      <c r="F1061" s="2">
        <v>44711</v>
      </c>
      <c r="G1061" s="3">
        <v>44000</v>
      </c>
      <c r="H1061" s="1">
        <v>0</v>
      </c>
      <c r="I1061" s="1" t="s">
        <v>908</v>
      </c>
      <c r="J1061" s="1" t="s">
        <v>68</v>
      </c>
    </row>
    <row r="1062" spans="1:10" hidden="1" x14ac:dyDescent="0.25">
      <c r="A1062" s="1" t="s">
        <v>97</v>
      </c>
      <c r="B1062" s="1" t="s">
        <v>98</v>
      </c>
      <c r="C1062" s="1">
        <v>16197</v>
      </c>
      <c r="D1062" s="1">
        <v>25100</v>
      </c>
      <c r="E1062" s="2">
        <v>44372</v>
      </c>
      <c r="F1062" s="2">
        <v>44711</v>
      </c>
      <c r="G1062" s="3">
        <v>60384</v>
      </c>
      <c r="H1062" s="1">
        <v>0</v>
      </c>
      <c r="I1062" s="1" t="s">
        <v>915</v>
      </c>
      <c r="J1062" s="1" t="s">
        <v>27</v>
      </c>
    </row>
    <row r="1063" spans="1:10" hidden="1" x14ac:dyDescent="0.25">
      <c r="A1063" s="1" t="s">
        <v>70</v>
      </c>
      <c r="B1063" s="1" t="s">
        <v>71</v>
      </c>
      <c r="C1063" s="1">
        <v>18725</v>
      </c>
      <c r="D1063" s="1">
        <v>27741</v>
      </c>
      <c r="E1063" s="2">
        <v>44606</v>
      </c>
      <c r="F1063" s="2">
        <v>44711</v>
      </c>
      <c r="G1063" s="3">
        <v>3430</v>
      </c>
      <c r="H1063" s="1">
        <v>0</v>
      </c>
      <c r="I1063" s="1" t="s">
        <v>464</v>
      </c>
      <c r="J1063" s="1" t="s">
        <v>73</v>
      </c>
    </row>
    <row r="1064" spans="1:10" x14ac:dyDescent="0.25">
      <c r="A1064" s="1" t="s">
        <v>554</v>
      </c>
      <c r="B1064" s="1" t="s">
        <v>555</v>
      </c>
      <c r="C1064" s="1">
        <v>17558</v>
      </c>
      <c r="D1064" s="1">
        <v>26565</v>
      </c>
      <c r="E1064" s="2">
        <v>44501</v>
      </c>
      <c r="F1064" s="2">
        <v>44711</v>
      </c>
      <c r="G1064" s="3">
        <v>1006.86</v>
      </c>
      <c r="H1064" s="1">
        <v>0</v>
      </c>
      <c r="I1064" s="1" t="s">
        <v>918</v>
      </c>
      <c r="J1064" s="1" t="s">
        <v>27</v>
      </c>
    </row>
    <row r="1065" spans="1:10" hidden="1" x14ac:dyDescent="0.25">
      <c r="A1065" s="1" t="s">
        <v>116</v>
      </c>
      <c r="B1065" s="1" t="s">
        <v>117</v>
      </c>
      <c r="C1065" s="1">
        <v>16926</v>
      </c>
      <c r="D1065" s="1">
        <v>25912</v>
      </c>
      <c r="E1065" s="2">
        <v>44461</v>
      </c>
      <c r="F1065" s="2">
        <v>44711</v>
      </c>
      <c r="G1065" s="3">
        <v>215000</v>
      </c>
      <c r="H1065" s="1">
        <v>0</v>
      </c>
      <c r="I1065" s="1" t="s">
        <v>919</v>
      </c>
      <c r="J1065" s="1" t="s">
        <v>50</v>
      </c>
    </row>
    <row r="1066" spans="1:10" hidden="1" x14ac:dyDescent="0.25">
      <c r="A1066" s="1" t="s">
        <v>154</v>
      </c>
      <c r="B1066" s="1" t="s">
        <v>144</v>
      </c>
      <c r="C1066" s="1">
        <v>16722</v>
      </c>
      <c r="D1066" s="1">
        <v>25689</v>
      </c>
      <c r="E1066" s="2">
        <v>44442</v>
      </c>
      <c r="F1066" s="2">
        <v>44711</v>
      </c>
      <c r="G1066" s="3">
        <v>42440</v>
      </c>
      <c r="H1066" s="1">
        <v>0</v>
      </c>
      <c r="I1066" s="1" t="s">
        <v>920</v>
      </c>
      <c r="J1066" s="1" t="s">
        <v>64</v>
      </c>
    </row>
    <row r="1067" spans="1:10" hidden="1" x14ac:dyDescent="0.25">
      <c r="A1067" s="1" t="s">
        <v>173</v>
      </c>
      <c r="B1067" s="1" t="s">
        <v>174</v>
      </c>
      <c r="C1067" s="1">
        <v>16724</v>
      </c>
      <c r="D1067" s="1">
        <v>25691</v>
      </c>
      <c r="E1067" s="2">
        <v>44445</v>
      </c>
      <c r="F1067" s="2">
        <v>44711</v>
      </c>
      <c r="G1067" s="3">
        <v>76296</v>
      </c>
      <c r="H1067" s="1">
        <v>0</v>
      </c>
      <c r="I1067" s="1" t="s">
        <v>921</v>
      </c>
      <c r="J1067" s="1" t="s">
        <v>68</v>
      </c>
    </row>
    <row r="1068" spans="1:10" hidden="1" x14ac:dyDescent="0.25">
      <c r="A1068" s="1" t="s">
        <v>65</v>
      </c>
      <c r="B1068" s="1" t="s">
        <v>66</v>
      </c>
      <c r="C1068" s="1">
        <v>17377</v>
      </c>
      <c r="D1068" s="1">
        <v>26382</v>
      </c>
      <c r="E1068" s="2">
        <v>44489</v>
      </c>
      <c r="F1068" s="2">
        <v>44711</v>
      </c>
      <c r="G1068" s="3">
        <v>8337</v>
      </c>
      <c r="H1068" s="1">
        <v>0</v>
      </c>
      <c r="I1068" s="1" t="s">
        <v>926</v>
      </c>
      <c r="J1068" s="1" t="s">
        <v>68</v>
      </c>
    </row>
    <row r="1069" spans="1:10" hidden="1" x14ac:dyDescent="0.25">
      <c r="A1069" s="1" t="s">
        <v>154</v>
      </c>
      <c r="B1069" s="1" t="s">
        <v>144</v>
      </c>
      <c r="C1069" s="1">
        <v>16813</v>
      </c>
      <c r="D1069" s="1">
        <v>25784</v>
      </c>
      <c r="E1069" s="2">
        <v>44453</v>
      </c>
      <c r="F1069" s="2">
        <v>44711</v>
      </c>
      <c r="G1069" s="3">
        <v>33000</v>
      </c>
      <c r="H1069" s="1">
        <v>0</v>
      </c>
      <c r="I1069" s="1" t="s">
        <v>942</v>
      </c>
      <c r="J1069" s="1" t="s">
        <v>64</v>
      </c>
    </row>
    <row r="1070" spans="1:10" hidden="1" x14ac:dyDescent="0.25">
      <c r="A1070" s="1" t="s">
        <v>622</v>
      </c>
      <c r="B1070" s="1" t="s">
        <v>174</v>
      </c>
      <c r="C1070" s="1">
        <v>17097</v>
      </c>
      <c r="D1070" s="1">
        <v>26108</v>
      </c>
      <c r="E1070" s="2">
        <v>44473</v>
      </c>
      <c r="F1070" s="2">
        <v>44711</v>
      </c>
      <c r="G1070" s="3">
        <v>79150</v>
      </c>
      <c r="H1070" s="1">
        <v>0</v>
      </c>
      <c r="I1070" s="1" t="s">
        <v>956</v>
      </c>
      <c r="J1070" s="1" t="s">
        <v>68</v>
      </c>
    </row>
    <row r="1071" spans="1:10" hidden="1" x14ac:dyDescent="0.25">
      <c r="A1071" s="1" t="s">
        <v>622</v>
      </c>
      <c r="B1071" s="1" t="s">
        <v>174</v>
      </c>
      <c r="C1071" s="1">
        <v>17129</v>
      </c>
      <c r="D1071" s="1">
        <v>26136</v>
      </c>
      <c r="E1071" s="2">
        <v>44474</v>
      </c>
      <c r="F1071" s="2">
        <v>44711</v>
      </c>
      <c r="G1071" s="3">
        <v>95400</v>
      </c>
      <c r="H1071" s="1">
        <v>0</v>
      </c>
      <c r="I1071" s="1" t="s">
        <v>957</v>
      </c>
      <c r="J1071" s="1" t="s">
        <v>68</v>
      </c>
    </row>
    <row r="1072" spans="1:10" hidden="1" x14ac:dyDescent="0.25">
      <c r="A1072" s="1" t="s">
        <v>15</v>
      </c>
      <c r="B1072" s="1" t="s">
        <v>16</v>
      </c>
      <c r="C1072" s="1">
        <v>17432</v>
      </c>
      <c r="D1072" s="1">
        <v>26434</v>
      </c>
      <c r="E1072" s="2">
        <v>44491</v>
      </c>
      <c r="F1072" s="2">
        <v>44711</v>
      </c>
      <c r="G1072" s="3">
        <v>67000</v>
      </c>
      <c r="H1072" s="1">
        <v>0</v>
      </c>
      <c r="I1072" s="1" t="s">
        <v>958</v>
      </c>
      <c r="J1072" s="1" t="s">
        <v>18</v>
      </c>
    </row>
    <row r="1073" spans="1:10" hidden="1" x14ac:dyDescent="0.25">
      <c r="A1073" s="1" t="s">
        <v>65</v>
      </c>
      <c r="B1073" s="1" t="s">
        <v>66</v>
      </c>
      <c r="C1073" s="1">
        <v>17936</v>
      </c>
      <c r="D1073" s="1">
        <v>26950</v>
      </c>
      <c r="E1073" s="2">
        <v>44533</v>
      </c>
      <c r="F1073" s="2">
        <v>44711</v>
      </c>
      <c r="G1073" s="3">
        <v>77500</v>
      </c>
      <c r="H1073" s="1">
        <v>0</v>
      </c>
      <c r="I1073" s="1" t="s">
        <v>960</v>
      </c>
      <c r="J1073" s="1" t="s">
        <v>68</v>
      </c>
    </row>
    <row r="1074" spans="1:10" hidden="1" x14ac:dyDescent="0.25">
      <c r="A1074" s="1" t="s">
        <v>133</v>
      </c>
      <c r="B1074" s="1" t="s">
        <v>134</v>
      </c>
      <c r="C1074" s="1">
        <v>18536</v>
      </c>
      <c r="D1074" s="1">
        <v>27534</v>
      </c>
      <c r="E1074" s="2">
        <v>44587</v>
      </c>
      <c r="F1074" s="2">
        <v>44711</v>
      </c>
      <c r="G1074" s="3">
        <v>230400</v>
      </c>
      <c r="H1074" s="1">
        <v>0</v>
      </c>
      <c r="I1074" s="1" t="s">
        <v>964</v>
      </c>
      <c r="J1074" s="1" t="s">
        <v>18</v>
      </c>
    </row>
    <row r="1075" spans="1:10" hidden="1" x14ac:dyDescent="0.25">
      <c r="A1075" s="1" t="s">
        <v>78</v>
      </c>
      <c r="B1075" s="1" t="s">
        <v>79</v>
      </c>
      <c r="C1075" s="1">
        <v>17131</v>
      </c>
      <c r="D1075" s="1">
        <v>26138</v>
      </c>
      <c r="E1075" s="2">
        <v>44474</v>
      </c>
      <c r="F1075" s="2">
        <v>44711</v>
      </c>
      <c r="G1075" s="3">
        <v>156000</v>
      </c>
      <c r="H1075" s="1">
        <v>0</v>
      </c>
      <c r="I1075" s="1" t="s">
        <v>967</v>
      </c>
      <c r="J1075" s="1" t="s">
        <v>68</v>
      </c>
    </row>
    <row r="1076" spans="1:10" hidden="1" x14ac:dyDescent="0.25">
      <c r="A1076" s="1" t="s">
        <v>332</v>
      </c>
      <c r="B1076" s="1" t="s">
        <v>333</v>
      </c>
      <c r="C1076" s="1">
        <v>16940</v>
      </c>
      <c r="D1076" s="1">
        <v>25933</v>
      </c>
      <c r="E1076" s="2">
        <v>44461</v>
      </c>
      <c r="F1076" s="2">
        <v>44711</v>
      </c>
      <c r="G1076" s="3">
        <v>15120</v>
      </c>
      <c r="H1076" s="1">
        <v>0</v>
      </c>
      <c r="I1076" s="1" t="s">
        <v>976</v>
      </c>
      <c r="J1076" s="1" t="s">
        <v>18</v>
      </c>
    </row>
    <row r="1077" spans="1:10" hidden="1" x14ac:dyDescent="0.25">
      <c r="A1077" s="1" t="s">
        <v>977</v>
      </c>
      <c r="B1077" s="1" t="s">
        <v>978</v>
      </c>
      <c r="C1077" s="1">
        <v>16723</v>
      </c>
      <c r="D1077" s="1">
        <v>25690</v>
      </c>
      <c r="E1077" s="2">
        <v>44442</v>
      </c>
      <c r="F1077" s="2">
        <v>44711</v>
      </c>
      <c r="G1077" s="3">
        <v>145260</v>
      </c>
      <c r="H1077" s="1">
        <v>0</v>
      </c>
      <c r="I1077" s="1" t="s">
        <v>979</v>
      </c>
      <c r="J1077" s="1" t="s">
        <v>242</v>
      </c>
    </row>
    <row r="1078" spans="1:10" hidden="1" x14ac:dyDescent="0.25">
      <c r="A1078" s="1" t="s">
        <v>366</v>
      </c>
      <c r="B1078" s="1" t="s">
        <v>174</v>
      </c>
      <c r="C1078" s="1">
        <v>17691</v>
      </c>
      <c r="D1078" s="1">
        <v>26689</v>
      </c>
      <c r="E1078" s="2">
        <v>44510</v>
      </c>
      <c r="F1078" s="2">
        <v>44711</v>
      </c>
      <c r="G1078" s="3">
        <v>43416</v>
      </c>
      <c r="H1078" s="1">
        <v>0</v>
      </c>
      <c r="I1078" s="1" t="s">
        <v>980</v>
      </c>
      <c r="J1078" s="1" t="s">
        <v>68</v>
      </c>
    </row>
    <row r="1079" spans="1:10" hidden="1" x14ac:dyDescent="0.25">
      <c r="A1079" s="1" t="s">
        <v>622</v>
      </c>
      <c r="B1079" s="1" t="s">
        <v>174</v>
      </c>
      <c r="C1079" s="1">
        <v>16159</v>
      </c>
      <c r="D1079" s="1">
        <v>25063</v>
      </c>
      <c r="E1079" s="2">
        <v>44368</v>
      </c>
      <c r="F1079" s="2">
        <v>44711</v>
      </c>
      <c r="G1079" s="3">
        <v>13440</v>
      </c>
      <c r="H1079" s="1">
        <v>0</v>
      </c>
      <c r="I1079" s="1" t="s">
        <v>982</v>
      </c>
      <c r="J1079" s="1" t="s">
        <v>68</v>
      </c>
    </row>
    <row r="1080" spans="1:10" hidden="1" x14ac:dyDescent="0.25">
      <c r="A1080" s="1" t="s">
        <v>133</v>
      </c>
      <c r="B1080" s="1" t="s">
        <v>134</v>
      </c>
      <c r="C1080" s="1">
        <v>17276</v>
      </c>
      <c r="D1080" s="1">
        <v>26269</v>
      </c>
      <c r="E1080" s="2">
        <v>44483</v>
      </c>
      <c r="F1080" s="2">
        <v>44711</v>
      </c>
      <c r="G1080" s="3">
        <v>100800</v>
      </c>
      <c r="H1080" s="1">
        <v>0</v>
      </c>
      <c r="I1080" s="1" t="s">
        <v>988</v>
      </c>
      <c r="J1080" s="1" t="s">
        <v>18</v>
      </c>
    </row>
    <row r="1081" spans="1:10" hidden="1" x14ac:dyDescent="0.25">
      <c r="A1081" s="1" t="s">
        <v>89</v>
      </c>
      <c r="B1081" s="1" t="s">
        <v>90</v>
      </c>
      <c r="C1081" s="1">
        <v>17291</v>
      </c>
      <c r="D1081" s="1">
        <v>26289</v>
      </c>
      <c r="E1081" s="2">
        <v>44484</v>
      </c>
      <c r="F1081" s="2">
        <v>44711</v>
      </c>
      <c r="G1081" s="3">
        <v>47144.480000000003</v>
      </c>
      <c r="H1081" s="1">
        <v>0</v>
      </c>
      <c r="I1081" s="1" t="s">
        <v>989</v>
      </c>
      <c r="J1081" s="1" t="s">
        <v>92</v>
      </c>
    </row>
    <row r="1082" spans="1:10" hidden="1" x14ac:dyDescent="0.25">
      <c r="A1082" s="1" t="s">
        <v>70</v>
      </c>
      <c r="B1082" s="1" t="s">
        <v>71</v>
      </c>
      <c r="C1082" s="1">
        <v>18727</v>
      </c>
      <c r="D1082" s="1">
        <v>27743</v>
      </c>
      <c r="E1082" s="2">
        <v>44606</v>
      </c>
      <c r="F1082" s="2">
        <v>44711</v>
      </c>
      <c r="G1082" s="3">
        <v>17024.43</v>
      </c>
      <c r="H1082" s="1">
        <v>0</v>
      </c>
      <c r="I1082" s="1" t="s">
        <v>990</v>
      </c>
      <c r="J1082" s="1" t="s">
        <v>73</v>
      </c>
    </row>
    <row r="1083" spans="1:10" hidden="1" x14ac:dyDescent="0.25">
      <c r="A1083" s="1" t="s">
        <v>622</v>
      </c>
      <c r="B1083" s="1" t="s">
        <v>174</v>
      </c>
      <c r="C1083" s="1">
        <v>16910</v>
      </c>
      <c r="D1083" s="1">
        <v>25896</v>
      </c>
      <c r="E1083" s="2">
        <v>44460</v>
      </c>
      <c r="F1083" s="2">
        <v>44711</v>
      </c>
      <c r="G1083" s="3">
        <v>68986.559999999998</v>
      </c>
      <c r="H1083" s="1">
        <v>0</v>
      </c>
      <c r="I1083" s="1" t="s">
        <v>994</v>
      </c>
      <c r="J1083" s="1" t="s">
        <v>68</v>
      </c>
    </row>
    <row r="1084" spans="1:10" hidden="1" x14ac:dyDescent="0.25">
      <c r="A1084" s="1" t="s">
        <v>15</v>
      </c>
      <c r="B1084" s="1" t="s">
        <v>16</v>
      </c>
      <c r="C1084" s="1">
        <v>17846</v>
      </c>
      <c r="D1084" s="1">
        <v>26850</v>
      </c>
      <c r="E1084" s="2">
        <v>44522</v>
      </c>
      <c r="F1084" s="2">
        <v>44711</v>
      </c>
      <c r="G1084" s="3">
        <v>20630</v>
      </c>
      <c r="H1084" s="1">
        <v>0</v>
      </c>
      <c r="I1084" s="1" t="s">
        <v>999</v>
      </c>
      <c r="J1084" s="1" t="s">
        <v>18</v>
      </c>
    </row>
    <row r="1085" spans="1:10" hidden="1" x14ac:dyDescent="0.25">
      <c r="A1085" s="1" t="s">
        <v>133</v>
      </c>
      <c r="B1085" s="1" t="s">
        <v>134</v>
      </c>
      <c r="C1085" s="1">
        <v>18557</v>
      </c>
      <c r="D1085" s="1">
        <v>27564</v>
      </c>
      <c r="E1085" s="2">
        <v>44589</v>
      </c>
      <c r="F1085" s="2">
        <v>44711</v>
      </c>
      <c r="G1085" s="3">
        <v>189000</v>
      </c>
      <c r="H1085" s="1">
        <v>0</v>
      </c>
      <c r="I1085" s="1" t="s">
        <v>1001</v>
      </c>
      <c r="J1085" s="1" t="s">
        <v>18</v>
      </c>
    </row>
    <row r="1086" spans="1:10" hidden="1" x14ac:dyDescent="0.25">
      <c r="A1086" s="1" t="s">
        <v>133</v>
      </c>
      <c r="B1086" s="1" t="s">
        <v>134</v>
      </c>
      <c r="C1086" s="1">
        <v>17278</v>
      </c>
      <c r="D1086" s="1">
        <v>26271</v>
      </c>
      <c r="E1086" s="2">
        <v>44483</v>
      </c>
      <c r="F1086" s="2">
        <v>44711</v>
      </c>
      <c r="G1086" s="3">
        <v>22000</v>
      </c>
      <c r="H1086" s="1">
        <v>0</v>
      </c>
      <c r="I1086" s="1" t="s">
        <v>1005</v>
      </c>
      <c r="J1086" s="1" t="s">
        <v>18</v>
      </c>
    </row>
    <row r="1087" spans="1:10" hidden="1" x14ac:dyDescent="0.25">
      <c r="A1087" s="1" t="s">
        <v>268</v>
      </c>
      <c r="B1087" s="1" t="s">
        <v>269</v>
      </c>
      <c r="C1087" s="1">
        <v>17456</v>
      </c>
      <c r="D1087" s="1">
        <v>26463</v>
      </c>
      <c r="E1087" s="2">
        <v>44494</v>
      </c>
      <c r="F1087" s="2">
        <v>44711</v>
      </c>
      <c r="G1087" s="3">
        <v>192850</v>
      </c>
      <c r="H1087" s="1">
        <v>0</v>
      </c>
      <c r="I1087" s="1" t="s">
        <v>1030</v>
      </c>
      <c r="J1087" s="1" t="s">
        <v>31</v>
      </c>
    </row>
    <row r="1088" spans="1:10" hidden="1" x14ac:dyDescent="0.25">
      <c r="A1088" s="1" t="s">
        <v>116</v>
      </c>
      <c r="B1088" s="1" t="s">
        <v>117</v>
      </c>
      <c r="C1088" s="1">
        <v>17601</v>
      </c>
      <c r="D1088" s="1">
        <v>26603</v>
      </c>
      <c r="E1088" s="2">
        <v>44504</v>
      </c>
      <c r="F1088" s="2">
        <v>44711</v>
      </c>
      <c r="G1088" s="3">
        <v>118784</v>
      </c>
      <c r="H1088" s="1">
        <v>0</v>
      </c>
      <c r="I1088" s="1" t="s">
        <v>1036</v>
      </c>
      <c r="J1088" s="1" t="s">
        <v>50</v>
      </c>
    </row>
    <row r="1089" spans="1:10" hidden="1" x14ac:dyDescent="0.25">
      <c r="A1089" s="1" t="s">
        <v>433</v>
      </c>
      <c r="B1089" s="1" t="s">
        <v>434</v>
      </c>
      <c r="C1089" s="1">
        <v>16916</v>
      </c>
      <c r="D1089" s="1">
        <v>25901</v>
      </c>
      <c r="E1089" s="2">
        <v>44461</v>
      </c>
      <c r="F1089" s="2">
        <v>44711</v>
      </c>
      <c r="G1089" s="3">
        <v>39551.4</v>
      </c>
      <c r="H1089" s="1">
        <v>0</v>
      </c>
      <c r="I1089" s="1" t="s">
        <v>1038</v>
      </c>
      <c r="J1089" s="1" t="s">
        <v>92</v>
      </c>
    </row>
    <row r="1090" spans="1:10" hidden="1" x14ac:dyDescent="0.25">
      <c r="A1090" s="1" t="s">
        <v>214</v>
      </c>
      <c r="B1090" s="1" t="s">
        <v>215</v>
      </c>
      <c r="C1090" s="1">
        <v>17034</v>
      </c>
      <c r="D1090" s="1">
        <v>26043</v>
      </c>
      <c r="E1090" s="2">
        <v>44468</v>
      </c>
      <c r="F1090" s="2">
        <v>44711</v>
      </c>
      <c r="G1090" s="3">
        <v>136200</v>
      </c>
      <c r="H1090" s="1">
        <v>0</v>
      </c>
      <c r="I1090" s="1" t="s">
        <v>1040</v>
      </c>
      <c r="J1090" s="1" t="s">
        <v>64</v>
      </c>
    </row>
    <row r="1091" spans="1:10" hidden="1" x14ac:dyDescent="0.25">
      <c r="A1091" s="1" t="s">
        <v>112</v>
      </c>
      <c r="B1091" s="1" t="s">
        <v>113</v>
      </c>
      <c r="C1091" s="1">
        <v>17770</v>
      </c>
      <c r="D1091" s="1">
        <v>26774</v>
      </c>
      <c r="E1091" s="2">
        <v>44517</v>
      </c>
      <c r="F1091" s="2">
        <v>44711</v>
      </c>
      <c r="G1091" s="3">
        <v>13912.8</v>
      </c>
      <c r="H1091" s="1">
        <v>0</v>
      </c>
      <c r="I1091" s="1" t="s">
        <v>1042</v>
      </c>
      <c r="J1091" s="1" t="s">
        <v>115</v>
      </c>
    </row>
    <row r="1092" spans="1:10" hidden="1" x14ac:dyDescent="0.25">
      <c r="A1092" s="1" t="s">
        <v>221</v>
      </c>
      <c r="B1092" s="1" t="s">
        <v>222</v>
      </c>
      <c r="C1092" s="1">
        <v>16198</v>
      </c>
      <c r="D1092" s="1">
        <v>25101</v>
      </c>
      <c r="E1092" s="2">
        <v>44372</v>
      </c>
      <c r="F1092" s="2">
        <v>44711</v>
      </c>
      <c r="G1092" s="3">
        <v>159936</v>
      </c>
      <c r="H1092" s="1">
        <v>0</v>
      </c>
      <c r="I1092" s="1" t="s">
        <v>1050</v>
      </c>
      <c r="J1092" s="1" t="s">
        <v>27</v>
      </c>
    </row>
    <row r="1093" spans="1:10" hidden="1" x14ac:dyDescent="0.25">
      <c r="A1093" s="1" t="s">
        <v>1062</v>
      </c>
      <c r="B1093" s="1" t="s">
        <v>1063</v>
      </c>
      <c r="C1093" s="1">
        <v>17007</v>
      </c>
      <c r="D1093" s="1">
        <v>26014</v>
      </c>
      <c r="E1093" s="2">
        <v>44467</v>
      </c>
      <c r="F1093" s="2">
        <v>44711</v>
      </c>
      <c r="G1093" s="3">
        <v>54700</v>
      </c>
      <c r="H1093" s="1">
        <v>0</v>
      </c>
      <c r="I1093" s="1" t="s">
        <v>1064</v>
      </c>
      <c r="J1093" s="1" t="s">
        <v>115</v>
      </c>
    </row>
    <row r="1094" spans="1:10" hidden="1" x14ac:dyDescent="0.25">
      <c r="A1094" s="1" t="s">
        <v>65</v>
      </c>
      <c r="B1094" s="1" t="s">
        <v>66</v>
      </c>
      <c r="C1094" s="1">
        <v>17026</v>
      </c>
      <c r="D1094" s="1">
        <v>26035</v>
      </c>
      <c r="E1094" s="2">
        <v>44467</v>
      </c>
      <c r="F1094" s="2">
        <v>44711</v>
      </c>
      <c r="G1094" s="3">
        <v>43500</v>
      </c>
      <c r="H1094" s="1">
        <v>0</v>
      </c>
      <c r="I1094" s="1" t="s">
        <v>1066</v>
      </c>
      <c r="J1094" s="1" t="s">
        <v>68</v>
      </c>
    </row>
    <row r="1095" spans="1:10" hidden="1" x14ac:dyDescent="0.25">
      <c r="A1095" s="1" t="s">
        <v>116</v>
      </c>
      <c r="B1095" s="1" t="s">
        <v>117</v>
      </c>
      <c r="C1095" s="1">
        <v>17675</v>
      </c>
      <c r="D1095" s="1">
        <v>26674</v>
      </c>
      <c r="E1095" s="2">
        <v>44509</v>
      </c>
      <c r="F1095" s="2">
        <v>44711</v>
      </c>
      <c r="G1095" s="3">
        <v>41900</v>
      </c>
      <c r="H1095" s="1">
        <v>0</v>
      </c>
      <c r="I1095" s="1" t="s">
        <v>1070</v>
      </c>
      <c r="J1095" s="1" t="s">
        <v>50</v>
      </c>
    </row>
    <row r="1096" spans="1:10" hidden="1" x14ac:dyDescent="0.25">
      <c r="A1096" s="1" t="s">
        <v>78</v>
      </c>
      <c r="B1096" s="1" t="s">
        <v>79</v>
      </c>
      <c r="C1096" s="1">
        <v>17895</v>
      </c>
      <c r="D1096" s="1">
        <v>26907</v>
      </c>
      <c r="E1096" s="2">
        <v>44531</v>
      </c>
      <c r="F1096" s="2">
        <v>44711</v>
      </c>
      <c r="G1096" s="3">
        <v>235200</v>
      </c>
      <c r="H1096" s="1">
        <v>0</v>
      </c>
      <c r="I1096" s="1" t="s">
        <v>80</v>
      </c>
      <c r="J1096" s="1" t="s">
        <v>68</v>
      </c>
    </row>
    <row r="1097" spans="1:10" hidden="1" x14ac:dyDescent="0.25">
      <c r="A1097" s="1" t="s">
        <v>33</v>
      </c>
      <c r="B1097" s="1" t="s">
        <v>34</v>
      </c>
      <c r="C1097" s="1">
        <v>17912</v>
      </c>
      <c r="D1097" s="1">
        <v>26925</v>
      </c>
      <c r="E1097" s="2">
        <v>44532</v>
      </c>
      <c r="F1097" s="2">
        <v>44711</v>
      </c>
      <c r="G1097" s="3">
        <v>14800.2</v>
      </c>
      <c r="H1097" s="1">
        <v>0</v>
      </c>
      <c r="I1097" s="1" t="s">
        <v>1077</v>
      </c>
      <c r="J1097" s="1" t="s">
        <v>18</v>
      </c>
    </row>
    <row r="1098" spans="1:10" hidden="1" x14ac:dyDescent="0.25">
      <c r="A1098" s="1" t="s">
        <v>709</v>
      </c>
      <c r="B1098" s="1" t="s">
        <v>434</v>
      </c>
      <c r="C1098" s="1">
        <v>18612</v>
      </c>
      <c r="D1098" s="1">
        <v>27620</v>
      </c>
      <c r="E1098" s="2">
        <v>44595</v>
      </c>
      <c r="F1098" s="2">
        <v>44711</v>
      </c>
      <c r="G1098" s="3">
        <v>10544</v>
      </c>
      <c r="H1098" s="1">
        <v>0</v>
      </c>
      <c r="I1098" s="1" t="s">
        <v>1078</v>
      </c>
      <c r="J1098" s="1" t="s">
        <v>92</v>
      </c>
    </row>
    <row r="1099" spans="1:10" hidden="1" x14ac:dyDescent="0.25">
      <c r="A1099" s="1" t="s">
        <v>709</v>
      </c>
      <c r="B1099" s="1" t="s">
        <v>434</v>
      </c>
      <c r="C1099" s="1">
        <v>17357</v>
      </c>
      <c r="D1099" s="1">
        <v>26359</v>
      </c>
      <c r="E1099" s="2">
        <v>44488</v>
      </c>
      <c r="F1099" s="2">
        <v>44711</v>
      </c>
      <c r="G1099" s="3">
        <v>7479.04</v>
      </c>
      <c r="H1099" s="1">
        <v>0</v>
      </c>
      <c r="I1099" s="1" t="s">
        <v>1085</v>
      </c>
      <c r="J1099" s="1" t="s">
        <v>92</v>
      </c>
    </row>
    <row r="1100" spans="1:10" hidden="1" x14ac:dyDescent="0.25">
      <c r="A1100" s="1" t="s">
        <v>622</v>
      </c>
      <c r="B1100" s="1" t="s">
        <v>174</v>
      </c>
      <c r="C1100" s="1">
        <v>17013</v>
      </c>
      <c r="D1100" s="1">
        <v>26022</v>
      </c>
      <c r="E1100" s="2">
        <v>44467</v>
      </c>
      <c r="F1100" s="2">
        <v>44711</v>
      </c>
      <c r="G1100" s="3">
        <v>26400</v>
      </c>
      <c r="H1100" s="1">
        <v>0</v>
      </c>
      <c r="I1100" s="1" t="s">
        <v>1094</v>
      </c>
      <c r="J1100" s="1" t="s">
        <v>68</v>
      </c>
    </row>
    <row r="1101" spans="1:10" hidden="1" x14ac:dyDescent="0.25">
      <c r="A1101" s="1" t="s">
        <v>133</v>
      </c>
      <c r="B1101" s="1" t="s">
        <v>134</v>
      </c>
      <c r="C1101" s="1">
        <v>17722</v>
      </c>
      <c r="D1101" s="1">
        <v>26716</v>
      </c>
      <c r="E1101" s="2">
        <v>44511</v>
      </c>
      <c r="F1101" s="2">
        <v>44711</v>
      </c>
      <c r="G1101" s="3">
        <v>150000</v>
      </c>
      <c r="H1101" s="1">
        <v>0</v>
      </c>
      <c r="I1101" s="1" t="s">
        <v>1100</v>
      </c>
      <c r="J1101" s="1" t="s">
        <v>18</v>
      </c>
    </row>
    <row r="1102" spans="1:10" hidden="1" x14ac:dyDescent="0.25">
      <c r="A1102" s="1" t="s">
        <v>33</v>
      </c>
      <c r="B1102" s="1" t="s">
        <v>34</v>
      </c>
      <c r="C1102" s="1">
        <v>16935</v>
      </c>
      <c r="D1102" s="1">
        <v>25928</v>
      </c>
      <c r="E1102" s="2">
        <v>44461</v>
      </c>
      <c r="F1102" s="2">
        <v>44711</v>
      </c>
      <c r="G1102" s="3">
        <v>53250</v>
      </c>
      <c r="H1102" s="1">
        <v>0</v>
      </c>
      <c r="I1102" s="1" t="s">
        <v>1109</v>
      </c>
      <c r="J1102" s="1" t="s">
        <v>18</v>
      </c>
    </row>
    <row r="1103" spans="1:10" hidden="1" x14ac:dyDescent="0.25">
      <c r="A1103" s="1" t="s">
        <v>622</v>
      </c>
      <c r="B1103" s="1" t="s">
        <v>174</v>
      </c>
      <c r="C1103" s="1">
        <v>17746</v>
      </c>
      <c r="D1103" s="1">
        <v>26742</v>
      </c>
      <c r="E1103" s="2">
        <v>44512</v>
      </c>
      <c r="F1103" s="2">
        <v>44711</v>
      </c>
      <c r="G1103" s="3">
        <v>31000</v>
      </c>
      <c r="H1103" s="1">
        <v>0</v>
      </c>
      <c r="I1103" s="1" t="s">
        <v>1114</v>
      </c>
      <c r="J1103" s="1" t="s">
        <v>68</v>
      </c>
    </row>
    <row r="1104" spans="1:10" hidden="1" x14ac:dyDescent="0.25">
      <c r="A1104" s="1" t="s">
        <v>173</v>
      </c>
      <c r="B1104" s="1" t="s">
        <v>174</v>
      </c>
      <c r="C1104" s="1">
        <v>17896</v>
      </c>
      <c r="D1104" s="1">
        <v>26909</v>
      </c>
      <c r="E1104" s="2">
        <v>44531</v>
      </c>
      <c r="F1104" s="2">
        <v>44711</v>
      </c>
      <c r="G1104" s="3">
        <v>55000</v>
      </c>
      <c r="H1104" s="1">
        <v>0</v>
      </c>
      <c r="I1104" s="1" t="s">
        <v>256</v>
      </c>
      <c r="J1104" s="1" t="s">
        <v>68</v>
      </c>
    </row>
    <row r="1105" spans="1:10" hidden="1" x14ac:dyDescent="0.25">
      <c r="A1105" s="1" t="s">
        <v>779</v>
      </c>
      <c r="B1105" s="1" t="s">
        <v>780</v>
      </c>
      <c r="C1105" s="1">
        <v>17364</v>
      </c>
      <c r="D1105" s="1">
        <v>26367</v>
      </c>
      <c r="E1105" s="2">
        <v>44489</v>
      </c>
      <c r="F1105" s="2">
        <v>44711</v>
      </c>
      <c r="G1105" s="3">
        <v>110610</v>
      </c>
      <c r="H1105" s="1">
        <v>0</v>
      </c>
      <c r="I1105" s="1" t="s">
        <v>1120</v>
      </c>
      <c r="J1105" s="1" t="s">
        <v>68</v>
      </c>
    </row>
    <row r="1106" spans="1:10" hidden="1" x14ac:dyDescent="0.25">
      <c r="A1106" s="1" t="s">
        <v>173</v>
      </c>
      <c r="B1106" s="1" t="s">
        <v>174</v>
      </c>
      <c r="C1106" s="1">
        <v>17128</v>
      </c>
      <c r="D1106" s="1">
        <v>26135</v>
      </c>
      <c r="E1106" s="2">
        <v>44474</v>
      </c>
      <c r="F1106" s="2">
        <v>44711</v>
      </c>
      <c r="G1106" s="3">
        <v>60000</v>
      </c>
      <c r="H1106" s="1">
        <v>0</v>
      </c>
      <c r="I1106" s="1" t="s">
        <v>1123</v>
      </c>
      <c r="J1106" s="1" t="s">
        <v>68</v>
      </c>
    </row>
    <row r="1107" spans="1:10" hidden="1" x14ac:dyDescent="0.25">
      <c r="A1107" s="1" t="s">
        <v>10</v>
      </c>
      <c r="B1107" s="1" t="s">
        <v>11</v>
      </c>
      <c r="C1107" s="1">
        <v>17500</v>
      </c>
      <c r="D1107" s="1">
        <v>26506</v>
      </c>
      <c r="E1107" s="2">
        <v>44495</v>
      </c>
      <c r="F1107" s="2">
        <v>44711</v>
      </c>
      <c r="G1107" s="3">
        <v>4000</v>
      </c>
      <c r="H1107" s="1">
        <v>0</v>
      </c>
      <c r="I1107" s="1" t="s">
        <v>1125</v>
      </c>
      <c r="J1107" s="1" t="s">
        <v>13</v>
      </c>
    </row>
    <row r="1108" spans="1:10" hidden="1" x14ac:dyDescent="0.25">
      <c r="A1108" s="1" t="s">
        <v>133</v>
      </c>
      <c r="B1108" s="1" t="s">
        <v>134</v>
      </c>
      <c r="C1108" s="1">
        <v>17550</v>
      </c>
      <c r="D1108" s="1">
        <v>26557</v>
      </c>
      <c r="E1108" s="2">
        <v>44501</v>
      </c>
      <c r="F1108" s="2">
        <v>44711</v>
      </c>
      <c r="G1108" s="3">
        <v>24500</v>
      </c>
      <c r="H1108" s="1">
        <v>0</v>
      </c>
      <c r="I1108" s="1" t="s">
        <v>1127</v>
      </c>
      <c r="J1108" s="1" t="s">
        <v>18</v>
      </c>
    </row>
    <row r="1109" spans="1:10" hidden="1" x14ac:dyDescent="0.25">
      <c r="A1109" s="1" t="s">
        <v>154</v>
      </c>
      <c r="B1109" s="1" t="s">
        <v>144</v>
      </c>
      <c r="C1109" s="1">
        <v>16713</v>
      </c>
      <c r="D1109" s="1">
        <v>25680</v>
      </c>
      <c r="E1109" s="2">
        <v>44442</v>
      </c>
      <c r="F1109" s="2">
        <v>44711</v>
      </c>
      <c r="G1109" s="3">
        <v>123520</v>
      </c>
      <c r="H1109" s="1">
        <v>0</v>
      </c>
      <c r="I1109" s="1" t="s">
        <v>1131</v>
      </c>
      <c r="J1109" s="1" t="s">
        <v>64</v>
      </c>
    </row>
    <row r="1110" spans="1:10" hidden="1" x14ac:dyDescent="0.25">
      <c r="A1110" s="1" t="s">
        <v>89</v>
      </c>
      <c r="B1110" s="1" t="s">
        <v>90</v>
      </c>
      <c r="C1110" s="1">
        <v>17235</v>
      </c>
      <c r="D1110" s="1">
        <v>26234</v>
      </c>
      <c r="E1110" s="2">
        <v>44482</v>
      </c>
      <c r="F1110" s="2">
        <v>44711</v>
      </c>
      <c r="G1110" s="3">
        <v>162876</v>
      </c>
      <c r="H1110" s="1">
        <v>0</v>
      </c>
      <c r="I1110" s="1" t="s">
        <v>1138</v>
      </c>
      <c r="J1110" s="1" t="s">
        <v>92</v>
      </c>
    </row>
    <row r="1111" spans="1:10" hidden="1" x14ac:dyDescent="0.25">
      <c r="A1111" s="1" t="s">
        <v>89</v>
      </c>
      <c r="B1111" s="1" t="s">
        <v>90</v>
      </c>
      <c r="C1111" s="1">
        <v>16875</v>
      </c>
      <c r="D1111" s="1">
        <v>25851</v>
      </c>
      <c r="E1111" s="2">
        <v>44459</v>
      </c>
      <c r="F1111" s="2">
        <v>44711</v>
      </c>
      <c r="G1111" s="3">
        <v>72140</v>
      </c>
      <c r="H1111" s="1">
        <v>0</v>
      </c>
      <c r="I1111" s="1" t="s">
        <v>1178</v>
      </c>
      <c r="J1111" s="1" t="s">
        <v>92</v>
      </c>
    </row>
    <row r="1112" spans="1:10" hidden="1" x14ac:dyDescent="0.25">
      <c r="A1112" s="1" t="s">
        <v>143</v>
      </c>
      <c r="B1112" s="1" t="s">
        <v>144</v>
      </c>
      <c r="C1112" s="1">
        <v>17426</v>
      </c>
      <c r="D1112" s="1">
        <v>26427</v>
      </c>
      <c r="E1112" s="2">
        <v>44490</v>
      </c>
      <c r="F1112" s="2">
        <v>44711</v>
      </c>
      <c r="G1112" s="3">
        <v>58811.199999999997</v>
      </c>
      <c r="H1112" s="1">
        <v>0</v>
      </c>
      <c r="I1112" s="1" t="s">
        <v>1179</v>
      </c>
      <c r="J1112" s="1" t="s">
        <v>64</v>
      </c>
    </row>
    <row r="1113" spans="1:10" hidden="1" x14ac:dyDescent="0.25">
      <c r="A1113" s="1" t="s">
        <v>133</v>
      </c>
      <c r="B1113" s="1" t="s">
        <v>134</v>
      </c>
      <c r="C1113" s="1">
        <v>17042</v>
      </c>
      <c r="D1113" s="1">
        <v>26051</v>
      </c>
      <c r="E1113" s="2">
        <v>44468</v>
      </c>
      <c r="F1113" s="2">
        <v>44711</v>
      </c>
      <c r="G1113" s="3">
        <v>30000</v>
      </c>
      <c r="H1113" s="1">
        <v>0</v>
      </c>
      <c r="I1113" s="1" t="s">
        <v>1200</v>
      </c>
      <c r="J1113" s="1" t="s">
        <v>18</v>
      </c>
    </row>
    <row r="1114" spans="1:10" hidden="1" x14ac:dyDescent="0.25">
      <c r="A1114" s="1" t="s">
        <v>89</v>
      </c>
      <c r="B1114" s="1" t="s">
        <v>90</v>
      </c>
      <c r="C1114" s="1">
        <v>16742</v>
      </c>
      <c r="D1114" s="1">
        <v>25711</v>
      </c>
      <c r="E1114" s="2">
        <v>44447</v>
      </c>
      <c r="F1114" s="2">
        <v>44711</v>
      </c>
      <c r="G1114" s="3">
        <v>137270.9</v>
      </c>
      <c r="H1114" s="1">
        <v>0</v>
      </c>
      <c r="I1114" s="1" t="s">
        <v>1201</v>
      </c>
      <c r="J1114" s="1" t="s">
        <v>92</v>
      </c>
    </row>
    <row r="1115" spans="1:10" hidden="1" x14ac:dyDescent="0.25">
      <c r="A1115" s="1" t="s">
        <v>116</v>
      </c>
      <c r="B1115" s="1" t="s">
        <v>117</v>
      </c>
      <c r="C1115" s="1">
        <v>17678</v>
      </c>
      <c r="D1115" s="1">
        <v>26677</v>
      </c>
      <c r="E1115" s="2">
        <v>44509</v>
      </c>
      <c r="F1115" s="2">
        <v>44711</v>
      </c>
      <c r="G1115" s="3">
        <v>63300</v>
      </c>
      <c r="H1115" s="1">
        <v>0</v>
      </c>
      <c r="I1115" s="1" t="s">
        <v>1202</v>
      </c>
      <c r="J1115" s="1" t="s">
        <v>50</v>
      </c>
    </row>
    <row r="1116" spans="1:10" hidden="1" x14ac:dyDescent="0.25">
      <c r="A1116" s="1" t="s">
        <v>65</v>
      </c>
      <c r="B1116" s="1" t="s">
        <v>66</v>
      </c>
      <c r="C1116" s="1">
        <v>17376</v>
      </c>
      <c r="D1116" s="1">
        <v>26381</v>
      </c>
      <c r="E1116" s="2">
        <v>44489</v>
      </c>
      <c r="F1116" s="2">
        <v>44711</v>
      </c>
      <c r="G1116" s="3">
        <v>41910</v>
      </c>
      <c r="H1116" s="1">
        <v>0</v>
      </c>
      <c r="I1116" s="1" t="s">
        <v>541</v>
      </c>
      <c r="J1116" s="1" t="s">
        <v>68</v>
      </c>
    </row>
    <row r="1117" spans="1:10" hidden="1" x14ac:dyDescent="0.25">
      <c r="A1117" s="1" t="s">
        <v>383</v>
      </c>
      <c r="B1117" s="1" t="s">
        <v>384</v>
      </c>
      <c r="C1117" s="1">
        <v>17076</v>
      </c>
      <c r="D1117" s="1">
        <v>26087</v>
      </c>
      <c r="E1117" s="2">
        <v>44469</v>
      </c>
      <c r="F1117" s="2">
        <v>44711</v>
      </c>
      <c r="G1117" s="3">
        <v>13102.94</v>
      </c>
      <c r="H1117" s="1">
        <v>0</v>
      </c>
      <c r="I1117" s="1" t="s">
        <v>1210</v>
      </c>
      <c r="J1117" s="1" t="s">
        <v>115</v>
      </c>
    </row>
    <row r="1118" spans="1:10" hidden="1" x14ac:dyDescent="0.25">
      <c r="A1118" s="1" t="s">
        <v>433</v>
      </c>
      <c r="B1118" s="1" t="s">
        <v>434</v>
      </c>
      <c r="C1118" s="1">
        <v>18224</v>
      </c>
      <c r="D1118" s="1">
        <v>27235</v>
      </c>
      <c r="E1118" s="2">
        <v>44558</v>
      </c>
      <c r="F1118" s="2">
        <v>44711</v>
      </c>
      <c r="G1118" s="3">
        <v>87645</v>
      </c>
      <c r="H1118" s="1">
        <v>0</v>
      </c>
      <c r="I1118" s="1" t="s">
        <v>1212</v>
      </c>
      <c r="J1118" s="1" t="s">
        <v>92</v>
      </c>
    </row>
    <row r="1119" spans="1:10" hidden="1" x14ac:dyDescent="0.25">
      <c r="A1119" s="1" t="s">
        <v>15</v>
      </c>
      <c r="B1119" s="1" t="s">
        <v>16</v>
      </c>
      <c r="C1119" s="1">
        <v>17847</v>
      </c>
      <c r="D1119" s="1">
        <v>26851</v>
      </c>
      <c r="E1119" s="2">
        <v>44522</v>
      </c>
      <c r="F1119" s="2">
        <v>44711</v>
      </c>
      <c r="G1119" s="1">
        <v>850</v>
      </c>
      <c r="H1119" s="1">
        <v>0</v>
      </c>
      <c r="I1119" s="1" t="s">
        <v>1216</v>
      </c>
      <c r="J1119" s="1" t="s">
        <v>18</v>
      </c>
    </row>
    <row r="1120" spans="1:10" hidden="1" x14ac:dyDescent="0.25">
      <c r="A1120" s="1" t="s">
        <v>143</v>
      </c>
      <c r="B1120" s="1" t="s">
        <v>144</v>
      </c>
      <c r="C1120" s="1">
        <v>16788</v>
      </c>
      <c r="D1120" s="1">
        <v>25761</v>
      </c>
      <c r="E1120" s="2">
        <v>44452</v>
      </c>
      <c r="F1120" s="2">
        <v>44711</v>
      </c>
      <c r="G1120" s="3">
        <v>26560</v>
      </c>
      <c r="H1120" s="1">
        <v>0</v>
      </c>
      <c r="I1120" s="1" t="s">
        <v>1217</v>
      </c>
      <c r="J1120" s="1" t="s">
        <v>64</v>
      </c>
    </row>
    <row r="1121" spans="1:10" hidden="1" x14ac:dyDescent="0.25">
      <c r="A1121" s="1" t="s">
        <v>383</v>
      </c>
      <c r="B1121" s="1" t="s">
        <v>384</v>
      </c>
      <c r="C1121" s="1">
        <v>17247</v>
      </c>
      <c r="D1121" s="1">
        <v>26245</v>
      </c>
      <c r="E1121" s="2">
        <v>44482</v>
      </c>
      <c r="F1121" s="2">
        <v>44711</v>
      </c>
      <c r="G1121" s="3">
        <v>114100</v>
      </c>
      <c r="H1121" s="1">
        <v>0</v>
      </c>
      <c r="I1121" s="1" t="s">
        <v>1233</v>
      </c>
      <c r="J1121" s="1" t="s">
        <v>115</v>
      </c>
    </row>
    <row r="1122" spans="1:10" hidden="1" x14ac:dyDescent="0.25">
      <c r="A1122" s="1" t="s">
        <v>383</v>
      </c>
      <c r="B1122" s="1" t="s">
        <v>384</v>
      </c>
      <c r="C1122" s="1">
        <v>17252</v>
      </c>
      <c r="D1122" s="1">
        <v>26248</v>
      </c>
      <c r="E1122" s="2">
        <v>44482</v>
      </c>
      <c r="F1122" s="2">
        <v>44711</v>
      </c>
      <c r="G1122" s="3">
        <v>9600</v>
      </c>
      <c r="H1122" s="1">
        <v>0</v>
      </c>
      <c r="I1122" s="1" t="s">
        <v>1234</v>
      </c>
      <c r="J1122" s="1" t="s">
        <v>115</v>
      </c>
    </row>
    <row r="1123" spans="1:10" hidden="1" x14ac:dyDescent="0.25">
      <c r="A1123" s="1" t="s">
        <v>116</v>
      </c>
      <c r="B1123" s="1" t="s">
        <v>117</v>
      </c>
      <c r="C1123" s="1">
        <v>18860</v>
      </c>
      <c r="D1123" s="1">
        <v>27880</v>
      </c>
      <c r="E1123" s="2">
        <v>44622</v>
      </c>
      <c r="F1123" s="2">
        <v>44711</v>
      </c>
      <c r="G1123" s="3">
        <v>9000</v>
      </c>
      <c r="H1123" s="1">
        <v>0</v>
      </c>
      <c r="I1123" s="1" t="s">
        <v>1242</v>
      </c>
      <c r="J1123" s="1" t="s">
        <v>50</v>
      </c>
    </row>
    <row r="1124" spans="1:10" hidden="1" x14ac:dyDescent="0.25">
      <c r="A1124" s="1" t="s">
        <v>116</v>
      </c>
      <c r="B1124" s="1" t="s">
        <v>117</v>
      </c>
      <c r="C1124" s="1">
        <v>17209</v>
      </c>
      <c r="D1124" s="1">
        <v>26206</v>
      </c>
      <c r="E1124" s="2">
        <v>44477</v>
      </c>
      <c r="F1124" s="2">
        <v>44711</v>
      </c>
      <c r="G1124" s="3">
        <v>10000</v>
      </c>
      <c r="H1124" s="1">
        <v>0</v>
      </c>
      <c r="I1124" s="1" t="s">
        <v>1245</v>
      </c>
      <c r="J1124" s="1" t="s">
        <v>50</v>
      </c>
    </row>
    <row r="1125" spans="1:10" hidden="1" x14ac:dyDescent="0.25">
      <c r="A1125" s="1" t="s">
        <v>65</v>
      </c>
      <c r="B1125" s="1" t="s">
        <v>66</v>
      </c>
      <c r="C1125" s="1">
        <v>15962</v>
      </c>
      <c r="D1125" s="1">
        <v>24832</v>
      </c>
      <c r="E1125" s="2">
        <v>44328</v>
      </c>
      <c r="F1125" s="2">
        <v>44711</v>
      </c>
      <c r="G1125" s="3">
        <v>9528</v>
      </c>
      <c r="H1125" s="1">
        <v>0</v>
      </c>
      <c r="I1125" s="1" t="s">
        <v>1250</v>
      </c>
      <c r="J1125" s="1" t="s">
        <v>68</v>
      </c>
    </row>
    <row r="1126" spans="1:10" hidden="1" x14ac:dyDescent="0.25">
      <c r="A1126" s="1" t="s">
        <v>65</v>
      </c>
      <c r="B1126" s="1" t="s">
        <v>66</v>
      </c>
      <c r="C1126" s="1">
        <v>17375</v>
      </c>
      <c r="D1126" s="1">
        <v>26380</v>
      </c>
      <c r="E1126" s="2">
        <v>44489</v>
      </c>
      <c r="F1126" s="2">
        <v>44711</v>
      </c>
      <c r="G1126" s="3">
        <v>7250</v>
      </c>
      <c r="H1126" s="1">
        <v>0</v>
      </c>
      <c r="I1126" s="1" t="s">
        <v>541</v>
      </c>
      <c r="J1126" s="1" t="s">
        <v>68</v>
      </c>
    </row>
    <row r="1127" spans="1:10" hidden="1" x14ac:dyDescent="0.25">
      <c r="A1127" s="1" t="s">
        <v>1278</v>
      </c>
      <c r="B1127" s="1" t="s">
        <v>1279</v>
      </c>
      <c r="C1127" s="1">
        <v>17124</v>
      </c>
      <c r="D1127" s="1">
        <v>26132</v>
      </c>
      <c r="E1127" s="2">
        <v>44474</v>
      </c>
      <c r="F1127" s="2">
        <v>44711</v>
      </c>
      <c r="G1127" s="3">
        <v>100984</v>
      </c>
      <c r="H1127" s="1">
        <v>0</v>
      </c>
      <c r="I1127" s="1" t="s">
        <v>1280</v>
      </c>
      <c r="J1127" s="1" t="s">
        <v>115</v>
      </c>
    </row>
    <row r="1128" spans="1:10" hidden="1" x14ac:dyDescent="0.25">
      <c r="A1128" s="1" t="s">
        <v>15</v>
      </c>
      <c r="B1128" s="1" t="s">
        <v>16</v>
      </c>
      <c r="C1128" s="1">
        <v>17626</v>
      </c>
      <c r="D1128" s="1">
        <v>26628</v>
      </c>
      <c r="E1128" s="2">
        <v>44505</v>
      </c>
      <c r="F1128" s="2">
        <v>44711</v>
      </c>
      <c r="G1128" s="3">
        <v>48840</v>
      </c>
      <c r="H1128" s="1">
        <v>0</v>
      </c>
      <c r="I1128" s="1" t="s">
        <v>1287</v>
      </c>
      <c r="J1128" s="1" t="s">
        <v>18</v>
      </c>
    </row>
    <row r="1129" spans="1:10" hidden="1" x14ac:dyDescent="0.25">
      <c r="A1129" s="1" t="s">
        <v>154</v>
      </c>
      <c r="B1129" s="1" t="s">
        <v>144</v>
      </c>
      <c r="C1129" s="1">
        <v>17039</v>
      </c>
      <c r="D1129" s="1">
        <v>26048</v>
      </c>
      <c r="E1129" s="2">
        <v>44468</v>
      </c>
      <c r="F1129" s="2">
        <v>44711</v>
      </c>
      <c r="G1129" s="3">
        <v>45000</v>
      </c>
      <c r="H1129" s="1">
        <v>0</v>
      </c>
      <c r="I1129" s="1" t="s">
        <v>1290</v>
      </c>
      <c r="J1129" s="1" t="s">
        <v>64</v>
      </c>
    </row>
    <row r="1130" spans="1:10" hidden="1" x14ac:dyDescent="0.25">
      <c r="A1130" s="1" t="s">
        <v>622</v>
      </c>
      <c r="B1130" s="1" t="s">
        <v>174</v>
      </c>
      <c r="C1130" s="1">
        <v>17094</v>
      </c>
      <c r="D1130" s="1">
        <v>26105</v>
      </c>
      <c r="E1130" s="2">
        <v>44473</v>
      </c>
      <c r="F1130" s="2">
        <v>44711</v>
      </c>
      <c r="G1130" s="3">
        <v>10656</v>
      </c>
      <c r="H1130" s="1">
        <v>0</v>
      </c>
      <c r="I1130" s="1" t="s">
        <v>1307</v>
      </c>
      <c r="J1130" s="1" t="s">
        <v>68</v>
      </c>
    </row>
    <row r="1131" spans="1:10" hidden="1" x14ac:dyDescent="0.25">
      <c r="A1131" s="1" t="s">
        <v>65</v>
      </c>
      <c r="B1131" s="1" t="s">
        <v>66</v>
      </c>
      <c r="C1131" s="1">
        <v>18091</v>
      </c>
      <c r="D1131" s="1">
        <v>27103</v>
      </c>
      <c r="E1131" s="2">
        <v>44544</v>
      </c>
      <c r="F1131" s="2">
        <v>44711</v>
      </c>
      <c r="G1131" s="3">
        <v>74500</v>
      </c>
      <c r="H1131" s="1">
        <v>0</v>
      </c>
      <c r="I1131" s="1" t="s">
        <v>1311</v>
      </c>
      <c r="J1131" s="1" t="s">
        <v>68</v>
      </c>
    </row>
    <row r="1132" spans="1:10" hidden="1" x14ac:dyDescent="0.25">
      <c r="A1132" s="1" t="s">
        <v>793</v>
      </c>
      <c r="B1132" s="1" t="s">
        <v>215</v>
      </c>
      <c r="C1132" s="1">
        <v>16787</v>
      </c>
      <c r="D1132" s="1">
        <v>25760</v>
      </c>
      <c r="E1132" s="2">
        <v>44452</v>
      </c>
      <c r="F1132" s="2">
        <v>44711</v>
      </c>
      <c r="G1132" s="3">
        <v>134500</v>
      </c>
      <c r="H1132" s="1">
        <v>0</v>
      </c>
      <c r="I1132" s="1" t="s">
        <v>1318</v>
      </c>
      <c r="J1132" s="1" t="s">
        <v>64</v>
      </c>
    </row>
    <row r="1133" spans="1:10" hidden="1" x14ac:dyDescent="0.25">
      <c r="A1133" s="1" t="s">
        <v>173</v>
      </c>
      <c r="B1133" s="1" t="s">
        <v>174</v>
      </c>
      <c r="C1133" s="1">
        <v>17194</v>
      </c>
      <c r="D1133" s="1">
        <v>26192</v>
      </c>
      <c r="E1133" s="2">
        <v>44477</v>
      </c>
      <c r="F1133" s="2">
        <v>44711</v>
      </c>
      <c r="G1133" s="3">
        <v>6600</v>
      </c>
      <c r="H1133" s="1">
        <v>0</v>
      </c>
      <c r="I1133" s="1" t="s">
        <v>1325</v>
      </c>
      <c r="J1133" s="1" t="s">
        <v>68</v>
      </c>
    </row>
    <row r="1134" spans="1:10" hidden="1" x14ac:dyDescent="0.25">
      <c r="A1134" s="1" t="s">
        <v>65</v>
      </c>
      <c r="B1134" s="1" t="s">
        <v>66</v>
      </c>
      <c r="C1134" s="1">
        <v>16903</v>
      </c>
      <c r="D1134" s="1">
        <v>25888</v>
      </c>
      <c r="E1134" s="2">
        <v>44460</v>
      </c>
      <c r="F1134" s="2">
        <v>44711</v>
      </c>
      <c r="G1134" s="3">
        <v>78400</v>
      </c>
      <c r="H1134" s="1">
        <v>0</v>
      </c>
      <c r="I1134" s="1" t="s">
        <v>1328</v>
      </c>
      <c r="J1134" s="1" t="s">
        <v>68</v>
      </c>
    </row>
    <row r="1135" spans="1:10" hidden="1" x14ac:dyDescent="0.25">
      <c r="A1135" s="1" t="s">
        <v>65</v>
      </c>
      <c r="B1135" s="1" t="s">
        <v>66</v>
      </c>
      <c r="C1135" s="1">
        <v>17378</v>
      </c>
      <c r="D1135" s="1">
        <v>26383</v>
      </c>
      <c r="E1135" s="2">
        <v>44489</v>
      </c>
      <c r="F1135" s="2">
        <v>44711</v>
      </c>
      <c r="G1135" s="3">
        <v>33438</v>
      </c>
      <c r="H1135" s="1">
        <v>0</v>
      </c>
      <c r="I1135" s="1" t="s">
        <v>541</v>
      </c>
      <c r="J1135" s="1" t="s">
        <v>68</v>
      </c>
    </row>
    <row r="1136" spans="1:10" hidden="1" x14ac:dyDescent="0.25">
      <c r="A1136" s="1" t="s">
        <v>173</v>
      </c>
      <c r="B1136" s="1" t="s">
        <v>174</v>
      </c>
      <c r="C1136" s="1">
        <v>17300</v>
      </c>
      <c r="D1136" s="1">
        <v>26298</v>
      </c>
      <c r="E1136" s="2">
        <v>44484</v>
      </c>
      <c r="F1136" s="2">
        <v>44711</v>
      </c>
      <c r="G1136" s="3">
        <v>110000</v>
      </c>
      <c r="H1136" s="1">
        <v>0</v>
      </c>
      <c r="I1136" s="1" t="s">
        <v>1344</v>
      </c>
      <c r="J1136" s="1" t="s">
        <v>68</v>
      </c>
    </row>
    <row r="1137" spans="1:10" hidden="1" x14ac:dyDescent="0.25">
      <c r="A1137" s="1" t="s">
        <v>65</v>
      </c>
      <c r="B1137" s="1" t="s">
        <v>66</v>
      </c>
      <c r="C1137" s="1">
        <v>17860</v>
      </c>
      <c r="D1137" s="1">
        <v>26863</v>
      </c>
      <c r="E1137" s="2">
        <v>44523</v>
      </c>
      <c r="F1137" s="2">
        <v>44711</v>
      </c>
      <c r="G1137" s="3">
        <v>40000</v>
      </c>
      <c r="H1137" s="1">
        <v>0</v>
      </c>
      <c r="I1137" s="1" t="s">
        <v>1355</v>
      </c>
      <c r="J1137" s="1" t="s">
        <v>68</v>
      </c>
    </row>
    <row r="1138" spans="1:10" hidden="1" x14ac:dyDescent="0.25">
      <c r="A1138" s="1" t="s">
        <v>133</v>
      </c>
      <c r="B1138" s="1" t="s">
        <v>134</v>
      </c>
      <c r="C1138" s="1">
        <v>17275</v>
      </c>
      <c r="D1138" s="1">
        <v>26268</v>
      </c>
      <c r="E1138" s="2">
        <v>44483</v>
      </c>
      <c r="F1138" s="2">
        <v>44711</v>
      </c>
      <c r="G1138" s="3">
        <v>141600</v>
      </c>
      <c r="H1138" s="1">
        <v>0</v>
      </c>
      <c r="I1138" s="1" t="s">
        <v>1358</v>
      </c>
      <c r="J1138" s="1" t="s">
        <v>18</v>
      </c>
    </row>
    <row r="1139" spans="1:10" hidden="1" x14ac:dyDescent="0.25">
      <c r="A1139" s="1" t="s">
        <v>143</v>
      </c>
      <c r="B1139" s="1" t="s">
        <v>144</v>
      </c>
      <c r="C1139" s="1">
        <v>16701</v>
      </c>
      <c r="D1139" s="1">
        <v>25668</v>
      </c>
      <c r="E1139" s="2">
        <v>44441</v>
      </c>
      <c r="F1139" s="2">
        <v>44711</v>
      </c>
      <c r="G1139" s="3">
        <v>343120</v>
      </c>
      <c r="H1139" s="1">
        <v>0</v>
      </c>
      <c r="I1139" s="1" t="s">
        <v>1371</v>
      </c>
      <c r="J1139" s="1" t="s">
        <v>64</v>
      </c>
    </row>
    <row r="1140" spans="1:10" hidden="1" x14ac:dyDescent="0.25">
      <c r="A1140" s="1" t="s">
        <v>173</v>
      </c>
      <c r="B1140" s="1" t="s">
        <v>174</v>
      </c>
      <c r="C1140" s="1">
        <v>17095</v>
      </c>
      <c r="D1140" s="1">
        <v>26106</v>
      </c>
      <c r="E1140" s="2">
        <v>44473</v>
      </c>
      <c r="F1140" s="2">
        <v>44711</v>
      </c>
      <c r="G1140" s="3">
        <v>219310</v>
      </c>
      <c r="H1140" s="1">
        <v>0</v>
      </c>
      <c r="I1140" s="1" t="s">
        <v>1376</v>
      </c>
      <c r="J1140" s="1" t="s">
        <v>68</v>
      </c>
    </row>
    <row r="1141" spans="1:10" hidden="1" x14ac:dyDescent="0.25">
      <c r="A1141" s="1" t="s">
        <v>65</v>
      </c>
      <c r="B1141" s="1" t="s">
        <v>66</v>
      </c>
      <c r="C1141" s="1">
        <v>16906</v>
      </c>
      <c r="D1141" s="1">
        <v>25891</v>
      </c>
      <c r="E1141" s="2">
        <v>44460</v>
      </c>
      <c r="F1141" s="2">
        <v>44711</v>
      </c>
      <c r="G1141" s="3">
        <v>4764</v>
      </c>
      <c r="H1141" s="1">
        <v>0</v>
      </c>
      <c r="I1141" s="1" t="s">
        <v>1380</v>
      </c>
      <c r="J1141" s="1" t="s">
        <v>68</v>
      </c>
    </row>
    <row r="1142" spans="1:10" hidden="1" x14ac:dyDescent="0.25">
      <c r="A1142" s="1" t="s">
        <v>116</v>
      </c>
      <c r="B1142" s="1" t="s">
        <v>117</v>
      </c>
      <c r="C1142" s="1">
        <v>16925</v>
      </c>
      <c r="D1142" s="1">
        <v>25911</v>
      </c>
      <c r="E1142" s="2">
        <v>44461</v>
      </c>
      <c r="F1142" s="2">
        <v>44711</v>
      </c>
      <c r="G1142" s="3">
        <v>105000</v>
      </c>
      <c r="H1142" s="1">
        <v>0</v>
      </c>
      <c r="I1142" s="1" t="s">
        <v>1381</v>
      </c>
      <c r="J1142" s="1" t="s">
        <v>50</v>
      </c>
    </row>
    <row r="1143" spans="1:10" hidden="1" x14ac:dyDescent="0.25">
      <c r="A1143" s="1" t="s">
        <v>112</v>
      </c>
      <c r="B1143" s="1" t="s">
        <v>113</v>
      </c>
      <c r="C1143" s="1">
        <v>18042</v>
      </c>
      <c r="D1143" s="1">
        <v>27053</v>
      </c>
      <c r="E1143" s="2">
        <v>44539</v>
      </c>
      <c r="F1143" s="2">
        <v>44711</v>
      </c>
      <c r="G1143" s="3">
        <v>15500</v>
      </c>
      <c r="H1143" s="1">
        <v>0</v>
      </c>
      <c r="I1143" s="1" t="s">
        <v>1387</v>
      </c>
      <c r="J1143" s="1" t="s">
        <v>115</v>
      </c>
    </row>
    <row r="1144" spans="1:10" hidden="1" x14ac:dyDescent="0.25">
      <c r="A1144" s="1" t="s">
        <v>15</v>
      </c>
      <c r="B1144" s="1" t="s">
        <v>16</v>
      </c>
      <c r="C1144" s="1">
        <v>18293</v>
      </c>
      <c r="D1144" s="1">
        <v>27302</v>
      </c>
      <c r="E1144" s="2">
        <v>44567</v>
      </c>
      <c r="F1144" s="2">
        <v>44711</v>
      </c>
      <c r="G1144" s="3">
        <v>55550</v>
      </c>
      <c r="H1144" s="1">
        <v>0</v>
      </c>
      <c r="I1144" s="1" t="s">
        <v>1388</v>
      </c>
      <c r="J1144" s="1" t="s">
        <v>18</v>
      </c>
    </row>
    <row r="1145" spans="1:10" hidden="1" x14ac:dyDescent="0.25">
      <c r="A1145" s="1" t="s">
        <v>332</v>
      </c>
      <c r="B1145" s="1" t="s">
        <v>333</v>
      </c>
      <c r="C1145" s="1">
        <v>16759</v>
      </c>
      <c r="D1145" s="1">
        <v>25727</v>
      </c>
      <c r="E1145" s="2">
        <v>44447</v>
      </c>
      <c r="F1145" s="2">
        <v>44711</v>
      </c>
      <c r="G1145" s="3">
        <v>1620</v>
      </c>
      <c r="H1145" s="1">
        <v>0</v>
      </c>
      <c r="I1145" s="1" t="s">
        <v>1404</v>
      </c>
      <c r="J1145" s="1" t="s">
        <v>18</v>
      </c>
    </row>
    <row r="1146" spans="1:10" hidden="1" x14ac:dyDescent="0.25">
      <c r="A1146" s="1" t="s">
        <v>793</v>
      </c>
      <c r="B1146" s="1" t="s">
        <v>215</v>
      </c>
      <c r="C1146" s="1">
        <v>16789</v>
      </c>
      <c r="D1146" s="1">
        <v>25762</v>
      </c>
      <c r="E1146" s="2">
        <v>44452</v>
      </c>
      <c r="F1146" s="2">
        <v>44711</v>
      </c>
      <c r="G1146" s="3">
        <v>23000</v>
      </c>
      <c r="H1146" s="1">
        <v>0</v>
      </c>
      <c r="I1146" s="1" t="s">
        <v>1422</v>
      </c>
      <c r="J1146" s="1" t="s">
        <v>64</v>
      </c>
    </row>
    <row r="1147" spans="1:10" hidden="1" x14ac:dyDescent="0.25">
      <c r="A1147" s="1" t="s">
        <v>65</v>
      </c>
      <c r="B1147" s="1" t="s">
        <v>66</v>
      </c>
      <c r="C1147" s="1">
        <v>17374</v>
      </c>
      <c r="D1147" s="1">
        <v>26379</v>
      </c>
      <c r="E1147" s="2">
        <v>44489</v>
      </c>
      <c r="F1147" s="2">
        <v>44711</v>
      </c>
      <c r="G1147" s="3">
        <v>215500</v>
      </c>
      <c r="H1147" s="1">
        <v>0</v>
      </c>
      <c r="I1147" s="1" t="s">
        <v>1424</v>
      </c>
      <c r="J1147" s="1" t="s">
        <v>68</v>
      </c>
    </row>
    <row r="1148" spans="1:10" hidden="1" x14ac:dyDescent="0.25">
      <c r="A1148" s="1" t="s">
        <v>33</v>
      </c>
      <c r="B1148" s="1" t="s">
        <v>34</v>
      </c>
      <c r="C1148" s="1">
        <v>17286</v>
      </c>
      <c r="D1148" s="1">
        <v>26284</v>
      </c>
      <c r="E1148" s="2">
        <v>44484</v>
      </c>
      <c r="F1148" s="2">
        <v>44711</v>
      </c>
      <c r="G1148" s="3">
        <v>123975</v>
      </c>
      <c r="H1148" s="1">
        <v>0</v>
      </c>
      <c r="I1148" s="1" t="s">
        <v>1443</v>
      </c>
      <c r="J1148" s="1" t="s">
        <v>18</v>
      </c>
    </row>
    <row r="1149" spans="1:10" hidden="1" x14ac:dyDescent="0.25">
      <c r="A1149" s="1" t="s">
        <v>143</v>
      </c>
      <c r="B1149" s="1" t="s">
        <v>144</v>
      </c>
      <c r="C1149" s="1">
        <v>17037</v>
      </c>
      <c r="D1149" s="1">
        <v>26046</v>
      </c>
      <c r="E1149" s="2">
        <v>44468</v>
      </c>
      <c r="F1149" s="2">
        <v>44711</v>
      </c>
      <c r="G1149" s="3">
        <v>21400</v>
      </c>
      <c r="H1149" s="1">
        <v>0</v>
      </c>
      <c r="I1149" s="1" t="s">
        <v>1448</v>
      </c>
      <c r="J1149" s="1" t="s">
        <v>64</v>
      </c>
    </row>
    <row r="1150" spans="1:10" hidden="1" x14ac:dyDescent="0.25">
      <c r="A1150" s="1" t="s">
        <v>65</v>
      </c>
      <c r="B1150" s="1" t="s">
        <v>66</v>
      </c>
      <c r="C1150" s="1">
        <v>17941</v>
      </c>
      <c r="D1150" s="1">
        <v>26955</v>
      </c>
      <c r="E1150" s="2">
        <v>44533</v>
      </c>
      <c r="F1150" s="2">
        <v>44711</v>
      </c>
      <c r="G1150" s="3">
        <v>115228</v>
      </c>
      <c r="H1150" s="1">
        <v>0</v>
      </c>
      <c r="I1150" s="1" t="s">
        <v>1449</v>
      </c>
      <c r="J1150" s="1" t="s">
        <v>68</v>
      </c>
    </row>
    <row r="1151" spans="1:10" hidden="1" x14ac:dyDescent="0.25">
      <c r="A1151" s="1" t="s">
        <v>116</v>
      </c>
      <c r="B1151" s="1" t="s">
        <v>117</v>
      </c>
      <c r="C1151" s="1">
        <v>17680</v>
      </c>
      <c r="D1151" s="1">
        <v>26678</v>
      </c>
      <c r="E1151" s="2">
        <v>44509</v>
      </c>
      <c r="F1151" s="2">
        <v>44711</v>
      </c>
      <c r="G1151" s="3">
        <v>86800</v>
      </c>
      <c r="H1151" s="1">
        <v>0</v>
      </c>
      <c r="I1151" s="1" t="s">
        <v>1454</v>
      </c>
      <c r="J1151" s="1" t="s">
        <v>50</v>
      </c>
    </row>
    <row r="1152" spans="1:10" hidden="1" x14ac:dyDescent="0.25">
      <c r="A1152" s="1" t="s">
        <v>133</v>
      </c>
      <c r="B1152" s="1" t="s">
        <v>134</v>
      </c>
      <c r="C1152" s="1">
        <v>17723</v>
      </c>
      <c r="D1152" s="1">
        <v>26717</v>
      </c>
      <c r="E1152" s="2">
        <v>44511</v>
      </c>
      <c r="F1152" s="2">
        <v>44711</v>
      </c>
      <c r="G1152" s="3">
        <v>73696</v>
      </c>
      <c r="H1152" s="1">
        <v>0</v>
      </c>
      <c r="I1152" s="1" t="s">
        <v>1455</v>
      </c>
      <c r="J1152" s="1" t="s">
        <v>18</v>
      </c>
    </row>
    <row r="1153" spans="1:10" hidden="1" x14ac:dyDescent="0.25">
      <c r="A1153" s="1" t="s">
        <v>116</v>
      </c>
      <c r="B1153" s="1" t="s">
        <v>117</v>
      </c>
      <c r="C1153" s="1">
        <v>17730</v>
      </c>
      <c r="D1153" s="1">
        <v>26724</v>
      </c>
      <c r="E1153" s="2">
        <v>44511</v>
      </c>
      <c r="F1153" s="2">
        <v>44711</v>
      </c>
      <c r="G1153" s="3">
        <v>89600</v>
      </c>
      <c r="H1153" s="1">
        <v>0</v>
      </c>
      <c r="I1153" s="1" t="s">
        <v>1456</v>
      </c>
      <c r="J1153" s="1" t="s">
        <v>50</v>
      </c>
    </row>
    <row r="1154" spans="1:10" hidden="1" x14ac:dyDescent="0.25">
      <c r="A1154" s="1" t="s">
        <v>709</v>
      </c>
      <c r="B1154" s="1" t="s">
        <v>434</v>
      </c>
      <c r="C1154" s="1">
        <v>18082</v>
      </c>
      <c r="D1154" s="1">
        <v>27095</v>
      </c>
      <c r="E1154" s="2">
        <v>44544</v>
      </c>
      <c r="F1154" s="2">
        <v>44711</v>
      </c>
      <c r="G1154" s="3">
        <v>28780.799999999999</v>
      </c>
      <c r="H1154" s="1">
        <v>0</v>
      </c>
      <c r="I1154" s="1" t="s">
        <v>1467</v>
      </c>
      <c r="J1154" s="1" t="s">
        <v>92</v>
      </c>
    </row>
    <row r="1155" spans="1:10" hidden="1" x14ac:dyDescent="0.25">
      <c r="A1155" s="1" t="s">
        <v>154</v>
      </c>
      <c r="B1155" s="1" t="s">
        <v>144</v>
      </c>
      <c r="C1155" s="1">
        <v>17305</v>
      </c>
      <c r="D1155" s="1">
        <v>26304</v>
      </c>
      <c r="E1155" s="2">
        <v>44487</v>
      </c>
      <c r="F1155" s="2">
        <v>44711</v>
      </c>
      <c r="G1155" s="3">
        <v>72960</v>
      </c>
      <c r="H1155" s="1">
        <v>0</v>
      </c>
      <c r="I1155" s="1" t="s">
        <v>1477</v>
      </c>
      <c r="J1155" s="1" t="s">
        <v>64</v>
      </c>
    </row>
    <row r="1156" spans="1:10" hidden="1" x14ac:dyDescent="0.25">
      <c r="A1156" s="1" t="s">
        <v>779</v>
      </c>
      <c r="B1156" s="1" t="s">
        <v>780</v>
      </c>
      <c r="C1156" s="1">
        <v>17362</v>
      </c>
      <c r="D1156" s="1">
        <v>26365</v>
      </c>
      <c r="E1156" s="2">
        <v>44489</v>
      </c>
      <c r="F1156" s="2">
        <v>44711</v>
      </c>
      <c r="G1156" s="3">
        <v>244726</v>
      </c>
      <c r="H1156" s="1">
        <v>0</v>
      </c>
      <c r="I1156" s="1" t="s">
        <v>1478</v>
      </c>
      <c r="J1156" s="1" t="s">
        <v>68</v>
      </c>
    </row>
    <row r="1157" spans="1:10" hidden="1" x14ac:dyDescent="0.25">
      <c r="A1157" s="1" t="s">
        <v>316</v>
      </c>
      <c r="B1157" s="1" t="s">
        <v>317</v>
      </c>
      <c r="C1157" s="1">
        <v>17398</v>
      </c>
      <c r="D1157" s="1">
        <v>26402</v>
      </c>
      <c r="E1157" s="2">
        <v>44489</v>
      </c>
      <c r="F1157" s="2">
        <v>44711</v>
      </c>
      <c r="G1157" s="3">
        <v>141640</v>
      </c>
      <c r="H1157" s="1">
        <v>0</v>
      </c>
      <c r="I1157" s="1" t="s">
        <v>1479</v>
      </c>
      <c r="J1157" s="1" t="s">
        <v>115</v>
      </c>
    </row>
    <row r="1158" spans="1:10" hidden="1" x14ac:dyDescent="0.25">
      <c r="A1158" s="1" t="s">
        <v>133</v>
      </c>
      <c r="B1158" s="1" t="s">
        <v>134</v>
      </c>
      <c r="C1158" s="1">
        <v>18080</v>
      </c>
      <c r="D1158" s="1">
        <v>27093</v>
      </c>
      <c r="E1158" s="2">
        <v>44544</v>
      </c>
      <c r="F1158" s="2">
        <v>44711</v>
      </c>
      <c r="G1158" s="3">
        <v>50000</v>
      </c>
      <c r="H1158" s="1">
        <v>0</v>
      </c>
      <c r="I1158" s="1" t="s">
        <v>1484</v>
      </c>
      <c r="J1158" s="1" t="s">
        <v>18</v>
      </c>
    </row>
    <row r="1159" spans="1:10" hidden="1" x14ac:dyDescent="0.25">
      <c r="A1159" s="1" t="s">
        <v>116</v>
      </c>
      <c r="B1159" s="1" t="s">
        <v>117</v>
      </c>
      <c r="C1159" s="1">
        <v>17602</v>
      </c>
      <c r="D1159" s="1">
        <v>26604</v>
      </c>
      <c r="E1159" s="2">
        <v>44504</v>
      </c>
      <c r="F1159" s="2">
        <v>44711</v>
      </c>
      <c r="G1159" s="3">
        <v>355440</v>
      </c>
      <c r="H1159" s="1">
        <v>0</v>
      </c>
      <c r="I1159" s="1" t="s">
        <v>1487</v>
      </c>
      <c r="J1159" s="1" t="s">
        <v>50</v>
      </c>
    </row>
    <row r="1160" spans="1:10" hidden="1" x14ac:dyDescent="0.25">
      <c r="A1160" s="1" t="s">
        <v>622</v>
      </c>
      <c r="B1160" s="1" t="s">
        <v>174</v>
      </c>
      <c r="C1160" s="1">
        <v>17015</v>
      </c>
      <c r="D1160" s="1">
        <v>26024</v>
      </c>
      <c r="E1160" s="2">
        <v>44467</v>
      </c>
      <c r="F1160" s="2">
        <v>44711</v>
      </c>
      <c r="G1160" s="3">
        <v>30670</v>
      </c>
      <c r="H1160" s="1">
        <v>0</v>
      </c>
      <c r="I1160" s="1" t="s">
        <v>1490</v>
      </c>
      <c r="J1160" s="1" t="s">
        <v>68</v>
      </c>
    </row>
    <row r="1161" spans="1:10" hidden="1" x14ac:dyDescent="0.25">
      <c r="A1161" s="1" t="s">
        <v>78</v>
      </c>
      <c r="B1161" s="1" t="s">
        <v>79</v>
      </c>
      <c r="C1161" s="1">
        <v>17016</v>
      </c>
      <c r="D1161" s="1">
        <v>26025</v>
      </c>
      <c r="E1161" s="2">
        <v>44467</v>
      </c>
      <c r="F1161" s="2">
        <v>44711</v>
      </c>
      <c r="G1161" s="3">
        <v>46275</v>
      </c>
      <c r="H1161" s="1">
        <v>0</v>
      </c>
      <c r="I1161" s="1" t="s">
        <v>1491</v>
      </c>
      <c r="J1161" s="1" t="s">
        <v>68</v>
      </c>
    </row>
    <row r="1162" spans="1:10" hidden="1" x14ac:dyDescent="0.25">
      <c r="A1162" s="1" t="s">
        <v>977</v>
      </c>
      <c r="B1162" s="1" t="s">
        <v>978</v>
      </c>
      <c r="C1162" s="1">
        <v>16748</v>
      </c>
      <c r="D1162" s="1">
        <v>25717</v>
      </c>
      <c r="E1162" s="2">
        <v>44447</v>
      </c>
      <c r="F1162" s="2">
        <v>44711</v>
      </c>
      <c r="G1162" s="3">
        <v>34740</v>
      </c>
      <c r="H1162" s="1">
        <v>0</v>
      </c>
      <c r="I1162" s="1" t="s">
        <v>1493</v>
      </c>
      <c r="J1162" s="1" t="s">
        <v>242</v>
      </c>
    </row>
    <row r="1163" spans="1:10" hidden="1" x14ac:dyDescent="0.25">
      <c r="A1163" s="1" t="s">
        <v>133</v>
      </c>
      <c r="B1163" s="1" t="s">
        <v>134</v>
      </c>
      <c r="C1163" s="1">
        <v>17552</v>
      </c>
      <c r="D1163" s="1">
        <v>26559</v>
      </c>
      <c r="E1163" s="2">
        <v>44501</v>
      </c>
      <c r="F1163" s="2">
        <v>44711</v>
      </c>
      <c r="G1163" s="3">
        <v>33000</v>
      </c>
      <c r="H1163" s="1">
        <v>0</v>
      </c>
      <c r="I1163" s="1" t="s">
        <v>1510</v>
      </c>
      <c r="J1163" s="1" t="s">
        <v>18</v>
      </c>
    </row>
    <row r="1164" spans="1:10" hidden="1" x14ac:dyDescent="0.25">
      <c r="A1164" s="1" t="s">
        <v>793</v>
      </c>
      <c r="B1164" s="1" t="s">
        <v>215</v>
      </c>
      <c r="C1164" s="1">
        <v>17033</v>
      </c>
      <c r="D1164" s="1">
        <v>26042</v>
      </c>
      <c r="E1164" s="2">
        <v>44468</v>
      </c>
      <c r="F1164" s="2">
        <v>44711</v>
      </c>
      <c r="G1164" s="3">
        <v>32500</v>
      </c>
      <c r="H1164" s="1">
        <v>0</v>
      </c>
      <c r="I1164" s="1" t="s">
        <v>1513</v>
      </c>
      <c r="J1164" s="1" t="s">
        <v>64</v>
      </c>
    </row>
    <row r="1165" spans="1:10" hidden="1" x14ac:dyDescent="0.25">
      <c r="A1165" s="1" t="s">
        <v>291</v>
      </c>
      <c r="B1165" s="1" t="s">
        <v>292</v>
      </c>
      <c r="C1165" s="1">
        <v>18387</v>
      </c>
      <c r="D1165" s="1">
        <v>27395</v>
      </c>
      <c r="E1165" s="2">
        <v>44575</v>
      </c>
      <c r="F1165" s="2">
        <v>44711</v>
      </c>
      <c r="G1165" s="3">
        <v>25107.599999999999</v>
      </c>
      <c r="H1165" s="1">
        <v>0</v>
      </c>
      <c r="I1165" s="1" t="s">
        <v>1514</v>
      </c>
      <c r="J1165" s="1" t="s">
        <v>115</v>
      </c>
    </row>
    <row r="1166" spans="1:10" hidden="1" x14ac:dyDescent="0.25">
      <c r="A1166" s="1" t="s">
        <v>116</v>
      </c>
      <c r="B1166" s="1" t="s">
        <v>117</v>
      </c>
      <c r="C1166" s="1">
        <v>17419</v>
      </c>
      <c r="D1166" s="1">
        <v>26420</v>
      </c>
      <c r="E1166" s="2">
        <v>44490</v>
      </c>
      <c r="F1166" s="2">
        <v>44711</v>
      </c>
      <c r="G1166" s="3">
        <v>277650</v>
      </c>
      <c r="H1166" s="1">
        <v>0</v>
      </c>
      <c r="I1166" s="1" t="s">
        <v>1520</v>
      </c>
      <c r="J1166" s="1" t="s">
        <v>50</v>
      </c>
    </row>
    <row r="1167" spans="1:10" hidden="1" x14ac:dyDescent="0.25">
      <c r="A1167" s="1" t="s">
        <v>383</v>
      </c>
      <c r="B1167" s="1" t="s">
        <v>384</v>
      </c>
      <c r="C1167" s="1">
        <v>17243</v>
      </c>
      <c r="D1167" s="1">
        <v>26243</v>
      </c>
      <c r="E1167" s="2">
        <v>44482</v>
      </c>
      <c r="F1167" s="2">
        <v>44711</v>
      </c>
      <c r="G1167" s="3">
        <v>19300</v>
      </c>
      <c r="H1167" s="1">
        <v>0</v>
      </c>
      <c r="I1167" s="1" t="s">
        <v>1538</v>
      </c>
      <c r="J1167" s="1" t="s">
        <v>115</v>
      </c>
    </row>
    <row r="1168" spans="1:10" hidden="1" x14ac:dyDescent="0.25">
      <c r="A1168" s="1" t="s">
        <v>480</v>
      </c>
      <c r="B1168" s="1" t="s">
        <v>434</v>
      </c>
      <c r="C1168" s="1">
        <v>17358</v>
      </c>
      <c r="D1168" s="1">
        <v>26360</v>
      </c>
      <c r="E1168" s="2">
        <v>44488</v>
      </c>
      <c r="F1168" s="2">
        <v>44711</v>
      </c>
      <c r="G1168" s="3">
        <v>4550</v>
      </c>
      <c r="H1168" s="1">
        <v>0</v>
      </c>
      <c r="I1168" s="1" t="s">
        <v>1539</v>
      </c>
      <c r="J1168" s="1" t="s">
        <v>92</v>
      </c>
    </row>
    <row r="1169" spans="1:10" hidden="1" x14ac:dyDescent="0.25">
      <c r="A1169" s="1" t="s">
        <v>78</v>
      </c>
      <c r="B1169" s="1" t="s">
        <v>79</v>
      </c>
      <c r="C1169" s="1">
        <v>17636</v>
      </c>
      <c r="D1169" s="1">
        <v>26639</v>
      </c>
      <c r="E1169" s="2">
        <v>44505</v>
      </c>
      <c r="F1169" s="2">
        <v>44711</v>
      </c>
      <c r="G1169" s="3">
        <v>19800</v>
      </c>
      <c r="H1169" s="1">
        <v>0</v>
      </c>
      <c r="I1169" s="1" t="s">
        <v>1566</v>
      </c>
      <c r="J1169" s="1" t="s">
        <v>68</v>
      </c>
    </row>
    <row r="1170" spans="1:10" hidden="1" x14ac:dyDescent="0.25">
      <c r="A1170" s="1" t="s">
        <v>268</v>
      </c>
      <c r="B1170" s="1" t="s">
        <v>269</v>
      </c>
      <c r="C1170" s="1">
        <v>17349</v>
      </c>
      <c r="D1170" s="1">
        <v>26353</v>
      </c>
      <c r="E1170" s="2">
        <v>44488</v>
      </c>
      <c r="F1170" s="2">
        <v>44711</v>
      </c>
      <c r="G1170" s="3">
        <v>199500</v>
      </c>
      <c r="H1170" s="1">
        <v>0</v>
      </c>
      <c r="I1170" s="1" t="s">
        <v>1575</v>
      </c>
      <c r="J1170" s="1" t="s">
        <v>31</v>
      </c>
    </row>
    <row r="1171" spans="1:10" hidden="1" x14ac:dyDescent="0.25">
      <c r="A1171" s="1" t="s">
        <v>133</v>
      </c>
      <c r="B1171" s="1" t="s">
        <v>134</v>
      </c>
      <c r="C1171" s="1">
        <v>16626</v>
      </c>
      <c r="D1171" s="1">
        <v>25590</v>
      </c>
      <c r="E1171" s="2">
        <v>44432</v>
      </c>
      <c r="F1171" s="2">
        <v>44711</v>
      </c>
      <c r="G1171" s="3">
        <v>94300</v>
      </c>
      <c r="H1171" s="1">
        <v>0</v>
      </c>
      <c r="I1171" s="1" t="s">
        <v>1601</v>
      </c>
      <c r="J1171" s="1" t="s">
        <v>18</v>
      </c>
    </row>
    <row r="1172" spans="1:10" hidden="1" x14ac:dyDescent="0.25">
      <c r="A1172" s="1" t="s">
        <v>154</v>
      </c>
      <c r="B1172" s="1" t="s">
        <v>144</v>
      </c>
      <c r="C1172" s="1">
        <v>16812</v>
      </c>
      <c r="D1172" s="1">
        <v>25783</v>
      </c>
      <c r="E1172" s="2">
        <v>44453</v>
      </c>
      <c r="F1172" s="2">
        <v>44711</v>
      </c>
      <c r="G1172" s="3">
        <v>105600</v>
      </c>
      <c r="H1172" s="1">
        <v>0</v>
      </c>
      <c r="I1172" s="1" t="s">
        <v>1614</v>
      </c>
      <c r="J1172" s="1" t="s">
        <v>64</v>
      </c>
    </row>
    <row r="1173" spans="1:10" hidden="1" x14ac:dyDescent="0.25">
      <c r="A1173" s="1" t="s">
        <v>33</v>
      </c>
      <c r="B1173" s="1" t="s">
        <v>34</v>
      </c>
      <c r="C1173" s="1">
        <v>17564</v>
      </c>
      <c r="D1173" s="1">
        <v>26571</v>
      </c>
      <c r="E1173" s="2">
        <v>44503</v>
      </c>
      <c r="F1173" s="2">
        <v>44711</v>
      </c>
      <c r="G1173" s="3">
        <v>219256</v>
      </c>
      <c r="H1173" s="1">
        <v>0</v>
      </c>
      <c r="I1173" s="1" t="s">
        <v>1625</v>
      </c>
      <c r="J1173" s="1" t="s">
        <v>18</v>
      </c>
    </row>
    <row r="1174" spans="1:10" hidden="1" x14ac:dyDescent="0.25">
      <c r="A1174" s="1" t="s">
        <v>173</v>
      </c>
      <c r="B1174" s="1" t="s">
        <v>174</v>
      </c>
      <c r="C1174" s="1">
        <v>17664</v>
      </c>
      <c r="D1174" s="1">
        <v>26661</v>
      </c>
      <c r="E1174" s="2">
        <v>44508</v>
      </c>
      <c r="F1174" s="2">
        <v>44711</v>
      </c>
      <c r="G1174" s="3">
        <v>72000</v>
      </c>
      <c r="H1174" s="1">
        <v>0</v>
      </c>
      <c r="I1174" s="1" t="s">
        <v>1627</v>
      </c>
      <c r="J1174" s="1" t="s">
        <v>68</v>
      </c>
    </row>
    <row r="1175" spans="1:10" hidden="1" x14ac:dyDescent="0.25">
      <c r="A1175" s="1" t="s">
        <v>793</v>
      </c>
      <c r="B1175" s="1" t="s">
        <v>215</v>
      </c>
      <c r="C1175" s="1">
        <v>17366</v>
      </c>
      <c r="D1175" s="1">
        <v>26371</v>
      </c>
      <c r="E1175" s="2">
        <v>44489</v>
      </c>
      <c r="F1175" s="2">
        <v>44711</v>
      </c>
      <c r="G1175" s="3">
        <v>59000</v>
      </c>
      <c r="H1175" s="1">
        <v>0</v>
      </c>
      <c r="I1175" s="1" t="s">
        <v>1644</v>
      </c>
      <c r="J1175" s="1" t="s">
        <v>64</v>
      </c>
    </row>
    <row r="1176" spans="1:10" hidden="1" x14ac:dyDescent="0.25">
      <c r="A1176" s="1" t="s">
        <v>173</v>
      </c>
      <c r="B1176" s="1" t="s">
        <v>174</v>
      </c>
      <c r="C1176" s="1">
        <v>17014</v>
      </c>
      <c r="D1176" s="1">
        <v>26023</v>
      </c>
      <c r="E1176" s="2">
        <v>44467</v>
      </c>
      <c r="F1176" s="2">
        <v>44711</v>
      </c>
      <c r="G1176" s="3">
        <v>105985</v>
      </c>
      <c r="H1176" s="1">
        <v>0</v>
      </c>
      <c r="I1176" s="1" t="s">
        <v>1653</v>
      </c>
      <c r="J1176" s="1" t="s">
        <v>68</v>
      </c>
    </row>
    <row r="1177" spans="1:10" hidden="1" x14ac:dyDescent="0.25">
      <c r="A1177" s="1" t="s">
        <v>622</v>
      </c>
      <c r="B1177" s="1" t="s">
        <v>174</v>
      </c>
      <c r="C1177" s="1">
        <v>16781</v>
      </c>
      <c r="D1177" s="1">
        <v>25754</v>
      </c>
      <c r="E1177" s="2">
        <v>44452</v>
      </c>
      <c r="F1177" s="2">
        <v>44711</v>
      </c>
      <c r="G1177" s="3">
        <v>10500</v>
      </c>
      <c r="H1177" s="1">
        <v>0</v>
      </c>
      <c r="I1177" s="1" t="s">
        <v>1656</v>
      </c>
      <c r="J1177" s="1" t="s">
        <v>68</v>
      </c>
    </row>
    <row r="1178" spans="1:10" hidden="1" x14ac:dyDescent="0.25">
      <c r="A1178" s="1" t="s">
        <v>154</v>
      </c>
      <c r="B1178" s="1" t="s">
        <v>144</v>
      </c>
      <c r="C1178" s="1">
        <v>17304</v>
      </c>
      <c r="D1178" s="1">
        <v>26303</v>
      </c>
      <c r="E1178" s="2">
        <v>44487</v>
      </c>
      <c r="F1178" s="2">
        <v>44711</v>
      </c>
      <c r="G1178" s="3">
        <v>56400</v>
      </c>
      <c r="H1178" s="1">
        <v>0</v>
      </c>
      <c r="I1178" s="1" t="s">
        <v>1668</v>
      </c>
      <c r="J1178" s="1" t="s">
        <v>64</v>
      </c>
    </row>
    <row r="1179" spans="1:10" hidden="1" x14ac:dyDescent="0.25">
      <c r="A1179" s="1" t="s">
        <v>622</v>
      </c>
      <c r="B1179" s="1" t="s">
        <v>174</v>
      </c>
      <c r="C1179" s="1">
        <v>17195</v>
      </c>
      <c r="D1179" s="1">
        <v>26193</v>
      </c>
      <c r="E1179" s="2">
        <v>44477</v>
      </c>
      <c r="F1179" s="2">
        <v>44711</v>
      </c>
      <c r="G1179" s="3">
        <v>52800</v>
      </c>
      <c r="H1179" s="1">
        <v>0</v>
      </c>
      <c r="I1179" s="1" t="s">
        <v>1670</v>
      </c>
      <c r="J1179" s="1" t="s">
        <v>68</v>
      </c>
    </row>
    <row r="1180" spans="1:10" hidden="1" x14ac:dyDescent="0.25">
      <c r="A1180" s="1" t="s">
        <v>116</v>
      </c>
      <c r="B1180" s="1" t="s">
        <v>117</v>
      </c>
      <c r="C1180" s="1">
        <v>17608</v>
      </c>
      <c r="D1180" s="1">
        <v>26610</v>
      </c>
      <c r="E1180" s="2">
        <v>44504</v>
      </c>
      <c r="F1180" s="2">
        <v>44711</v>
      </c>
      <c r="G1180" s="3">
        <v>253000</v>
      </c>
      <c r="H1180" s="1">
        <v>0</v>
      </c>
      <c r="I1180" s="1" t="s">
        <v>1678</v>
      </c>
      <c r="J1180" s="1" t="s">
        <v>50</v>
      </c>
    </row>
    <row r="1181" spans="1:10" hidden="1" x14ac:dyDescent="0.25">
      <c r="A1181" s="1" t="s">
        <v>89</v>
      </c>
      <c r="B1181" s="1" t="s">
        <v>90</v>
      </c>
      <c r="C1181" s="1">
        <v>17293</v>
      </c>
      <c r="D1181" s="1">
        <v>26291</v>
      </c>
      <c r="E1181" s="2">
        <v>44484</v>
      </c>
      <c r="F1181" s="2">
        <v>44711</v>
      </c>
      <c r="G1181" s="3">
        <v>34467.519999999997</v>
      </c>
      <c r="H1181" s="1">
        <v>0</v>
      </c>
      <c r="I1181" s="1" t="s">
        <v>688</v>
      </c>
      <c r="J1181" s="1" t="s">
        <v>92</v>
      </c>
    </row>
    <row r="1182" spans="1:10" hidden="1" x14ac:dyDescent="0.25">
      <c r="A1182" s="1" t="s">
        <v>133</v>
      </c>
      <c r="B1182" s="1" t="s">
        <v>134</v>
      </c>
      <c r="C1182" s="1">
        <v>18678</v>
      </c>
      <c r="D1182" s="1">
        <v>27690</v>
      </c>
      <c r="E1182" s="2">
        <v>44600</v>
      </c>
      <c r="F1182" s="2">
        <v>44711</v>
      </c>
      <c r="G1182" s="3">
        <v>71200</v>
      </c>
      <c r="H1182" s="1">
        <v>0</v>
      </c>
      <c r="I1182" s="1" t="s">
        <v>1687</v>
      </c>
      <c r="J1182" s="1" t="s">
        <v>18</v>
      </c>
    </row>
    <row r="1183" spans="1:10" hidden="1" x14ac:dyDescent="0.25">
      <c r="A1183" s="1" t="s">
        <v>15</v>
      </c>
      <c r="B1183" s="1" t="s">
        <v>16</v>
      </c>
      <c r="C1183" s="1">
        <v>17288</v>
      </c>
      <c r="D1183" s="1">
        <v>26286</v>
      </c>
      <c r="E1183" s="2">
        <v>44484</v>
      </c>
      <c r="F1183" s="2">
        <v>44711</v>
      </c>
      <c r="G1183" s="3">
        <v>27460</v>
      </c>
      <c r="H1183" s="1">
        <v>0</v>
      </c>
      <c r="I1183" s="1" t="s">
        <v>1692</v>
      </c>
      <c r="J1183" s="1" t="s">
        <v>18</v>
      </c>
    </row>
    <row r="1184" spans="1:10" hidden="1" x14ac:dyDescent="0.25">
      <c r="A1184" s="1" t="s">
        <v>622</v>
      </c>
      <c r="B1184" s="1" t="s">
        <v>174</v>
      </c>
      <c r="C1184" s="1">
        <v>17437</v>
      </c>
      <c r="D1184" s="1">
        <v>26441</v>
      </c>
      <c r="E1184" s="2">
        <v>44491</v>
      </c>
      <c r="F1184" s="2">
        <v>44711</v>
      </c>
      <c r="G1184" s="3">
        <v>77550</v>
      </c>
      <c r="H1184" s="1">
        <v>0</v>
      </c>
      <c r="I1184" s="1" t="s">
        <v>1700</v>
      </c>
      <c r="J1184" s="1" t="s">
        <v>68</v>
      </c>
    </row>
    <row r="1185" spans="1:10" hidden="1" x14ac:dyDescent="0.25">
      <c r="A1185" s="1" t="s">
        <v>78</v>
      </c>
      <c r="B1185" s="1" t="s">
        <v>79</v>
      </c>
      <c r="C1185" s="1">
        <v>17748</v>
      </c>
      <c r="D1185" s="1">
        <v>26744</v>
      </c>
      <c r="E1185" s="2">
        <v>44512</v>
      </c>
      <c r="F1185" s="2">
        <v>44711</v>
      </c>
      <c r="G1185" s="3">
        <v>42300</v>
      </c>
      <c r="H1185" s="1">
        <v>0</v>
      </c>
      <c r="I1185" s="1" t="s">
        <v>1708</v>
      </c>
      <c r="J1185" s="1" t="s">
        <v>68</v>
      </c>
    </row>
    <row r="1186" spans="1:10" hidden="1" x14ac:dyDescent="0.25">
      <c r="A1186" s="1" t="s">
        <v>116</v>
      </c>
      <c r="B1186" s="1" t="s">
        <v>117</v>
      </c>
      <c r="C1186" s="1">
        <v>18516</v>
      </c>
      <c r="D1186" s="1">
        <v>27515</v>
      </c>
      <c r="E1186" s="2">
        <v>44585</v>
      </c>
      <c r="F1186" s="2">
        <v>44711</v>
      </c>
      <c r="G1186" s="3">
        <v>23520</v>
      </c>
      <c r="H1186" s="1">
        <v>0</v>
      </c>
      <c r="I1186" s="1" t="s">
        <v>1709</v>
      </c>
      <c r="J1186" s="1" t="s">
        <v>50</v>
      </c>
    </row>
    <row r="1187" spans="1:10" hidden="1" x14ac:dyDescent="0.25">
      <c r="A1187" s="1" t="s">
        <v>291</v>
      </c>
      <c r="B1187" s="1" t="s">
        <v>292</v>
      </c>
      <c r="C1187" s="1">
        <v>18698</v>
      </c>
      <c r="D1187" s="1">
        <v>27711</v>
      </c>
      <c r="E1187" s="2">
        <v>44602</v>
      </c>
      <c r="F1187" s="2">
        <v>44711</v>
      </c>
      <c r="G1187" s="3">
        <v>56360</v>
      </c>
      <c r="H1187" s="1">
        <v>0</v>
      </c>
      <c r="I1187" s="1" t="s">
        <v>1711</v>
      </c>
      <c r="J1187" s="1" t="s">
        <v>115</v>
      </c>
    </row>
    <row r="1188" spans="1:10" hidden="1" x14ac:dyDescent="0.25">
      <c r="A1188" s="1" t="s">
        <v>78</v>
      </c>
      <c r="B1188" s="1" t="s">
        <v>79</v>
      </c>
      <c r="C1188" s="1">
        <v>17130</v>
      </c>
      <c r="D1188" s="1">
        <v>26137</v>
      </c>
      <c r="E1188" s="2">
        <v>44474</v>
      </c>
      <c r="F1188" s="2">
        <v>44711</v>
      </c>
      <c r="G1188" s="3">
        <v>60000</v>
      </c>
      <c r="H1188" s="1">
        <v>0</v>
      </c>
      <c r="I1188" s="1" t="s">
        <v>1712</v>
      </c>
      <c r="J1188" s="1" t="s">
        <v>68</v>
      </c>
    </row>
    <row r="1189" spans="1:10" hidden="1" x14ac:dyDescent="0.25">
      <c r="A1189" s="1" t="s">
        <v>338</v>
      </c>
      <c r="B1189" s="1" t="s">
        <v>305</v>
      </c>
      <c r="C1189" s="1">
        <v>17915</v>
      </c>
      <c r="D1189" s="1">
        <v>26928</v>
      </c>
      <c r="E1189" s="2">
        <v>44532</v>
      </c>
      <c r="F1189" s="2">
        <v>44712</v>
      </c>
      <c r="G1189" s="3">
        <v>2920</v>
      </c>
      <c r="H1189" s="1">
        <v>0</v>
      </c>
      <c r="I1189" s="1" t="s">
        <v>354</v>
      </c>
      <c r="J1189" s="1" t="s">
        <v>27</v>
      </c>
    </row>
    <row r="1190" spans="1:10" hidden="1" x14ac:dyDescent="0.25">
      <c r="A1190" s="1" t="s">
        <v>10</v>
      </c>
      <c r="B1190" s="1" t="s">
        <v>11</v>
      </c>
      <c r="C1190" s="1">
        <v>17905</v>
      </c>
      <c r="D1190" s="1">
        <v>26917</v>
      </c>
      <c r="E1190" s="2">
        <v>44532</v>
      </c>
      <c r="F1190" s="2">
        <v>44712</v>
      </c>
      <c r="G1190" s="3">
        <v>15900</v>
      </c>
      <c r="H1190" s="1">
        <v>0</v>
      </c>
      <c r="I1190" s="1" t="s">
        <v>543</v>
      </c>
      <c r="J1190" s="1" t="s">
        <v>13</v>
      </c>
    </row>
    <row r="1191" spans="1:10" hidden="1" x14ac:dyDescent="0.25">
      <c r="A1191" s="1" t="s">
        <v>97</v>
      </c>
      <c r="B1191" s="1" t="s">
        <v>98</v>
      </c>
      <c r="C1191" s="1">
        <v>17920</v>
      </c>
      <c r="D1191" s="1">
        <v>26933</v>
      </c>
      <c r="E1191" s="2">
        <v>44532</v>
      </c>
      <c r="F1191" s="2">
        <v>44712</v>
      </c>
      <c r="G1191" s="3">
        <v>78240</v>
      </c>
      <c r="H1191" s="1">
        <v>0</v>
      </c>
      <c r="I1191" s="1" t="s">
        <v>903</v>
      </c>
      <c r="J1191" s="1" t="s">
        <v>27</v>
      </c>
    </row>
    <row r="1192" spans="1:10" hidden="1" x14ac:dyDescent="0.25">
      <c r="A1192" s="1" t="s">
        <v>622</v>
      </c>
      <c r="B1192" s="1" t="s">
        <v>174</v>
      </c>
      <c r="C1192" s="1">
        <v>18871</v>
      </c>
      <c r="D1192" s="1">
        <v>27889</v>
      </c>
      <c r="E1192" s="2">
        <v>44622</v>
      </c>
      <c r="F1192" s="2">
        <v>44712</v>
      </c>
      <c r="G1192" s="3">
        <v>13200</v>
      </c>
      <c r="H1192" s="1">
        <v>0</v>
      </c>
      <c r="I1192" s="1" t="s">
        <v>981</v>
      </c>
      <c r="J1192" s="1" t="s">
        <v>68</v>
      </c>
    </row>
    <row r="1193" spans="1:10" hidden="1" x14ac:dyDescent="0.25">
      <c r="A1193" s="1" t="s">
        <v>231</v>
      </c>
      <c r="B1193" s="1" t="s">
        <v>232</v>
      </c>
      <c r="C1193" s="1">
        <v>17926</v>
      </c>
      <c r="D1193" s="1">
        <v>26940</v>
      </c>
      <c r="E1193" s="2">
        <v>44532</v>
      </c>
      <c r="F1193" s="2">
        <v>44712</v>
      </c>
      <c r="G1193" s="3">
        <v>1500</v>
      </c>
      <c r="H1193" s="1">
        <v>0</v>
      </c>
      <c r="I1193" s="1" t="s">
        <v>1067</v>
      </c>
      <c r="J1193" s="1" t="s">
        <v>13</v>
      </c>
    </row>
    <row r="1194" spans="1:10" hidden="1" x14ac:dyDescent="0.25">
      <c r="A1194" s="1" t="s">
        <v>116</v>
      </c>
      <c r="B1194" s="1" t="s">
        <v>117</v>
      </c>
      <c r="C1194" s="1">
        <v>18857</v>
      </c>
      <c r="D1194" s="1">
        <v>27877</v>
      </c>
      <c r="E1194" s="2">
        <v>44622</v>
      </c>
      <c r="F1194" s="2">
        <v>44712</v>
      </c>
      <c r="G1194" s="3">
        <v>66474</v>
      </c>
      <c r="H1194" s="1">
        <v>0</v>
      </c>
      <c r="I1194" s="1" t="s">
        <v>1249</v>
      </c>
      <c r="J1194" s="1" t="s">
        <v>50</v>
      </c>
    </row>
    <row r="1195" spans="1:10" hidden="1" x14ac:dyDescent="0.25">
      <c r="A1195" s="1" t="s">
        <v>304</v>
      </c>
      <c r="B1195" s="1" t="s">
        <v>305</v>
      </c>
      <c r="C1195" s="1">
        <v>17916</v>
      </c>
      <c r="D1195" s="1">
        <v>26929</v>
      </c>
      <c r="E1195" s="2">
        <v>44532</v>
      </c>
      <c r="F1195" s="2">
        <v>44712</v>
      </c>
      <c r="G1195" s="3">
        <v>2920</v>
      </c>
      <c r="H1195" s="1">
        <v>0</v>
      </c>
      <c r="I1195" s="1" t="s">
        <v>1319</v>
      </c>
      <c r="J1195" s="1" t="s">
        <v>27</v>
      </c>
    </row>
    <row r="1196" spans="1:10" hidden="1" x14ac:dyDescent="0.25">
      <c r="A1196" s="1" t="s">
        <v>304</v>
      </c>
      <c r="B1196" s="1" t="s">
        <v>305</v>
      </c>
      <c r="C1196" s="1">
        <v>17917</v>
      </c>
      <c r="D1196" s="1">
        <v>26930</v>
      </c>
      <c r="E1196" s="2">
        <v>44532</v>
      </c>
      <c r="F1196" s="2">
        <v>44712</v>
      </c>
      <c r="G1196" s="3">
        <v>53889</v>
      </c>
      <c r="H1196" s="1">
        <v>0</v>
      </c>
      <c r="I1196" s="1" t="s">
        <v>1343</v>
      </c>
      <c r="J1196" s="1" t="s">
        <v>27</v>
      </c>
    </row>
    <row r="1197" spans="1:10" hidden="1" x14ac:dyDescent="0.25">
      <c r="A1197" s="1" t="s">
        <v>10</v>
      </c>
      <c r="B1197" s="1" t="s">
        <v>11</v>
      </c>
      <c r="C1197" s="1">
        <v>17909</v>
      </c>
      <c r="D1197" s="1">
        <v>26922</v>
      </c>
      <c r="E1197" s="2">
        <v>44532</v>
      </c>
      <c r="F1197" s="2">
        <v>44712</v>
      </c>
      <c r="G1197" s="3">
        <v>105000</v>
      </c>
      <c r="H1197" s="1">
        <v>0</v>
      </c>
      <c r="I1197" s="1" t="s">
        <v>1356</v>
      </c>
      <c r="J1197" s="1" t="s">
        <v>13</v>
      </c>
    </row>
    <row r="1198" spans="1:10" hidden="1" x14ac:dyDescent="0.25">
      <c r="A1198" s="1" t="s">
        <v>325</v>
      </c>
      <c r="B1198" s="1" t="s">
        <v>326</v>
      </c>
      <c r="C1198" s="1">
        <v>18868</v>
      </c>
      <c r="D1198" s="1">
        <v>27887</v>
      </c>
      <c r="E1198" s="2">
        <v>44622</v>
      </c>
      <c r="F1198" s="2">
        <v>44712</v>
      </c>
      <c r="G1198" s="3">
        <v>23941</v>
      </c>
      <c r="H1198" s="1">
        <v>0</v>
      </c>
      <c r="I1198" s="1" t="s">
        <v>1399</v>
      </c>
      <c r="J1198" s="1" t="s">
        <v>88</v>
      </c>
    </row>
    <row r="1199" spans="1:10" hidden="1" x14ac:dyDescent="0.25">
      <c r="A1199" s="1" t="s">
        <v>116</v>
      </c>
      <c r="B1199" s="1" t="s">
        <v>117</v>
      </c>
      <c r="C1199" s="1">
        <v>18858</v>
      </c>
      <c r="D1199" s="1">
        <v>27878</v>
      </c>
      <c r="E1199" s="2">
        <v>44622</v>
      </c>
      <c r="F1199" s="2">
        <v>44712</v>
      </c>
      <c r="G1199" s="3">
        <v>22158</v>
      </c>
      <c r="H1199" s="1">
        <v>0</v>
      </c>
      <c r="I1199" s="1" t="s">
        <v>1421</v>
      </c>
      <c r="J1199" s="1" t="s">
        <v>50</v>
      </c>
    </row>
    <row r="1200" spans="1:10" hidden="1" x14ac:dyDescent="0.25">
      <c r="A1200" s="1" t="s">
        <v>108</v>
      </c>
      <c r="B1200" s="1" t="s">
        <v>109</v>
      </c>
      <c r="C1200" s="1">
        <v>17570</v>
      </c>
      <c r="D1200" s="1">
        <v>26577</v>
      </c>
      <c r="E1200" s="2">
        <v>44503</v>
      </c>
      <c r="F1200" s="2">
        <v>44713</v>
      </c>
      <c r="G1200" s="3">
        <v>112224</v>
      </c>
      <c r="H1200" s="1">
        <v>0</v>
      </c>
      <c r="I1200" s="1" t="s">
        <v>514</v>
      </c>
      <c r="J1200" s="1" t="s">
        <v>88</v>
      </c>
    </row>
    <row r="1201" spans="1:10" hidden="1" x14ac:dyDescent="0.25">
      <c r="A1201" s="1" t="s">
        <v>420</v>
      </c>
      <c r="B1201" s="1" t="s">
        <v>421</v>
      </c>
      <c r="C1201" s="1">
        <v>18892</v>
      </c>
      <c r="D1201" s="1">
        <v>27908</v>
      </c>
      <c r="E1201" s="2">
        <v>44623</v>
      </c>
      <c r="F1201" s="2">
        <v>44713</v>
      </c>
      <c r="G1201" s="3">
        <v>51700</v>
      </c>
      <c r="H1201" s="1">
        <v>0</v>
      </c>
      <c r="I1201" s="1" t="s">
        <v>1177</v>
      </c>
      <c r="J1201" s="1" t="s">
        <v>23</v>
      </c>
    </row>
    <row r="1202" spans="1:10" hidden="1" x14ac:dyDescent="0.25">
      <c r="A1202" s="1" t="s">
        <v>420</v>
      </c>
      <c r="B1202" s="1" t="s">
        <v>421</v>
      </c>
      <c r="C1202" s="1">
        <v>18891</v>
      </c>
      <c r="D1202" s="1">
        <v>27907</v>
      </c>
      <c r="E1202" s="2">
        <v>44623</v>
      </c>
      <c r="F1202" s="2">
        <v>44713</v>
      </c>
      <c r="G1202" s="3">
        <v>49860</v>
      </c>
      <c r="H1202" s="1">
        <v>0</v>
      </c>
      <c r="I1202" s="1" t="s">
        <v>1314</v>
      </c>
      <c r="J1202" s="1" t="s">
        <v>23</v>
      </c>
    </row>
    <row r="1203" spans="1:10" hidden="1" x14ac:dyDescent="0.25">
      <c r="A1203" s="1" t="s">
        <v>277</v>
      </c>
      <c r="B1203" s="1" t="s">
        <v>278</v>
      </c>
      <c r="C1203" s="1">
        <v>18879</v>
      </c>
      <c r="D1203" s="1">
        <v>27896</v>
      </c>
      <c r="E1203" s="2">
        <v>44623</v>
      </c>
      <c r="F1203" s="2">
        <v>44713</v>
      </c>
      <c r="G1203" s="3">
        <v>12259.32</v>
      </c>
      <c r="H1203" s="1">
        <v>0</v>
      </c>
      <c r="I1203" s="1" t="s">
        <v>1600</v>
      </c>
      <c r="J1203" s="1" t="s">
        <v>13</v>
      </c>
    </row>
    <row r="1204" spans="1:10" hidden="1" x14ac:dyDescent="0.25">
      <c r="A1204" s="1" t="s">
        <v>10</v>
      </c>
      <c r="B1204" s="1" t="s">
        <v>11</v>
      </c>
      <c r="C1204" s="1">
        <v>18238</v>
      </c>
      <c r="D1204" s="1">
        <v>27250</v>
      </c>
      <c r="E1204" s="2">
        <v>44564</v>
      </c>
      <c r="F1204" s="2">
        <v>44714</v>
      </c>
      <c r="G1204" s="3">
        <v>77999.92</v>
      </c>
      <c r="H1204" s="1">
        <v>0</v>
      </c>
      <c r="I1204" s="1" t="s">
        <v>355</v>
      </c>
      <c r="J1204" s="1" t="s">
        <v>13</v>
      </c>
    </row>
    <row r="1205" spans="1:10" hidden="1" x14ac:dyDescent="0.25">
      <c r="A1205" s="1" t="s">
        <v>420</v>
      </c>
      <c r="B1205" s="1" t="s">
        <v>421</v>
      </c>
      <c r="C1205" s="1">
        <v>18909</v>
      </c>
      <c r="D1205" s="1">
        <v>27924</v>
      </c>
      <c r="E1205" s="2">
        <v>44624</v>
      </c>
      <c r="F1205" s="2">
        <v>44714</v>
      </c>
      <c r="G1205" s="3">
        <v>19910</v>
      </c>
      <c r="H1205" s="1">
        <v>0</v>
      </c>
      <c r="I1205" s="1" t="s">
        <v>788</v>
      </c>
      <c r="J1205" s="1" t="s">
        <v>23</v>
      </c>
    </row>
    <row r="1206" spans="1:10" hidden="1" x14ac:dyDescent="0.25">
      <c r="A1206" s="1" t="s">
        <v>24</v>
      </c>
      <c r="B1206" s="1" t="s">
        <v>25</v>
      </c>
      <c r="C1206" s="1">
        <v>18252</v>
      </c>
      <c r="D1206" s="1">
        <v>27263</v>
      </c>
      <c r="E1206" s="2">
        <v>44565</v>
      </c>
      <c r="F1206" s="2">
        <v>44715</v>
      </c>
      <c r="G1206" s="3">
        <v>64226.5</v>
      </c>
      <c r="H1206" s="1">
        <v>0</v>
      </c>
      <c r="I1206" s="1" t="s">
        <v>93</v>
      </c>
      <c r="J1206" s="1" t="s">
        <v>27</v>
      </c>
    </row>
    <row r="1207" spans="1:10" hidden="1" x14ac:dyDescent="0.25">
      <c r="A1207" s="1" t="s">
        <v>572</v>
      </c>
      <c r="B1207" s="1" t="s">
        <v>573</v>
      </c>
      <c r="C1207" s="1">
        <v>18388</v>
      </c>
      <c r="D1207" s="1">
        <v>27396</v>
      </c>
      <c r="E1207" s="2">
        <v>44575</v>
      </c>
      <c r="F1207" s="2">
        <v>44715</v>
      </c>
      <c r="G1207" s="3">
        <v>177600</v>
      </c>
      <c r="H1207" s="1">
        <v>0</v>
      </c>
      <c r="I1207" s="1" t="s">
        <v>574</v>
      </c>
      <c r="J1207" s="1" t="s">
        <v>115</v>
      </c>
    </row>
    <row r="1208" spans="1:10" hidden="1" x14ac:dyDescent="0.25">
      <c r="A1208" s="1" t="s">
        <v>727</v>
      </c>
      <c r="B1208" s="1" t="s">
        <v>728</v>
      </c>
      <c r="C1208" s="1">
        <v>18248</v>
      </c>
      <c r="D1208" s="1">
        <v>27261</v>
      </c>
      <c r="E1208" s="2">
        <v>44565</v>
      </c>
      <c r="F1208" s="2">
        <v>44715</v>
      </c>
      <c r="G1208" s="3">
        <v>31740</v>
      </c>
      <c r="H1208" s="1">
        <v>0</v>
      </c>
      <c r="I1208" s="1" t="s">
        <v>729</v>
      </c>
      <c r="J1208" s="1" t="s">
        <v>730</v>
      </c>
    </row>
    <row r="1209" spans="1:10" hidden="1" x14ac:dyDescent="0.25">
      <c r="A1209" s="1" t="s">
        <v>70</v>
      </c>
      <c r="B1209" s="1" t="s">
        <v>71</v>
      </c>
      <c r="C1209" s="1">
        <v>18168</v>
      </c>
      <c r="D1209" s="1">
        <v>27179</v>
      </c>
      <c r="E1209" s="2">
        <v>44550</v>
      </c>
      <c r="F1209" s="2">
        <v>44715</v>
      </c>
      <c r="G1209" s="1">
        <v>840</v>
      </c>
      <c r="H1209" s="1">
        <v>0</v>
      </c>
      <c r="I1209" s="1" t="s">
        <v>1160</v>
      </c>
      <c r="J1209" s="1" t="s">
        <v>73</v>
      </c>
    </row>
    <row r="1210" spans="1:10" hidden="1" x14ac:dyDescent="0.25">
      <c r="A1210" s="1" t="s">
        <v>70</v>
      </c>
      <c r="B1210" s="1" t="s">
        <v>71</v>
      </c>
      <c r="C1210" s="1">
        <v>18167</v>
      </c>
      <c r="D1210" s="1">
        <v>27178</v>
      </c>
      <c r="E1210" s="2">
        <v>44550</v>
      </c>
      <c r="F1210" s="2">
        <v>44715</v>
      </c>
      <c r="G1210" s="3">
        <v>14222.82</v>
      </c>
      <c r="H1210" s="1">
        <v>0</v>
      </c>
      <c r="I1210" s="1" t="s">
        <v>1160</v>
      </c>
      <c r="J1210" s="1" t="s">
        <v>73</v>
      </c>
    </row>
    <row r="1211" spans="1:10" hidden="1" x14ac:dyDescent="0.25">
      <c r="A1211" s="1" t="s">
        <v>70</v>
      </c>
      <c r="B1211" s="1" t="s">
        <v>71</v>
      </c>
      <c r="C1211" s="1">
        <v>18166</v>
      </c>
      <c r="D1211" s="1">
        <v>27177</v>
      </c>
      <c r="E1211" s="2">
        <v>44550</v>
      </c>
      <c r="F1211" s="2">
        <v>44715</v>
      </c>
      <c r="G1211" s="1">
        <v>86.56</v>
      </c>
      <c r="H1211" s="1">
        <v>0</v>
      </c>
      <c r="I1211" s="1" t="s">
        <v>1160</v>
      </c>
      <c r="J1211" s="1" t="s">
        <v>73</v>
      </c>
    </row>
    <row r="1212" spans="1:10" hidden="1" x14ac:dyDescent="0.25">
      <c r="A1212" s="1" t="s">
        <v>70</v>
      </c>
      <c r="B1212" s="1" t="s">
        <v>71</v>
      </c>
      <c r="C1212" s="1">
        <v>18169</v>
      </c>
      <c r="D1212" s="1">
        <v>27180</v>
      </c>
      <c r="E1212" s="2">
        <v>44550</v>
      </c>
      <c r="F1212" s="2">
        <v>44715</v>
      </c>
      <c r="G1212" s="1">
        <v>840</v>
      </c>
      <c r="H1212" s="1">
        <v>0</v>
      </c>
      <c r="I1212" s="1" t="s">
        <v>1052</v>
      </c>
      <c r="J1212" s="1" t="s">
        <v>73</v>
      </c>
    </row>
    <row r="1213" spans="1:10" hidden="1" x14ac:dyDescent="0.25">
      <c r="A1213" s="1" t="s">
        <v>10</v>
      </c>
      <c r="B1213" s="1" t="s">
        <v>11</v>
      </c>
      <c r="C1213" s="1">
        <v>18269</v>
      </c>
      <c r="D1213" s="1">
        <v>27278</v>
      </c>
      <c r="E1213" s="2">
        <v>44566</v>
      </c>
      <c r="F1213" s="2">
        <v>44716</v>
      </c>
      <c r="G1213" s="3">
        <v>117000</v>
      </c>
      <c r="H1213" s="1">
        <v>0</v>
      </c>
      <c r="I1213" s="1" t="s">
        <v>14</v>
      </c>
      <c r="J1213" s="1" t="s">
        <v>13</v>
      </c>
    </row>
    <row r="1214" spans="1:10" hidden="1" x14ac:dyDescent="0.25">
      <c r="A1214" s="1" t="s">
        <v>24</v>
      </c>
      <c r="B1214" s="1" t="s">
        <v>25</v>
      </c>
      <c r="C1214" s="1">
        <v>18288</v>
      </c>
      <c r="D1214" s="1">
        <v>27297</v>
      </c>
      <c r="E1214" s="2">
        <v>44566</v>
      </c>
      <c r="F1214" s="2">
        <v>44716</v>
      </c>
      <c r="G1214" s="3">
        <v>38212.5</v>
      </c>
      <c r="H1214" s="1">
        <v>0</v>
      </c>
      <c r="I1214" s="1" t="s">
        <v>44</v>
      </c>
      <c r="J1214" s="1" t="s">
        <v>27</v>
      </c>
    </row>
    <row r="1215" spans="1:10" hidden="1" x14ac:dyDescent="0.25">
      <c r="A1215" s="1" t="s">
        <v>70</v>
      </c>
      <c r="B1215" s="1" t="s">
        <v>71</v>
      </c>
      <c r="C1215" s="1">
        <v>18286</v>
      </c>
      <c r="D1215" s="1">
        <v>27295</v>
      </c>
      <c r="E1215" s="2">
        <v>44566</v>
      </c>
      <c r="F1215" s="2">
        <v>44716</v>
      </c>
      <c r="G1215" s="3">
        <v>10147.77</v>
      </c>
      <c r="H1215" s="1">
        <v>0</v>
      </c>
      <c r="I1215" s="1" t="s">
        <v>72</v>
      </c>
      <c r="J1215" s="1" t="s">
        <v>73</v>
      </c>
    </row>
    <row r="1216" spans="1:10" hidden="1" x14ac:dyDescent="0.25">
      <c r="A1216" s="1" t="s">
        <v>140</v>
      </c>
      <c r="B1216" s="1" t="s">
        <v>141</v>
      </c>
      <c r="C1216" s="1">
        <v>18282</v>
      </c>
      <c r="D1216" s="1">
        <v>27292</v>
      </c>
      <c r="E1216" s="2">
        <v>44566</v>
      </c>
      <c r="F1216" s="2">
        <v>44716</v>
      </c>
      <c r="G1216" s="3">
        <v>12243.36</v>
      </c>
      <c r="H1216" s="1">
        <v>0</v>
      </c>
      <c r="I1216" s="1" t="s">
        <v>440</v>
      </c>
      <c r="J1216" s="1" t="s">
        <v>73</v>
      </c>
    </row>
    <row r="1217" spans="1:10" hidden="1" x14ac:dyDescent="0.25">
      <c r="A1217" s="1" t="s">
        <v>70</v>
      </c>
      <c r="B1217" s="1" t="s">
        <v>71</v>
      </c>
      <c r="C1217" s="1">
        <v>18287</v>
      </c>
      <c r="D1217" s="1">
        <v>27296</v>
      </c>
      <c r="E1217" s="2">
        <v>44566</v>
      </c>
      <c r="F1217" s="2">
        <v>44716</v>
      </c>
      <c r="G1217" s="3">
        <v>4083.33</v>
      </c>
      <c r="H1217" s="1">
        <v>0</v>
      </c>
      <c r="I1217" s="1" t="s">
        <v>570</v>
      </c>
      <c r="J1217" s="1" t="s">
        <v>73</v>
      </c>
    </row>
    <row r="1218" spans="1:10" hidden="1" x14ac:dyDescent="0.25">
      <c r="A1218" s="1" t="s">
        <v>24</v>
      </c>
      <c r="B1218" s="1" t="s">
        <v>25</v>
      </c>
      <c r="C1218" s="1">
        <v>18292</v>
      </c>
      <c r="D1218" s="1">
        <v>27301</v>
      </c>
      <c r="E1218" s="2">
        <v>44566</v>
      </c>
      <c r="F1218" s="2">
        <v>44716</v>
      </c>
      <c r="G1218" s="3">
        <v>9875</v>
      </c>
      <c r="H1218" s="1">
        <v>0</v>
      </c>
      <c r="I1218" s="1" t="s">
        <v>1434</v>
      </c>
      <c r="J1218" s="1" t="s">
        <v>27</v>
      </c>
    </row>
    <row r="1219" spans="1:10" hidden="1" x14ac:dyDescent="0.25">
      <c r="A1219" s="1" t="s">
        <v>304</v>
      </c>
      <c r="B1219" s="1" t="s">
        <v>305</v>
      </c>
      <c r="C1219" s="1">
        <v>18275</v>
      </c>
      <c r="D1219" s="1">
        <v>27285</v>
      </c>
      <c r="E1219" s="2">
        <v>44566</v>
      </c>
      <c r="F1219" s="2">
        <v>44716</v>
      </c>
      <c r="G1219" s="3">
        <v>18210</v>
      </c>
      <c r="H1219" s="1">
        <v>0</v>
      </c>
      <c r="I1219" s="1" t="s">
        <v>1624</v>
      </c>
      <c r="J1219" s="1" t="s">
        <v>27</v>
      </c>
    </row>
    <row r="1220" spans="1:10" hidden="1" x14ac:dyDescent="0.25">
      <c r="A1220" s="1" t="s">
        <v>70</v>
      </c>
      <c r="B1220" s="1" t="s">
        <v>71</v>
      </c>
      <c r="C1220" s="1">
        <v>18510</v>
      </c>
      <c r="D1220" s="1">
        <v>27508</v>
      </c>
      <c r="E1220" s="2">
        <v>44582</v>
      </c>
      <c r="F1220" s="2">
        <v>44717</v>
      </c>
      <c r="G1220" s="3">
        <v>21746.92</v>
      </c>
      <c r="H1220" s="1">
        <v>0</v>
      </c>
      <c r="I1220" s="1" t="s">
        <v>237</v>
      </c>
      <c r="J1220" s="1" t="s">
        <v>73</v>
      </c>
    </row>
    <row r="1221" spans="1:10" hidden="1" x14ac:dyDescent="0.25">
      <c r="A1221" s="1" t="s">
        <v>70</v>
      </c>
      <c r="B1221" s="1" t="s">
        <v>71</v>
      </c>
      <c r="C1221" s="1">
        <v>17991</v>
      </c>
      <c r="D1221" s="1">
        <v>27002</v>
      </c>
      <c r="E1221" s="2">
        <v>44537</v>
      </c>
      <c r="F1221" s="2">
        <v>44717</v>
      </c>
      <c r="G1221" s="3">
        <v>8074.48</v>
      </c>
      <c r="H1221" s="1">
        <v>0</v>
      </c>
      <c r="I1221" s="1" t="s">
        <v>273</v>
      </c>
      <c r="J1221" s="1" t="s">
        <v>73</v>
      </c>
    </row>
    <row r="1222" spans="1:10" hidden="1" x14ac:dyDescent="0.25">
      <c r="A1222" s="1" t="s">
        <v>97</v>
      </c>
      <c r="B1222" s="1" t="s">
        <v>98</v>
      </c>
      <c r="C1222" s="1">
        <v>18003</v>
      </c>
      <c r="D1222" s="1">
        <v>27015</v>
      </c>
      <c r="E1222" s="2">
        <v>44537</v>
      </c>
      <c r="F1222" s="2">
        <v>44717</v>
      </c>
      <c r="G1222" s="3">
        <v>17115</v>
      </c>
      <c r="H1222" s="1">
        <v>0</v>
      </c>
      <c r="I1222" s="1" t="s">
        <v>389</v>
      </c>
      <c r="J1222" s="1" t="s">
        <v>27</v>
      </c>
    </row>
    <row r="1223" spans="1:10" hidden="1" x14ac:dyDescent="0.25">
      <c r="A1223" s="1" t="s">
        <v>97</v>
      </c>
      <c r="B1223" s="1" t="s">
        <v>98</v>
      </c>
      <c r="C1223" s="1">
        <v>18001</v>
      </c>
      <c r="D1223" s="1">
        <v>27013</v>
      </c>
      <c r="E1223" s="2">
        <v>44537</v>
      </c>
      <c r="F1223" s="2">
        <v>44717</v>
      </c>
      <c r="G1223" s="3">
        <v>56502.5</v>
      </c>
      <c r="H1223" s="1">
        <v>0</v>
      </c>
      <c r="I1223" s="1" t="s">
        <v>638</v>
      </c>
      <c r="J1223" s="1" t="s">
        <v>27</v>
      </c>
    </row>
    <row r="1224" spans="1:10" hidden="1" x14ac:dyDescent="0.25">
      <c r="A1224" s="1" t="s">
        <v>140</v>
      </c>
      <c r="B1224" s="1" t="s">
        <v>141</v>
      </c>
      <c r="C1224" s="1">
        <v>17994</v>
      </c>
      <c r="D1224" s="1">
        <v>27005</v>
      </c>
      <c r="E1224" s="2">
        <v>44537</v>
      </c>
      <c r="F1224" s="2">
        <v>44717</v>
      </c>
      <c r="G1224" s="1">
        <v>572.79999999999995</v>
      </c>
      <c r="H1224" s="1">
        <v>0</v>
      </c>
      <c r="I1224" s="1" t="s">
        <v>711</v>
      </c>
      <c r="J1224" s="1" t="s">
        <v>73</v>
      </c>
    </row>
    <row r="1225" spans="1:10" hidden="1" x14ac:dyDescent="0.25">
      <c r="A1225" s="1" t="s">
        <v>70</v>
      </c>
      <c r="B1225" s="1" t="s">
        <v>71</v>
      </c>
      <c r="C1225" s="1">
        <v>17997</v>
      </c>
      <c r="D1225" s="1">
        <v>27009</v>
      </c>
      <c r="E1225" s="2">
        <v>44537</v>
      </c>
      <c r="F1225" s="2">
        <v>44717</v>
      </c>
      <c r="G1225" s="3">
        <v>8154.08</v>
      </c>
      <c r="H1225" s="1">
        <v>0</v>
      </c>
      <c r="I1225" s="1" t="s">
        <v>812</v>
      </c>
      <c r="J1225" s="1" t="s">
        <v>73</v>
      </c>
    </row>
    <row r="1226" spans="1:10" hidden="1" x14ac:dyDescent="0.25">
      <c r="A1226" s="1" t="s">
        <v>10</v>
      </c>
      <c r="B1226" s="1" t="s">
        <v>11</v>
      </c>
      <c r="C1226" s="1">
        <v>17999</v>
      </c>
      <c r="D1226" s="1">
        <v>27011</v>
      </c>
      <c r="E1226" s="2">
        <v>44537</v>
      </c>
      <c r="F1226" s="2">
        <v>44717</v>
      </c>
      <c r="G1226" s="3">
        <v>8833.32</v>
      </c>
      <c r="H1226" s="1">
        <v>0</v>
      </c>
      <c r="I1226" s="1" t="s">
        <v>813</v>
      </c>
      <c r="J1226" s="1" t="s">
        <v>13</v>
      </c>
    </row>
    <row r="1227" spans="1:10" hidden="1" x14ac:dyDescent="0.25">
      <c r="A1227" s="1" t="s">
        <v>78</v>
      </c>
      <c r="B1227" s="1" t="s">
        <v>79</v>
      </c>
      <c r="C1227" s="1">
        <v>17196</v>
      </c>
      <c r="D1227" s="1">
        <v>26194</v>
      </c>
      <c r="E1227" s="2">
        <v>44477</v>
      </c>
      <c r="F1227" s="2">
        <v>44717</v>
      </c>
      <c r="G1227" s="3">
        <v>17238</v>
      </c>
      <c r="H1227" s="1">
        <v>0</v>
      </c>
      <c r="I1227" s="1" t="s">
        <v>845</v>
      </c>
      <c r="J1227" s="1" t="s">
        <v>68</v>
      </c>
    </row>
    <row r="1228" spans="1:10" hidden="1" x14ac:dyDescent="0.25">
      <c r="A1228" s="1" t="s">
        <v>24</v>
      </c>
      <c r="B1228" s="1" t="s">
        <v>25</v>
      </c>
      <c r="C1228" s="1">
        <v>18013</v>
      </c>
      <c r="D1228" s="1">
        <v>27024</v>
      </c>
      <c r="E1228" s="2">
        <v>44537</v>
      </c>
      <c r="F1228" s="2">
        <v>44717</v>
      </c>
      <c r="G1228" s="3">
        <v>1185</v>
      </c>
      <c r="H1228" s="1">
        <v>0</v>
      </c>
      <c r="I1228" s="1" t="s">
        <v>937</v>
      </c>
      <c r="J1228" s="1" t="s">
        <v>27</v>
      </c>
    </row>
    <row r="1229" spans="1:10" hidden="1" x14ac:dyDescent="0.25">
      <c r="A1229" s="1" t="s">
        <v>70</v>
      </c>
      <c r="B1229" s="1" t="s">
        <v>71</v>
      </c>
      <c r="C1229" s="1">
        <v>18505</v>
      </c>
      <c r="D1229" s="1">
        <v>27503</v>
      </c>
      <c r="E1229" s="2">
        <v>44582</v>
      </c>
      <c r="F1229" s="2">
        <v>44717</v>
      </c>
      <c r="G1229" s="3">
        <v>1600</v>
      </c>
      <c r="H1229" s="1">
        <v>0</v>
      </c>
      <c r="I1229" s="1" t="s">
        <v>119</v>
      </c>
      <c r="J1229" s="1" t="s">
        <v>73</v>
      </c>
    </row>
    <row r="1230" spans="1:10" hidden="1" x14ac:dyDescent="0.25">
      <c r="A1230" s="1" t="s">
        <v>10</v>
      </c>
      <c r="B1230" s="1" t="s">
        <v>11</v>
      </c>
      <c r="C1230" s="1">
        <v>18009</v>
      </c>
      <c r="D1230" s="1">
        <v>27020</v>
      </c>
      <c r="E1230" s="2">
        <v>44537</v>
      </c>
      <c r="F1230" s="2">
        <v>44717</v>
      </c>
      <c r="G1230" s="3">
        <v>117000</v>
      </c>
      <c r="H1230" s="1">
        <v>0</v>
      </c>
      <c r="I1230" s="1" t="s">
        <v>1291</v>
      </c>
      <c r="J1230" s="1" t="s">
        <v>13</v>
      </c>
    </row>
    <row r="1231" spans="1:10" hidden="1" x14ac:dyDescent="0.25">
      <c r="A1231" s="1" t="s">
        <v>24</v>
      </c>
      <c r="B1231" s="1" t="s">
        <v>25</v>
      </c>
      <c r="C1231" s="1">
        <v>18011</v>
      </c>
      <c r="D1231" s="1">
        <v>27022</v>
      </c>
      <c r="E1231" s="2">
        <v>44537</v>
      </c>
      <c r="F1231" s="2">
        <v>44717</v>
      </c>
      <c r="G1231" s="3">
        <v>5125</v>
      </c>
      <c r="H1231" s="1">
        <v>0</v>
      </c>
      <c r="I1231" s="1" t="s">
        <v>1225</v>
      </c>
      <c r="J1231" s="1" t="s">
        <v>27</v>
      </c>
    </row>
    <row r="1232" spans="1:10" hidden="1" x14ac:dyDescent="0.25">
      <c r="A1232" s="1" t="s">
        <v>24</v>
      </c>
      <c r="B1232" s="1" t="s">
        <v>25</v>
      </c>
      <c r="C1232" s="1">
        <v>18012</v>
      </c>
      <c r="D1232" s="1">
        <v>27023</v>
      </c>
      <c r="E1232" s="2">
        <v>44537</v>
      </c>
      <c r="F1232" s="2">
        <v>44717</v>
      </c>
      <c r="G1232" s="3">
        <v>12375</v>
      </c>
      <c r="H1232" s="1">
        <v>0</v>
      </c>
      <c r="I1232" s="1" t="s">
        <v>1386</v>
      </c>
      <c r="J1232" s="1" t="s">
        <v>27</v>
      </c>
    </row>
    <row r="1233" spans="1:10" hidden="1" x14ac:dyDescent="0.25">
      <c r="A1233" s="1" t="s">
        <v>321</v>
      </c>
      <c r="B1233" s="1" t="s">
        <v>322</v>
      </c>
      <c r="C1233" s="1">
        <v>18506</v>
      </c>
      <c r="D1233" s="1">
        <v>27504</v>
      </c>
      <c r="E1233" s="2">
        <v>44582</v>
      </c>
      <c r="F1233" s="2">
        <v>44717</v>
      </c>
      <c r="G1233" s="3">
        <v>2853.33</v>
      </c>
      <c r="H1233" s="1">
        <v>0</v>
      </c>
      <c r="I1233" s="1" t="s">
        <v>1667</v>
      </c>
      <c r="J1233" s="1" t="s">
        <v>27</v>
      </c>
    </row>
    <row r="1234" spans="1:10" hidden="1" x14ac:dyDescent="0.25">
      <c r="A1234" s="1" t="s">
        <v>10</v>
      </c>
      <c r="B1234" s="1" t="s">
        <v>11</v>
      </c>
      <c r="C1234" s="1">
        <v>18314</v>
      </c>
      <c r="D1234" s="1">
        <v>27324</v>
      </c>
      <c r="E1234" s="2">
        <v>44568</v>
      </c>
      <c r="F1234" s="2">
        <v>44718</v>
      </c>
      <c r="G1234" s="3">
        <v>37533.300000000003</v>
      </c>
      <c r="H1234" s="1">
        <v>0</v>
      </c>
      <c r="I1234" s="1" t="s">
        <v>146</v>
      </c>
      <c r="J1234" s="1" t="s">
        <v>13</v>
      </c>
    </row>
    <row r="1235" spans="1:10" hidden="1" x14ac:dyDescent="0.25">
      <c r="A1235" s="1" t="s">
        <v>10</v>
      </c>
      <c r="B1235" s="1" t="s">
        <v>11</v>
      </c>
      <c r="C1235" s="1">
        <v>18313</v>
      </c>
      <c r="D1235" s="1">
        <v>27323</v>
      </c>
      <c r="E1235" s="2">
        <v>44568</v>
      </c>
      <c r="F1235" s="2">
        <v>44718</v>
      </c>
      <c r="G1235" s="3">
        <v>1273.33</v>
      </c>
      <c r="H1235" s="1">
        <v>0</v>
      </c>
      <c r="I1235" s="1" t="s">
        <v>184</v>
      </c>
      <c r="J1235" s="1" t="s">
        <v>13</v>
      </c>
    </row>
    <row r="1236" spans="1:10" hidden="1" x14ac:dyDescent="0.25">
      <c r="A1236" s="1" t="s">
        <v>10</v>
      </c>
      <c r="B1236" s="1" t="s">
        <v>11</v>
      </c>
      <c r="C1236" s="1">
        <v>18311</v>
      </c>
      <c r="D1236" s="1">
        <v>27321</v>
      </c>
      <c r="E1236" s="2">
        <v>44568</v>
      </c>
      <c r="F1236" s="2">
        <v>44718</v>
      </c>
      <c r="G1236" s="3">
        <v>46350</v>
      </c>
      <c r="H1236" s="1">
        <v>0</v>
      </c>
      <c r="I1236" s="1" t="s">
        <v>213</v>
      </c>
      <c r="J1236" s="1" t="s">
        <v>13</v>
      </c>
    </row>
    <row r="1237" spans="1:10" hidden="1" x14ac:dyDescent="0.25">
      <c r="A1237" s="1" t="s">
        <v>10</v>
      </c>
      <c r="B1237" s="1" t="s">
        <v>11</v>
      </c>
      <c r="C1237" s="1">
        <v>18310</v>
      </c>
      <c r="D1237" s="1">
        <v>27319</v>
      </c>
      <c r="E1237" s="2">
        <v>44568</v>
      </c>
      <c r="F1237" s="2">
        <v>44718</v>
      </c>
      <c r="G1237" s="3">
        <v>9333.32</v>
      </c>
      <c r="H1237" s="1">
        <v>0</v>
      </c>
      <c r="I1237" s="1" t="s">
        <v>589</v>
      </c>
      <c r="J1237" s="1" t="s">
        <v>13</v>
      </c>
    </row>
    <row r="1238" spans="1:10" hidden="1" x14ac:dyDescent="0.25">
      <c r="A1238" s="1" t="s">
        <v>735</v>
      </c>
      <c r="B1238" s="1" t="s">
        <v>736</v>
      </c>
      <c r="C1238" s="1">
        <v>18941</v>
      </c>
      <c r="D1238" s="1">
        <v>27955</v>
      </c>
      <c r="E1238" s="2">
        <v>44628</v>
      </c>
      <c r="F1238" s="2">
        <v>44718</v>
      </c>
      <c r="G1238" s="3">
        <v>2390.7800000000002</v>
      </c>
      <c r="H1238" s="1">
        <v>0</v>
      </c>
      <c r="I1238" s="1" t="s">
        <v>737</v>
      </c>
      <c r="J1238" s="1" t="s">
        <v>88</v>
      </c>
    </row>
    <row r="1239" spans="1:10" hidden="1" x14ac:dyDescent="0.25">
      <c r="A1239" s="1" t="s">
        <v>10</v>
      </c>
      <c r="B1239" s="1" t="s">
        <v>11</v>
      </c>
      <c r="C1239" s="1">
        <v>18309</v>
      </c>
      <c r="D1239" s="1">
        <v>27318</v>
      </c>
      <c r="E1239" s="2">
        <v>44568</v>
      </c>
      <c r="F1239" s="2">
        <v>44718</v>
      </c>
      <c r="G1239" s="3">
        <v>82730</v>
      </c>
      <c r="H1239" s="1">
        <v>0</v>
      </c>
      <c r="I1239" s="1" t="s">
        <v>791</v>
      </c>
      <c r="J1239" s="1" t="s">
        <v>13</v>
      </c>
    </row>
    <row r="1240" spans="1:10" hidden="1" x14ac:dyDescent="0.25">
      <c r="A1240" s="1" t="s">
        <v>371</v>
      </c>
      <c r="B1240" s="1" t="s">
        <v>372</v>
      </c>
      <c r="C1240" s="1">
        <v>18943</v>
      </c>
      <c r="D1240" s="1">
        <v>27957</v>
      </c>
      <c r="E1240" s="2">
        <v>44628</v>
      </c>
      <c r="F1240" s="2">
        <v>44718</v>
      </c>
      <c r="G1240" s="3">
        <v>42600</v>
      </c>
      <c r="H1240" s="1">
        <v>0</v>
      </c>
      <c r="I1240" s="1" t="s">
        <v>825</v>
      </c>
      <c r="J1240" s="1" t="s">
        <v>88</v>
      </c>
    </row>
    <row r="1241" spans="1:10" hidden="1" x14ac:dyDescent="0.25">
      <c r="A1241" s="1" t="s">
        <v>20</v>
      </c>
      <c r="B1241" s="1" t="s">
        <v>21</v>
      </c>
      <c r="C1241" s="1">
        <v>18035</v>
      </c>
      <c r="D1241" s="1">
        <v>27045</v>
      </c>
      <c r="E1241" s="2">
        <v>44539</v>
      </c>
      <c r="F1241" s="2">
        <v>44719</v>
      </c>
      <c r="G1241" s="3">
        <v>7333.34</v>
      </c>
      <c r="H1241" s="1">
        <v>0</v>
      </c>
      <c r="I1241" s="1" t="s">
        <v>69</v>
      </c>
      <c r="J1241" s="1" t="s">
        <v>23</v>
      </c>
    </row>
    <row r="1242" spans="1:10" hidden="1" x14ac:dyDescent="0.25">
      <c r="A1242" s="1" t="s">
        <v>20</v>
      </c>
      <c r="B1242" s="1" t="s">
        <v>21</v>
      </c>
      <c r="C1242" s="1">
        <v>18034</v>
      </c>
      <c r="D1242" s="1">
        <v>27044</v>
      </c>
      <c r="E1242" s="2">
        <v>44539</v>
      </c>
      <c r="F1242" s="2">
        <v>44719</v>
      </c>
      <c r="G1242" s="3">
        <v>2936.68</v>
      </c>
      <c r="H1242" s="1">
        <v>0</v>
      </c>
      <c r="I1242" s="1" t="s">
        <v>106</v>
      </c>
      <c r="J1242" s="1" t="s">
        <v>23</v>
      </c>
    </row>
    <row r="1243" spans="1:10" hidden="1" x14ac:dyDescent="0.25">
      <c r="A1243" s="1" t="s">
        <v>10</v>
      </c>
      <c r="B1243" s="1" t="s">
        <v>11</v>
      </c>
      <c r="C1243" s="1">
        <v>18037</v>
      </c>
      <c r="D1243" s="1">
        <v>27048</v>
      </c>
      <c r="E1243" s="2">
        <v>44539</v>
      </c>
      <c r="F1243" s="2">
        <v>44719</v>
      </c>
      <c r="G1243" s="3">
        <v>11166.66</v>
      </c>
      <c r="H1243" s="1">
        <v>0</v>
      </c>
      <c r="I1243" s="1" t="s">
        <v>107</v>
      </c>
      <c r="J1243" s="1" t="s">
        <v>13</v>
      </c>
    </row>
    <row r="1244" spans="1:10" hidden="1" x14ac:dyDescent="0.25">
      <c r="A1244" s="1" t="s">
        <v>10</v>
      </c>
      <c r="B1244" s="1" t="s">
        <v>11</v>
      </c>
      <c r="C1244" s="1">
        <v>18036</v>
      </c>
      <c r="D1244" s="1">
        <v>27047</v>
      </c>
      <c r="E1244" s="2">
        <v>44539</v>
      </c>
      <c r="F1244" s="2">
        <v>44719</v>
      </c>
      <c r="G1244" s="3">
        <v>71400</v>
      </c>
      <c r="H1244" s="1">
        <v>0</v>
      </c>
      <c r="I1244" s="1" t="s">
        <v>247</v>
      </c>
      <c r="J1244" s="1" t="s">
        <v>13</v>
      </c>
    </row>
    <row r="1245" spans="1:10" hidden="1" x14ac:dyDescent="0.25">
      <c r="A1245" s="1" t="s">
        <v>70</v>
      </c>
      <c r="B1245" s="1" t="s">
        <v>71</v>
      </c>
      <c r="C1245" s="1">
        <v>18653</v>
      </c>
      <c r="D1245" s="1">
        <v>27665</v>
      </c>
      <c r="E1245" s="2">
        <v>44599</v>
      </c>
      <c r="F1245" s="2">
        <v>44719</v>
      </c>
      <c r="G1245" s="3">
        <v>8959.99</v>
      </c>
      <c r="H1245" s="1">
        <v>0</v>
      </c>
      <c r="I1245" s="1" t="s">
        <v>260</v>
      </c>
      <c r="J1245" s="1" t="s">
        <v>73</v>
      </c>
    </row>
    <row r="1246" spans="1:10" hidden="1" x14ac:dyDescent="0.25">
      <c r="A1246" s="1" t="s">
        <v>20</v>
      </c>
      <c r="B1246" s="1" t="s">
        <v>21</v>
      </c>
      <c r="C1246" s="1">
        <v>18033</v>
      </c>
      <c r="D1246" s="1">
        <v>27043</v>
      </c>
      <c r="E1246" s="2">
        <v>44539</v>
      </c>
      <c r="F1246" s="2">
        <v>44719</v>
      </c>
      <c r="G1246" s="3">
        <v>6078.09</v>
      </c>
      <c r="H1246" s="1">
        <v>0</v>
      </c>
      <c r="I1246" s="1" t="s">
        <v>616</v>
      </c>
      <c r="J1246" s="1" t="s">
        <v>23</v>
      </c>
    </row>
    <row r="1247" spans="1:10" hidden="1" x14ac:dyDescent="0.25">
      <c r="A1247" s="1" t="s">
        <v>70</v>
      </c>
      <c r="B1247" s="1" t="s">
        <v>71</v>
      </c>
      <c r="C1247" s="1">
        <v>18652</v>
      </c>
      <c r="D1247" s="1">
        <v>27664</v>
      </c>
      <c r="E1247" s="2">
        <v>44599</v>
      </c>
      <c r="F1247" s="2">
        <v>44719</v>
      </c>
      <c r="G1247" s="3">
        <v>2066.66</v>
      </c>
      <c r="H1247" s="1">
        <v>0</v>
      </c>
      <c r="I1247" s="1" t="s">
        <v>643</v>
      </c>
      <c r="J1247" s="1" t="s">
        <v>73</v>
      </c>
    </row>
    <row r="1248" spans="1:10" hidden="1" x14ac:dyDescent="0.25">
      <c r="A1248" s="1" t="s">
        <v>847</v>
      </c>
      <c r="B1248" s="1" t="s">
        <v>848</v>
      </c>
      <c r="C1248" s="1">
        <v>18656</v>
      </c>
      <c r="D1248" s="1">
        <v>27668</v>
      </c>
      <c r="E1248" s="2">
        <v>44599</v>
      </c>
      <c r="F1248" s="2">
        <v>44719</v>
      </c>
      <c r="G1248" s="3">
        <v>16572</v>
      </c>
      <c r="H1248" s="1">
        <v>0</v>
      </c>
      <c r="I1248" s="1" t="s">
        <v>949</v>
      </c>
      <c r="J1248" s="1" t="s">
        <v>73</v>
      </c>
    </row>
    <row r="1249" spans="1:10" hidden="1" x14ac:dyDescent="0.25">
      <c r="A1249" s="1" t="s">
        <v>70</v>
      </c>
      <c r="B1249" s="1" t="s">
        <v>71</v>
      </c>
      <c r="C1249" s="1">
        <v>18654</v>
      </c>
      <c r="D1249" s="1">
        <v>27666</v>
      </c>
      <c r="E1249" s="2">
        <v>44599</v>
      </c>
      <c r="F1249" s="2">
        <v>44719</v>
      </c>
      <c r="G1249" s="3">
        <v>21746.92</v>
      </c>
      <c r="H1249" s="1">
        <v>0</v>
      </c>
      <c r="I1249" s="1" t="s">
        <v>261</v>
      </c>
      <c r="J1249" s="1" t="s">
        <v>73</v>
      </c>
    </row>
    <row r="1250" spans="1:10" hidden="1" x14ac:dyDescent="0.25">
      <c r="A1250" s="1" t="s">
        <v>20</v>
      </c>
      <c r="B1250" s="1" t="s">
        <v>21</v>
      </c>
      <c r="C1250" s="1">
        <v>18032</v>
      </c>
      <c r="D1250" s="1">
        <v>27042</v>
      </c>
      <c r="E1250" s="2">
        <v>44539</v>
      </c>
      <c r="F1250" s="2">
        <v>44719</v>
      </c>
      <c r="G1250" s="3">
        <v>1103.3399999999999</v>
      </c>
      <c r="H1250" s="1">
        <v>0</v>
      </c>
      <c r="I1250" s="1" t="s">
        <v>1633</v>
      </c>
      <c r="J1250" s="1" t="s">
        <v>23</v>
      </c>
    </row>
    <row r="1251" spans="1:10" hidden="1" x14ac:dyDescent="0.25">
      <c r="A1251" s="1" t="s">
        <v>248</v>
      </c>
      <c r="B1251" s="1" t="s">
        <v>249</v>
      </c>
      <c r="C1251" s="1">
        <v>18050</v>
      </c>
      <c r="D1251" s="1">
        <v>27060</v>
      </c>
      <c r="E1251" s="2">
        <v>44540</v>
      </c>
      <c r="F1251" s="2">
        <v>44720</v>
      </c>
      <c r="G1251" s="3">
        <v>200897.73</v>
      </c>
      <c r="H1251" s="1">
        <v>0</v>
      </c>
      <c r="I1251" s="1" t="s">
        <v>250</v>
      </c>
      <c r="J1251" s="1" t="s">
        <v>251</v>
      </c>
    </row>
    <row r="1252" spans="1:10" hidden="1" x14ac:dyDescent="0.25">
      <c r="A1252" s="1" t="s">
        <v>108</v>
      </c>
      <c r="B1252" s="1" t="s">
        <v>109</v>
      </c>
      <c r="C1252" s="1">
        <v>17693</v>
      </c>
      <c r="D1252" s="1">
        <v>26690</v>
      </c>
      <c r="E1252" s="2">
        <v>44510</v>
      </c>
      <c r="F1252" s="2">
        <v>44720</v>
      </c>
      <c r="G1252" s="3">
        <v>275216</v>
      </c>
      <c r="H1252" s="1">
        <v>0</v>
      </c>
      <c r="I1252" s="1" t="s">
        <v>595</v>
      </c>
      <c r="J1252" s="1" t="s">
        <v>88</v>
      </c>
    </row>
    <row r="1253" spans="1:10" hidden="1" x14ac:dyDescent="0.25">
      <c r="A1253" s="1" t="s">
        <v>321</v>
      </c>
      <c r="B1253" s="1" t="s">
        <v>322</v>
      </c>
      <c r="C1253" s="1">
        <v>17740</v>
      </c>
      <c r="D1253" s="1">
        <v>26733</v>
      </c>
      <c r="E1253" s="2">
        <v>44511</v>
      </c>
      <c r="F1253" s="2">
        <v>44721</v>
      </c>
      <c r="G1253" s="3">
        <v>1268</v>
      </c>
      <c r="H1253" s="1">
        <v>0</v>
      </c>
      <c r="I1253" s="1" t="s">
        <v>324</v>
      </c>
      <c r="J1253" s="1" t="s">
        <v>27</v>
      </c>
    </row>
    <row r="1254" spans="1:10" hidden="1" x14ac:dyDescent="0.25">
      <c r="A1254" s="1" t="s">
        <v>70</v>
      </c>
      <c r="B1254" s="1" t="s">
        <v>71</v>
      </c>
      <c r="C1254" s="1">
        <v>18526</v>
      </c>
      <c r="D1254" s="1">
        <v>27527</v>
      </c>
      <c r="E1254" s="2">
        <v>44586</v>
      </c>
      <c r="F1254" s="2">
        <v>44721</v>
      </c>
      <c r="G1254" s="3">
        <v>3360</v>
      </c>
      <c r="H1254" s="1">
        <v>0</v>
      </c>
      <c r="I1254" s="1" t="s">
        <v>349</v>
      </c>
      <c r="J1254" s="1" t="s">
        <v>73</v>
      </c>
    </row>
    <row r="1255" spans="1:10" hidden="1" x14ac:dyDescent="0.25">
      <c r="A1255" s="1" t="s">
        <v>150</v>
      </c>
      <c r="B1255" s="1" t="s">
        <v>151</v>
      </c>
      <c r="C1255" s="1">
        <v>18692</v>
      </c>
      <c r="D1255" s="1">
        <v>27705</v>
      </c>
      <c r="E1255" s="2">
        <v>44601</v>
      </c>
      <c r="F1255" s="2">
        <v>44721</v>
      </c>
      <c r="G1255" s="3">
        <v>26087</v>
      </c>
      <c r="H1255" s="1">
        <v>0</v>
      </c>
      <c r="I1255" s="1" t="s">
        <v>667</v>
      </c>
      <c r="J1255" s="1" t="s">
        <v>58</v>
      </c>
    </row>
    <row r="1256" spans="1:10" hidden="1" x14ac:dyDescent="0.25">
      <c r="A1256" s="1" t="s">
        <v>10</v>
      </c>
      <c r="B1256" s="1" t="s">
        <v>11</v>
      </c>
      <c r="C1256" s="1">
        <v>18331</v>
      </c>
      <c r="D1256" s="1">
        <v>27338</v>
      </c>
      <c r="E1256" s="2">
        <v>44571</v>
      </c>
      <c r="F1256" s="2">
        <v>44721</v>
      </c>
      <c r="G1256" s="3">
        <v>117000</v>
      </c>
      <c r="H1256" s="1">
        <v>0</v>
      </c>
      <c r="I1256" s="1" t="s">
        <v>766</v>
      </c>
      <c r="J1256" s="1" t="s">
        <v>13</v>
      </c>
    </row>
    <row r="1257" spans="1:10" hidden="1" x14ac:dyDescent="0.25">
      <c r="A1257" s="1" t="s">
        <v>321</v>
      </c>
      <c r="B1257" s="1" t="s">
        <v>322</v>
      </c>
      <c r="C1257" s="1">
        <v>17739</v>
      </c>
      <c r="D1257" s="1">
        <v>26732</v>
      </c>
      <c r="E1257" s="2">
        <v>44511</v>
      </c>
      <c r="F1257" s="2">
        <v>44721</v>
      </c>
      <c r="G1257" s="3">
        <v>3691.1</v>
      </c>
      <c r="H1257" s="1">
        <v>0</v>
      </c>
      <c r="I1257" s="1" t="s">
        <v>1113</v>
      </c>
      <c r="J1257" s="1" t="s">
        <v>27</v>
      </c>
    </row>
    <row r="1258" spans="1:10" hidden="1" x14ac:dyDescent="0.25">
      <c r="A1258" s="1" t="s">
        <v>10</v>
      </c>
      <c r="B1258" s="1" t="s">
        <v>11</v>
      </c>
      <c r="C1258" s="1">
        <v>18351</v>
      </c>
      <c r="D1258" s="1">
        <v>27359</v>
      </c>
      <c r="E1258" s="2">
        <v>44572</v>
      </c>
      <c r="F1258" s="2">
        <v>44722</v>
      </c>
      <c r="G1258" s="3">
        <v>8666.66</v>
      </c>
      <c r="H1258" s="1">
        <v>0</v>
      </c>
      <c r="I1258" s="1" t="s">
        <v>45</v>
      </c>
      <c r="J1258" s="1" t="s">
        <v>13</v>
      </c>
    </row>
    <row r="1259" spans="1:10" hidden="1" x14ac:dyDescent="0.25">
      <c r="A1259" s="1" t="s">
        <v>185</v>
      </c>
      <c r="B1259" s="1" t="s">
        <v>186</v>
      </c>
      <c r="C1259" s="1">
        <v>18343</v>
      </c>
      <c r="D1259" s="1">
        <v>27351</v>
      </c>
      <c r="E1259" s="2">
        <v>44572</v>
      </c>
      <c r="F1259" s="2">
        <v>44722</v>
      </c>
      <c r="G1259" s="3">
        <v>167100</v>
      </c>
      <c r="H1259" s="1">
        <v>0</v>
      </c>
      <c r="I1259" s="1" t="s">
        <v>187</v>
      </c>
      <c r="J1259" s="1" t="s">
        <v>13</v>
      </c>
    </row>
    <row r="1260" spans="1:10" hidden="1" x14ac:dyDescent="0.25">
      <c r="A1260" s="1" t="s">
        <v>277</v>
      </c>
      <c r="B1260" s="1" t="s">
        <v>278</v>
      </c>
      <c r="C1260" s="1">
        <v>18341</v>
      </c>
      <c r="D1260" s="1">
        <v>27348</v>
      </c>
      <c r="E1260" s="2">
        <v>44572</v>
      </c>
      <c r="F1260" s="2">
        <v>44722</v>
      </c>
      <c r="G1260" s="3">
        <v>2850</v>
      </c>
      <c r="H1260" s="1">
        <v>0</v>
      </c>
      <c r="I1260" s="1" t="s">
        <v>279</v>
      </c>
      <c r="J1260" s="1" t="s">
        <v>13</v>
      </c>
    </row>
    <row r="1261" spans="1:10" hidden="1" x14ac:dyDescent="0.25">
      <c r="A1261" s="1" t="s">
        <v>277</v>
      </c>
      <c r="B1261" s="1" t="s">
        <v>278</v>
      </c>
      <c r="C1261" s="1">
        <v>18340</v>
      </c>
      <c r="D1261" s="1">
        <v>27347</v>
      </c>
      <c r="E1261" s="2">
        <v>44572</v>
      </c>
      <c r="F1261" s="2">
        <v>44722</v>
      </c>
      <c r="G1261" s="3">
        <v>2422.5</v>
      </c>
      <c r="H1261" s="1">
        <v>0</v>
      </c>
      <c r="I1261" s="1" t="s">
        <v>319</v>
      </c>
      <c r="J1261" s="1" t="s">
        <v>13</v>
      </c>
    </row>
    <row r="1262" spans="1:10" hidden="1" x14ac:dyDescent="0.25">
      <c r="A1262" s="1" t="s">
        <v>33</v>
      </c>
      <c r="B1262" s="1" t="s">
        <v>34</v>
      </c>
      <c r="C1262" s="1">
        <v>17565</v>
      </c>
      <c r="D1262" s="1">
        <v>26572</v>
      </c>
      <c r="E1262" s="2">
        <v>44503</v>
      </c>
      <c r="F1262" s="2">
        <v>44722</v>
      </c>
      <c r="G1262" s="3">
        <v>70000</v>
      </c>
      <c r="H1262" s="1">
        <v>0</v>
      </c>
      <c r="I1262" s="1" t="s">
        <v>357</v>
      </c>
      <c r="J1262" s="1" t="s">
        <v>18</v>
      </c>
    </row>
    <row r="1263" spans="1:10" hidden="1" x14ac:dyDescent="0.25">
      <c r="A1263" s="1" t="s">
        <v>277</v>
      </c>
      <c r="B1263" s="1" t="s">
        <v>278</v>
      </c>
      <c r="C1263" s="1">
        <v>18342</v>
      </c>
      <c r="D1263" s="1">
        <v>27349</v>
      </c>
      <c r="E1263" s="2">
        <v>44572</v>
      </c>
      <c r="F1263" s="2">
        <v>44722</v>
      </c>
      <c r="G1263" s="3">
        <v>33450</v>
      </c>
      <c r="H1263" s="1">
        <v>0</v>
      </c>
      <c r="I1263" s="1" t="s">
        <v>369</v>
      </c>
      <c r="J1263" s="1" t="s">
        <v>13</v>
      </c>
    </row>
    <row r="1264" spans="1:10" hidden="1" x14ac:dyDescent="0.25">
      <c r="A1264" s="1" t="s">
        <v>33</v>
      </c>
      <c r="B1264" s="1" t="s">
        <v>34</v>
      </c>
      <c r="C1264" s="1">
        <v>17628</v>
      </c>
      <c r="D1264" s="1">
        <v>26630</v>
      </c>
      <c r="E1264" s="2">
        <v>44505</v>
      </c>
      <c r="F1264" s="2">
        <v>44722</v>
      </c>
      <c r="G1264" s="3">
        <v>117600</v>
      </c>
      <c r="H1264" s="1">
        <v>0</v>
      </c>
      <c r="I1264" s="1" t="s">
        <v>494</v>
      </c>
      <c r="J1264" s="1" t="s">
        <v>18</v>
      </c>
    </row>
    <row r="1265" spans="1:10" hidden="1" x14ac:dyDescent="0.25">
      <c r="A1265" s="1" t="s">
        <v>805</v>
      </c>
      <c r="B1265" s="1" t="s">
        <v>806</v>
      </c>
      <c r="C1265" s="1">
        <v>17672</v>
      </c>
      <c r="D1265" s="1">
        <v>26668</v>
      </c>
      <c r="E1265" s="2">
        <v>44509</v>
      </c>
      <c r="F1265" s="2">
        <v>44722</v>
      </c>
      <c r="G1265" s="3">
        <v>41480</v>
      </c>
      <c r="H1265" s="1">
        <v>0</v>
      </c>
      <c r="I1265" s="1" t="s">
        <v>807</v>
      </c>
      <c r="J1265" s="1" t="s">
        <v>115</v>
      </c>
    </row>
    <row r="1266" spans="1:10" hidden="1" x14ac:dyDescent="0.25">
      <c r="A1266" s="1" t="s">
        <v>402</v>
      </c>
      <c r="B1266" s="1" t="s">
        <v>403</v>
      </c>
      <c r="C1266" s="1">
        <v>18908</v>
      </c>
      <c r="D1266" s="1">
        <v>27923</v>
      </c>
      <c r="E1266" s="2">
        <v>44624</v>
      </c>
      <c r="F1266" s="2">
        <v>44722</v>
      </c>
      <c r="G1266" s="3">
        <v>41600</v>
      </c>
      <c r="H1266" s="1">
        <v>0</v>
      </c>
      <c r="I1266" s="1" t="s">
        <v>808</v>
      </c>
      <c r="J1266" s="1" t="s">
        <v>50</v>
      </c>
    </row>
    <row r="1267" spans="1:10" hidden="1" x14ac:dyDescent="0.25">
      <c r="A1267" s="1" t="s">
        <v>33</v>
      </c>
      <c r="B1267" s="1" t="s">
        <v>34</v>
      </c>
      <c r="C1267" s="1">
        <v>17913</v>
      </c>
      <c r="D1267" s="1">
        <v>26926</v>
      </c>
      <c r="E1267" s="2">
        <v>44532</v>
      </c>
      <c r="F1267" s="2">
        <v>44722</v>
      </c>
      <c r="G1267" s="3">
        <v>70000</v>
      </c>
      <c r="H1267" s="1">
        <v>0</v>
      </c>
      <c r="I1267" s="1" t="s">
        <v>946</v>
      </c>
      <c r="J1267" s="1" t="s">
        <v>18</v>
      </c>
    </row>
    <row r="1268" spans="1:10" hidden="1" x14ac:dyDescent="0.25">
      <c r="A1268" s="1" t="s">
        <v>1011</v>
      </c>
      <c r="B1268" s="1" t="s">
        <v>1012</v>
      </c>
      <c r="C1268" s="1">
        <v>17125</v>
      </c>
      <c r="D1268" s="1">
        <v>26133</v>
      </c>
      <c r="E1268" s="2">
        <v>44474</v>
      </c>
      <c r="F1268" s="2">
        <v>44722</v>
      </c>
      <c r="G1268" s="3">
        <v>111450</v>
      </c>
      <c r="H1268" s="1">
        <v>0</v>
      </c>
      <c r="I1268" s="1" t="s">
        <v>1013</v>
      </c>
      <c r="J1268" s="1" t="s">
        <v>1014</v>
      </c>
    </row>
    <row r="1269" spans="1:10" hidden="1" x14ac:dyDescent="0.25">
      <c r="A1269" s="1" t="s">
        <v>10</v>
      </c>
      <c r="B1269" s="1" t="s">
        <v>11</v>
      </c>
      <c r="C1269" s="1">
        <v>18352</v>
      </c>
      <c r="D1269" s="1">
        <v>27360</v>
      </c>
      <c r="E1269" s="2">
        <v>44572</v>
      </c>
      <c r="F1269" s="2">
        <v>44722</v>
      </c>
      <c r="G1269" s="3">
        <v>112320</v>
      </c>
      <c r="H1269" s="1">
        <v>0</v>
      </c>
      <c r="I1269" s="1" t="s">
        <v>1041</v>
      </c>
      <c r="J1269" s="1" t="s">
        <v>13</v>
      </c>
    </row>
    <row r="1270" spans="1:10" hidden="1" x14ac:dyDescent="0.25">
      <c r="A1270" s="1" t="s">
        <v>33</v>
      </c>
      <c r="B1270" s="1" t="s">
        <v>34</v>
      </c>
      <c r="C1270" s="1">
        <v>18316</v>
      </c>
      <c r="D1270" s="1">
        <v>27326</v>
      </c>
      <c r="E1270" s="2">
        <v>44568</v>
      </c>
      <c r="F1270" s="2">
        <v>44722</v>
      </c>
      <c r="G1270" s="3">
        <v>36400</v>
      </c>
      <c r="H1270" s="1">
        <v>0</v>
      </c>
      <c r="I1270" s="1" t="s">
        <v>1369</v>
      </c>
      <c r="J1270" s="1" t="s">
        <v>18</v>
      </c>
    </row>
    <row r="1271" spans="1:10" hidden="1" x14ac:dyDescent="0.25">
      <c r="A1271" s="1" t="s">
        <v>805</v>
      </c>
      <c r="B1271" s="1" t="s">
        <v>806</v>
      </c>
      <c r="C1271" s="1">
        <v>17534</v>
      </c>
      <c r="D1271" s="1">
        <v>26540</v>
      </c>
      <c r="E1271" s="2">
        <v>44497</v>
      </c>
      <c r="F1271" s="2">
        <v>44722</v>
      </c>
      <c r="G1271" s="3">
        <v>158620</v>
      </c>
      <c r="H1271" s="1">
        <v>0</v>
      </c>
      <c r="I1271" s="1" t="s">
        <v>1509</v>
      </c>
      <c r="J1271" s="1" t="s">
        <v>115</v>
      </c>
    </row>
    <row r="1272" spans="1:10" hidden="1" x14ac:dyDescent="0.25">
      <c r="A1272" s="1" t="s">
        <v>1011</v>
      </c>
      <c r="B1272" s="1" t="s">
        <v>1012</v>
      </c>
      <c r="C1272" s="1">
        <v>17674</v>
      </c>
      <c r="D1272" s="1">
        <v>26671</v>
      </c>
      <c r="E1272" s="2">
        <v>44509</v>
      </c>
      <c r="F1272" s="2">
        <v>44722</v>
      </c>
      <c r="G1272" s="3">
        <v>8000</v>
      </c>
      <c r="H1272" s="1">
        <v>0</v>
      </c>
      <c r="I1272" s="1" t="s">
        <v>1681</v>
      </c>
      <c r="J1272" s="1" t="s">
        <v>1014</v>
      </c>
    </row>
    <row r="1273" spans="1:10" hidden="1" x14ac:dyDescent="0.25">
      <c r="A1273" s="1" t="s">
        <v>1011</v>
      </c>
      <c r="B1273" s="1" t="s">
        <v>1012</v>
      </c>
      <c r="C1273" s="1">
        <v>17673</v>
      </c>
      <c r="D1273" s="1">
        <v>26669</v>
      </c>
      <c r="E1273" s="2">
        <v>44509</v>
      </c>
      <c r="F1273" s="2">
        <v>44722</v>
      </c>
      <c r="G1273" s="3">
        <v>64600</v>
      </c>
      <c r="H1273" s="1">
        <v>0</v>
      </c>
      <c r="I1273" s="1" t="s">
        <v>1699</v>
      </c>
      <c r="J1273" s="1" t="s">
        <v>1014</v>
      </c>
    </row>
    <row r="1274" spans="1:10" hidden="1" x14ac:dyDescent="0.25">
      <c r="A1274" s="1" t="s">
        <v>156</v>
      </c>
      <c r="B1274" s="1" t="s">
        <v>157</v>
      </c>
      <c r="C1274" s="1">
        <v>17271</v>
      </c>
      <c r="D1274" s="1">
        <v>26264</v>
      </c>
      <c r="E1274" s="2">
        <v>44483</v>
      </c>
      <c r="F1274" s="2">
        <v>44723</v>
      </c>
      <c r="G1274" s="3">
        <v>37028.5</v>
      </c>
      <c r="H1274" s="1">
        <v>0</v>
      </c>
      <c r="I1274" s="1" t="s">
        <v>458</v>
      </c>
      <c r="J1274" s="1" t="s">
        <v>88</v>
      </c>
    </row>
    <row r="1275" spans="1:10" hidden="1" x14ac:dyDescent="0.25">
      <c r="A1275" s="1" t="s">
        <v>24</v>
      </c>
      <c r="B1275" s="1" t="s">
        <v>25</v>
      </c>
      <c r="C1275" s="1">
        <v>18053</v>
      </c>
      <c r="D1275" s="1">
        <v>27066</v>
      </c>
      <c r="E1275" s="2">
        <v>44543</v>
      </c>
      <c r="F1275" s="2">
        <v>44723</v>
      </c>
      <c r="G1275" s="3">
        <v>82080</v>
      </c>
      <c r="H1275" s="1">
        <v>0</v>
      </c>
      <c r="I1275" s="1" t="s">
        <v>962</v>
      </c>
      <c r="J1275" s="1" t="s">
        <v>27</v>
      </c>
    </row>
    <row r="1276" spans="1:10" hidden="1" x14ac:dyDescent="0.25">
      <c r="A1276" s="1" t="s">
        <v>535</v>
      </c>
      <c r="B1276" s="1" t="s">
        <v>536</v>
      </c>
      <c r="C1276" s="1">
        <v>18098</v>
      </c>
      <c r="D1276" s="1">
        <v>27110</v>
      </c>
      <c r="E1276" s="2">
        <v>44544</v>
      </c>
      <c r="F1276" s="2">
        <v>44724</v>
      </c>
      <c r="G1276" s="1">
        <v>770</v>
      </c>
      <c r="H1276" s="1">
        <v>0</v>
      </c>
      <c r="I1276" s="1" t="s">
        <v>871</v>
      </c>
      <c r="J1276" s="1" t="s">
        <v>58</v>
      </c>
    </row>
    <row r="1277" spans="1:10" hidden="1" x14ac:dyDescent="0.25">
      <c r="A1277" s="1" t="s">
        <v>535</v>
      </c>
      <c r="B1277" s="1" t="s">
        <v>536</v>
      </c>
      <c r="C1277" s="1">
        <v>18099</v>
      </c>
      <c r="D1277" s="1">
        <v>27111</v>
      </c>
      <c r="E1277" s="2">
        <v>44544</v>
      </c>
      <c r="F1277" s="2">
        <v>44724</v>
      </c>
      <c r="G1277" s="1">
        <v>840</v>
      </c>
      <c r="H1277" s="1">
        <v>0</v>
      </c>
      <c r="I1277" s="1" t="s">
        <v>699</v>
      </c>
      <c r="J1277" s="1" t="s">
        <v>58</v>
      </c>
    </row>
    <row r="1278" spans="1:10" hidden="1" x14ac:dyDescent="0.25">
      <c r="A1278" s="1" t="s">
        <v>70</v>
      </c>
      <c r="B1278" s="1" t="s">
        <v>71</v>
      </c>
      <c r="C1278" s="1">
        <v>18726</v>
      </c>
      <c r="D1278" s="1">
        <v>27742</v>
      </c>
      <c r="E1278" s="2">
        <v>44606</v>
      </c>
      <c r="F1278" s="2">
        <v>44726</v>
      </c>
      <c r="G1278" s="3">
        <v>18583.48</v>
      </c>
      <c r="H1278" s="1">
        <v>0</v>
      </c>
      <c r="I1278" s="1" t="s">
        <v>432</v>
      </c>
      <c r="J1278" s="1" t="s">
        <v>73</v>
      </c>
    </row>
    <row r="1279" spans="1:10" hidden="1" x14ac:dyDescent="0.25">
      <c r="A1279" s="1" t="s">
        <v>70</v>
      </c>
      <c r="B1279" s="1" t="s">
        <v>71</v>
      </c>
      <c r="C1279" s="1">
        <v>18727</v>
      </c>
      <c r="D1279" s="1">
        <v>27743</v>
      </c>
      <c r="E1279" s="2">
        <v>44606</v>
      </c>
      <c r="F1279" s="2">
        <v>44726</v>
      </c>
      <c r="G1279" s="3">
        <v>17024.43</v>
      </c>
      <c r="H1279" s="1">
        <v>0</v>
      </c>
      <c r="I1279" s="1" t="s">
        <v>990</v>
      </c>
      <c r="J1279" s="1" t="s">
        <v>73</v>
      </c>
    </row>
    <row r="1280" spans="1:10" hidden="1" x14ac:dyDescent="0.25">
      <c r="A1280" s="1" t="s">
        <v>221</v>
      </c>
      <c r="B1280" s="1" t="s">
        <v>222</v>
      </c>
      <c r="C1280" s="1">
        <v>18120</v>
      </c>
      <c r="D1280" s="1">
        <v>27131</v>
      </c>
      <c r="E1280" s="2">
        <v>44546</v>
      </c>
      <c r="F1280" s="2">
        <v>44726</v>
      </c>
      <c r="G1280" s="3">
        <v>84450</v>
      </c>
      <c r="H1280" s="1">
        <v>0</v>
      </c>
      <c r="I1280" s="1" t="s">
        <v>1055</v>
      </c>
      <c r="J1280" s="1" t="s">
        <v>27</v>
      </c>
    </row>
    <row r="1281" spans="1:10" hidden="1" x14ac:dyDescent="0.25">
      <c r="A1281" s="1" t="s">
        <v>342</v>
      </c>
      <c r="B1281" s="1" t="s">
        <v>343</v>
      </c>
      <c r="C1281" s="1">
        <v>18724</v>
      </c>
      <c r="D1281" s="1">
        <v>27739</v>
      </c>
      <c r="E1281" s="2">
        <v>44606</v>
      </c>
      <c r="F1281" s="2">
        <v>44726</v>
      </c>
      <c r="G1281" s="3">
        <v>216000</v>
      </c>
      <c r="H1281" s="1">
        <v>0</v>
      </c>
      <c r="I1281" s="1" t="s">
        <v>1531</v>
      </c>
      <c r="J1281" s="1" t="s">
        <v>73</v>
      </c>
    </row>
    <row r="1282" spans="1:10" hidden="1" x14ac:dyDescent="0.25">
      <c r="A1282" s="1" t="s">
        <v>244</v>
      </c>
      <c r="B1282" s="1" t="s">
        <v>98</v>
      </c>
      <c r="C1282" s="1">
        <v>18119</v>
      </c>
      <c r="D1282" s="1">
        <v>27130</v>
      </c>
      <c r="E1282" s="2">
        <v>44546</v>
      </c>
      <c r="F1282" s="2">
        <v>44726</v>
      </c>
      <c r="G1282" s="3">
        <v>5630</v>
      </c>
      <c r="H1282" s="1">
        <v>0</v>
      </c>
      <c r="I1282" s="1" t="s">
        <v>1525</v>
      </c>
      <c r="J1282" s="1" t="s">
        <v>27</v>
      </c>
    </row>
    <row r="1283" spans="1:10" hidden="1" x14ac:dyDescent="0.25">
      <c r="A1283" s="1" t="s">
        <v>70</v>
      </c>
      <c r="B1283" s="1" t="s">
        <v>71</v>
      </c>
      <c r="C1283" s="1">
        <v>18725</v>
      </c>
      <c r="D1283" s="1">
        <v>27741</v>
      </c>
      <c r="E1283" s="2">
        <v>44606</v>
      </c>
      <c r="F1283" s="2">
        <v>44726</v>
      </c>
      <c r="G1283" s="3">
        <v>3430</v>
      </c>
      <c r="H1283" s="1">
        <v>0</v>
      </c>
      <c r="I1283" s="1" t="s">
        <v>464</v>
      </c>
      <c r="J1283" s="1" t="s">
        <v>73</v>
      </c>
    </row>
    <row r="1284" spans="1:10" hidden="1" x14ac:dyDescent="0.25">
      <c r="A1284" s="1" t="s">
        <v>10</v>
      </c>
      <c r="B1284" s="1" t="s">
        <v>11</v>
      </c>
      <c r="C1284" s="1">
        <v>17782</v>
      </c>
      <c r="D1284" s="1">
        <v>26786</v>
      </c>
      <c r="E1284" s="2">
        <v>44517</v>
      </c>
      <c r="F1284" s="2">
        <v>44727</v>
      </c>
      <c r="G1284" s="3">
        <v>72000.14</v>
      </c>
      <c r="H1284" s="1">
        <v>0</v>
      </c>
      <c r="I1284" s="1" t="s">
        <v>504</v>
      </c>
      <c r="J1284" s="1" t="s">
        <v>13</v>
      </c>
    </row>
    <row r="1285" spans="1:10" hidden="1" x14ac:dyDescent="0.25">
      <c r="A1285" s="1" t="s">
        <v>447</v>
      </c>
      <c r="B1285" s="1" t="s">
        <v>448</v>
      </c>
      <c r="C1285" s="1">
        <v>17323</v>
      </c>
      <c r="D1285" s="1">
        <v>26321</v>
      </c>
      <c r="E1285" s="2">
        <v>44487</v>
      </c>
      <c r="F1285" s="2">
        <v>44727</v>
      </c>
      <c r="G1285" s="3">
        <v>39712</v>
      </c>
      <c r="H1285" s="1">
        <v>0</v>
      </c>
      <c r="I1285" s="1" t="s">
        <v>604</v>
      </c>
      <c r="J1285" s="1" t="s">
        <v>88</v>
      </c>
    </row>
    <row r="1286" spans="1:10" hidden="1" x14ac:dyDescent="0.25">
      <c r="A1286" s="1" t="s">
        <v>180</v>
      </c>
      <c r="B1286" s="1" t="s">
        <v>181</v>
      </c>
      <c r="C1286" s="1">
        <v>17322</v>
      </c>
      <c r="D1286" s="1">
        <v>26320</v>
      </c>
      <c r="E1286" s="2">
        <v>44487</v>
      </c>
      <c r="F1286" s="2">
        <v>44727</v>
      </c>
      <c r="G1286" s="3">
        <v>27600</v>
      </c>
      <c r="H1286" s="1">
        <v>0</v>
      </c>
      <c r="I1286" s="1" t="s">
        <v>664</v>
      </c>
      <c r="J1286" s="1" t="s">
        <v>88</v>
      </c>
    </row>
    <row r="1287" spans="1:10" hidden="1" x14ac:dyDescent="0.25">
      <c r="A1287" s="1" t="s">
        <v>690</v>
      </c>
      <c r="B1287" s="1" t="s">
        <v>253</v>
      </c>
      <c r="C1287" s="1">
        <v>18731</v>
      </c>
      <c r="D1287" s="1">
        <v>27747</v>
      </c>
      <c r="E1287" s="2">
        <v>44607</v>
      </c>
      <c r="F1287" s="2">
        <v>44727</v>
      </c>
      <c r="G1287" s="3">
        <v>15945.02</v>
      </c>
      <c r="H1287" s="1">
        <v>0</v>
      </c>
      <c r="I1287" s="1" t="s">
        <v>691</v>
      </c>
      <c r="J1287" s="1" t="s">
        <v>23</v>
      </c>
    </row>
    <row r="1288" spans="1:10" hidden="1" x14ac:dyDescent="0.25">
      <c r="A1288" s="1" t="s">
        <v>173</v>
      </c>
      <c r="B1288" s="1" t="s">
        <v>174</v>
      </c>
      <c r="C1288" s="1">
        <v>17906</v>
      </c>
      <c r="D1288" s="1">
        <v>26918</v>
      </c>
      <c r="E1288" s="2">
        <v>44532</v>
      </c>
      <c r="F1288" s="2">
        <v>44727</v>
      </c>
      <c r="G1288" s="3">
        <v>82112</v>
      </c>
      <c r="H1288" s="1">
        <v>0</v>
      </c>
      <c r="I1288" s="1" t="s">
        <v>776</v>
      </c>
      <c r="J1288" s="1" t="s">
        <v>68</v>
      </c>
    </row>
    <row r="1289" spans="1:10" hidden="1" x14ac:dyDescent="0.25">
      <c r="A1289" s="1" t="s">
        <v>10</v>
      </c>
      <c r="B1289" s="1" t="s">
        <v>11</v>
      </c>
      <c r="C1289" s="1">
        <v>17766</v>
      </c>
      <c r="D1289" s="1">
        <v>26766</v>
      </c>
      <c r="E1289" s="2">
        <v>44517</v>
      </c>
      <c r="F1289" s="2">
        <v>44727</v>
      </c>
      <c r="G1289" s="3">
        <v>9000.02</v>
      </c>
      <c r="H1289" s="1">
        <v>0</v>
      </c>
      <c r="I1289" s="1" t="s">
        <v>543</v>
      </c>
      <c r="J1289" s="1" t="s">
        <v>13</v>
      </c>
    </row>
    <row r="1290" spans="1:10" hidden="1" x14ac:dyDescent="0.25">
      <c r="A1290" s="1" t="s">
        <v>140</v>
      </c>
      <c r="B1290" s="1" t="s">
        <v>141</v>
      </c>
      <c r="C1290" s="1">
        <v>18730</v>
      </c>
      <c r="D1290" s="1">
        <v>27746</v>
      </c>
      <c r="E1290" s="2">
        <v>44607</v>
      </c>
      <c r="F1290" s="2">
        <v>44727</v>
      </c>
      <c r="G1290" s="3">
        <v>77390.820000000007</v>
      </c>
      <c r="H1290" s="1">
        <v>0</v>
      </c>
      <c r="I1290" s="1" t="s">
        <v>928</v>
      </c>
      <c r="J1290" s="1" t="s">
        <v>73</v>
      </c>
    </row>
    <row r="1291" spans="1:10" hidden="1" x14ac:dyDescent="0.25">
      <c r="A1291" s="1" t="s">
        <v>690</v>
      </c>
      <c r="B1291" s="1" t="s">
        <v>253</v>
      </c>
      <c r="C1291" s="1">
        <v>18732</v>
      </c>
      <c r="D1291" s="1">
        <v>27748</v>
      </c>
      <c r="E1291" s="2">
        <v>44607</v>
      </c>
      <c r="F1291" s="2">
        <v>44727</v>
      </c>
      <c r="G1291" s="3">
        <v>14829.5</v>
      </c>
      <c r="H1291" s="1">
        <v>0</v>
      </c>
      <c r="I1291" s="1" t="s">
        <v>1007</v>
      </c>
      <c r="J1291" s="1" t="s">
        <v>23</v>
      </c>
    </row>
    <row r="1292" spans="1:10" hidden="1" x14ac:dyDescent="0.25">
      <c r="A1292" s="1" t="s">
        <v>173</v>
      </c>
      <c r="B1292" s="1" t="s">
        <v>174</v>
      </c>
      <c r="C1292" s="1">
        <v>18383</v>
      </c>
      <c r="D1292" s="1">
        <v>27392</v>
      </c>
      <c r="E1292" s="2">
        <v>44574</v>
      </c>
      <c r="F1292" s="2">
        <v>44727</v>
      </c>
      <c r="G1292" s="3">
        <v>67000</v>
      </c>
      <c r="H1292" s="1">
        <v>0</v>
      </c>
      <c r="I1292" s="1" t="s">
        <v>1099</v>
      </c>
      <c r="J1292" s="1" t="s">
        <v>68</v>
      </c>
    </row>
    <row r="1293" spans="1:10" hidden="1" x14ac:dyDescent="0.25">
      <c r="A1293" s="1" t="s">
        <v>447</v>
      </c>
      <c r="B1293" s="1" t="s">
        <v>448</v>
      </c>
      <c r="C1293" s="1">
        <v>17324</v>
      </c>
      <c r="D1293" s="1">
        <v>26322</v>
      </c>
      <c r="E1293" s="2">
        <v>44487</v>
      </c>
      <c r="F1293" s="2">
        <v>44727</v>
      </c>
      <c r="G1293" s="3">
        <v>49124</v>
      </c>
      <c r="H1293" s="1">
        <v>0</v>
      </c>
      <c r="I1293" s="1" t="s">
        <v>1359</v>
      </c>
      <c r="J1293" s="1" t="s">
        <v>88</v>
      </c>
    </row>
    <row r="1294" spans="1:10" hidden="1" x14ac:dyDescent="0.25">
      <c r="A1294" s="1" t="s">
        <v>97</v>
      </c>
      <c r="B1294" s="1" t="s">
        <v>98</v>
      </c>
      <c r="C1294" s="1">
        <v>18134</v>
      </c>
      <c r="D1294" s="1">
        <v>27148</v>
      </c>
      <c r="E1294" s="2">
        <v>44547</v>
      </c>
      <c r="F1294" s="2">
        <v>44727</v>
      </c>
      <c r="G1294" s="3">
        <v>10000.02</v>
      </c>
      <c r="H1294" s="1">
        <v>0</v>
      </c>
      <c r="I1294" s="1" t="s">
        <v>1402</v>
      </c>
      <c r="J1294" s="1" t="s">
        <v>27</v>
      </c>
    </row>
    <row r="1295" spans="1:10" hidden="1" x14ac:dyDescent="0.25">
      <c r="A1295" s="1" t="s">
        <v>221</v>
      </c>
      <c r="B1295" s="1" t="s">
        <v>222</v>
      </c>
      <c r="C1295" s="1">
        <v>18137</v>
      </c>
      <c r="D1295" s="1">
        <v>27151</v>
      </c>
      <c r="E1295" s="2">
        <v>44547</v>
      </c>
      <c r="F1295" s="2">
        <v>44727</v>
      </c>
      <c r="G1295" s="3">
        <v>10000.02</v>
      </c>
      <c r="H1295" s="1">
        <v>0</v>
      </c>
      <c r="I1295" s="1" t="s">
        <v>1469</v>
      </c>
      <c r="J1295" s="1" t="s">
        <v>27</v>
      </c>
    </row>
    <row r="1296" spans="1:10" hidden="1" x14ac:dyDescent="0.25">
      <c r="A1296" s="1" t="s">
        <v>173</v>
      </c>
      <c r="B1296" s="1" t="s">
        <v>174</v>
      </c>
      <c r="C1296" s="1">
        <v>17666</v>
      </c>
      <c r="D1296" s="1">
        <v>26663</v>
      </c>
      <c r="E1296" s="2">
        <v>44508</v>
      </c>
      <c r="F1296" s="2">
        <v>44727</v>
      </c>
      <c r="G1296" s="3">
        <v>25660</v>
      </c>
      <c r="H1296" s="1">
        <v>0</v>
      </c>
      <c r="I1296" s="1" t="s">
        <v>1488</v>
      </c>
      <c r="J1296" s="1" t="s">
        <v>68</v>
      </c>
    </row>
    <row r="1297" spans="1:10" hidden="1" x14ac:dyDescent="0.25">
      <c r="A1297" s="1" t="s">
        <v>24</v>
      </c>
      <c r="B1297" s="1" t="s">
        <v>25</v>
      </c>
      <c r="C1297" s="1">
        <v>18127</v>
      </c>
      <c r="D1297" s="1">
        <v>27141</v>
      </c>
      <c r="E1297" s="2">
        <v>44547</v>
      </c>
      <c r="F1297" s="2">
        <v>44727</v>
      </c>
      <c r="G1297" s="3">
        <v>4080</v>
      </c>
      <c r="H1297" s="1">
        <v>0</v>
      </c>
      <c r="I1297" s="1" t="s">
        <v>1590</v>
      </c>
      <c r="J1297" s="1" t="s">
        <v>27</v>
      </c>
    </row>
    <row r="1298" spans="1:10" hidden="1" x14ac:dyDescent="0.25">
      <c r="A1298" s="1" t="s">
        <v>173</v>
      </c>
      <c r="B1298" s="1" t="s">
        <v>174</v>
      </c>
      <c r="C1298" s="1">
        <v>17637</v>
      </c>
      <c r="D1298" s="1">
        <v>26640</v>
      </c>
      <c r="E1298" s="2">
        <v>44505</v>
      </c>
      <c r="F1298" s="2">
        <v>44727</v>
      </c>
      <c r="G1298" s="3">
        <v>299492</v>
      </c>
      <c r="H1298" s="1">
        <v>0</v>
      </c>
      <c r="I1298" s="1" t="s">
        <v>1602</v>
      </c>
      <c r="J1298" s="1" t="s">
        <v>68</v>
      </c>
    </row>
    <row r="1299" spans="1:10" hidden="1" x14ac:dyDescent="0.25">
      <c r="A1299" s="1" t="s">
        <v>173</v>
      </c>
      <c r="B1299" s="1" t="s">
        <v>174</v>
      </c>
      <c r="C1299" s="1">
        <v>17799</v>
      </c>
      <c r="D1299" s="1">
        <v>26802</v>
      </c>
      <c r="E1299" s="2">
        <v>44518</v>
      </c>
      <c r="F1299" s="2">
        <v>44727</v>
      </c>
      <c r="G1299" s="3">
        <v>46188</v>
      </c>
      <c r="H1299" s="1">
        <v>0</v>
      </c>
      <c r="I1299" s="1" t="s">
        <v>1666</v>
      </c>
      <c r="J1299" s="1" t="s">
        <v>68</v>
      </c>
    </row>
    <row r="1300" spans="1:10" hidden="1" x14ac:dyDescent="0.25">
      <c r="A1300" s="1" t="s">
        <v>20</v>
      </c>
      <c r="B1300" s="1" t="s">
        <v>21</v>
      </c>
      <c r="C1300" s="1">
        <v>18425</v>
      </c>
      <c r="D1300" s="1">
        <v>27426</v>
      </c>
      <c r="E1300" s="2">
        <v>44578</v>
      </c>
      <c r="F1300" s="2">
        <v>44728</v>
      </c>
      <c r="G1300" s="3">
        <v>47739.95</v>
      </c>
      <c r="H1300" s="1">
        <v>0</v>
      </c>
      <c r="I1300" s="1" t="s">
        <v>153</v>
      </c>
      <c r="J1300" s="1" t="s">
        <v>23</v>
      </c>
    </row>
    <row r="1301" spans="1:10" hidden="1" x14ac:dyDescent="0.25">
      <c r="A1301" s="1" t="s">
        <v>20</v>
      </c>
      <c r="B1301" s="1" t="s">
        <v>21</v>
      </c>
      <c r="C1301" s="1">
        <v>18420</v>
      </c>
      <c r="D1301" s="1">
        <v>27423</v>
      </c>
      <c r="E1301" s="2">
        <v>44578</v>
      </c>
      <c r="F1301" s="2">
        <v>44728</v>
      </c>
      <c r="G1301" s="3">
        <v>2000</v>
      </c>
      <c r="H1301" s="1">
        <v>0</v>
      </c>
      <c r="I1301" s="1" t="s">
        <v>46</v>
      </c>
      <c r="J1301" s="1" t="s">
        <v>23</v>
      </c>
    </row>
    <row r="1302" spans="1:10" hidden="1" x14ac:dyDescent="0.25">
      <c r="A1302" s="1" t="s">
        <v>10</v>
      </c>
      <c r="B1302" s="1" t="s">
        <v>11</v>
      </c>
      <c r="C1302" s="1">
        <v>18431</v>
      </c>
      <c r="D1302" s="1">
        <v>27431</v>
      </c>
      <c r="E1302" s="2">
        <v>44578</v>
      </c>
      <c r="F1302" s="2">
        <v>44728</v>
      </c>
      <c r="G1302" s="3">
        <v>68999.929999999993</v>
      </c>
      <c r="H1302" s="1">
        <v>0</v>
      </c>
      <c r="I1302" s="1" t="s">
        <v>681</v>
      </c>
      <c r="J1302" s="1" t="s">
        <v>13</v>
      </c>
    </row>
    <row r="1303" spans="1:10" hidden="1" x14ac:dyDescent="0.25">
      <c r="A1303" s="1" t="s">
        <v>1192</v>
      </c>
      <c r="B1303" s="1" t="s">
        <v>1193</v>
      </c>
      <c r="C1303" s="1">
        <v>18742</v>
      </c>
      <c r="D1303" s="1">
        <v>27760</v>
      </c>
      <c r="E1303" s="2">
        <v>44608</v>
      </c>
      <c r="F1303" s="2">
        <v>44728</v>
      </c>
      <c r="G1303" s="3">
        <v>17110</v>
      </c>
      <c r="H1303" s="1">
        <v>0</v>
      </c>
      <c r="I1303" s="1" t="s">
        <v>1194</v>
      </c>
      <c r="J1303" s="1" t="s">
        <v>1174</v>
      </c>
    </row>
    <row r="1304" spans="1:10" hidden="1" x14ac:dyDescent="0.25">
      <c r="A1304" s="1" t="s">
        <v>231</v>
      </c>
      <c r="B1304" s="1" t="s">
        <v>232</v>
      </c>
      <c r="C1304" s="1">
        <v>18430</v>
      </c>
      <c r="D1304" s="1">
        <v>27430</v>
      </c>
      <c r="E1304" s="2">
        <v>44578</v>
      </c>
      <c r="F1304" s="2">
        <v>44728</v>
      </c>
      <c r="G1304" s="3">
        <v>67452</v>
      </c>
      <c r="H1304" s="1">
        <v>0</v>
      </c>
      <c r="I1304" s="1" t="s">
        <v>1051</v>
      </c>
      <c r="J1304" s="1" t="s">
        <v>13</v>
      </c>
    </row>
    <row r="1305" spans="1:10" hidden="1" x14ac:dyDescent="0.25">
      <c r="A1305" s="1" t="s">
        <v>198</v>
      </c>
      <c r="B1305" s="1" t="s">
        <v>199</v>
      </c>
      <c r="C1305" s="1">
        <v>18432</v>
      </c>
      <c r="D1305" s="1">
        <v>27432</v>
      </c>
      <c r="E1305" s="2">
        <v>44579</v>
      </c>
      <c r="F1305" s="2">
        <v>44729</v>
      </c>
      <c r="G1305" s="3">
        <v>54780</v>
      </c>
      <c r="H1305" s="1">
        <v>0</v>
      </c>
      <c r="I1305" s="1" t="s">
        <v>445</v>
      </c>
      <c r="J1305" s="1" t="s">
        <v>13</v>
      </c>
    </row>
    <row r="1306" spans="1:10" hidden="1" x14ac:dyDescent="0.25">
      <c r="A1306" s="1" t="s">
        <v>198</v>
      </c>
      <c r="B1306" s="1" t="s">
        <v>199</v>
      </c>
      <c r="C1306" s="1">
        <v>18437</v>
      </c>
      <c r="D1306" s="1">
        <v>27437</v>
      </c>
      <c r="E1306" s="2">
        <v>44579</v>
      </c>
      <c r="F1306" s="2">
        <v>44729</v>
      </c>
      <c r="G1306" s="3">
        <v>2682.5</v>
      </c>
      <c r="H1306" s="1">
        <v>0</v>
      </c>
      <c r="I1306" s="1" t="s">
        <v>575</v>
      </c>
      <c r="J1306" s="1" t="s">
        <v>13</v>
      </c>
    </row>
    <row r="1307" spans="1:10" hidden="1" x14ac:dyDescent="0.25">
      <c r="A1307" s="1" t="s">
        <v>198</v>
      </c>
      <c r="B1307" s="1" t="s">
        <v>199</v>
      </c>
      <c r="C1307" s="1">
        <v>18438</v>
      </c>
      <c r="D1307" s="1">
        <v>27438</v>
      </c>
      <c r="E1307" s="2">
        <v>44579</v>
      </c>
      <c r="F1307" s="2">
        <v>44729</v>
      </c>
      <c r="G1307" s="3">
        <v>1950</v>
      </c>
      <c r="H1307" s="1">
        <v>0</v>
      </c>
      <c r="I1307" s="1" t="s">
        <v>897</v>
      </c>
      <c r="J1307" s="1" t="s">
        <v>13</v>
      </c>
    </row>
    <row r="1308" spans="1:10" hidden="1" x14ac:dyDescent="0.25">
      <c r="A1308" s="1" t="s">
        <v>939</v>
      </c>
      <c r="B1308" s="1" t="s">
        <v>940</v>
      </c>
      <c r="C1308" s="1">
        <v>18451</v>
      </c>
      <c r="D1308" s="1">
        <v>27449</v>
      </c>
      <c r="E1308" s="2">
        <v>44579</v>
      </c>
      <c r="F1308" s="2">
        <v>44729</v>
      </c>
      <c r="G1308" s="3">
        <v>6493</v>
      </c>
      <c r="H1308" s="1">
        <v>0</v>
      </c>
      <c r="I1308" s="1" t="s">
        <v>941</v>
      </c>
      <c r="J1308" s="1" t="s">
        <v>58</v>
      </c>
    </row>
    <row r="1309" spans="1:10" hidden="1" x14ac:dyDescent="0.25">
      <c r="A1309" s="1" t="s">
        <v>20</v>
      </c>
      <c r="B1309" s="1" t="s">
        <v>21</v>
      </c>
      <c r="C1309" s="1">
        <v>18753</v>
      </c>
      <c r="D1309" s="1">
        <v>27772</v>
      </c>
      <c r="E1309" s="2">
        <v>44609</v>
      </c>
      <c r="F1309" s="2">
        <v>44729</v>
      </c>
      <c r="G1309" s="3">
        <v>3666.66</v>
      </c>
      <c r="H1309" s="1">
        <v>0</v>
      </c>
      <c r="I1309" s="1" t="s">
        <v>966</v>
      </c>
      <c r="J1309" s="1" t="s">
        <v>23</v>
      </c>
    </row>
    <row r="1310" spans="1:10" hidden="1" x14ac:dyDescent="0.25">
      <c r="A1310" s="1" t="s">
        <v>20</v>
      </c>
      <c r="B1310" s="1" t="s">
        <v>21</v>
      </c>
      <c r="C1310" s="1">
        <v>18750</v>
      </c>
      <c r="D1310" s="1">
        <v>27769</v>
      </c>
      <c r="E1310" s="2">
        <v>44609</v>
      </c>
      <c r="F1310" s="2">
        <v>44729</v>
      </c>
      <c r="G1310" s="3">
        <v>18452.650000000001</v>
      </c>
      <c r="H1310" s="1">
        <v>0</v>
      </c>
      <c r="I1310" s="1" t="s">
        <v>1008</v>
      </c>
      <c r="J1310" s="1" t="s">
        <v>23</v>
      </c>
    </row>
    <row r="1311" spans="1:10" hidden="1" x14ac:dyDescent="0.25">
      <c r="A1311" s="1" t="s">
        <v>198</v>
      </c>
      <c r="B1311" s="1" t="s">
        <v>199</v>
      </c>
      <c r="C1311" s="1">
        <v>18436</v>
      </c>
      <c r="D1311" s="1">
        <v>27436</v>
      </c>
      <c r="E1311" s="2">
        <v>44579</v>
      </c>
      <c r="F1311" s="2">
        <v>44729</v>
      </c>
      <c r="G1311" s="3">
        <v>2320</v>
      </c>
      <c r="H1311" s="1">
        <v>0</v>
      </c>
      <c r="I1311" s="1" t="s">
        <v>1129</v>
      </c>
      <c r="J1311" s="1" t="s">
        <v>13</v>
      </c>
    </row>
    <row r="1312" spans="1:10" hidden="1" x14ac:dyDescent="0.25">
      <c r="A1312" s="1" t="s">
        <v>198</v>
      </c>
      <c r="B1312" s="1" t="s">
        <v>199</v>
      </c>
      <c r="C1312" s="1">
        <v>16173</v>
      </c>
      <c r="D1312" s="1">
        <v>25076</v>
      </c>
      <c r="E1312" s="2">
        <v>44369</v>
      </c>
      <c r="F1312" s="2">
        <v>44729</v>
      </c>
      <c r="G1312" s="3">
        <v>80459.179999999993</v>
      </c>
      <c r="H1312" s="1">
        <v>0</v>
      </c>
      <c r="I1312" s="1" t="s">
        <v>1181</v>
      </c>
      <c r="J1312" s="1" t="s">
        <v>13</v>
      </c>
    </row>
    <row r="1313" spans="1:10" hidden="1" x14ac:dyDescent="0.25">
      <c r="A1313" s="1" t="s">
        <v>20</v>
      </c>
      <c r="B1313" s="1" t="s">
        <v>21</v>
      </c>
      <c r="C1313" s="1">
        <v>18751</v>
      </c>
      <c r="D1313" s="1">
        <v>27770</v>
      </c>
      <c r="E1313" s="2">
        <v>44609</v>
      </c>
      <c r="F1313" s="2">
        <v>44729</v>
      </c>
      <c r="G1313" s="3">
        <v>5089.99</v>
      </c>
      <c r="H1313" s="1">
        <v>0</v>
      </c>
      <c r="I1313" s="1" t="s">
        <v>1219</v>
      </c>
      <c r="J1313" s="1" t="s">
        <v>23</v>
      </c>
    </row>
    <row r="1314" spans="1:10" hidden="1" x14ac:dyDescent="0.25">
      <c r="A1314" s="1" t="s">
        <v>1238</v>
      </c>
      <c r="B1314" s="1" t="s">
        <v>1239</v>
      </c>
      <c r="C1314" s="1"/>
      <c r="D1314" s="1">
        <v>176646</v>
      </c>
      <c r="E1314" s="2">
        <v>44547</v>
      </c>
      <c r="F1314" s="2">
        <v>44729</v>
      </c>
      <c r="G1314" s="3">
        <v>2400</v>
      </c>
      <c r="H1314" s="1">
        <v>0</v>
      </c>
      <c r="I1314" s="1" t="s">
        <v>1240</v>
      </c>
      <c r="J1314" s="1" t="s">
        <v>730</v>
      </c>
    </row>
    <row r="1315" spans="1:10" hidden="1" x14ac:dyDescent="0.25">
      <c r="A1315" s="1" t="s">
        <v>20</v>
      </c>
      <c r="B1315" s="1" t="s">
        <v>21</v>
      </c>
      <c r="C1315" s="1">
        <v>18149</v>
      </c>
      <c r="D1315" s="1">
        <v>27160</v>
      </c>
      <c r="E1315" s="2">
        <v>44549</v>
      </c>
      <c r="F1315" s="2">
        <v>44729</v>
      </c>
      <c r="G1315" s="3">
        <v>5454.18</v>
      </c>
      <c r="H1315" s="1">
        <v>0</v>
      </c>
      <c r="I1315" s="1" t="s">
        <v>1286</v>
      </c>
      <c r="J1315" s="1" t="s">
        <v>23</v>
      </c>
    </row>
    <row r="1316" spans="1:10" hidden="1" x14ac:dyDescent="0.25">
      <c r="A1316" s="1" t="s">
        <v>20</v>
      </c>
      <c r="B1316" s="1" t="s">
        <v>21</v>
      </c>
      <c r="C1316" s="1">
        <v>18147</v>
      </c>
      <c r="D1316" s="1">
        <v>27158</v>
      </c>
      <c r="E1316" s="2">
        <v>44549</v>
      </c>
      <c r="F1316" s="2">
        <v>44729</v>
      </c>
      <c r="G1316" s="1">
        <v>360</v>
      </c>
      <c r="H1316" s="1">
        <v>0</v>
      </c>
      <c r="I1316" s="1" t="s">
        <v>1593</v>
      </c>
      <c r="J1316" s="1" t="s">
        <v>23</v>
      </c>
    </row>
    <row r="1317" spans="1:10" hidden="1" x14ac:dyDescent="0.25">
      <c r="A1317" s="1" t="s">
        <v>20</v>
      </c>
      <c r="B1317" s="1" t="s">
        <v>21</v>
      </c>
      <c r="C1317" s="1">
        <v>18148</v>
      </c>
      <c r="D1317" s="1">
        <v>27159</v>
      </c>
      <c r="E1317" s="2">
        <v>44549</v>
      </c>
      <c r="F1317" s="2">
        <v>44729</v>
      </c>
      <c r="G1317" s="3">
        <v>28886.720000000001</v>
      </c>
      <c r="H1317" s="1">
        <v>0</v>
      </c>
      <c r="I1317" s="1" t="s">
        <v>1619</v>
      </c>
      <c r="J1317" s="1" t="s">
        <v>23</v>
      </c>
    </row>
    <row r="1318" spans="1:10" hidden="1" x14ac:dyDescent="0.25">
      <c r="A1318" s="1" t="s">
        <v>20</v>
      </c>
      <c r="B1318" s="1" t="s">
        <v>21</v>
      </c>
      <c r="C1318" s="1">
        <v>18754</v>
      </c>
      <c r="D1318" s="1">
        <v>27773</v>
      </c>
      <c r="E1318" s="2">
        <v>44609</v>
      </c>
      <c r="F1318" s="2">
        <v>44729</v>
      </c>
      <c r="G1318" s="3">
        <v>30105</v>
      </c>
      <c r="H1318" s="1">
        <v>0</v>
      </c>
      <c r="I1318" s="1" t="s">
        <v>1658</v>
      </c>
      <c r="J1318" s="1" t="s">
        <v>23</v>
      </c>
    </row>
    <row r="1319" spans="1:10" hidden="1" x14ac:dyDescent="0.25">
      <c r="A1319" s="1" t="s">
        <v>10</v>
      </c>
      <c r="B1319" s="1" t="s">
        <v>11</v>
      </c>
      <c r="C1319" s="1">
        <v>18471</v>
      </c>
      <c r="D1319" s="1">
        <v>27470</v>
      </c>
      <c r="E1319" s="2">
        <v>44580</v>
      </c>
      <c r="F1319" s="2">
        <v>44730</v>
      </c>
      <c r="G1319" s="3">
        <v>31999.97</v>
      </c>
      <c r="H1319" s="1">
        <v>0</v>
      </c>
      <c r="I1319" s="1" t="s">
        <v>547</v>
      </c>
      <c r="J1319" s="1" t="s">
        <v>13</v>
      </c>
    </row>
    <row r="1320" spans="1:10" hidden="1" x14ac:dyDescent="0.25">
      <c r="A1320" s="1" t="s">
        <v>10</v>
      </c>
      <c r="B1320" s="1" t="s">
        <v>11</v>
      </c>
      <c r="C1320" s="1">
        <v>18171</v>
      </c>
      <c r="D1320" s="1">
        <v>27182</v>
      </c>
      <c r="E1320" s="2">
        <v>44550</v>
      </c>
      <c r="F1320" s="2">
        <v>44730</v>
      </c>
      <c r="G1320" s="3">
        <v>8400</v>
      </c>
      <c r="H1320" s="1">
        <v>0</v>
      </c>
      <c r="I1320" s="1" t="s">
        <v>1018</v>
      </c>
      <c r="J1320" s="1" t="s">
        <v>13</v>
      </c>
    </row>
    <row r="1321" spans="1:10" hidden="1" x14ac:dyDescent="0.25">
      <c r="A1321" s="1" t="s">
        <v>70</v>
      </c>
      <c r="B1321" s="1" t="s">
        <v>71</v>
      </c>
      <c r="C1321" s="1">
        <v>18168</v>
      </c>
      <c r="D1321" s="1">
        <v>27179</v>
      </c>
      <c r="E1321" s="2">
        <v>44550</v>
      </c>
      <c r="F1321" s="2">
        <v>44730</v>
      </c>
      <c r="G1321" s="1">
        <v>840</v>
      </c>
      <c r="H1321" s="1">
        <v>0</v>
      </c>
      <c r="I1321" s="1" t="s">
        <v>1160</v>
      </c>
      <c r="J1321" s="1" t="s">
        <v>73</v>
      </c>
    </row>
    <row r="1322" spans="1:10" hidden="1" x14ac:dyDescent="0.25">
      <c r="A1322" s="1" t="s">
        <v>1171</v>
      </c>
      <c r="B1322" s="1" t="s">
        <v>1172</v>
      </c>
      <c r="C1322" s="1">
        <v>18760</v>
      </c>
      <c r="D1322" s="1">
        <v>27780</v>
      </c>
      <c r="E1322" s="2">
        <v>44610</v>
      </c>
      <c r="F1322" s="2">
        <v>44730</v>
      </c>
      <c r="G1322" s="3">
        <v>11950</v>
      </c>
      <c r="H1322" s="1">
        <v>0</v>
      </c>
      <c r="I1322" s="1" t="s">
        <v>1173</v>
      </c>
      <c r="J1322" s="1" t="s">
        <v>1174</v>
      </c>
    </row>
    <row r="1323" spans="1:10" hidden="1" x14ac:dyDescent="0.25">
      <c r="A1323" s="1" t="s">
        <v>70</v>
      </c>
      <c r="B1323" s="1" t="s">
        <v>71</v>
      </c>
      <c r="C1323" s="1">
        <v>18167</v>
      </c>
      <c r="D1323" s="1">
        <v>27178</v>
      </c>
      <c r="E1323" s="2">
        <v>44550</v>
      </c>
      <c r="F1323" s="2">
        <v>44730</v>
      </c>
      <c r="G1323" s="3">
        <v>14222.94</v>
      </c>
      <c r="H1323" s="1">
        <v>0</v>
      </c>
      <c r="I1323" s="1" t="s">
        <v>1160</v>
      </c>
      <c r="J1323" s="1" t="s">
        <v>73</v>
      </c>
    </row>
    <row r="1324" spans="1:10" hidden="1" x14ac:dyDescent="0.25">
      <c r="A1324" s="1" t="s">
        <v>10</v>
      </c>
      <c r="B1324" s="1" t="s">
        <v>11</v>
      </c>
      <c r="C1324" s="1">
        <v>18170</v>
      </c>
      <c r="D1324" s="1">
        <v>27181</v>
      </c>
      <c r="E1324" s="2">
        <v>44550</v>
      </c>
      <c r="F1324" s="2">
        <v>44730</v>
      </c>
      <c r="G1324" s="3">
        <v>96600</v>
      </c>
      <c r="H1324" s="1">
        <v>0</v>
      </c>
      <c r="I1324" s="1" t="s">
        <v>543</v>
      </c>
      <c r="J1324" s="1" t="s">
        <v>13</v>
      </c>
    </row>
    <row r="1325" spans="1:10" hidden="1" x14ac:dyDescent="0.25">
      <c r="A1325" s="1" t="s">
        <v>70</v>
      </c>
      <c r="B1325" s="1" t="s">
        <v>71</v>
      </c>
      <c r="C1325" s="1">
        <v>18166</v>
      </c>
      <c r="D1325" s="1">
        <v>27177</v>
      </c>
      <c r="E1325" s="2">
        <v>44550</v>
      </c>
      <c r="F1325" s="2">
        <v>44730</v>
      </c>
      <c r="G1325" s="1">
        <v>86.52</v>
      </c>
      <c r="H1325" s="1">
        <v>0</v>
      </c>
      <c r="I1325" s="1" t="s">
        <v>1160</v>
      </c>
      <c r="J1325" s="1" t="s">
        <v>73</v>
      </c>
    </row>
    <row r="1326" spans="1:10" hidden="1" x14ac:dyDescent="0.25">
      <c r="A1326" s="1" t="s">
        <v>24</v>
      </c>
      <c r="B1326" s="1" t="s">
        <v>25</v>
      </c>
      <c r="C1326" s="1">
        <v>18161</v>
      </c>
      <c r="D1326" s="1">
        <v>27172</v>
      </c>
      <c r="E1326" s="2">
        <v>44550</v>
      </c>
      <c r="F1326" s="2">
        <v>44730</v>
      </c>
      <c r="G1326" s="3">
        <v>2856</v>
      </c>
      <c r="H1326" s="1">
        <v>0</v>
      </c>
      <c r="I1326" s="1" t="s">
        <v>1591</v>
      </c>
      <c r="J1326" s="1" t="s">
        <v>27</v>
      </c>
    </row>
    <row r="1327" spans="1:10" hidden="1" x14ac:dyDescent="0.25">
      <c r="A1327" s="1" t="s">
        <v>97</v>
      </c>
      <c r="B1327" s="1" t="s">
        <v>98</v>
      </c>
      <c r="C1327" s="1">
        <v>18174</v>
      </c>
      <c r="D1327" s="1">
        <v>27185</v>
      </c>
      <c r="E1327" s="2">
        <v>44550</v>
      </c>
      <c r="F1327" s="2">
        <v>44730</v>
      </c>
      <c r="G1327" s="3">
        <v>90080</v>
      </c>
      <c r="H1327" s="1">
        <v>0</v>
      </c>
      <c r="I1327" s="1" t="s">
        <v>1671</v>
      </c>
      <c r="J1327" s="1" t="s">
        <v>27</v>
      </c>
    </row>
    <row r="1328" spans="1:10" hidden="1" x14ac:dyDescent="0.25">
      <c r="A1328" s="1" t="s">
        <v>70</v>
      </c>
      <c r="B1328" s="1" t="s">
        <v>71</v>
      </c>
      <c r="C1328" s="1">
        <v>18169</v>
      </c>
      <c r="D1328" s="1">
        <v>27180</v>
      </c>
      <c r="E1328" s="2">
        <v>44550</v>
      </c>
      <c r="F1328" s="2">
        <v>44730</v>
      </c>
      <c r="G1328" s="1">
        <v>840</v>
      </c>
      <c r="H1328" s="1">
        <v>0</v>
      </c>
      <c r="I1328" s="1" t="s">
        <v>1052</v>
      </c>
      <c r="J1328" s="1" t="s">
        <v>73</v>
      </c>
    </row>
    <row r="1329" spans="1:10" hidden="1" x14ac:dyDescent="0.25">
      <c r="A1329" s="1" t="s">
        <v>70</v>
      </c>
      <c r="B1329" s="1" t="s">
        <v>71</v>
      </c>
      <c r="C1329" s="1">
        <v>18286</v>
      </c>
      <c r="D1329" s="1">
        <v>27295</v>
      </c>
      <c r="E1329" s="2">
        <v>44566</v>
      </c>
      <c r="F1329" s="2">
        <v>44731</v>
      </c>
      <c r="G1329" s="3">
        <v>10147.77</v>
      </c>
      <c r="H1329" s="1">
        <v>0</v>
      </c>
      <c r="I1329" s="1" t="s">
        <v>72</v>
      </c>
      <c r="J1329" s="1" t="s">
        <v>73</v>
      </c>
    </row>
    <row r="1330" spans="1:10" hidden="1" x14ac:dyDescent="0.25">
      <c r="A1330" s="1" t="s">
        <v>70</v>
      </c>
      <c r="B1330" s="1" t="s">
        <v>71</v>
      </c>
      <c r="C1330" s="1">
        <v>18287</v>
      </c>
      <c r="D1330" s="1">
        <v>27296</v>
      </c>
      <c r="E1330" s="2">
        <v>44566</v>
      </c>
      <c r="F1330" s="2">
        <v>44731</v>
      </c>
      <c r="G1330" s="3">
        <v>4083.33</v>
      </c>
      <c r="H1330" s="1">
        <v>0</v>
      </c>
      <c r="I1330" s="1" t="s">
        <v>570</v>
      </c>
      <c r="J1330" s="1" t="s">
        <v>73</v>
      </c>
    </row>
    <row r="1331" spans="1:10" hidden="1" x14ac:dyDescent="0.25">
      <c r="A1331" s="1" t="s">
        <v>10</v>
      </c>
      <c r="B1331" s="1" t="s">
        <v>11</v>
      </c>
      <c r="C1331" s="1">
        <v>17843</v>
      </c>
      <c r="D1331" s="1">
        <v>26847</v>
      </c>
      <c r="E1331" s="2">
        <v>44522</v>
      </c>
      <c r="F1331" s="2">
        <v>44732</v>
      </c>
      <c r="G1331" s="3">
        <v>47500.1</v>
      </c>
      <c r="H1331" s="1">
        <v>0</v>
      </c>
      <c r="I1331" s="1" t="s">
        <v>219</v>
      </c>
      <c r="J1331" s="1" t="s">
        <v>13</v>
      </c>
    </row>
    <row r="1332" spans="1:10" hidden="1" x14ac:dyDescent="0.25">
      <c r="A1332" s="1" t="s">
        <v>70</v>
      </c>
      <c r="B1332" s="1" t="s">
        <v>71</v>
      </c>
      <c r="C1332" s="1">
        <v>18510</v>
      </c>
      <c r="D1332" s="1">
        <v>27508</v>
      </c>
      <c r="E1332" s="2">
        <v>44582</v>
      </c>
      <c r="F1332" s="2">
        <v>44732</v>
      </c>
      <c r="G1332" s="3">
        <v>21746.92</v>
      </c>
      <c r="H1332" s="1">
        <v>0</v>
      </c>
      <c r="I1332" s="1" t="s">
        <v>237</v>
      </c>
      <c r="J1332" s="1" t="s">
        <v>73</v>
      </c>
    </row>
    <row r="1333" spans="1:10" hidden="1" x14ac:dyDescent="0.25">
      <c r="A1333" s="1" t="s">
        <v>10</v>
      </c>
      <c r="B1333" s="1" t="s">
        <v>11</v>
      </c>
      <c r="C1333" s="1">
        <v>17842</v>
      </c>
      <c r="D1333" s="1">
        <v>26846</v>
      </c>
      <c r="E1333" s="2">
        <v>44522</v>
      </c>
      <c r="F1333" s="2">
        <v>44732</v>
      </c>
      <c r="G1333" s="1">
        <v>652.5</v>
      </c>
      <c r="H1333" s="1">
        <v>0</v>
      </c>
      <c r="I1333" s="1" t="s">
        <v>301</v>
      </c>
      <c r="J1333" s="1" t="s">
        <v>13</v>
      </c>
    </row>
    <row r="1334" spans="1:10" hidden="1" x14ac:dyDescent="0.25">
      <c r="A1334" s="1" t="s">
        <v>24</v>
      </c>
      <c r="B1334" s="1" t="s">
        <v>25</v>
      </c>
      <c r="C1334" s="1">
        <v>18502</v>
      </c>
      <c r="D1334" s="1">
        <v>27500</v>
      </c>
      <c r="E1334" s="2">
        <v>44582</v>
      </c>
      <c r="F1334" s="2">
        <v>44732</v>
      </c>
      <c r="G1334" s="3">
        <v>3170</v>
      </c>
      <c r="H1334" s="1">
        <v>0</v>
      </c>
      <c r="I1334" s="1" t="s">
        <v>482</v>
      </c>
      <c r="J1334" s="1" t="s">
        <v>27</v>
      </c>
    </row>
    <row r="1335" spans="1:10" hidden="1" x14ac:dyDescent="0.25">
      <c r="A1335" s="1" t="s">
        <v>97</v>
      </c>
      <c r="B1335" s="1" t="s">
        <v>98</v>
      </c>
      <c r="C1335" s="1">
        <v>16262</v>
      </c>
      <c r="D1335" s="1">
        <v>25175</v>
      </c>
      <c r="E1335" s="2">
        <v>44384</v>
      </c>
      <c r="F1335" s="2">
        <v>44732</v>
      </c>
      <c r="G1335" s="3">
        <v>23586</v>
      </c>
      <c r="H1335" s="1">
        <v>0</v>
      </c>
      <c r="I1335" s="1" t="s">
        <v>488</v>
      </c>
      <c r="J1335" s="1" t="s">
        <v>27</v>
      </c>
    </row>
    <row r="1336" spans="1:10" hidden="1" x14ac:dyDescent="0.25">
      <c r="A1336" s="1" t="s">
        <v>321</v>
      </c>
      <c r="B1336" s="1" t="s">
        <v>322</v>
      </c>
      <c r="C1336" s="1">
        <v>18507</v>
      </c>
      <c r="D1336" s="1">
        <v>27505</v>
      </c>
      <c r="E1336" s="2">
        <v>44582</v>
      </c>
      <c r="F1336" s="2">
        <v>44732</v>
      </c>
      <c r="G1336" s="3">
        <v>1237.3399999999999</v>
      </c>
      <c r="H1336" s="1">
        <v>0</v>
      </c>
      <c r="I1336" s="1" t="s">
        <v>507</v>
      </c>
      <c r="J1336" s="1" t="s">
        <v>27</v>
      </c>
    </row>
    <row r="1337" spans="1:10" hidden="1" x14ac:dyDescent="0.25">
      <c r="A1337" s="1" t="s">
        <v>180</v>
      </c>
      <c r="B1337" s="1" t="s">
        <v>181</v>
      </c>
      <c r="C1337" s="1">
        <v>17841</v>
      </c>
      <c r="D1337" s="1">
        <v>26845</v>
      </c>
      <c r="E1337" s="2">
        <v>44522</v>
      </c>
      <c r="F1337" s="2">
        <v>44732</v>
      </c>
      <c r="G1337" s="3">
        <v>108540</v>
      </c>
      <c r="H1337" s="1">
        <v>0</v>
      </c>
      <c r="I1337" s="1" t="s">
        <v>744</v>
      </c>
      <c r="J1337" s="1" t="s">
        <v>88</v>
      </c>
    </row>
    <row r="1338" spans="1:10" hidden="1" x14ac:dyDescent="0.25">
      <c r="A1338" s="1" t="s">
        <v>321</v>
      </c>
      <c r="B1338" s="1" t="s">
        <v>322</v>
      </c>
      <c r="C1338" s="1">
        <v>18508</v>
      </c>
      <c r="D1338" s="1">
        <v>27506</v>
      </c>
      <c r="E1338" s="2">
        <v>44582</v>
      </c>
      <c r="F1338" s="2">
        <v>44732</v>
      </c>
      <c r="G1338" s="3">
        <v>8093.8</v>
      </c>
      <c r="H1338" s="1">
        <v>0</v>
      </c>
      <c r="I1338" s="1" t="s">
        <v>773</v>
      </c>
      <c r="J1338" s="1" t="s">
        <v>27</v>
      </c>
    </row>
    <row r="1339" spans="1:10" hidden="1" x14ac:dyDescent="0.25">
      <c r="A1339" s="1" t="s">
        <v>221</v>
      </c>
      <c r="B1339" s="1" t="s">
        <v>222</v>
      </c>
      <c r="C1339" s="1">
        <v>16294</v>
      </c>
      <c r="D1339" s="1">
        <v>25211</v>
      </c>
      <c r="E1339" s="2">
        <v>44389</v>
      </c>
      <c r="F1339" s="2">
        <v>44732</v>
      </c>
      <c r="G1339" s="3">
        <v>155177.20000000001</v>
      </c>
      <c r="H1339" s="1">
        <v>0</v>
      </c>
      <c r="I1339" s="1" t="s">
        <v>798</v>
      </c>
      <c r="J1339" s="1" t="s">
        <v>27</v>
      </c>
    </row>
    <row r="1340" spans="1:10" hidden="1" x14ac:dyDescent="0.25">
      <c r="A1340" s="1" t="s">
        <v>70</v>
      </c>
      <c r="B1340" s="1" t="s">
        <v>71</v>
      </c>
      <c r="C1340" s="1">
        <v>18505</v>
      </c>
      <c r="D1340" s="1">
        <v>27503</v>
      </c>
      <c r="E1340" s="2">
        <v>44582</v>
      </c>
      <c r="F1340" s="2">
        <v>44732</v>
      </c>
      <c r="G1340" s="3">
        <v>1600</v>
      </c>
      <c r="H1340" s="1">
        <v>0</v>
      </c>
      <c r="I1340" s="1" t="s">
        <v>119</v>
      </c>
      <c r="J1340" s="1" t="s">
        <v>73</v>
      </c>
    </row>
    <row r="1341" spans="1:10" hidden="1" x14ac:dyDescent="0.25">
      <c r="A1341" s="1" t="s">
        <v>10</v>
      </c>
      <c r="B1341" s="1" t="s">
        <v>11</v>
      </c>
      <c r="C1341" s="1">
        <v>18496</v>
      </c>
      <c r="D1341" s="1">
        <v>27494</v>
      </c>
      <c r="E1341" s="2">
        <v>44582</v>
      </c>
      <c r="F1341" s="2">
        <v>44732</v>
      </c>
      <c r="G1341" s="3">
        <v>105780</v>
      </c>
      <c r="H1341" s="1">
        <v>0</v>
      </c>
      <c r="I1341" s="1" t="s">
        <v>1351</v>
      </c>
      <c r="J1341" s="1" t="s">
        <v>13</v>
      </c>
    </row>
    <row r="1342" spans="1:10" hidden="1" x14ac:dyDescent="0.25">
      <c r="A1342" s="1" t="s">
        <v>150</v>
      </c>
      <c r="B1342" s="1" t="s">
        <v>151</v>
      </c>
      <c r="C1342" s="1">
        <v>16201</v>
      </c>
      <c r="D1342" s="1">
        <v>25104</v>
      </c>
      <c r="E1342" s="2">
        <v>44372</v>
      </c>
      <c r="F1342" s="2">
        <v>44732</v>
      </c>
      <c r="G1342" s="3">
        <v>44350</v>
      </c>
      <c r="H1342" s="1">
        <v>0</v>
      </c>
      <c r="I1342" s="1" t="s">
        <v>1483</v>
      </c>
      <c r="J1342" s="1" t="s">
        <v>58</v>
      </c>
    </row>
    <row r="1343" spans="1:10" hidden="1" x14ac:dyDescent="0.25">
      <c r="A1343" s="1" t="s">
        <v>10</v>
      </c>
      <c r="B1343" s="1" t="s">
        <v>11</v>
      </c>
      <c r="C1343" s="1">
        <v>18190</v>
      </c>
      <c r="D1343" s="1">
        <v>27202</v>
      </c>
      <c r="E1343" s="2">
        <v>44552</v>
      </c>
      <c r="F1343" s="2">
        <v>44732</v>
      </c>
      <c r="G1343" s="3">
        <v>24440</v>
      </c>
      <c r="H1343" s="1">
        <v>0</v>
      </c>
      <c r="I1343" s="1" t="s">
        <v>1594</v>
      </c>
      <c r="J1343" s="1" t="s">
        <v>13</v>
      </c>
    </row>
    <row r="1344" spans="1:10" hidden="1" x14ac:dyDescent="0.25">
      <c r="A1344" s="1" t="s">
        <v>321</v>
      </c>
      <c r="B1344" s="1" t="s">
        <v>322</v>
      </c>
      <c r="C1344" s="1">
        <v>18506</v>
      </c>
      <c r="D1344" s="1">
        <v>27504</v>
      </c>
      <c r="E1344" s="2">
        <v>44582</v>
      </c>
      <c r="F1344" s="2">
        <v>44732</v>
      </c>
      <c r="G1344" s="3">
        <v>2853.33</v>
      </c>
      <c r="H1344" s="1">
        <v>0</v>
      </c>
      <c r="I1344" s="1" t="s">
        <v>1667</v>
      </c>
      <c r="J1344" s="1" t="s">
        <v>27</v>
      </c>
    </row>
    <row r="1345" spans="1:10" hidden="1" x14ac:dyDescent="0.25">
      <c r="A1345" s="1" t="s">
        <v>10</v>
      </c>
      <c r="B1345" s="1" t="s">
        <v>11</v>
      </c>
      <c r="C1345" s="1">
        <v>17874</v>
      </c>
      <c r="D1345" s="1">
        <v>26877</v>
      </c>
      <c r="E1345" s="2">
        <v>44523</v>
      </c>
      <c r="F1345" s="2">
        <v>44733</v>
      </c>
      <c r="G1345" s="3">
        <v>49800.1</v>
      </c>
      <c r="H1345" s="1">
        <v>0</v>
      </c>
      <c r="I1345" s="1" t="s">
        <v>631</v>
      </c>
      <c r="J1345" s="1" t="s">
        <v>13</v>
      </c>
    </row>
    <row r="1346" spans="1:10" hidden="1" x14ac:dyDescent="0.25">
      <c r="A1346" s="1" t="s">
        <v>10</v>
      </c>
      <c r="B1346" s="1" t="s">
        <v>11</v>
      </c>
      <c r="C1346" s="1">
        <v>17875</v>
      </c>
      <c r="D1346" s="1">
        <v>26878</v>
      </c>
      <c r="E1346" s="2">
        <v>44523</v>
      </c>
      <c r="F1346" s="2">
        <v>44733</v>
      </c>
      <c r="G1346" s="1">
        <v>675</v>
      </c>
      <c r="H1346" s="1">
        <v>0</v>
      </c>
      <c r="I1346" s="1" t="s">
        <v>724</v>
      </c>
      <c r="J1346" s="1" t="s">
        <v>13</v>
      </c>
    </row>
    <row r="1347" spans="1:10" hidden="1" x14ac:dyDescent="0.25">
      <c r="A1347" s="1" t="s">
        <v>24</v>
      </c>
      <c r="B1347" s="1" t="s">
        <v>25</v>
      </c>
      <c r="C1347" s="1">
        <v>18763</v>
      </c>
      <c r="D1347" s="1">
        <v>27783</v>
      </c>
      <c r="E1347" s="2">
        <v>44613</v>
      </c>
      <c r="F1347" s="2">
        <v>44733</v>
      </c>
      <c r="G1347" s="3">
        <v>40000</v>
      </c>
      <c r="H1347" s="1">
        <v>0</v>
      </c>
      <c r="I1347" s="1" t="s">
        <v>894</v>
      </c>
      <c r="J1347" s="1" t="s">
        <v>27</v>
      </c>
    </row>
    <row r="1348" spans="1:10" hidden="1" x14ac:dyDescent="0.25">
      <c r="A1348" s="1" t="s">
        <v>24</v>
      </c>
      <c r="B1348" s="1" t="s">
        <v>25</v>
      </c>
      <c r="C1348" s="1">
        <v>18762</v>
      </c>
      <c r="D1348" s="1">
        <v>27782</v>
      </c>
      <c r="E1348" s="2">
        <v>44613</v>
      </c>
      <c r="F1348" s="2">
        <v>44733</v>
      </c>
      <c r="G1348" s="3">
        <v>11237.5</v>
      </c>
      <c r="H1348" s="1">
        <v>0</v>
      </c>
      <c r="I1348" s="1" t="s">
        <v>1180</v>
      </c>
      <c r="J1348" s="1" t="s">
        <v>27</v>
      </c>
    </row>
    <row r="1349" spans="1:10" hidden="1" x14ac:dyDescent="0.25">
      <c r="A1349" s="1" t="s">
        <v>24</v>
      </c>
      <c r="B1349" s="1" t="s">
        <v>25</v>
      </c>
      <c r="C1349" s="1">
        <v>18761</v>
      </c>
      <c r="D1349" s="1">
        <v>27781</v>
      </c>
      <c r="E1349" s="2">
        <v>44613</v>
      </c>
      <c r="F1349" s="2">
        <v>44733</v>
      </c>
      <c r="G1349" s="3">
        <v>4320</v>
      </c>
      <c r="H1349" s="1">
        <v>0</v>
      </c>
      <c r="I1349" s="1" t="s">
        <v>1588</v>
      </c>
      <c r="J1349" s="1" t="s">
        <v>27</v>
      </c>
    </row>
    <row r="1350" spans="1:10" hidden="1" x14ac:dyDescent="0.25">
      <c r="A1350" s="1" t="s">
        <v>70</v>
      </c>
      <c r="B1350" s="1" t="s">
        <v>71</v>
      </c>
      <c r="C1350" s="1">
        <v>18653</v>
      </c>
      <c r="D1350" s="1">
        <v>27665</v>
      </c>
      <c r="E1350" s="2">
        <v>44599</v>
      </c>
      <c r="F1350" s="2">
        <v>44734</v>
      </c>
      <c r="G1350" s="3">
        <v>8959.99</v>
      </c>
      <c r="H1350" s="1">
        <v>0</v>
      </c>
      <c r="I1350" s="1" t="s">
        <v>260</v>
      </c>
      <c r="J1350" s="1" t="s">
        <v>73</v>
      </c>
    </row>
    <row r="1351" spans="1:10" hidden="1" x14ac:dyDescent="0.25">
      <c r="A1351" s="1" t="s">
        <v>70</v>
      </c>
      <c r="B1351" s="1" t="s">
        <v>71</v>
      </c>
      <c r="C1351" s="1">
        <v>18652</v>
      </c>
      <c r="D1351" s="1">
        <v>27664</v>
      </c>
      <c r="E1351" s="2">
        <v>44599</v>
      </c>
      <c r="F1351" s="2">
        <v>44734</v>
      </c>
      <c r="G1351" s="3">
        <v>2066.66</v>
      </c>
      <c r="H1351" s="1">
        <v>0</v>
      </c>
      <c r="I1351" s="1" t="s">
        <v>643</v>
      </c>
      <c r="J1351" s="1" t="s">
        <v>73</v>
      </c>
    </row>
    <row r="1352" spans="1:10" hidden="1" x14ac:dyDescent="0.25">
      <c r="A1352" s="1" t="s">
        <v>847</v>
      </c>
      <c r="B1352" s="1" t="s">
        <v>848</v>
      </c>
      <c r="C1352" s="1">
        <v>18656</v>
      </c>
      <c r="D1352" s="1">
        <v>27668</v>
      </c>
      <c r="E1352" s="2">
        <v>44599</v>
      </c>
      <c r="F1352" s="2">
        <v>44734</v>
      </c>
      <c r="G1352" s="3">
        <v>16572</v>
      </c>
      <c r="H1352" s="1">
        <v>0</v>
      </c>
      <c r="I1352" s="1" t="s">
        <v>949</v>
      </c>
      <c r="J1352" s="1" t="s">
        <v>73</v>
      </c>
    </row>
    <row r="1353" spans="1:10" hidden="1" x14ac:dyDescent="0.25">
      <c r="A1353" s="1" t="s">
        <v>70</v>
      </c>
      <c r="B1353" s="1" t="s">
        <v>71</v>
      </c>
      <c r="C1353" s="1">
        <v>18654</v>
      </c>
      <c r="D1353" s="1">
        <v>27666</v>
      </c>
      <c r="E1353" s="2">
        <v>44599</v>
      </c>
      <c r="F1353" s="2">
        <v>44734</v>
      </c>
      <c r="G1353" s="3">
        <v>21746.92</v>
      </c>
      <c r="H1353" s="1">
        <v>0</v>
      </c>
      <c r="I1353" s="1" t="s">
        <v>261</v>
      </c>
      <c r="J1353" s="1" t="s">
        <v>73</v>
      </c>
    </row>
    <row r="1354" spans="1:10" hidden="1" x14ac:dyDescent="0.25">
      <c r="A1354" s="1" t="s">
        <v>342</v>
      </c>
      <c r="B1354" s="1" t="s">
        <v>343</v>
      </c>
      <c r="C1354" s="1">
        <v>18789</v>
      </c>
      <c r="D1354" s="1">
        <v>27810</v>
      </c>
      <c r="E1354" s="2">
        <v>44614</v>
      </c>
      <c r="F1354" s="2">
        <v>44734</v>
      </c>
      <c r="G1354" s="3">
        <v>64800</v>
      </c>
      <c r="H1354" s="1">
        <v>0</v>
      </c>
      <c r="I1354" s="1" t="s">
        <v>1154</v>
      </c>
      <c r="J1354" s="1" t="s">
        <v>73</v>
      </c>
    </row>
    <row r="1355" spans="1:10" hidden="1" x14ac:dyDescent="0.25">
      <c r="A1355" s="1" t="s">
        <v>342</v>
      </c>
      <c r="B1355" s="1" t="s">
        <v>343</v>
      </c>
      <c r="C1355" s="1">
        <v>18793</v>
      </c>
      <c r="D1355" s="1">
        <v>27814</v>
      </c>
      <c r="E1355" s="2">
        <v>44614</v>
      </c>
      <c r="F1355" s="2">
        <v>44734</v>
      </c>
      <c r="G1355" s="3">
        <v>27640</v>
      </c>
      <c r="H1355" s="1">
        <v>0</v>
      </c>
      <c r="I1355" s="1" t="s">
        <v>1550</v>
      </c>
      <c r="J1355" s="1" t="s">
        <v>73</v>
      </c>
    </row>
    <row r="1356" spans="1:10" hidden="1" x14ac:dyDescent="0.25">
      <c r="A1356" s="1" t="s">
        <v>10</v>
      </c>
      <c r="B1356" s="1" t="s">
        <v>11</v>
      </c>
      <c r="C1356" s="1">
        <v>18514</v>
      </c>
      <c r="D1356" s="1">
        <v>27513</v>
      </c>
      <c r="E1356" s="2">
        <v>44585</v>
      </c>
      <c r="F1356" s="2">
        <v>44735</v>
      </c>
      <c r="G1356" s="3">
        <v>29232.5</v>
      </c>
      <c r="H1356" s="1">
        <v>0</v>
      </c>
      <c r="I1356" s="1" t="s">
        <v>831</v>
      </c>
      <c r="J1356" s="1" t="s">
        <v>13</v>
      </c>
    </row>
    <row r="1357" spans="1:10" hidden="1" x14ac:dyDescent="0.25">
      <c r="A1357" s="1" t="s">
        <v>20</v>
      </c>
      <c r="B1357" s="1" t="s">
        <v>21</v>
      </c>
      <c r="C1357" s="1">
        <v>18812</v>
      </c>
      <c r="D1357" s="1">
        <v>27835</v>
      </c>
      <c r="E1357" s="2">
        <v>44615</v>
      </c>
      <c r="F1357" s="2">
        <v>44735</v>
      </c>
      <c r="G1357" s="3">
        <v>2773.33</v>
      </c>
      <c r="H1357" s="1">
        <v>0</v>
      </c>
      <c r="I1357" s="1" t="s">
        <v>1027</v>
      </c>
      <c r="J1357" s="1" t="s">
        <v>23</v>
      </c>
    </row>
    <row r="1358" spans="1:10" hidden="1" x14ac:dyDescent="0.25">
      <c r="A1358" s="1" t="s">
        <v>10</v>
      </c>
      <c r="B1358" s="1" t="s">
        <v>11</v>
      </c>
      <c r="C1358" s="1">
        <v>17878</v>
      </c>
      <c r="D1358" s="1">
        <v>26883</v>
      </c>
      <c r="E1358" s="2">
        <v>44525</v>
      </c>
      <c r="F1358" s="2">
        <v>44735</v>
      </c>
      <c r="G1358" s="3">
        <v>51500.1</v>
      </c>
      <c r="H1358" s="1">
        <v>0</v>
      </c>
      <c r="I1358" s="1" t="s">
        <v>1076</v>
      </c>
      <c r="J1358" s="1" t="s">
        <v>13</v>
      </c>
    </row>
    <row r="1359" spans="1:10" hidden="1" x14ac:dyDescent="0.25">
      <c r="A1359" s="1" t="s">
        <v>231</v>
      </c>
      <c r="B1359" s="1" t="s">
        <v>232</v>
      </c>
      <c r="C1359" s="1">
        <v>18821</v>
      </c>
      <c r="D1359" s="1">
        <v>27844</v>
      </c>
      <c r="E1359" s="2">
        <v>44615</v>
      </c>
      <c r="F1359" s="2">
        <v>44735</v>
      </c>
      <c r="G1359" s="3">
        <v>6939.73</v>
      </c>
      <c r="H1359" s="1">
        <v>0</v>
      </c>
      <c r="I1359" s="1" t="s">
        <v>1350</v>
      </c>
      <c r="J1359" s="1" t="s">
        <v>13</v>
      </c>
    </row>
    <row r="1360" spans="1:10" hidden="1" x14ac:dyDescent="0.25">
      <c r="A1360" s="1" t="s">
        <v>342</v>
      </c>
      <c r="B1360" s="1" t="s">
        <v>343</v>
      </c>
      <c r="C1360" s="1">
        <v>18797</v>
      </c>
      <c r="D1360" s="1">
        <v>27819</v>
      </c>
      <c r="E1360" s="2">
        <v>44615</v>
      </c>
      <c r="F1360" s="2">
        <v>44735</v>
      </c>
      <c r="G1360" s="3">
        <v>4950</v>
      </c>
      <c r="H1360" s="1">
        <v>0</v>
      </c>
      <c r="I1360" s="1" t="s">
        <v>1416</v>
      </c>
      <c r="J1360" s="1" t="s">
        <v>73</v>
      </c>
    </row>
    <row r="1361" spans="1:10" hidden="1" x14ac:dyDescent="0.25">
      <c r="A1361" s="1" t="s">
        <v>70</v>
      </c>
      <c r="B1361" s="1" t="s">
        <v>71</v>
      </c>
      <c r="C1361" s="1">
        <v>18526</v>
      </c>
      <c r="D1361" s="1">
        <v>27527</v>
      </c>
      <c r="E1361" s="2">
        <v>44586</v>
      </c>
      <c r="F1361" s="2">
        <v>44736</v>
      </c>
      <c r="G1361" s="3">
        <v>3360</v>
      </c>
      <c r="H1361" s="1">
        <v>0</v>
      </c>
      <c r="I1361" s="1" t="s">
        <v>349</v>
      </c>
      <c r="J1361" s="1" t="s">
        <v>73</v>
      </c>
    </row>
    <row r="1362" spans="1:10" hidden="1" x14ac:dyDescent="0.25">
      <c r="A1362" s="1" t="s">
        <v>20</v>
      </c>
      <c r="B1362" s="1" t="s">
        <v>21</v>
      </c>
      <c r="C1362" s="1">
        <v>18824</v>
      </c>
      <c r="D1362" s="1">
        <v>27846</v>
      </c>
      <c r="E1362" s="2">
        <v>44616</v>
      </c>
      <c r="F1362" s="2">
        <v>44736</v>
      </c>
      <c r="G1362" s="1">
        <v>559.58000000000004</v>
      </c>
      <c r="H1362" s="1">
        <v>0</v>
      </c>
      <c r="I1362" s="1" t="s">
        <v>1419</v>
      </c>
      <c r="J1362" s="1" t="s">
        <v>23</v>
      </c>
    </row>
    <row r="1363" spans="1:10" hidden="1" x14ac:dyDescent="0.25">
      <c r="A1363" s="1" t="s">
        <v>10</v>
      </c>
      <c r="B1363" s="1" t="s">
        <v>11</v>
      </c>
      <c r="C1363" s="1">
        <v>18547</v>
      </c>
      <c r="D1363" s="1">
        <v>27545</v>
      </c>
      <c r="E1363" s="2">
        <v>44587</v>
      </c>
      <c r="F1363" s="2">
        <v>44737</v>
      </c>
      <c r="G1363" s="3">
        <v>6900</v>
      </c>
      <c r="H1363" s="1">
        <v>0</v>
      </c>
      <c r="I1363" s="1" t="s">
        <v>194</v>
      </c>
      <c r="J1363" s="1" t="s">
        <v>13</v>
      </c>
    </row>
    <row r="1364" spans="1:10" hidden="1" x14ac:dyDescent="0.25">
      <c r="A1364" s="1" t="s">
        <v>231</v>
      </c>
      <c r="B1364" s="1" t="s">
        <v>232</v>
      </c>
      <c r="C1364" s="1">
        <v>18212</v>
      </c>
      <c r="D1364" s="1">
        <v>27223</v>
      </c>
      <c r="E1364" s="2">
        <v>44557</v>
      </c>
      <c r="F1364" s="2">
        <v>44737</v>
      </c>
      <c r="G1364" s="1">
        <v>156.30000000000001</v>
      </c>
      <c r="H1364" s="1">
        <v>0</v>
      </c>
      <c r="I1364" s="1" t="s">
        <v>581</v>
      </c>
      <c r="J1364" s="1" t="s">
        <v>13</v>
      </c>
    </row>
    <row r="1365" spans="1:10" hidden="1" x14ac:dyDescent="0.25">
      <c r="A1365" s="1" t="s">
        <v>10</v>
      </c>
      <c r="B1365" s="1" t="s">
        <v>11</v>
      </c>
      <c r="C1365" s="1">
        <v>18546</v>
      </c>
      <c r="D1365" s="1">
        <v>27544</v>
      </c>
      <c r="E1365" s="2">
        <v>44587</v>
      </c>
      <c r="F1365" s="2">
        <v>44737</v>
      </c>
      <c r="G1365" s="3">
        <v>99300</v>
      </c>
      <c r="H1365" s="1">
        <v>0</v>
      </c>
      <c r="I1365" s="1" t="s">
        <v>888</v>
      </c>
      <c r="J1365" s="1" t="s">
        <v>13</v>
      </c>
    </row>
    <row r="1366" spans="1:10" hidden="1" x14ac:dyDescent="0.25">
      <c r="A1366" s="1" t="s">
        <v>24</v>
      </c>
      <c r="B1366" s="1" t="s">
        <v>25</v>
      </c>
      <c r="C1366" s="1">
        <v>18203</v>
      </c>
      <c r="D1366" s="1">
        <v>27216</v>
      </c>
      <c r="E1366" s="2">
        <v>44557</v>
      </c>
      <c r="F1366" s="2">
        <v>44737</v>
      </c>
      <c r="G1366" s="3">
        <v>76950</v>
      </c>
      <c r="H1366" s="1">
        <v>0</v>
      </c>
      <c r="I1366" s="1" t="s">
        <v>1565</v>
      </c>
      <c r="J1366" s="1" t="s">
        <v>27</v>
      </c>
    </row>
    <row r="1367" spans="1:10" hidden="1" x14ac:dyDescent="0.25">
      <c r="A1367" s="1" t="s">
        <v>24</v>
      </c>
      <c r="B1367" s="1" t="s">
        <v>25</v>
      </c>
      <c r="C1367" s="1">
        <v>18563</v>
      </c>
      <c r="D1367" s="1">
        <v>27570</v>
      </c>
      <c r="E1367" s="2">
        <v>44589</v>
      </c>
      <c r="F1367" s="2">
        <v>44739</v>
      </c>
      <c r="G1367" s="3">
        <v>39840</v>
      </c>
      <c r="H1367" s="1">
        <v>0</v>
      </c>
      <c r="I1367" s="1" t="s">
        <v>303</v>
      </c>
      <c r="J1367" s="1" t="s">
        <v>27</v>
      </c>
    </row>
    <row r="1368" spans="1:10" hidden="1" x14ac:dyDescent="0.25">
      <c r="A1368" s="1" t="s">
        <v>221</v>
      </c>
      <c r="B1368" s="1" t="s">
        <v>222</v>
      </c>
      <c r="C1368" s="1">
        <v>18567</v>
      </c>
      <c r="D1368" s="1">
        <v>27574</v>
      </c>
      <c r="E1368" s="2">
        <v>44589</v>
      </c>
      <c r="F1368" s="2">
        <v>44739</v>
      </c>
      <c r="G1368" s="3">
        <v>48000</v>
      </c>
      <c r="H1368" s="1">
        <v>0</v>
      </c>
      <c r="I1368" s="1" t="s">
        <v>525</v>
      </c>
      <c r="J1368" s="1" t="s">
        <v>27</v>
      </c>
    </row>
    <row r="1369" spans="1:10" hidden="1" x14ac:dyDescent="0.25">
      <c r="A1369" s="1" t="s">
        <v>20</v>
      </c>
      <c r="B1369" s="1" t="s">
        <v>21</v>
      </c>
      <c r="C1369" s="1">
        <v>18561</v>
      </c>
      <c r="D1369" s="1">
        <v>27568</v>
      </c>
      <c r="E1369" s="2">
        <v>44589</v>
      </c>
      <c r="F1369" s="2">
        <v>44739</v>
      </c>
      <c r="G1369" s="3">
        <v>6400</v>
      </c>
      <c r="H1369" s="1">
        <v>0</v>
      </c>
      <c r="I1369" s="1" t="s">
        <v>597</v>
      </c>
      <c r="J1369" s="1" t="s">
        <v>23</v>
      </c>
    </row>
    <row r="1370" spans="1:10" hidden="1" x14ac:dyDescent="0.25">
      <c r="A1370" s="1" t="s">
        <v>97</v>
      </c>
      <c r="B1370" s="1" t="s">
        <v>98</v>
      </c>
      <c r="C1370" s="1">
        <v>18566</v>
      </c>
      <c r="D1370" s="1">
        <v>27573</v>
      </c>
      <c r="E1370" s="2">
        <v>44589</v>
      </c>
      <c r="F1370" s="2">
        <v>44739</v>
      </c>
      <c r="G1370" s="3">
        <v>37800</v>
      </c>
      <c r="H1370" s="1">
        <v>0</v>
      </c>
      <c r="I1370" s="1" t="s">
        <v>795</v>
      </c>
      <c r="J1370" s="1" t="s">
        <v>27</v>
      </c>
    </row>
    <row r="1371" spans="1:10" hidden="1" x14ac:dyDescent="0.25">
      <c r="A1371" s="1" t="s">
        <v>20</v>
      </c>
      <c r="B1371" s="1" t="s">
        <v>21</v>
      </c>
      <c r="C1371" s="1">
        <v>18558</v>
      </c>
      <c r="D1371" s="1">
        <v>27565</v>
      </c>
      <c r="E1371" s="2">
        <v>44589</v>
      </c>
      <c r="F1371" s="2">
        <v>44739</v>
      </c>
      <c r="G1371" s="3">
        <v>2333.33</v>
      </c>
      <c r="H1371" s="1">
        <v>0</v>
      </c>
      <c r="I1371" s="1" t="s">
        <v>1102</v>
      </c>
      <c r="J1371" s="1" t="s">
        <v>23</v>
      </c>
    </row>
    <row r="1372" spans="1:10" hidden="1" x14ac:dyDescent="0.25">
      <c r="A1372" s="1" t="s">
        <v>20</v>
      </c>
      <c r="B1372" s="1" t="s">
        <v>21</v>
      </c>
      <c r="C1372" s="1">
        <v>18560</v>
      </c>
      <c r="D1372" s="1">
        <v>27567</v>
      </c>
      <c r="E1372" s="2">
        <v>44589</v>
      </c>
      <c r="F1372" s="2">
        <v>44739</v>
      </c>
      <c r="G1372" s="3">
        <v>20500</v>
      </c>
      <c r="H1372" s="1">
        <v>0</v>
      </c>
      <c r="I1372" s="1" t="s">
        <v>1352</v>
      </c>
      <c r="J1372" s="1" t="s">
        <v>23</v>
      </c>
    </row>
    <row r="1373" spans="1:10" hidden="1" x14ac:dyDescent="0.25">
      <c r="A1373" s="1" t="s">
        <v>78</v>
      </c>
      <c r="B1373" s="1" t="s">
        <v>79</v>
      </c>
      <c r="C1373" s="1">
        <v>17563</v>
      </c>
      <c r="D1373" s="1">
        <v>26570</v>
      </c>
      <c r="E1373" s="2">
        <v>44501</v>
      </c>
      <c r="F1373" s="2">
        <v>44741</v>
      </c>
      <c r="G1373" s="3">
        <v>14322</v>
      </c>
      <c r="H1373" s="1">
        <v>0</v>
      </c>
      <c r="I1373" s="1" t="s">
        <v>356</v>
      </c>
      <c r="J1373" s="1" t="s">
        <v>68</v>
      </c>
    </row>
    <row r="1374" spans="1:10" hidden="1" x14ac:dyDescent="0.25">
      <c r="A1374" s="1" t="s">
        <v>70</v>
      </c>
      <c r="B1374" s="1" t="s">
        <v>71</v>
      </c>
      <c r="C1374" s="1">
        <v>18727</v>
      </c>
      <c r="D1374" s="1">
        <v>27743</v>
      </c>
      <c r="E1374" s="2">
        <v>44606</v>
      </c>
      <c r="F1374" s="2">
        <v>44741</v>
      </c>
      <c r="G1374" s="3">
        <v>17024.43</v>
      </c>
      <c r="H1374" s="1">
        <v>0</v>
      </c>
      <c r="I1374" s="1" t="s">
        <v>990</v>
      </c>
      <c r="J1374" s="1" t="s">
        <v>73</v>
      </c>
    </row>
    <row r="1375" spans="1:10" hidden="1" x14ac:dyDescent="0.25">
      <c r="A1375" s="1" t="s">
        <v>70</v>
      </c>
      <c r="B1375" s="1" t="s">
        <v>71</v>
      </c>
      <c r="C1375" s="1">
        <v>18726</v>
      </c>
      <c r="D1375" s="1">
        <v>27742</v>
      </c>
      <c r="E1375" s="2">
        <v>44606</v>
      </c>
      <c r="F1375" s="2">
        <v>44741</v>
      </c>
      <c r="G1375" s="3">
        <v>18583.48</v>
      </c>
      <c r="H1375" s="1">
        <v>0</v>
      </c>
      <c r="I1375" s="1" t="s">
        <v>432</v>
      </c>
      <c r="J1375" s="1" t="s">
        <v>73</v>
      </c>
    </row>
    <row r="1376" spans="1:10" hidden="1" x14ac:dyDescent="0.25">
      <c r="A1376" s="1" t="s">
        <v>70</v>
      </c>
      <c r="B1376" s="1" t="s">
        <v>71</v>
      </c>
      <c r="C1376" s="1">
        <v>18725</v>
      </c>
      <c r="D1376" s="1">
        <v>27741</v>
      </c>
      <c r="E1376" s="2">
        <v>44606</v>
      </c>
      <c r="F1376" s="2">
        <v>44741</v>
      </c>
      <c r="G1376" s="3">
        <v>3430</v>
      </c>
      <c r="H1376" s="1">
        <v>0</v>
      </c>
      <c r="I1376" s="1" t="s">
        <v>464</v>
      </c>
      <c r="J1376" s="1" t="s">
        <v>73</v>
      </c>
    </row>
    <row r="1377" spans="1:10" hidden="1" x14ac:dyDescent="0.25">
      <c r="A1377" s="1" t="s">
        <v>173</v>
      </c>
      <c r="B1377" s="1" t="s">
        <v>174</v>
      </c>
      <c r="C1377" s="1">
        <v>18295</v>
      </c>
      <c r="D1377" s="1">
        <v>27304</v>
      </c>
      <c r="E1377" s="2">
        <v>44567</v>
      </c>
      <c r="F1377" s="2">
        <v>44742</v>
      </c>
      <c r="G1377" s="3">
        <v>26784</v>
      </c>
      <c r="H1377" s="1">
        <v>0</v>
      </c>
      <c r="I1377" s="1" t="s">
        <v>230</v>
      </c>
      <c r="J1377" s="1" t="s">
        <v>68</v>
      </c>
    </row>
    <row r="1378" spans="1:10" hidden="1" x14ac:dyDescent="0.25">
      <c r="A1378" s="1" t="s">
        <v>173</v>
      </c>
      <c r="B1378" s="1" t="s">
        <v>174</v>
      </c>
      <c r="C1378" s="1">
        <v>17750</v>
      </c>
      <c r="D1378" s="1">
        <v>26746</v>
      </c>
      <c r="E1378" s="2">
        <v>44512</v>
      </c>
      <c r="F1378" s="2">
        <v>44742</v>
      </c>
      <c r="G1378" s="3">
        <v>11775</v>
      </c>
      <c r="H1378" s="1">
        <v>0</v>
      </c>
      <c r="I1378" s="1" t="s">
        <v>256</v>
      </c>
      <c r="J1378" s="1" t="s">
        <v>68</v>
      </c>
    </row>
    <row r="1379" spans="1:10" hidden="1" x14ac:dyDescent="0.25">
      <c r="A1379" s="1" t="s">
        <v>383</v>
      </c>
      <c r="B1379" s="1" t="s">
        <v>384</v>
      </c>
      <c r="C1379" s="1">
        <v>17668</v>
      </c>
      <c r="D1379" s="1">
        <v>26665</v>
      </c>
      <c r="E1379" s="2">
        <v>44509</v>
      </c>
      <c r="F1379" s="2">
        <v>44742</v>
      </c>
      <c r="G1379" s="3">
        <v>135224</v>
      </c>
      <c r="H1379" s="1">
        <v>0</v>
      </c>
      <c r="I1379" s="1" t="s">
        <v>542</v>
      </c>
      <c r="J1379" s="1" t="s">
        <v>115</v>
      </c>
    </row>
    <row r="1380" spans="1:10" hidden="1" x14ac:dyDescent="0.25">
      <c r="A1380" s="1" t="s">
        <v>173</v>
      </c>
      <c r="B1380" s="1" t="s">
        <v>174</v>
      </c>
      <c r="C1380" s="1">
        <v>18072</v>
      </c>
      <c r="D1380" s="1">
        <v>27087</v>
      </c>
      <c r="E1380" s="2">
        <v>44544</v>
      </c>
      <c r="F1380" s="2">
        <v>44742</v>
      </c>
      <c r="G1380" s="3">
        <v>27385.599999999999</v>
      </c>
      <c r="H1380" s="1">
        <v>0</v>
      </c>
      <c r="I1380" s="1" t="s">
        <v>698</v>
      </c>
      <c r="J1380" s="1" t="s">
        <v>68</v>
      </c>
    </row>
    <row r="1381" spans="1:10" hidden="1" x14ac:dyDescent="0.25">
      <c r="A1381" s="1" t="s">
        <v>173</v>
      </c>
      <c r="B1381" s="1" t="s">
        <v>174</v>
      </c>
      <c r="C1381" s="1">
        <v>17755</v>
      </c>
      <c r="D1381" s="1">
        <v>26755</v>
      </c>
      <c r="E1381" s="2">
        <v>44512</v>
      </c>
      <c r="F1381" s="2">
        <v>44742</v>
      </c>
      <c r="G1381" s="3">
        <v>260562.72</v>
      </c>
      <c r="H1381" s="1">
        <v>0</v>
      </c>
      <c r="I1381" s="1" t="s">
        <v>743</v>
      </c>
      <c r="J1381" s="1" t="s">
        <v>68</v>
      </c>
    </row>
    <row r="1382" spans="1:10" hidden="1" x14ac:dyDescent="0.25">
      <c r="A1382" s="1" t="s">
        <v>474</v>
      </c>
      <c r="B1382" s="1" t="s">
        <v>475</v>
      </c>
      <c r="C1382" s="1">
        <v>17547</v>
      </c>
      <c r="D1382" s="1">
        <v>26554</v>
      </c>
      <c r="E1382" s="2">
        <v>44501</v>
      </c>
      <c r="F1382" s="2">
        <v>44742</v>
      </c>
      <c r="G1382" s="3">
        <v>107800</v>
      </c>
      <c r="H1382" s="1">
        <v>0</v>
      </c>
      <c r="I1382" s="1" t="s">
        <v>931</v>
      </c>
      <c r="J1382" s="1" t="s">
        <v>115</v>
      </c>
    </row>
    <row r="1383" spans="1:10" hidden="1" x14ac:dyDescent="0.25">
      <c r="A1383" s="1" t="s">
        <v>173</v>
      </c>
      <c r="B1383" s="1" t="s">
        <v>174</v>
      </c>
      <c r="C1383" s="1">
        <v>18840</v>
      </c>
      <c r="D1383" s="1">
        <v>27860</v>
      </c>
      <c r="E1383" s="2">
        <v>44616</v>
      </c>
      <c r="F1383" s="2">
        <v>44742</v>
      </c>
      <c r="G1383" s="3">
        <v>19716</v>
      </c>
      <c r="H1383" s="1">
        <v>0</v>
      </c>
      <c r="I1383" s="1" t="s">
        <v>985</v>
      </c>
      <c r="J1383" s="1" t="s">
        <v>68</v>
      </c>
    </row>
    <row r="1384" spans="1:10" hidden="1" x14ac:dyDescent="0.25">
      <c r="A1384" s="1" t="s">
        <v>383</v>
      </c>
      <c r="B1384" s="1" t="s">
        <v>384</v>
      </c>
      <c r="C1384" s="1">
        <v>16846</v>
      </c>
      <c r="D1384" s="1">
        <v>25812</v>
      </c>
      <c r="E1384" s="2">
        <v>44454</v>
      </c>
      <c r="F1384" s="2">
        <v>44742</v>
      </c>
      <c r="G1384" s="3">
        <v>19500</v>
      </c>
      <c r="H1384" s="1">
        <v>0</v>
      </c>
      <c r="I1384" s="1" t="s">
        <v>1002</v>
      </c>
      <c r="J1384" s="1" t="s">
        <v>115</v>
      </c>
    </row>
    <row r="1385" spans="1:10" hidden="1" x14ac:dyDescent="0.25">
      <c r="A1385" s="1" t="s">
        <v>173</v>
      </c>
      <c r="B1385" s="1" t="s">
        <v>174</v>
      </c>
      <c r="C1385" s="1">
        <v>17747</v>
      </c>
      <c r="D1385" s="1">
        <v>26743</v>
      </c>
      <c r="E1385" s="2">
        <v>44512</v>
      </c>
      <c r="F1385" s="2">
        <v>44742</v>
      </c>
      <c r="G1385" s="3">
        <v>19119</v>
      </c>
      <c r="H1385" s="1">
        <v>0</v>
      </c>
      <c r="I1385" s="1" t="s">
        <v>256</v>
      </c>
      <c r="J1385" s="1" t="s">
        <v>68</v>
      </c>
    </row>
    <row r="1386" spans="1:10" hidden="1" x14ac:dyDescent="0.25">
      <c r="A1386" s="1" t="s">
        <v>10</v>
      </c>
      <c r="B1386" s="1" t="s">
        <v>11</v>
      </c>
      <c r="C1386" s="1">
        <v>18579</v>
      </c>
      <c r="D1386" s="1">
        <v>27588</v>
      </c>
      <c r="E1386" s="2">
        <v>44592</v>
      </c>
      <c r="F1386" s="2">
        <v>44742</v>
      </c>
      <c r="G1386" s="3">
        <v>117000</v>
      </c>
      <c r="H1386" s="1">
        <v>0</v>
      </c>
      <c r="I1386" s="1" t="s">
        <v>1268</v>
      </c>
      <c r="J1386" s="1" t="s">
        <v>13</v>
      </c>
    </row>
    <row r="1387" spans="1:10" hidden="1" x14ac:dyDescent="0.25">
      <c r="A1387" s="1" t="s">
        <v>173</v>
      </c>
      <c r="B1387" s="1" t="s">
        <v>174</v>
      </c>
      <c r="C1387" s="1">
        <v>18380</v>
      </c>
      <c r="D1387" s="1">
        <v>27390</v>
      </c>
      <c r="E1387" s="2">
        <v>44574</v>
      </c>
      <c r="F1387" s="2">
        <v>44742</v>
      </c>
      <c r="G1387" s="3">
        <v>26800</v>
      </c>
      <c r="H1387" s="1">
        <v>0</v>
      </c>
      <c r="I1387" s="1" t="s">
        <v>1390</v>
      </c>
      <c r="J1387" s="1" t="s">
        <v>68</v>
      </c>
    </row>
    <row r="1388" spans="1:10" hidden="1" x14ac:dyDescent="0.25">
      <c r="A1388" s="1" t="s">
        <v>173</v>
      </c>
      <c r="B1388" s="1" t="s">
        <v>174</v>
      </c>
      <c r="C1388" s="1">
        <v>18075</v>
      </c>
      <c r="D1388" s="1">
        <v>27089</v>
      </c>
      <c r="E1388" s="2">
        <v>44544</v>
      </c>
      <c r="F1388" s="2">
        <v>44742</v>
      </c>
      <c r="G1388" s="3">
        <v>51286.239999999998</v>
      </c>
      <c r="H1388" s="1">
        <v>0</v>
      </c>
      <c r="I1388" s="1" t="s">
        <v>1466</v>
      </c>
      <c r="J1388" s="1" t="s">
        <v>68</v>
      </c>
    </row>
    <row r="1389" spans="1:10" hidden="1" x14ac:dyDescent="0.25">
      <c r="A1389" s="1" t="s">
        <v>383</v>
      </c>
      <c r="B1389" s="1" t="s">
        <v>384</v>
      </c>
      <c r="C1389" s="1">
        <v>17548</v>
      </c>
      <c r="D1389" s="1">
        <v>26555</v>
      </c>
      <c r="E1389" s="2">
        <v>44501</v>
      </c>
      <c r="F1389" s="2">
        <v>44742</v>
      </c>
      <c r="G1389" s="3">
        <v>33040</v>
      </c>
      <c r="H1389" s="1">
        <v>0</v>
      </c>
      <c r="I1389" s="1" t="s">
        <v>1603</v>
      </c>
      <c r="J1389" s="1" t="s">
        <v>115</v>
      </c>
    </row>
    <row r="1390" spans="1:10" hidden="1" x14ac:dyDescent="0.25">
      <c r="A1390" s="1" t="s">
        <v>173</v>
      </c>
      <c r="B1390" s="1" t="s">
        <v>174</v>
      </c>
      <c r="C1390" s="1">
        <v>17898</v>
      </c>
      <c r="D1390" s="1">
        <v>26911</v>
      </c>
      <c r="E1390" s="2">
        <v>44531</v>
      </c>
      <c r="F1390" s="2">
        <v>44742</v>
      </c>
      <c r="G1390" s="3">
        <v>96000</v>
      </c>
      <c r="H1390" s="1">
        <v>0</v>
      </c>
      <c r="I1390" s="1" t="s">
        <v>1616</v>
      </c>
      <c r="J1390" s="1" t="s">
        <v>68</v>
      </c>
    </row>
    <row r="1391" spans="1:10" hidden="1" x14ac:dyDescent="0.25">
      <c r="A1391" s="1" t="s">
        <v>24</v>
      </c>
      <c r="B1391" s="1" t="s">
        <v>25</v>
      </c>
      <c r="C1391" s="1">
        <v>18575</v>
      </c>
      <c r="D1391" s="1">
        <v>27583</v>
      </c>
      <c r="E1391" s="2">
        <v>44592</v>
      </c>
      <c r="F1391" s="2">
        <v>44742</v>
      </c>
      <c r="G1391" s="3">
        <v>54000</v>
      </c>
      <c r="H1391" s="1">
        <v>0</v>
      </c>
      <c r="I1391" s="1" t="s">
        <v>1635</v>
      </c>
      <c r="J1391" s="1" t="s">
        <v>27</v>
      </c>
    </row>
    <row r="1392" spans="1:10" hidden="1" x14ac:dyDescent="0.25">
      <c r="A1392" s="1" t="s">
        <v>244</v>
      </c>
      <c r="B1392" s="1" t="s">
        <v>98</v>
      </c>
      <c r="C1392" s="1">
        <v>18591</v>
      </c>
      <c r="D1392" s="1">
        <v>27600</v>
      </c>
      <c r="E1392" s="2">
        <v>44593</v>
      </c>
      <c r="F1392" s="2">
        <v>44743</v>
      </c>
      <c r="G1392" s="3">
        <v>48000</v>
      </c>
      <c r="H1392" s="1">
        <v>0</v>
      </c>
      <c r="I1392" s="1" t="s">
        <v>864</v>
      </c>
      <c r="J1392" s="1" t="s">
        <v>27</v>
      </c>
    </row>
    <row r="1393" spans="1:10" hidden="1" x14ac:dyDescent="0.25">
      <c r="A1393" s="1" t="s">
        <v>277</v>
      </c>
      <c r="B1393" s="1" t="s">
        <v>278</v>
      </c>
      <c r="C1393" s="1">
        <v>18879</v>
      </c>
      <c r="D1393" s="1">
        <v>27896</v>
      </c>
      <c r="E1393" s="2">
        <v>44623</v>
      </c>
      <c r="F1393" s="2">
        <v>44743</v>
      </c>
      <c r="G1393" s="3">
        <v>12259.36</v>
      </c>
      <c r="H1393" s="1">
        <v>0</v>
      </c>
      <c r="I1393" s="1" t="s">
        <v>1600</v>
      </c>
      <c r="J1393" s="1" t="s">
        <v>13</v>
      </c>
    </row>
    <row r="1394" spans="1:10" hidden="1" x14ac:dyDescent="0.25">
      <c r="A1394" s="1" t="s">
        <v>147</v>
      </c>
      <c r="B1394" s="1" t="s">
        <v>148</v>
      </c>
      <c r="C1394" s="1">
        <v>18890</v>
      </c>
      <c r="D1394" s="1">
        <v>27906</v>
      </c>
      <c r="E1394" s="2">
        <v>44623</v>
      </c>
      <c r="F1394" s="2">
        <v>44743</v>
      </c>
      <c r="G1394" s="3">
        <v>312081.84000000003</v>
      </c>
      <c r="H1394" s="1">
        <v>0</v>
      </c>
      <c r="I1394" s="1" t="s">
        <v>149</v>
      </c>
      <c r="J1394" s="1" t="s">
        <v>23</v>
      </c>
    </row>
    <row r="1395" spans="1:10" hidden="1" x14ac:dyDescent="0.25">
      <c r="A1395" s="1" t="s">
        <v>10</v>
      </c>
      <c r="B1395" s="1" t="s">
        <v>11</v>
      </c>
      <c r="C1395" s="1">
        <v>18237</v>
      </c>
      <c r="D1395" s="1">
        <v>27249</v>
      </c>
      <c r="E1395" s="2">
        <v>44564</v>
      </c>
      <c r="F1395" s="2">
        <v>44744</v>
      </c>
      <c r="G1395" s="3">
        <v>105000</v>
      </c>
      <c r="H1395" s="1">
        <v>0</v>
      </c>
      <c r="I1395" s="1" t="s">
        <v>12</v>
      </c>
      <c r="J1395" s="1" t="s">
        <v>13</v>
      </c>
    </row>
    <row r="1396" spans="1:10" hidden="1" x14ac:dyDescent="0.25">
      <c r="A1396" s="1" t="s">
        <v>10</v>
      </c>
      <c r="B1396" s="1" t="s">
        <v>11</v>
      </c>
      <c r="C1396" s="1">
        <v>18238</v>
      </c>
      <c r="D1396" s="1">
        <v>27250</v>
      </c>
      <c r="E1396" s="2">
        <v>44564</v>
      </c>
      <c r="F1396" s="2">
        <v>44744</v>
      </c>
      <c r="G1396" s="3">
        <v>77999.92</v>
      </c>
      <c r="H1396" s="1">
        <v>0</v>
      </c>
      <c r="I1396" s="1" t="s">
        <v>355</v>
      </c>
      <c r="J1396" s="1" t="s">
        <v>13</v>
      </c>
    </row>
    <row r="1397" spans="1:10" hidden="1" x14ac:dyDescent="0.25">
      <c r="A1397" s="1" t="s">
        <v>535</v>
      </c>
      <c r="B1397" s="1" t="s">
        <v>536</v>
      </c>
      <c r="C1397" s="1">
        <v>18235</v>
      </c>
      <c r="D1397" s="1">
        <v>27247</v>
      </c>
      <c r="E1397" s="2">
        <v>44564</v>
      </c>
      <c r="F1397" s="2">
        <v>44744</v>
      </c>
      <c r="G1397" s="3">
        <v>37366.559999999998</v>
      </c>
      <c r="H1397" s="1">
        <v>0</v>
      </c>
      <c r="I1397" s="1" t="s">
        <v>537</v>
      </c>
      <c r="J1397" s="1" t="s">
        <v>58</v>
      </c>
    </row>
    <row r="1398" spans="1:10" hidden="1" x14ac:dyDescent="0.25">
      <c r="A1398" s="1" t="s">
        <v>97</v>
      </c>
      <c r="B1398" s="1" t="s">
        <v>98</v>
      </c>
      <c r="C1398" s="1">
        <v>18601</v>
      </c>
      <c r="D1398" s="1">
        <v>27610</v>
      </c>
      <c r="E1398" s="2">
        <v>44594</v>
      </c>
      <c r="F1398" s="2">
        <v>44744</v>
      </c>
      <c r="G1398" s="3">
        <v>47300</v>
      </c>
      <c r="H1398" s="1">
        <v>0</v>
      </c>
      <c r="I1398" s="1" t="s">
        <v>1162</v>
      </c>
      <c r="J1398" s="1" t="s">
        <v>27</v>
      </c>
    </row>
    <row r="1399" spans="1:10" hidden="1" x14ac:dyDescent="0.25">
      <c r="A1399" s="1" t="s">
        <v>10</v>
      </c>
      <c r="B1399" s="1" t="s">
        <v>11</v>
      </c>
      <c r="C1399" s="1">
        <v>18897</v>
      </c>
      <c r="D1399" s="1">
        <v>27913</v>
      </c>
      <c r="E1399" s="2">
        <v>44624</v>
      </c>
      <c r="F1399" s="2">
        <v>44744</v>
      </c>
      <c r="G1399" s="3">
        <v>31200</v>
      </c>
      <c r="H1399" s="1">
        <v>0</v>
      </c>
      <c r="I1399" s="1" t="s">
        <v>543</v>
      </c>
      <c r="J1399" s="1" t="s">
        <v>13</v>
      </c>
    </row>
    <row r="1400" spans="1:10" hidden="1" x14ac:dyDescent="0.25">
      <c r="A1400" s="1" t="s">
        <v>244</v>
      </c>
      <c r="B1400" s="1" t="s">
        <v>98</v>
      </c>
      <c r="C1400" s="1">
        <v>18600</v>
      </c>
      <c r="D1400" s="1">
        <v>27609</v>
      </c>
      <c r="E1400" s="2">
        <v>44594</v>
      </c>
      <c r="F1400" s="2">
        <v>44744</v>
      </c>
      <c r="G1400" s="3">
        <v>48000</v>
      </c>
      <c r="H1400" s="1">
        <v>0</v>
      </c>
      <c r="I1400" s="1" t="s">
        <v>1392</v>
      </c>
      <c r="J1400" s="1" t="s">
        <v>27</v>
      </c>
    </row>
    <row r="1401" spans="1:10" hidden="1" x14ac:dyDescent="0.25">
      <c r="A1401" s="1" t="s">
        <v>221</v>
      </c>
      <c r="B1401" s="1" t="s">
        <v>222</v>
      </c>
      <c r="C1401" s="1">
        <v>18602</v>
      </c>
      <c r="D1401" s="1">
        <v>27611</v>
      </c>
      <c r="E1401" s="2">
        <v>44594</v>
      </c>
      <c r="F1401" s="2">
        <v>44744</v>
      </c>
      <c r="G1401" s="3">
        <v>48000</v>
      </c>
      <c r="H1401" s="1">
        <v>0</v>
      </c>
      <c r="I1401" s="1" t="s">
        <v>1517</v>
      </c>
      <c r="J1401" s="1" t="s">
        <v>27</v>
      </c>
    </row>
    <row r="1402" spans="1:10" hidden="1" x14ac:dyDescent="0.25">
      <c r="A1402" s="1" t="s">
        <v>24</v>
      </c>
      <c r="B1402" s="1" t="s">
        <v>25</v>
      </c>
      <c r="C1402" s="1">
        <v>18252</v>
      </c>
      <c r="D1402" s="1">
        <v>27263</v>
      </c>
      <c r="E1402" s="2">
        <v>44565</v>
      </c>
      <c r="F1402" s="2">
        <v>44745</v>
      </c>
      <c r="G1402" s="3">
        <v>64226.5</v>
      </c>
      <c r="H1402" s="1">
        <v>0</v>
      </c>
      <c r="I1402" s="1" t="s">
        <v>93</v>
      </c>
      <c r="J1402" s="1" t="s">
        <v>27</v>
      </c>
    </row>
    <row r="1403" spans="1:10" hidden="1" x14ac:dyDescent="0.25">
      <c r="A1403" s="1" t="s">
        <v>10</v>
      </c>
      <c r="B1403" s="1" t="s">
        <v>11</v>
      </c>
      <c r="C1403" s="1">
        <v>18615</v>
      </c>
      <c r="D1403" s="1">
        <v>27625</v>
      </c>
      <c r="E1403" s="2">
        <v>44595</v>
      </c>
      <c r="F1403" s="2">
        <v>44745</v>
      </c>
      <c r="G1403" s="3">
        <v>93627</v>
      </c>
      <c r="H1403" s="1">
        <v>0</v>
      </c>
      <c r="I1403" s="1" t="s">
        <v>1232</v>
      </c>
      <c r="J1403" s="1" t="s">
        <v>13</v>
      </c>
    </row>
    <row r="1404" spans="1:10" hidden="1" x14ac:dyDescent="0.25">
      <c r="A1404" s="1" t="s">
        <v>10</v>
      </c>
      <c r="B1404" s="1" t="s">
        <v>11</v>
      </c>
      <c r="C1404" s="1">
        <v>18614</v>
      </c>
      <c r="D1404" s="1">
        <v>27624</v>
      </c>
      <c r="E1404" s="2">
        <v>44595</v>
      </c>
      <c r="F1404" s="2">
        <v>44745</v>
      </c>
      <c r="G1404" s="3">
        <v>28666.639999999999</v>
      </c>
      <c r="H1404" s="1">
        <v>0</v>
      </c>
      <c r="I1404" s="1" t="s">
        <v>1410</v>
      </c>
      <c r="J1404" s="1" t="s">
        <v>13</v>
      </c>
    </row>
    <row r="1405" spans="1:10" hidden="1" x14ac:dyDescent="0.25">
      <c r="A1405" s="1" t="s">
        <v>10</v>
      </c>
      <c r="B1405" s="1" t="s">
        <v>11</v>
      </c>
      <c r="C1405" s="1">
        <v>18269</v>
      </c>
      <c r="D1405" s="1">
        <v>27278</v>
      </c>
      <c r="E1405" s="2">
        <v>44566</v>
      </c>
      <c r="F1405" s="2">
        <v>44746</v>
      </c>
      <c r="G1405" s="3">
        <v>117000</v>
      </c>
      <c r="H1405" s="1">
        <v>0</v>
      </c>
      <c r="I1405" s="1" t="s">
        <v>14</v>
      </c>
      <c r="J1405" s="1" t="s">
        <v>13</v>
      </c>
    </row>
    <row r="1406" spans="1:10" hidden="1" x14ac:dyDescent="0.25">
      <c r="A1406" s="1" t="s">
        <v>24</v>
      </c>
      <c r="B1406" s="1" t="s">
        <v>25</v>
      </c>
      <c r="C1406" s="1">
        <v>18288</v>
      </c>
      <c r="D1406" s="1">
        <v>27297</v>
      </c>
      <c r="E1406" s="2">
        <v>44566</v>
      </c>
      <c r="F1406" s="2">
        <v>44746</v>
      </c>
      <c r="G1406" s="3">
        <v>38212.5</v>
      </c>
      <c r="H1406" s="1">
        <v>0</v>
      </c>
      <c r="I1406" s="1" t="s">
        <v>44</v>
      </c>
      <c r="J1406" s="1" t="s">
        <v>27</v>
      </c>
    </row>
    <row r="1407" spans="1:10" hidden="1" x14ac:dyDescent="0.25">
      <c r="A1407" s="1" t="s">
        <v>70</v>
      </c>
      <c r="B1407" s="1" t="s">
        <v>71</v>
      </c>
      <c r="C1407" s="1">
        <v>18286</v>
      </c>
      <c r="D1407" s="1">
        <v>27295</v>
      </c>
      <c r="E1407" s="2">
        <v>44566</v>
      </c>
      <c r="F1407" s="2">
        <v>44746</v>
      </c>
      <c r="G1407" s="3">
        <v>10147.84</v>
      </c>
      <c r="H1407" s="1">
        <v>0</v>
      </c>
      <c r="I1407" s="1" t="s">
        <v>72</v>
      </c>
      <c r="J1407" s="1" t="s">
        <v>73</v>
      </c>
    </row>
    <row r="1408" spans="1:10" hidden="1" x14ac:dyDescent="0.25">
      <c r="A1408" s="1" t="s">
        <v>70</v>
      </c>
      <c r="B1408" s="1" t="s">
        <v>71</v>
      </c>
      <c r="C1408" s="1">
        <v>18287</v>
      </c>
      <c r="D1408" s="1">
        <v>27296</v>
      </c>
      <c r="E1408" s="2">
        <v>44566</v>
      </c>
      <c r="F1408" s="2">
        <v>44746</v>
      </c>
      <c r="G1408" s="3">
        <v>4083.36</v>
      </c>
      <c r="H1408" s="1">
        <v>0</v>
      </c>
      <c r="I1408" s="1" t="s">
        <v>570</v>
      </c>
      <c r="J1408" s="1" t="s">
        <v>73</v>
      </c>
    </row>
    <row r="1409" spans="1:10" hidden="1" x14ac:dyDescent="0.25">
      <c r="A1409" s="1" t="s">
        <v>304</v>
      </c>
      <c r="B1409" s="1" t="s">
        <v>305</v>
      </c>
      <c r="C1409" s="1">
        <v>18275</v>
      </c>
      <c r="D1409" s="1">
        <v>27285</v>
      </c>
      <c r="E1409" s="2">
        <v>44566</v>
      </c>
      <c r="F1409" s="2">
        <v>44746</v>
      </c>
      <c r="G1409" s="3">
        <v>18210</v>
      </c>
      <c r="H1409" s="1">
        <v>0</v>
      </c>
      <c r="I1409" s="1" t="s">
        <v>1624</v>
      </c>
      <c r="J1409" s="1" t="s">
        <v>27</v>
      </c>
    </row>
    <row r="1410" spans="1:10" hidden="1" x14ac:dyDescent="0.25">
      <c r="A1410" s="1" t="s">
        <v>10</v>
      </c>
      <c r="B1410" s="1" t="s">
        <v>11</v>
      </c>
      <c r="C1410" s="1">
        <v>18626</v>
      </c>
      <c r="D1410" s="1">
        <v>27637</v>
      </c>
      <c r="E1410" s="2">
        <v>44596</v>
      </c>
      <c r="F1410" s="2">
        <v>44746</v>
      </c>
      <c r="G1410" s="3">
        <v>40915</v>
      </c>
      <c r="H1410" s="1">
        <v>0</v>
      </c>
      <c r="I1410" s="1" t="s">
        <v>1690</v>
      </c>
      <c r="J1410" s="1" t="s">
        <v>13</v>
      </c>
    </row>
    <row r="1411" spans="1:10" hidden="1" x14ac:dyDescent="0.25">
      <c r="A1411" s="1" t="s">
        <v>70</v>
      </c>
      <c r="B1411" s="1" t="s">
        <v>71</v>
      </c>
      <c r="C1411" s="1">
        <v>18510</v>
      </c>
      <c r="D1411" s="1">
        <v>27508</v>
      </c>
      <c r="E1411" s="2">
        <v>44582</v>
      </c>
      <c r="F1411" s="2">
        <v>44747</v>
      </c>
      <c r="G1411" s="3">
        <v>21746.92</v>
      </c>
      <c r="H1411" s="1">
        <v>0</v>
      </c>
      <c r="I1411" s="1" t="s">
        <v>237</v>
      </c>
      <c r="J1411" s="1" t="s">
        <v>73</v>
      </c>
    </row>
    <row r="1412" spans="1:10" hidden="1" x14ac:dyDescent="0.25">
      <c r="A1412" s="1" t="s">
        <v>10</v>
      </c>
      <c r="B1412" s="1" t="s">
        <v>11</v>
      </c>
      <c r="C1412" s="1">
        <v>17999</v>
      </c>
      <c r="D1412" s="1">
        <v>27011</v>
      </c>
      <c r="E1412" s="2">
        <v>44537</v>
      </c>
      <c r="F1412" s="2">
        <v>44747</v>
      </c>
      <c r="G1412" s="3">
        <v>8833.36</v>
      </c>
      <c r="H1412" s="1">
        <v>0</v>
      </c>
      <c r="I1412" s="1" t="s">
        <v>813</v>
      </c>
      <c r="J1412" s="1" t="s">
        <v>13</v>
      </c>
    </row>
    <row r="1413" spans="1:10" hidden="1" x14ac:dyDescent="0.25">
      <c r="A1413" s="1" t="s">
        <v>70</v>
      </c>
      <c r="B1413" s="1" t="s">
        <v>71</v>
      </c>
      <c r="C1413" s="1">
        <v>18505</v>
      </c>
      <c r="D1413" s="1">
        <v>27503</v>
      </c>
      <c r="E1413" s="2">
        <v>44582</v>
      </c>
      <c r="F1413" s="2">
        <v>44747</v>
      </c>
      <c r="G1413" s="3">
        <v>1600</v>
      </c>
      <c r="H1413" s="1">
        <v>0</v>
      </c>
      <c r="I1413" s="1" t="s">
        <v>119</v>
      </c>
      <c r="J1413" s="1" t="s">
        <v>73</v>
      </c>
    </row>
    <row r="1414" spans="1:10" hidden="1" x14ac:dyDescent="0.25">
      <c r="A1414" s="1" t="s">
        <v>24</v>
      </c>
      <c r="B1414" s="1" t="s">
        <v>25</v>
      </c>
      <c r="C1414" s="1">
        <v>18011</v>
      </c>
      <c r="D1414" s="1">
        <v>27022</v>
      </c>
      <c r="E1414" s="2">
        <v>44537</v>
      </c>
      <c r="F1414" s="2">
        <v>44747</v>
      </c>
      <c r="G1414" s="3">
        <v>5125</v>
      </c>
      <c r="H1414" s="1">
        <v>0</v>
      </c>
      <c r="I1414" s="1" t="s">
        <v>1225</v>
      </c>
      <c r="J1414" s="1" t="s">
        <v>27</v>
      </c>
    </row>
    <row r="1415" spans="1:10" hidden="1" x14ac:dyDescent="0.25">
      <c r="A1415" s="1" t="s">
        <v>24</v>
      </c>
      <c r="B1415" s="1" t="s">
        <v>25</v>
      </c>
      <c r="C1415" s="1">
        <v>18012</v>
      </c>
      <c r="D1415" s="1">
        <v>27023</v>
      </c>
      <c r="E1415" s="2">
        <v>44537</v>
      </c>
      <c r="F1415" s="2">
        <v>44747</v>
      </c>
      <c r="G1415" s="3">
        <v>12375</v>
      </c>
      <c r="H1415" s="1">
        <v>0</v>
      </c>
      <c r="I1415" s="1" t="s">
        <v>1386</v>
      </c>
      <c r="J1415" s="1" t="s">
        <v>27</v>
      </c>
    </row>
    <row r="1416" spans="1:10" hidden="1" x14ac:dyDescent="0.25">
      <c r="A1416" s="1" t="s">
        <v>321</v>
      </c>
      <c r="B1416" s="1" t="s">
        <v>322</v>
      </c>
      <c r="C1416" s="1">
        <v>18506</v>
      </c>
      <c r="D1416" s="1">
        <v>27504</v>
      </c>
      <c r="E1416" s="2">
        <v>44582</v>
      </c>
      <c r="F1416" s="2">
        <v>44747</v>
      </c>
      <c r="G1416" s="3">
        <v>2853.33</v>
      </c>
      <c r="H1416" s="1">
        <v>0</v>
      </c>
      <c r="I1416" s="1" t="s">
        <v>1667</v>
      </c>
      <c r="J1416" s="1" t="s">
        <v>27</v>
      </c>
    </row>
    <row r="1417" spans="1:10" hidden="1" x14ac:dyDescent="0.25">
      <c r="A1417" s="1" t="s">
        <v>10</v>
      </c>
      <c r="B1417" s="1" t="s">
        <v>11</v>
      </c>
      <c r="C1417" s="1">
        <v>18314</v>
      </c>
      <c r="D1417" s="1">
        <v>27324</v>
      </c>
      <c r="E1417" s="2">
        <v>44568</v>
      </c>
      <c r="F1417" s="2">
        <v>44748</v>
      </c>
      <c r="G1417" s="3">
        <v>37533.300000000003</v>
      </c>
      <c r="H1417" s="1">
        <v>0</v>
      </c>
      <c r="I1417" s="1" t="s">
        <v>146</v>
      </c>
      <c r="J1417" s="1" t="s">
        <v>13</v>
      </c>
    </row>
    <row r="1418" spans="1:10" hidden="1" x14ac:dyDescent="0.25">
      <c r="A1418" s="1" t="s">
        <v>180</v>
      </c>
      <c r="B1418" s="1" t="s">
        <v>181</v>
      </c>
      <c r="C1418" s="1">
        <v>18026</v>
      </c>
      <c r="D1418" s="1">
        <v>27037</v>
      </c>
      <c r="E1418" s="2">
        <v>44538</v>
      </c>
      <c r="F1418" s="2">
        <v>44748</v>
      </c>
      <c r="G1418" s="3">
        <v>93340</v>
      </c>
      <c r="H1418" s="1">
        <v>0</v>
      </c>
      <c r="I1418" s="1" t="s">
        <v>182</v>
      </c>
      <c r="J1418" s="1" t="s">
        <v>88</v>
      </c>
    </row>
    <row r="1419" spans="1:10" hidden="1" x14ac:dyDescent="0.25">
      <c r="A1419" s="1" t="s">
        <v>10</v>
      </c>
      <c r="B1419" s="1" t="s">
        <v>11</v>
      </c>
      <c r="C1419" s="1">
        <v>18313</v>
      </c>
      <c r="D1419" s="1">
        <v>27323</v>
      </c>
      <c r="E1419" s="2">
        <v>44568</v>
      </c>
      <c r="F1419" s="2">
        <v>44748</v>
      </c>
      <c r="G1419" s="3">
        <v>1273.33</v>
      </c>
      <c r="H1419" s="1">
        <v>0</v>
      </c>
      <c r="I1419" s="1" t="s">
        <v>184</v>
      </c>
      <c r="J1419" s="1" t="s">
        <v>13</v>
      </c>
    </row>
    <row r="1420" spans="1:10" hidden="1" x14ac:dyDescent="0.25">
      <c r="A1420" s="1" t="s">
        <v>10</v>
      </c>
      <c r="B1420" s="1" t="s">
        <v>11</v>
      </c>
      <c r="C1420" s="1">
        <v>18311</v>
      </c>
      <c r="D1420" s="1">
        <v>27321</v>
      </c>
      <c r="E1420" s="2">
        <v>44568</v>
      </c>
      <c r="F1420" s="2">
        <v>44748</v>
      </c>
      <c r="G1420" s="3">
        <v>46350</v>
      </c>
      <c r="H1420" s="1">
        <v>0</v>
      </c>
      <c r="I1420" s="1" t="s">
        <v>213</v>
      </c>
      <c r="J1420" s="1" t="s">
        <v>13</v>
      </c>
    </row>
    <row r="1421" spans="1:10" hidden="1" x14ac:dyDescent="0.25">
      <c r="A1421" s="1" t="s">
        <v>10</v>
      </c>
      <c r="B1421" s="1" t="s">
        <v>11</v>
      </c>
      <c r="C1421" s="1">
        <v>18312</v>
      </c>
      <c r="D1421" s="1">
        <v>27322</v>
      </c>
      <c r="E1421" s="2">
        <v>44568</v>
      </c>
      <c r="F1421" s="2">
        <v>44748</v>
      </c>
      <c r="G1421" s="3">
        <v>12480</v>
      </c>
      <c r="H1421" s="1">
        <v>0</v>
      </c>
      <c r="I1421" s="1" t="s">
        <v>296</v>
      </c>
      <c r="J1421" s="1" t="s">
        <v>13</v>
      </c>
    </row>
    <row r="1422" spans="1:10" hidden="1" x14ac:dyDescent="0.25">
      <c r="A1422" s="1" t="s">
        <v>10</v>
      </c>
      <c r="B1422" s="1" t="s">
        <v>11</v>
      </c>
      <c r="C1422" s="1">
        <v>18325</v>
      </c>
      <c r="D1422" s="1">
        <v>27334</v>
      </c>
      <c r="E1422" s="2">
        <v>44568</v>
      </c>
      <c r="F1422" s="2">
        <v>44748</v>
      </c>
      <c r="G1422" s="3">
        <v>122500</v>
      </c>
      <c r="H1422" s="1">
        <v>0</v>
      </c>
      <c r="I1422" s="1" t="s">
        <v>441</v>
      </c>
      <c r="J1422" s="1" t="s">
        <v>13</v>
      </c>
    </row>
    <row r="1423" spans="1:10" hidden="1" x14ac:dyDescent="0.25">
      <c r="A1423" s="1" t="s">
        <v>10</v>
      </c>
      <c r="B1423" s="1" t="s">
        <v>11</v>
      </c>
      <c r="C1423" s="1">
        <v>18310</v>
      </c>
      <c r="D1423" s="1">
        <v>27319</v>
      </c>
      <c r="E1423" s="2">
        <v>44568</v>
      </c>
      <c r="F1423" s="2">
        <v>44748</v>
      </c>
      <c r="G1423" s="3">
        <v>9333.32</v>
      </c>
      <c r="H1423" s="1">
        <v>0</v>
      </c>
      <c r="I1423" s="1" t="s">
        <v>589</v>
      </c>
      <c r="J1423" s="1" t="s">
        <v>13</v>
      </c>
    </row>
    <row r="1424" spans="1:10" hidden="1" x14ac:dyDescent="0.25">
      <c r="A1424" s="1" t="s">
        <v>10</v>
      </c>
      <c r="B1424" s="1" t="s">
        <v>11</v>
      </c>
      <c r="C1424" s="1">
        <v>18309</v>
      </c>
      <c r="D1424" s="1">
        <v>27318</v>
      </c>
      <c r="E1424" s="2">
        <v>44568</v>
      </c>
      <c r="F1424" s="2">
        <v>44748</v>
      </c>
      <c r="G1424" s="3">
        <v>82730</v>
      </c>
      <c r="H1424" s="1">
        <v>0</v>
      </c>
      <c r="I1424" s="1" t="s">
        <v>791</v>
      </c>
      <c r="J1424" s="1" t="s">
        <v>13</v>
      </c>
    </row>
    <row r="1425" spans="1:10" hidden="1" x14ac:dyDescent="0.25">
      <c r="A1425" s="1" t="s">
        <v>108</v>
      </c>
      <c r="B1425" s="1" t="s">
        <v>109</v>
      </c>
      <c r="C1425" s="1">
        <v>18027</v>
      </c>
      <c r="D1425" s="1">
        <v>27038</v>
      </c>
      <c r="E1425" s="2">
        <v>44538</v>
      </c>
      <c r="F1425" s="2">
        <v>44748</v>
      </c>
      <c r="G1425" s="3">
        <v>15600</v>
      </c>
      <c r="H1425" s="1">
        <v>0</v>
      </c>
      <c r="I1425" s="1" t="s">
        <v>883</v>
      </c>
      <c r="J1425" s="1" t="s">
        <v>88</v>
      </c>
    </row>
    <row r="1426" spans="1:10" hidden="1" x14ac:dyDescent="0.25">
      <c r="A1426" s="1" t="s">
        <v>55</v>
      </c>
      <c r="B1426" s="1" t="s">
        <v>56</v>
      </c>
      <c r="C1426" s="1">
        <v>16232</v>
      </c>
      <c r="D1426" s="1">
        <v>25144</v>
      </c>
      <c r="E1426" s="2">
        <v>44383</v>
      </c>
      <c r="F1426" s="2">
        <v>44748</v>
      </c>
      <c r="G1426" s="3">
        <v>31930</v>
      </c>
      <c r="H1426" s="1">
        <v>0</v>
      </c>
      <c r="I1426" s="1" t="s">
        <v>1574</v>
      </c>
      <c r="J1426" s="1" t="s">
        <v>58</v>
      </c>
    </row>
    <row r="1427" spans="1:10" hidden="1" x14ac:dyDescent="0.25">
      <c r="A1427" s="1" t="s">
        <v>10</v>
      </c>
      <c r="B1427" s="1" t="s">
        <v>11</v>
      </c>
      <c r="C1427" s="1">
        <v>18037</v>
      </c>
      <c r="D1427" s="1">
        <v>27048</v>
      </c>
      <c r="E1427" s="2">
        <v>44539</v>
      </c>
      <c r="F1427" s="2">
        <v>44749</v>
      </c>
      <c r="G1427" s="3">
        <v>11166.68</v>
      </c>
      <c r="H1427" s="1">
        <v>0</v>
      </c>
      <c r="I1427" s="1" t="s">
        <v>107</v>
      </c>
      <c r="J1427" s="1" t="s">
        <v>13</v>
      </c>
    </row>
    <row r="1428" spans="1:10" hidden="1" x14ac:dyDescent="0.25">
      <c r="A1428" s="1" t="s">
        <v>70</v>
      </c>
      <c r="B1428" s="1" t="s">
        <v>71</v>
      </c>
      <c r="C1428" s="1">
        <v>18653</v>
      </c>
      <c r="D1428" s="1">
        <v>27665</v>
      </c>
      <c r="E1428" s="2">
        <v>44599</v>
      </c>
      <c r="F1428" s="2">
        <v>44749</v>
      </c>
      <c r="G1428" s="3">
        <v>8959.99</v>
      </c>
      <c r="H1428" s="1">
        <v>0</v>
      </c>
      <c r="I1428" s="1" t="s">
        <v>260</v>
      </c>
      <c r="J1428" s="1" t="s">
        <v>73</v>
      </c>
    </row>
    <row r="1429" spans="1:10" hidden="1" x14ac:dyDescent="0.25">
      <c r="A1429" s="1" t="s">
        <v>70</v>
      </c>
      <c r="B1429" s="1" t="s">
        <v>71</v>
      </c>
      <c r="C1429" s="1">
        <v>18652</v>
      </c>
      <c r="D1429" s="1">
        <v>27664</v>
      </c>
      <c r="E1429" s="2">
        <v>44599</v>
      </c>
      <c r="F1429" s="2">
        <v>44749</v>
      </c>
      <c r="G1429" s="3">
        <v>2066.66</v>
      </c>
      <c r="H1429" s="1">
        <v>0</v>
      </c>
      <c r="I1429" s="1" t="s">
        <v>643</v>
      </c>
      <c r="J1429" s="1" t="s">
        <v>73</v>
      </c>
    </row>
    <row r="1430" spans="1:10" hidden="1" x14ac:dyDescent="0.25">
      <c r="A1430" s="1" t="s">
        <v>847</v>
      </c>
      <c r="B1430" s="1" t="s">
        <v>848</v>
      </c>
      <c r="C1430" s="1">
        <v>18656</v>
      </c>
      <c r="D1430" s="1">
        <v>27668</v>
      </c>
      <c r="E1430" s="2">
        <v>44599</v>
      </c>
      <c r="F1430" s="2">
        <v>44749</v>
      </c>
      <c r="G1430" s="3">
        <v>16572</v>
      </c>
      <c r="H1430" s="1">
        <v>0</v>
      </c>
      <c r="I1430" s="1" t="s">
        <v>949</v>
      </c>
      <c r="J1430" s="1" t="s">
        <v>73</v>
      </c>
    </row>
    <row r="1431" spans="1:10" hidden="1" x14ac:dyDescent="0.25">
      <c r="A1431" s="1" t="s">
        <v>70</v>
      </c>
      <c r="B1431" s="1" t="s">
        <v>71</v>
      </c>
      <c r="C1431" s="1">
        <v>18654</v>
      </c>
      <c r="D1431" s="1">
        <v>27666</v>
      </c>
      <c r="E1431" s="2">
        <v>44599</v>
      </c>
      <c r="F1431" s="2">
        <v>44749</v>
      </c>
      <c r="G1431" s="3">
        <v>21746.92</v>
      </c>
      <c r="H1431" s="1">
        <v>0</v>
      </c>
      <c r="I1431" s="1" t="s">
        <v>261</v>
      </c>
      <c r="J1431" s="1" t="s">
        <v>73</v>
      </c>
    </row>
    <row r="1432" spans="1:10" hidden="1" x14ac:dyDescent="0.25">
      <c r="A1432" s="1" t="s">
        <v>221</v>
      </c>
      <c r="B1432" s="1" t="s">
        <v>222</v>
      </c>
      <c r="C1432" s="1">
        <v>18662</v>
      </c>
      <c r="D1432" s="1">
        <v>27674</v>
      </c>
      <c r="E1432" s="2">
        <v>44600</v>
      </c>
      <c r="F1432" s="2">
        <v>44750</v>
      </c>
      <c r="G1432" s="3">
        <v>48000</v>
      </c>
      <c r="H1432" s="1">
        <v>0</v>
      </c>
      <c r="I1432" s="1" t="s">
        <v>1147</v>
      </c>
      <c r="J1432" s="1" t="s">
        <v>27</v>
      </c>
    </row>
    <row r="1433" spans="1:10" hidden="1" x14ac:dyDescent="0.25">
      <c r="A1433" s="1" t="s">
        <v>10</v>
      </c>
      <c r="B1433" s="1" t="s">
        <v>11</v>
      </c>
      <c r="C1433" s="1">
        <v>18677</v>
      </c>
      <c r="D1433" s="1">
        <v>27689</v>
      </c>
      <c r="E1433" s="2">
        <v>44600</v>
      </c>
      <c r="F1433" s="2">
        <v>44750</v>
      </c>
      <c r="G1433" s="3">
        <v>46800</v>
      </c>
      <c r="H1433" s="1">
        <v>0</v>
      </c>
      <c r="I1433" s="1" t="s">
        <v>1274</v>
      </c>
      <c r="J1433" s="1" t="s">
        <v>13</v>
      </c>
    </row>
    <row r="1434" spans="1:10" hidden="1" x14ac:dyDescent="0.25">
      <c r="A1434" s="1" t="s">
        <v>244</v>
      </c>
      <c r="B1434" s="1" t="s">
        <v>98</v>
      </c>
      <c r="C1434" s="1">
        <v>18663</v>
      </c>
      <c r="D1434" s="1">
        <v>27675</v>
      </c>
      <c r="E1434" s="2">
        <v>44600</v>
      </c>
      <c r="F1434" s="2">
        <v>44750</v>
      </c>
      <c r="G1434" s="3">
        <v>46600</v>
      </c>
      <c r="H1434" s="1">
        <v>0</v>
      </c>
      <c r="I1434" s="1" t="s">
        <v>1412</v>
      </c>
      <c r="J1434" s="1" t="s">
        <v>27</v>
      </c>
    </row>
    <row r="1435" spans="1:10" hidden="1" x14ac:dyDescent="0.25">
      <c r="A1435" s="1" t="s">
        <v>97</v>
      </c>
      <c r="B1435" s="1" t="s">
        <v>98</v>
      </c>
      <c r="C1435" s="1">
        <v>18664</v>
      </c>
      <c r="D1435" s="1">
        <v>27676</v>
      </c>
      <c r="E1435" s="2">
        <v>44600</v>
      </c>
      <c r="F1435" s="2">
        <v>44750</v>
      </c>
      <c r="G1435" s="3">
        <v>48000</v>
      </c>
      <c r="H1435" s="1">
        <v>0</v>
      </c>
      <c r="I1435" s="1" t="s">
        <v>1540</v>
      </c>
      <c r="J1435" s="1" t="s">
        <v>27</v>
      </c>
    </row>
    <row r="1436" spans="1:10" hidden="1" x14ac:dyDescent="0.25">
      <c r="A1436" s="1" t="s">
        <v>10</v>
      </c>
      <c r="B1436" s="1" t="s">
        <v>11</v>
      </c>
      <c r="C1436" s="1">
        <v>18669</v>
      </c>
      <c r="D1436" s="1">
        <v>27681</v>
      </c>
      <c r="E1436" s="2">
        <v>44600</v>
      </c>
      <c r="F1436" s="2">
        <v>44750</v>
      </c>
      <c r="G1436" s="3">
        <v>25200</v>
      </c>
      <c r="H1436" s="1">
        <v>0</v>
      </c>
      <c r="I1436" s="1" t="s">
        <v>1556</v>
      </c>
      <c r="J1436" s="1" t="s">
        <v>13</v>
      </c>
    </row>
    <row r="1437" spans="1:10" hidden="1" x14ac:dyDescent="0.25">
      <c r="A1437" s="1" t="s">
        <v>70</v>
      </c>
      <c r="B1437" s="1" t="s">
        <v>71</v>
      </c>
      <c r="C1437" s="1">
        <v>18526</v>
      </c>
      <c r="D1437" s="1">
        <v>27527</v>
      </c>
      <c r="E1437" s="2">
        <v>44586</v>
      </c>
      <c r="F1437" s="2">
        <v>44751</v>
      </c>
      <c r="G1437" s="3">
        <v>3360</v>
      </c>
      <c r="H1437" s="1">
        <v>0</v>
      </c>
      <c r="I1437" s="1" t="s">
        <v>349</v>
      </c>
      <c r="J1437" s="1" t="s">
        <v>73</v>
      </c>
    </row>
    <row r="1438" spans="1:10" hidden="1" x14ac:dyDescent="0.25">
      <c r="A1438" s="1" t="s">
        <v>252</v>
      </c>
      <c r="B1438" s="1" t="s">
        <v>253</v>
      </c>
      <c r="C1438" s="1">
        <v>18333</v>
      </c>
      <c r="D1438" s="1">
        <v>27340</v>
      </c>
      <c r="E1438" s="2">
        <v>44571</v>
      </c>
      <c r="F1438" s="2">
        <v>44751</v>
      </c>
      <c r="G1438" s="3">
        <v>6955.4</v>
      </c>
      <c r="H1438" s="1">
        <v>0</v>
      </c>
      <c r="I1438" s="1" t="s">
        <v>368</v>
      </c>
      <c r="J1438" s="1" t="s">
        <v>58</v>
      </c>
    </row>
    <row r="1439" spans="1:10" hidden="1" x14ac:dyDescent="0.25">
      <c r="A1439" s="1" t="s">
        <v>10</v>
      </c>
      <c r="B1439" s="1" t="s">
        <v>11</v>
      </c>
      <c r="C1439" s="1">
        <v>18331</v>
      </c>
      <c r="D1439" s="1">
        <v>27338</v>
      </c>
      <c r="E1439" s="2">
        <v>44571</v>
      </c>
      <c r="F1439" s="2">
        <v>44751</v>
      </c>
      <c r="G1439" s="3">
        <v>117000</v>
      </c>
      <c r="H1439" s="1">
        <v>0</v>
      </c>
      <c r="I1439" s="1" t="s">
        <v>766</v>
      </c>
      <c r="J1439" s="1" t="s">
        <v>13</v>
      </c>
    </row>
    <row r="1440" spans="1:10" hidden="1" x14ac:dyDescent="0.25">
      <c r="A1440" s="1" t="s">
        <v>10</v>
      </c>
      <c r="B1440" s="1" t="s">
        <v>11</v>
      </c>
      <c r="C1440" s="1">
        <v>18351</v>
      </c>
      <c r="D1440" s="1">
        <v>27359</v>
      </c>
      <c r="E1440" s="2">
        <v>44572</v>
      </c>
      <c r="F1440" s="2">
        <v>44752</v>
      </c>
      <c r="G1440" s="3">
        <v>8666.66</v>
      </c>
      <c r="H1440" s="1">
        <v>0</v>
      </c>
      <c r="I1440" s="1" t="s">
        <v>45</v>
      </c>
      <c r="J1440" s="1" t="s">
        <v>13</v>
      </c>
    </row>
    <row r="1441" spans="1:10" hidden="1" x14ac:dyDescent="0.25">
      <c r="A1441" s="1" t="s">
        <v>201</v>
      </c>
      <c r="B1441" s="1" t="s">
        <v>202</v>
      </c>
      <c r="C1441" s="1">
        <v>16573</v>
      </c>
      <c r="D1441" s="1">
        <v>25537</v>
      </c>
      <c r="E1441" s="2">
        <v>44426</v>
      </c>
      <c r="F1441" s="2">
        <v>44752</v>
      </c>
      <c r="G1441" s="3">
        <v>135704.16</v>
      </c>
      <c r="H1441" s="1">
        <v>0</v>
      </c>
      <c r="I1441" s="1" t="s">
        <v>203</v>
      </c>
      <c r="J1441" s="1" t="s">
        <v>27</v>
      </c>
    </row>
    <row r="1442" spans="1:10" hidden="1" x14ac:dyDescent="0.25">
      <c r="A1442" s="1" t="s">
        <v>221</v>
      </c>
      <c r="B1442" s="1" t="s">
        <v>222</v>
      </c>
      <c r="C1442" s="1">
        <v>16338</v>
      </c>
      <c r="D1442" s="1">
        <v>25265</v>
      </c>
      <c r="E1442" s="2">
        <v>44397</v>
      </c>
      <c r="F1442" s="2">
        <v>44752</v>
      </c>
      <c r="G1442" s="3">
        <v>29340</v>
      </c>
      <c r="H1442" s="1">
        <v>0</v>
      </c>
      <c r="I1442" s="1" t="s">
        <v>223</v>
      </c>
      <c r="J1442" s="1" t="s">
        <v>27</v>
      </c>
    </row>
    <row r="1443" spans="1:10" hidden="1" x14ac:dyDescent="0.25">
      <c r="A1443" s="1" t="s">
        <v>201</v>
      </c>
      <c r="B1443" s="1" t="s">
        <v>202</v>
      </c>
      <c r="C1443" s="1">
        <v>17215</v>
      </c>
      <c r="D1443" s="1">
        <v>26214</v>
      </c>
      <c r="E1443" s="2">
        <v>44480</v>
      </c>
      <c r="F1443" s="2">
        <v>44752</v>
      </c>
      <c r="G1443" s="3">
        <v>179348.48000000001</v>
      </c>
      <c r="H1443" s="1">
        <v>0</v>
      </c>
      <c r="I1443" s="1" t="s">
        <v>489</v>
      </c>
      <c r="J1443" s="1" t="s">
        <v>27</v>
      </c>
    </row>
    <row r="1444" spans="1:10" hidden="1" x14ac:dyDescent="0.25">
      <c r="A1444" s="1" t="s">
        <v>221</v>
      </c>
      <c r="B1444" s="1" t="s">
        <v>222</v>
      </c>
      <c r="C1444" s="1">
        <v>16491</v>
      </c>
      <c r="D1444" s="1">
        <v>25439</v>
      </c>
      <c r="E1444" s="2">
        <v>44417</v>
      </c>
      <c r="F1444" s="2">
        <v>44752</v>
      </c>
      <c r="G1444" s="3">
        <v>29340</v>
      </c>
      <c r="H1444" s="1">
        <v>0</v>
      </c>
      <c r="I1444" s="1" t="s">
        <v>875</v>
      </c>
      <c r="J1444" s="1" t="s">
        <v>27</v>
      </c>
    </row>
    <row r="1445" spans="1:10" hidden="1" x14ac:dyDescent="0.25">
      <c r="A1445" s="1" t="s">
        <v>97</v>
      </c>
      <c r="B1445" s="1" t="s">
        <v>98</v>
      </c>
      <c r="C1445" s="1">
        <v>16489</v>
      </c>
      <c r="D1445" s="1">
        <v>25437</v>
      </c>
      <c r="E1445" s="2">
        <v>44417</v>
      </c>
      <c r="F1445" s="2">
        <v>44752</v>
      </c>
      <c r="G1445" s="3">
        <v>48900</v>
      </c>
      <c r="H1445" s="1">
        <v>0</v>
      </c>
      <c r="I1445" s="1" t="s">
        <v>973</v>
      </c>
      <c r="J1445" s="1" t="s">
        <v>27</v>
      </c>
    </row>
    <row r="1446" spans="1:10" hidden="1" x14ac:dyDescent="0.25">
      <c r="A1446" s="1" t="s">
        <v>10</v>
      </c>
      <c r="B1446" s="1" t="s">
        <v>11</v>
      </c>
      <c r="C1446" s="1">
        <v>18352</v>
      </c>
      <c r="D1446" s="1">
        <v>27360</v>
      </c>
      <c r="E1446" s="2">
        <v>44572</v>
      </c>
      <c r="F1446" s="2">
        <v>44752</v>
      </c>
      <c r="G1446" s="3">
        <v>112320</v>
      </c>
      <c r="H1446" s="1">
        <v>0</v>
      </c>
      <c r="I1446" s="1" t="s">
        <v>1041</v>
      </c>
      <c r="J1446" s="1" t="s">
        <v>13</v>
      </c>
    </row>
    <row r="1447" spans="1:10" hidden="1" x14ac:dyDescent="0.25">
      <c r="A1447" s="1" t="s">
        <v>201</v>
      </c>
      <c r="B1447" s="1" t="s">
        <v>202</v>
      </c>
      <c r="C1447" s="1">
        <v>16287</v>
      </c>
      <c r="D1447" s="1">
        <v>25201</v>
      </c>
      <c r="E1447" s="2">
        <v>44389</v>
      </c>
      <c r="F1447" s="2">
        <v>44752</v>
      </c>
      <c r="G1447" s="3">
        <v>202220</v>
      </c>
      <c r="H1447" s="1">
        <v>0</v>
      </c>
      <c r="I1447" s="1" t="s">
        <v>1206</v>
      </c>
      <c r="J1447" s="1" t="s">
        <v>27</v>
      </c>
    </row>
    <row r="1448" spans="1:10" hidden="1" x14ac:dyDescent="0.25">
      <c r="A1448" s="1" t="s">
        <v>97</v>
      </c>
      <c r="B1448" s="1" t="s">
        <v>98</v>
      </c>
      <c r="C1448" s="1">
        <v>18697</v>
      </c>
      <c r="D1448" s="1">
        <v>27710</v>
      </c>
      <c r="E1448" s="2">
        <v>44602</v>
      </c>
      <c r="F1448" s="2">
        <v>44752</v>
      </c>
      <c r="G1448" s="3">
        <v>48000</v>
      </c>
      <c r="H1448" s="1">
        <v>0</v>
      </c>
      <c r="I1448" s="1" t="s">
        <v>1208</v>
      </c>
      <c r="J1448" s="1" t="s">
        <v>27</v>
      </c>
    </row>
    <row r="1449" spans="1:10" hidden="1" x14ac:dyDescent="0.25">
      <c r="A1449" s="1" t="s">
        <v>244</v>
      </c>
      <c r="B1449" s="1" t="s">
        <v>98</v>
      </c>
      <c r="C1449" s="1">
        <v>18696</v>
      </c>
      <c r="D1449" s="1">
        <v>27709</v>
      </c>
      <c r="E1449" s="2">
        <v>44602</v>
      </c>
      <c r="F1449" s="2">
        <v>44752</v>
      </c>
      <c r="G1449" s="3">
        <v>48000</v>
      </c>
      <c r="H1449" s="1">
        <v>0</v>
      </c>
      <c r="I1449" s="1" t="s">
        <v>1275</v>
      </c>
      <c r="J1449" s="1" t="s">
        <v>27</v>
      </c>
    </row>
    <row r="1450" spans="1:10" hidden="1" x14ac:dyDescent="0.25">
      <c r="A1450" s="1" t="s">
        <v>221</v>
      </c>
      <c r="B1450" s="1" t="s">
        <v>222</v>
      </c>
      <c r="C1450" s="1">
        <v>18695</v>
      </c>
      <c r="D1450" s="1">
        <v>27708</v>
      </c>
      <c r="E1450" s="2">
        <v>44602</v>
      </c>
      <c r="F1450" s="2">
        <v>44752</v>
      </c>
      <c r="G1450" s="3">
        <v>48000</v>
      </c>
      <c r="H1450" s="1">
        <v>0</v>
      </c>
      <c r="I1450" s="1" t="s">
        <v>1586</v>
      </c>
      <c r="J1450" s="1" t="s">
        <v>27</v>
      </c>
    </row>
    <row r="1451" spans="1:10" hidden="1" x14ac:dyDescent="0.25">
      <c r="A1451" s="1" t="s">
        <v>97</v>
      </c>
      <c r="B1451" s="1" t="s">
        <v>98</v>
      </c>
      <c r="C1451" s="1">
        <v>16336</v>
      </c>
      <c r="D1451" s="1">
        <v>25263</v>
      </c>
      <c r="E1451" s="2">
        <v>44397</v>
      </c>
      <c r="F1451" s="2">
        <v>44752</v>
      </c>
      <c r="G1451" s="3">
        <v>48900</v>
      </c>
      <c r="H1451" s="1">
        <v>0</v>
      </c>
      <c r="I1451" s="1" t="s">
        <v>1661</v>
      </c>
      <c r="J1451" s="1" t="s">
        <v>27</v>
      </c>
    </row>
    <row r="1452" spans="1:10" hidden="1" x14ac:dyDescent="0.25">
      <c r="A1452" s="1" t="s">
        <v>10</v>
      </c>
      <c r="B1452" s="1" t="s">
        <v>11</v>
      </c>
      <c r="C1452" s="1">
        <v>18364</v>
      </c>
      <c r="D1452" s="1">
        <v>27373</v>
      </c>
      <c r="E1452" s="2">
        <v>44573</v>
      </c>
      <c r="F1452" s="2">
        <v>44753</v>
      </c>
      <c r="G1452" s="3">
        <v>105000</v>
      </c>
      <c r="H1452" s="1">
        <v>0</v>
      </c>
      <c r="I1452" s="1" t="s">
        <v>543</v>
      </c>
      <c r="J1452" s="1" t="s">
        <v>13</v>
      </c>
    </row>
    <row r="1453" spans="1:10" hidden="1" x14ac:dyDescent="0.25">
      <c r="A1453" s="1" t="s">
        <v>70</v>
      </c>
      <c r="B1453" s="1" t="s">
        <v>71</v>
      </c>
      <c r="C1453" s="1">
        <v>18727</v>
      </c>
      <c r="D1453" s="1">
        <v>27743</v>
      </c>
      <c r="E1453" s="2">
        <v>44606</v>
      </c>
      <c r="F1453" s="2">
        <v>44756</v>
      </c>
      <c r="G1453" s="3">
        <v>17024.43</v>
      </c>
      <c r="H1453" s="1">
        <v>0</v>
      </c>
      <c r="I1453" s="1" t="s">
        <v>990</v>
      </c>
      <c r="J1453" s="1" t="s">
        <v>73</v>
      </c>
    </row>
    <row r="1454" spans="1:10" hidden="1" x14ac:dyDescent="0.25">
      <c r="A1454" s="1" t="s">
        <v>70</v>
      </c>
      <c r="B1454" s="1" t="s">
        <v>71</v>
      </c>
      <c r="C1454" s="1">
        <v>18726</v>
      </c>
      <c r="D1454" s="1">
        <v>27742</v>
      </c>
      <c r="E1454" s="2">
        <v>44606</v>
      </c>
      <c r="F1454" s="2">
        <v>44756</v>
      </c>
      <c r="G1454" s="3">
        <v>18583.48</v>
      </c>
      <c r="H1454" s="1">
        <v>0</v>
      </c>
      <c r="I1454" s="1" t="s">
        <v>432</v>
      </c>
      <c r="J1454" s="1" t="s">
        <v>73</v>
      </c>
    </row>
    <row r="1455" spans="1:10" hidden="1" x14ac:dyDescent="0.25">
      <c r="A1455" s="1" t="s">
        <v>70</v>
      </c>
      <c r="B1455" s="1" t="s">
        <v>71</v>
      </c>
      <c r="C1455" s="1">
        <v>18725</v>
      </c>
      <c r="D1455" s="1">
        <v>27741</v>
      </c>
      <c r="E1455" s="2">
        <v>44606</v>
      </c>
      <c r="F1455" s="2">
        <v>44756</v>
      </c>
      <c r="G1455" s="3">
        <v>3430</v>
      </c>
      <c r="H1455" s="1">
        <v>0</v>
      </c>
      <c r="I1455" s="1" t="s">
        <v>464</v>
      </c>
      <c r="J1455" s="1" t="s">
        <v>73</v>
      </c>
    </row>
    <row r="1456" spans="1:10" hidden="1" x14ac:dyDescent="0.25">
      <c r="A1456" s="1" t="s">
        <v>140</v>
      </c>
      <c r="B1456" s="1" t="s">
        <v>141</v>
      </c>
      <c r="C1456" s="1">
        <v>18730</v>
      </c>
      <c r="D1456" s="1">
        <v>27746</v>
      </c>
      <c r="E1456" s="2">
        <v>44607</v>
      </c>
      <c r="F1456" s="2">
        <v>44757</v>
      </c>
      <c r="G1456" s="3">
        <v>77390.820000000007</v>
      </c>
      <c r="H1456" s="1">
        <v>0</v>
      </c>
      <c r="I1456" s="1" t="s">
        <v>928</v>
      </c>
      <c r="J1456" s="1" t="s">
        <v>73</v>
      </c>
    </row>
    <row r="1457" spans="1:10" hidden="1" x14ac:dyDescent="0.25">
      <c r="A1457" s="1" t="s">
        <v>24</v>
      </c>
      <c r="B1457" s="1" t="s">
        <v>25</v>
      </c>
      <c r="C1457" s="1">
        <v>18127</v>
      </c>
      <c r="D1457" s="1">
        <v>27141</v>
      </c>
      <c r="E1457" s="2">
        <v>44547</v>
      </c>
      <c r="F1457" s="2">
        <v>44757</v>
      </c>
      <c r="G1457" s="3">
        <v>4080</v>
      </c>
      <c r="H1457" s="1">
        <v>0</v>
      </c>
      <c r="I1457" s="1" t="s">
        <v>1590</v>
      </c>
      <c r="J1457" s="1" t="s">
        <v>27</v>
      </c>
    </row>
    <row r="1458" spans="1:10" hidden="1" x14ac:dyDescent="0.25">
      <c r="A1458" s="1" t="s">
        <v>20</v>
      </c>
      <c r="B1458" s="1" t="s">
        <v>21</v>
      </c>
      <c r="C1458" s="1">
        <v>18425</v>
      </c>
      <c r="D1458" s="1">
        <v>27426</v>
      </c>
      <c r="E1458" s="2">
        <v>44578</v>
      </c>
      <c r="F1458" s="2">
        <v>44758</v>
      </c>
      <c r="G1458" s="3">
        <v>47740.1</v>
      </c>
      <c r="H1458" s="1">
        <v>0</v>
      </c>
      <c r="I1458" s="1" t="s">
        <v>153</v>
      </c>
      <c r="J1458" s="1" t="s">
        <v>23</v>
      </c>
    </row>
    <row r="1459" spans="1:10" hidden="1" x14ac:dyDescent="0.25">
      <c r="A1459" s="1" t="s">
        <v>10</v>
      </c>
      <c r="B1459" s="1" t="s">
        <v>11</v>
      </c>
      <c r="C1459" s="1">
        <v>18431</v>
      </c>
      <c r="D1459" s="1">
        <v>27431</v>
      </c>
      <c r="E1459" s="2">
        <v>44578</v>
      </c>
      <c r="F1459" s="2">
        <v>44758</v>
      </c>
      <c r="G1459" s="3">
        <v>68999.929999999993</v>
      </c>
      <c r="H1459" s="1">
        <v>0</v>
      </c>
      <c r="I1459" s="1" t="s">
        <v>681</v>
      </c>
      <c r="J1459" s="1" t="s">
        <v>13</v>
      </c>
    </row>
    <row r="1460" spans="1:10" hidden="1" x14ac:dyDescent="0.25">
      <c r="A1460" s="1" t="s">
        <v>20</v>
      </c>
      <c r="B1460" s="1" t="s">
        <v>21</v>
      </c>
      <c r="C1460" s="1">
        <v>18420</v>
      </c>
      <c r="D1460" s="1">
        <v>27423</v>
      </c>
      <c r="E1460" s="2">
        <v>44578</v>
      </c>
      <c r="F1460" s="2">
        <v>44758</v>
      </c>
      <c r="G1460" s="3">
        <v>2000</v>
      </c>
      <c r="H1460" s="1">
        <v>0</v>
      </c>
      <c r="I1460" s="1" t="s">
        <v>46</v>
      </c>
      <c r="J1460" s="1" t="s">
        <v>23</v>
      </c>
    </row>
    <row r="1461" spans="1:10" hidden="1" x14ac:dyDescent="0.25">
      <c r="A1461" s="1" t="s">
        <v>10</v>
      </c>
      <c r="B1461" s="1" t="s">
        <v>11</v>
      </c>
      <c r="C1461" s="1">
        <v>18738</v>
      </c>
      <c r="D1461" s="1">
        <v>27756</v>
      </c>
      <c r="E1461" s="2">
        <v>44608</v>
      </c>
      <c r="F1461" s="2">
        <v>44758</v>
      </c>
      <c r="G1461" s="3">
        <v>43081.75</v>
      </c>
      <c r="H1461" s="1">
        <v>0</v>
      </c>
      <c r="I1461" s="1" t="s">
        <v>1557</v>
      </c>
      <c r="J1461" s="1" t="s">
        <v>13</v>
      </c>
    </row>
    <row r="1462" spans="1:10" hidden="1" x14ac:dyDescent="0.25">
      <c r="A1462" s="1" t="s">
        <v>20</v>
      </c>
      <c r="B1462" s="1" t="s">
        <v>21</v>
      </c>
      <c r="C1462" s="1">
        <v>18753</v>
      </c>
      <c r="D1462" s="1">
        <v>27772</v>
      </c>
      <c r="E1462" s="2">
        <v>44609</v>
      </c>
      <c r="F1462" s="2">
        <v>44759</v>
      </c>
      <c r="G1462" s="3">
        <v>3666.66</v>
      </c>
      <c r="H1462" s="1">
        <v>0</v>
      </c>
      <c r="I1462" s="1" t="s">
        <v>966</v>
      </c>
      <c r="J1462" s="1" t="s">
        <v>23</v>
      </c>
    </row>
    <row r="1463" spans="1:10" hidden="1" x14ac:dyDescent="0.25">
      <c r="A1463" s="1" t="s">
        <v>20</v>
      </c>
      <c r="B1463" s="1" t="s">
        <v>21</v>
      </c>
      <c r="C1463" s="1">
        <v>18750</v>
      </c>
      <c r="D1463" s="1">
        <v>27769</v>
      </c>
      <c r="E1463" s="2">
        <v>44609</v>
      </c>
      <c r="F1463" s="2">
        <v>44759</v>
      </c>
      <c r="G1463" s="3">
        <v>18452.650000000001</v>
      </c>
      <c r="H1463" s="1">
        <v>0</v>
      </c>
      <c r="I1463" s="1" t="s">
        <v>1008</v>
      </c>
      <c r="J1463" s="1" t="s">
        <v>23</v>
      </c>
    </row>
    <row r="1464" spans="1:10" hidden="1" x14ac:dyDescent="0.25">
      <c r="A1464" s="1" t="s">
        <v>20</v>
      </c>
      <c r="B1464" s="1" t="s">
        <v>21</v>
      </c>
      <c r="C1464" s="1">
        <v>18751</v>
      </c>
      <c r="D1464" s="1">
        <v>27770</v>
      </c>
      <c r="E1464" s="2">
        <v>44609</v>
      </c>
      <c r="F1464" s="2">
        <v>44759</v>
      </c>
      <c r="G1464" s="3">
        <v>5090.0200000000004</v>
      </c>
      <c r="H1464" s="1">
        <v>0</v>
      </c>
      <c r="I1464" s="1" t="s">
        <v>1219</v>
      </c>
      <c r="J1464" s="1" t="s">
        <v>23</v>
      </c>
    </row>
    <row r="1465" spans="1:10" hidden="1" x14ac:dyDescent="0.25">
      <c r="A1465" s="1" t="s">
        <v>1238</v>
      </c>
      <c r="B1465" s="1" t="s">
        <v>1239</v>
      </c>
      <c r="C1465" s="1"/>
      <c r="D1465" s="1">
        <v>176646</v>
      </c>
      <c r="E1465" s="2">
        <v>44547</v>
      </c>
      <c r="F1465" s="2">
        <v>44759</v>
      </c>
      <c r="G1465" s="3">
        <v>2400</v>
      </c>
      <c r="H1465" s="1">
        <v>0</v>
      </c>
      <c r="I1465" s="1" t="s">
        <v>1240</v>
      </c>
      <c r="J1465" s="1" t="s">
        <v>730</v>
      </c>
    </row>
    <row r="1466" spans="1:10" hidden="1" x14ac:dyDescent="0.25">
      <c r="A1466" s="1" t="s">
        <v>10</v>
      </c>
      <c r="B1466" s="1" t="s">
        <v>11</v>
      </c>
      <c r="C1466" s="1">
        <v>18472</v>
      </c>
      <c r="D1466" s="1">
        <v>27471</v>
      </c>
      <c r="E1466" s="2">
        <v>44580</v>
      </c>
      <c r="F1466" s="2">
        <v>44760</v>
      </c>
      <c r="G1466" s="3">
        <v>44625</v>
      </c>
      <c r="H1466" s="1">
        <v>0</v>
      </c>
      <c r="I1466" s="1" t="s">
        <v>328</v>
      </c>
      <c r="J1466" s="1" t="s">
        <v>13</v>
      </c>
    </row>
    <row r="1467" spans="1:10" hidden="1" x14ac:dyDescent="0.25">
      <c r="A1467" s="1" t="s">
        <v>10</v>
      </c>
      <c r="B1467" s="1" t="s">
        <v>11</v>
      </c>
      <c r="C1467" s="1">
        <v>18471</v>
      </c>
      <c r="D1467" s="1">
        <v>27470</v>
      </c>
      <c r="E1467" s="2">
        <v>44580</v>
      </c>
      <c r="F1467" s="2">
        <v>44760</v>
      </c>
      <c r="G1467" s="3">
        <v>32000.06</v>
      </c>
      <c r="H1467" s="1">
        <v>0</v>
      </c>
      <c r="I1467" s="1" t="s">
        <v>547</v>
      </c>
      <c r="J1467" s="1" t="s">
        <v>13</v>
      </c>
    </row>
    <row r="1468" spans="1:10" hidden="1" x14ac:dyDescent="0.25">
      <c r="A1468" s="1" t="s">
        <v>24</v>
      </c>
      <c r="B1468" s="1" t="s">
        <v>25</v>
      </c>
      <c r="C1468" s="1">
        <v>18756</v>
      </c>
      <c r="D1468" s="1">
        <v>27775</v>
      </c>
      <c r="E1468" s="2">
        <v>44610</v>
      </c>
      <c r="F1468" s="2">
        <v>44760</v>
      </c>
      <c r="G1468" s="3">
        <v>54000</v>
      </c>
      <c r="H1468" s="1">
        <v>0</v>
      </c>
      <c r="I1468" s="1" t="s">
        <v>913</v>
      </c>
      <c r="J1468" s="1" t="s">
        <v>27</v>
      </c>
    </row>
    <row r="1469" spans="1:10" hidden="1" x14ac:dyDescent="0.25">
      <c r="A1469" s="1" t="s">
        <v>24</v>
      </c>
      <c r="B1469" s="1" t="s">
        <v>25</v>
      </c>
      <c r="C1469" s="1">
        <v>18161</v>
      </c>
      <c r="D1469" s="1">
        <v>27172</v>
      </c>
      <c r="E1469" s="2">
        <v>44550</v>
      </c>
      <c r="F1469" s="2">
        <v>44760</v>
      </c>
      <c r="G1469" s="3">
        <v>2856</v>
      </c>
      <c r="H1469" s="1">
        <v>0</v>
      </c>
      <c r="I1469" s="1" t="s">
        <v>1591</v>
      </c>
      <c r="J1469" s="1" t="s">
        <v>27</v>
      </c>
    </row>
    <row r="1470" spans="1:10" hidden="1" x14ac:dyDescent="0.25">
      <c r="A1470" s="1" t="s">
        <v>70</v>
      </c>
      <c r="B1470" s="1" t="s">
        <v>71</v>
      </c>
      <c r="C1470" s="1">
        <v>18510</v>
      </c>
      <c r="D1470" s="1">
        <v>27508</v>
      </c>
      <c r="E1470" s="2">
        <v>44582</v>
      </c>
      <c r="F1470" s="2">
        <v>44762</v>
      </c>
      <c r="G1470" s="3">
        <v>21747.14</v>
      </c>
      <c r="H1470" s="1">
        <v>0</v>
      </c>
      <c r="I1470" s="1" t="s">
        <v>237</v>
      </c>
      <c r="J1470" s="1" t="s">
        <v>73</v>
      </c>
    </row>
    <row r="1471" spans="1:10" hidden="1" x14ac:dyDescent="0.25">
      <c r="A1471" s="1" t="s">
        <v>338</v>
      </c>
      <c r="B1471" s="1" t="s">
        <v>305</v>
      </c>
      <c r="C1471" s="1">
        <v>17918</v>
      </c>
      <c r="D1471" s="1">
        <v>26931</v>
      </c>
      <c r="E1471" s="2">
        <v>44532</v>
      </c>
      <c r="F1471" s="2">
        <v>44762</v>
      </c>
      <c r="G1471" s="3">
        <v>34846.68</v>
      </c>
      <c r="H1471" s="1">
        <v>0</v>
      </c>
      <c r="I1471" s="1" t="s">
        <v>400</v>
      </c>
      <c r="J1471" s="1" t="s">
        <v>27</v>
      </c>
    </row>
    <row r="1472" spans="1:10" hidden="1" x14ac:dyDescent="0.25">
      <c r="A1472" s="1" t="s">
        <v>447</v>
      </c>
      <c r="B1472" s="1" t="s">
        <v>448</v>
      </c>
      <c r="C1472" s="1">
        <v>17839</v>
      </c>
      <c r="D1472" s="1">
        <v>26843</v>
      </c>
      <c r="E1472" s="2">
        <v>44522</v>
      </c>
      <c r="F1472" s="2">
        <v>44762</v>
      </c>
      <c r="G1472" s="3">
        <v>37300</v>
      </c>
      <c r="H1472" s="1">
        <v>0</v>
      </c>
      <c r="I1472" s="1" t="s">
        <v>449</v>
      </c>
      <c r="J1472" s="1" t="s">
        <v>88</v>
      </c>
    </row>
    <row r="1473" spans="1:10" hidden="1" x14ac:dyDescent="0.25">
      <c r="A1473" s="1" t="s">
        <v>24</v>
      </c>
      <c r="B1473" s="1" t="s">
        <v>25</v>
      </c>
      <c r="C1473" s="1">
        <v>18502</v>
      </c>
      <c r="D1473" s="1">
        <v>27500</v>
      </c>
      <c r="E1473" s="2">
        <v>44582</v>
      </c>
      <c r="F1473" s="2">
        <v>44762</v>
      </c>
      <c r="G1473" s="3">
        <v>3170</v>
      </c>
      <c r="H1473" s="1">
        <v>0</v>
      </c>
      <c r="I1473" s="1" t="s">
        <v>482</v>
      </c>
      <c r="J1473" s="1" t="s">
        <v>27</v>
      </c>
    </row>
    <row r="1474" spans="1:10" hidden="1" x14ac:dyDescent="0.25">
      <c r="A1474" s="1" t="s">
        <v>321</v>
      </c>
      <c r="B1474" s="1" t="s">
        <v>322</v>
      </c>
      <c r="C1474" s="1">
        <v>18508</v>
      </c>
      <c r="D1474" s="1">
        <v>27506</v>
      </c>
      <c r="E1474" s="2">
        <v>44582</v>
      </c>
      <c r="F1474" s="2">
        <v>44762</v>
      </c>
      <c r="G1474" s="3">
        <v>8093.8</v>
      </c>
      <c r="H1474" s="1">
        <v>0</v>
      </c>
      <c r="I1474" s="1" t="s">
        <v>773</v>
      </c>
      <c r="J1474" s="1" t="s">
        <v>27</v>
      </c>
    </row>
    <row r="1475" spans="1:10" hidden="1" x14ac:dyDescent="0.25">
      <c r="A1475" s="1" t="s">
        <v>244</v>
      </c>
      <c r="B1475" s="1" t="s">
        <v>98</v>
      </c>
      <c r="C1475" s="1">
        <v>17448</v>
      </c>
      <c r="D1475" s="1">
        <v>26456</v>
      </c>
      <c r="E1475" s="2">
        <v>44494</v>
      </c>
      <c r="F1475" s="2">
        <v>44762</v>
      </c>
      <c r="G1475" s="3">
        <v>19720</v>
      </c>
      <c r="H1475" s="1">
        <v>0</v>
      </c>
      <c r="I1475" s="1" t="s">
        <v>856</v>
      </c>
      <c r="J1475" s="1" t="s">
        <v>27</v>
      </c>
    </row>
    <row r="1476" spans="1:10" hidden="1" x14ac:dyDescent="0.25">
      <c r="A1476" s="1" t="s">
        <v>436</v>
      </c>
      <c r="B1476" s="1" t="s">
        <v>437</v>
      </c>
      <c r="C1476" s="1">
        <v>17360</v>
      </c>
      <c r="D1476" s="1">
        <v>26363</v>
      </c>
      <c r="E1476" s="2">
        <v>44489</v>
      </c>
      <c r="F1476" s="2">
        <v>44762</v>
      </c>
      <c r="G1476" s="3">
        <v>9136</v>
      </c>
      <c r="H1476" s="1">
        <v>0</v>
      </c>
      <c r="I1476" s="1" t="s">
        <v>925</v>
      </c>
      <c r="J1476" s="1" t="s">
        <v>27</v>
      </c>
    </row>
    <row r="1477" spans="1:10" hidden="1" x14ac:dyDescent="0.25">
      <c r="A1477" s="1" t="s">
        <v>244</v>
      </c>
      <c r="B1477" s="1" t="s">
        <v>98</v>
      </c>
      <c r="C1477" s="1">
        <v>17447</v>
      </c>
      <c r="D1477" s="1">
        <v>26455</v>
      </c>
      <c r="E1477" s="2">
        <v>44494</v>
      </c>
      <c r="F1477" s="2">
        <v>44762</v>
      </c>
      <c r="G1477" s="3">
        <v>10034.4</v>
      </c>
      <c r="H1477" s="1">
        <v>0</v>
      </c>
      <c r="I1477" s="1" t="s">
        <v>930</v>
      </c>
      <c r="J1477" s="1" t="s">
        <v>27</v>
      </c>
    </row>
    <row r="1478" spans="1:10" hidden="1" x14ac:dyDescent="0.25">
      <c r="A1478" s="1" t="s">
        <v>436</v>
      </c>
      <c r="B1478" s="1" t="s">
        <v>437</v>
      </c>
      <c r="C1478" s="1">
        <v>16889</v>
      </c>
      <c r="D1478" s="1">
        <v>25874</v>
      </c>
      <c r="E1478" s="2">
        <v>44459</v>
      </c>
      <c r="F1478" s="2">
        <v>44762</v>
      </c>
      <c r="G1478" s="3">
        <v>20153</v>
      </c>
      <c r="H1478" s="1">
        <v>0</v>
      </c>
      <c r="I1478" s="1" t="s">
        <v>986</v>
      </c>
      <c r="J1478" s="1" t="s">
        <v>27</v>
      </c>
    </row>
    <row r="1479" spans="1:10" hidden="1" x14ac:dyDescent="0.25">
      <c r="A1479" s="1" t="s">
        <v>244</v>
      </c>
      <c r="B1479" s="1" t="s">
        <v>98</v>
      </c>
      <c r="C1479" s="1">
        <v>17214</v>
      </c>
      <c r="D1479" s="1">
        <v>26213</v>
      </c>
      <c r="E1479" s="2">
        <v>44480</v>
      </c>
      <c r="F1479" s="2">
        <v>44762</v>
      </c>
      <c r="G1479" s="3">
        <v>102000</v>
      </c>
      <c r="H1479" s="1">
        <v>0</v>
      </c>
      <c r="I1479" s="1" t="s">
        <v>1004</v>
      </c>
      <c r="J1479" s="1" t="s">
        <v>27</v>
      </c>
    </row>
    <row r="1480" spans="1:10" hidden="1" x14ac:dyDescent="0.25">
      <c r="A1480" s="1" t="s">
        <v>97</v>
      </c>
      <c r="B1480" s="1" t="s">
        <v>98</v>
      </c>
      <c r="C1480" s="1">
        <v>17478</v>
      </c>
      <c r="D1480" s="1">
        <v>26484</v>
      </c>
      <c r="E1480" s="2">
        <v>44495</v>
      </c>
      <c r="F1480" s="2">
        <v>44762</v>
      </c>
      <c r="G1480" s="3">
        <v>51408</v>
      </c>
      <c r="H1480" s="1">
        <v>0</v>
      </c>
      <c r="I1480" s="1" t="s">
        <v>1107</v>
      </c>
      <c r="J1480" s="1" t="s">
        <v>27</v>
      </c>
    </row>
    <row r="1481" spans="1:10" hidden="1" x14ac:dyDescent="0.25">
      <c r="A1481" s="1" t="s">
        <v>97</v>
      </c>
      <c r="B1481" s="1" t="s">
        <v>98</v>
      </c>
      <c r="C1481" s="1">
        <v>17479</v>
      </c>
      <c r="D1481" s="1">
        <v>26485</v>
      </c>
      <c r="E1481" s="2">
        <v>44495</v>
      </c>
      <c r="F1481" s="2">
        <v>44762</v>
      </c>
      <c r="G1481" s="3">
        <v>19785</v>
      </c>
      <c r="H1481" s="1">
        <v>0</v>
      </c>
      <c r="I1481" s="1" t="s">
        <v>1227</v>
      </c>
      <c r="J1481" s="1" t="s">
        <v>27</v>
      </c>
    </row>
    <row r="1482" spans="1:10" hidden="1" x14ac:dyDescent="0.25">
      <c r="A1482" s="1" t="s">
        <v>70</v>
      </c>
      <c r="B1482" s="1" t="s">
        <v>71</v>
      </c>
      <c r="C1482" s="1">
        <v>18505</v>
      </c>
      <c r="D1482" s="1">
        <v>27503</v>
      </c>
      <c r="E1482" s="2">
        <v>44582</v>
      </c>
      <c r="F1482" s="2">
        <v>44762</v>
      </c>
      <c r="G1482" s="3">
        <v>1600</v>
      </c>
      <c r="H1482" s="1">
        <v>0</v>
      </c>
      <c r="I1482" s="1" t="s">
        <v>119</v>
      </c>
      <c r="J1482" s="1" t="s">
        <v>73</v>
      </c>
    </row>
    <row r="1483" spans="1:10" hidden="1" x14ac:dyDescent="0.25">
      <c r="A1483" s="1" t="s">
        <v>10</v>
      </c>
      <c r="B1483" s="1" t="s">
        <v>11</v>
      </c>
      <c r="C1483" s="1">
        <v>18496</v>
      </c>
      <c r="D1483" s="1">
        <v>27494</v>
      </c>
      <c r="E1483" s="2">
        <v>44582</v>
      </c>
      <c r="F1483" s="2">
        <v>44762</v>
      </c>
      <c r="G1483" s="3">
        <v>105780</v>
      </c>
      <c r="H1483" s="1">
        <v>0</v>
      </c>
      <c r="I1483" s="1" t="s">
        <v>1351</v>
      </c>
      <c r="J1483" s="1" t="s">
        <v>13</v>
      </c>
    </row>
    <row r="1484" spans="1:10" hidden="1" x14ac:dyDescent="0.25">
      <c r="A1484" s="1" t="s">
        <v>221</v>
      </c>
      <c r="B1484" s="1" t="s">
        <v>222</v>
      </c>
      <c r="C1484" s="1">
        <v>17483</v>
      </c>
      <c r="D1484" s="1">
        <v>26489</v>
      </c>
      <c r="E1484" s="2">
        <v>44495</v>
      </c>
      <c r="F1484" s="2">
        <v>44762</v>
      </c>
      <c r="G1484" s="3">
        <v>20356.04</v>
      </c>
      <c r="H1484" s="1">
        <v>0</v>
      </c>
      <c r="I1484" s="1" t="s">
        <v>1508</v>
      </c>
      <c r="J1484" s="1" t="s">
        <v>27</v>
      </c>
    </row>
    <row r="1485" spans="1:10" hidden="1" x14ac:dyDescent="0.25">
      <c r="A1485" s="1" t="s">
        <v>244</v>
      </c>
      <c r="B1485" s="1" t="s">
        <v>98</v>
      </c>
      <c r="C1485" s="1">
        <v>17216</v>
      </c>
      <c r="D1485" s="1">
        <v>26215</v>
      </c>
      <c r="E1485" s="2">
        <v>44480</v>
      </c>
      <c r="F1485" s="2">
        <v>44762</v>
      </c>
      <c r="G1485" s="3">
        <v>75704.69</v>
      </c>
      <c r="H1485" s="1">
        <v>0</v>
      </c>
      <c r="I1485" s="1" t="s">
        <v>1553</v>
      </c>
      <c r="J1485" s="1" t="s">
        <v>27</v>
      </c>
    </row>
    <row r="1486" spans="1:10" hidden="1" x14ac:dyDescent="0.25">
      <c r="A1486" s="1" t="s">
        <v>221</v>
      </c>
      <c r="B1486" s="1" t="s">
        <v>222</v>
      </c>
      <c r="C1486" s="1">
        <v>17482</v>
      </c>
      <c r="D1486" s="1">
        <v>26488</v>
      </c>
      <c r="E1486" s="2">
        <v>44495</v>
      </c>
      <c r="F1486" s="2">
        <v>44762</v>
      </c>
      <c r="G1486" s="3">
        <v>102000</v>
      </c>
      <c r="H1486" s="1">
        <v>0</v>
      </c>
      <c r="I1486" s="1" t="s">
        <v>1567</v>
      </c>
      <c r="J1486" s="1" t="s">
        <v>27</v>
      </c>
    </row>
    <row r="1487" spans="1:10" hidden="1" x14ac:dyDescent="0.25">
      <c r="A1487" s="1" t="s">
        <v>1609</v>
      </c>
      <c r="B1487" s="1" t="s">
        <v>1610</v>
      </c>
      <c r="C1487" s="1">
        <v>18509</v>
      </c>
      <c r="D1487" s="1">
        <v>27507</v>
      </c>
      <c r="E1487" s="2">
        <v>44582</v>
      </c>
      <c r="F1487" s="2">
        <v>44762</v>
      </c>
      <c r="G1487" s="3">
        <v>33443.480000000003</v>
      </c>
      <c r="H1487" s="1">
        <v>0</v>
      </c>
      <c r="I1487" s="1" t="s">
        <v>1611</v>
      </c>
      <c r="J1487" s="1" t="s">
        <v>27</v>
      </c>
    </row>
    <row r="1488" spans="1:10" hidden="1" x14ac:dyDescent="0.25">
      <c r="A1488" s="1" t="s">
        <v>321</v>
      </c>
      <c r="B1488" s="1" t="s">
        <v>322</v>
      </c>
      <c r="C1488" s="1">
        <v>18506</v>
      </c>
      <c r="D1488" s="1">
        <v>27504</v>
      </c>
      <c r="E1488" s="2">
        <v>44582</v>
      </c>
      <c r="F1488" s="2">
        <v>44762</v>
      </c>
      <c r="G1488" s="3">
        <v>2853.36</v>
      </c>
      <c r="H1488" s="1">
        <v>0</v>
      </c>
      <c r="I1488" s="1" t="s">
        <v>1667</v>
      </c>
      <c r="J1488" s="1" t="s">
        <v>27</v>
      </c>
    </row>
    <row r="1489" spans="1:10" hidden="1" x14ac:dyDescent="0.25">
      <c r="A1489" s="1" t="s">
        <v>221</v>
      </c>
      <c r="B1489" s="1" t="s">
        <v>222</v>
      </c>
      <c r="C1489" s="1">
        <v>18129</v>
      </c>
      <c r="D1489" s="1">
        <v>27143</v>
      </c>
      <c r="E1489" s="2">
        <v>44547</v>
      </c>
      <c r="F1489" s="2">
        <v>44762</v>
      </c>
      <c r="G1489" s="3">
        <v>8604</v>
      </c>
      <c r="H1489" s="1">
        <v>0</v>
      </c>
      <c r="I1489" s="1" t="s">
        <v>683</v>
      </c>
      <c r="J1489" s="1" t="s">
        <v>27</v>
      </c>
    </row>
    <row r="1490" spans="1:10" hidden="1" x14ac:dyDescent="0.25">
      <c r="A1490" s="1" t="s">
        <v>97</v>
      </c>
      <c r="B1490" s="1" t="s">
        <v>98</v>
      </c>
      <c r="C1490" s="1">
        <v>17480</v>
      </c>
      <c r="D1490" s="1">
        <v>26486</v>
      </c>
      <c r="E1490" s="2">
        <v>44495</v>
      </c>
      <c r="F1490" s="2">
        <v>44762</v>
      </c>
      <c r="G1490" s="3">
        <v>39440</v>
      </c>
      <c r="H1490" s="1">
        <v>0</v>
      </c>
      <c r="I1490" s="1" t="s">
        <v>1701</v>
      </c>
      <c r="J1490" s="1" t="s">
        <v>27</v>
      </c>
    </row>
    <row r="1491" spans="1:10" hidden="1" x14ac:dyDescent="0.25">
      <c r="A1491" s="1" t="s">
        <v>24</v>
      </c>
      <c r="B1491" s="1" t="s">
        <v>25</v>
      </c>
      <c r="C1491" s="1">
        <v>18763</v>
      </c>
      <c r="D1491" s="1">
        <v>27783</v>
      </c>
      <c r="E1491" s="2">
        <v>44613</v>
      </c>
      <c r="F1491" s="2">
        <v>44763</v>
      </c>
      <c r="G1491" s="3">
        <v>40000</v>
      </c>
      <c r="H1491" s="1">
        <v>0</v>
      </c>
      <c r="I1491" s="1" t="s">
        <v>894</v>
      </c>
      <c r="J1491" s="1" t="s">
        <v>27</v>
      </c>
    </row>
    <row r="1492" spans="1:10" hidden="1" x14ac:dyDescent="0.25">
      <c r="A1492" s="1" t="s">
        <v>24</v>
      </c>
      <c r="B1492" s="1" t="s">
        <v>25</v>
      </c>
      <c r="C1492" s="1">
        <v>18764</v>
      </c>
      <c r="D1492" s="1">
        <v>27784</v>
      </c>
      <c r="E1492" s="2">
        <v>44613</v>
      </c>
      <c r="F1492" s="2">
        <v>44763</v>
      </c>
      <c r="G1492" s="3">
        <v>23466.639999999999</v>
      </c>
      <c r="H1492" s="1">
        <v>0</v>
      </c>
      <c r="I1492" s="1" t="s">
        <v>929</v>
      </c>
      <c r="J1492" s="1" t="s">
        <v>27</v>
      </c>
    </row>
    <row r="1493" spans="1:10" hidden="1" x14ac:dyDescent="0.25">
      <c r="A1493" s="1" t="s">
        <v>78</v>
      </c>
      <c r="B1493" s="1" t="s">
        <v>79</v>
      </c>
      <c r="C1493" s="1">
        <v>17876</v>
      </c>
      <c r="D1493" s="1">
        <v>26879</v>
      </c>
      <c r="E1493" s="2">
        <v>44523</v>
      </c>
      <c r="F1493" s="2">
        <v>44763</v>
      </c>
      <c r="G1493" s="3">
        <v>5580</v>
      </c>
      <c r="H1493" s="1">
        <v>0</v>
      </c>
      <c r="I1493" s="1" t="s">
        <v>80</v>
      </c>
      <c r="J1493" s="1" t="s">
        <v>68</v>
      </c>
    </row>
    <row r="1494" spans="1:10" hidden="1" x14ac:dyDescent="0.25">
      <c r="A1494" s="1" t="s">
        <v>24</v>
      </c>
      <c r="B1494" s="1" t="s">
        <v>25</v>
      </c>
      <c r="C1494" s="1">
        <v>18762</v>
      </c>
      <c r="D1494" s="1">
        <v>27782</v>
      </c>
      <c r="E1494" s="2">
        <v>44613</v>
      </c>
      <c r="F1494" s="2">
        <v>44763</v>
      </c>
      <c r="G1494" s="3">
        <v>11237.5</v>
      </c>
      <c r="H1494" s="1">
        <v>0</v>
      </c>
      <c r="I1494" s="1" t="s">
        <v>1180</v>
      </c>
      <c r="J1494" s="1" t="s">
        <v>27</v>
      </c>
    </row>
    <row r="1495" spans="1:10" hidden="1" x14ac:dyDescent="0.25">
      <c r="A1495" s="1" t="s">
        <v>24</v>
      </c>
      <c r="B1495" s="1" t="s">
        <v>25</v>
      </c>
      <c r="C1495" s="1">
        <v>18761</v>
      </c>
      <c r="D1495" s="1">
        <v>27781</v>
      </c>
      <c r="E1495" s="2">
        <v>44613</v>
      </c>
      <c r="F1495" s="2">
        <v>44763</v>
      </c>
      <c r="G1495" s="3">
        <v>4320</v>
      </c>
      <c r="H1495" s="1">
        <v>0</v>
      </c>
      <c r="I1495" s="1" t="s">
        <v>1588</v>
      </c>
      <c r="J1495" s="1" t="s">
        <v>27</v>
      </c>
    </row>
    <row r="1496" spans="1:10" hidden="1" x14ac:dyDescent="0.25">
      <c r="A1496" s="1" t="s">
        <v>70</v>
      </c>
      <c r="B1496" s="1" t="s">
        <v>71</v>
      </c>
      <c r="C1496" s="1">
        <v>18653</v>
      </c>
      <c r="D1496" s="1">
        <v>27665</v>
      </c>
      <c r="E1496" s="2">
        <v>44599</v>
      </c>
      <c r="F1496" s="2">
        <v>44764</v>
      </c>
      <c r="G1496" s="3">
        <v>8959.99</v>
      </c>
      <c r="H1496" s="1">
        <v>0</v>
      </c>
      <c r="I1496" s="1" t="s">
        <v>260</v>
      </c>
      <c r="J1496" s="1" t="s">
        <v>73</v>
      </c>
    </row>
    <row r="1497" spans="1:10" hidden="1" x14ac:dyDescent="0.25">
      <c r="A1497" s="1" t="s">
        <v>70</v>
      </c>
      <c r="B1497" s="1" t="s">
        <v>71</v>
      </c>
      <c r="C1497" s="1">
        <v>18652</v>
      </c>
      <c r="D1497" s="1">
        <v>27664</v>
      </c>
      <c r="E1497" s="2">
        <v>44599</v>
      </c>
      <c r="F1497" s="2">
        <v>44764</v>
      </c>
      <c r="G1497" s="3">
        <v>2066.66</v>
      </c>
      <c r="H1497" s="1">
        <v>0</v>
      </c>
      <c r="I1497" s="1" t="s">
        <v>643</v>
      </c>
      <c r="J1497" s="1" t="s">
        <v>73</v>
      </c>
    </row>
    <row r="1498" spans="1:10" x14ac:dyDescent="0.25">
      <c r="A1498" s="1" t="s">
        <v>554</v>
      </c>
      <c r="B1498" s="1" t="s">
        <v>555</v>
      </c>
      <c r="C1498" s="1">
        <v>18785</v>
      </c>
      <c r="D1498" s="1">
        <v>27805</v>
      </c>
      <c r="E1498" s="2">
        <v>44614</v>
      </c>
      <c r="F1498" s="2">
        <v>44764</v>
      </c>
      <c r="G1498" s="3">
        <v>61215</v>
      </c>
      <c r="H1498" s="1">
        <v>0</v>
      </c>
      <c r="I1498" s="1" t="s">
        <v>700</v>
      </c>
      <c r="J1498" s="1" t="s">
        <v>27</v>
      </c>
    </row>
    <row r="1499" spans="1:10" hidden="1" x14ac:dyDescent="0.25">
      <c r="A1499" s="1" t="s">
        <v>70</v>
      </c>
      <c r="B1499" s="1" t="s">
        <v>71</v>
      </c>
      <c r="C1499" s="1">
        <v>18654</v>
      </c>
      <c r="D1499" s="1">
        <v>27666</v>
      </c>
      <c r="E1499" s="2">
        <v>44599</v>
      </c>
      <c r="F1499" s="2">
        <v>44764</v>
      </c>
      <c r="G1499" s="3">
        <v>21746.92</v>
      </c>
      <c r="H1499" s="1">
        <v>0</v>
      </c>
      <c r="I1499" s="1" t="s">
        <v>261</v>
      </c>
      <c r="J1499" s="1" t="s">
        <v>73</v>
      </c>
    </row>
    <row r="1500" spans="1:10" hidden="1" x14ac:dyDescent="0.25">
      <c r="A1500" s="1" t="s">
        <v>24</v>
      </c>
      <c r="B1500" s="1" t="s">
        <v>25</v>
      </c>
      <c r="C1500" s="1">
        <v>18792</v>
      </c>
      <c r="D1500" s="1">
        <v>27813</v>
      </c>
      <c r="E1500" s="2">
        <v>44614</v>
      </c>
      <c r="F1500" s="2">
        <v>44764</v>
      </c>
      <c r="G1500" s="3">
        <v>54000</v>
      </c>
      <c r="H1500" s="1">
        <v>0</v>
      </c>
      <c r="I1500" s="1" t="s">
        <v>1241</v>
      </c>
      <c r="J1500" s="1" t="s">
        <v>27</v>
      </c>
    </row>
    <row r="1501" spans="1:10" hidden="1" x14ac:dyDescent="0.25">
      <c r="A1501" s="1" t="s">
        <v>244</v>
      </c>
      <c r="B1501" s="1" t="s">
        <v>98</v>
      </c>
      <c r="C1501" s="1">
        <v>18787</v>
      </c>
      <c r="D1501" s="1">
        <v>27807</v>
      </c>
      <c r="E1501" s="2">
        <v>44614</v>
      </c>
      <c r="F1501" s="2">
        <v>44764</v>
      </c>
      <c r="G1501" s="3">
        <v>27000</v>
      </c>
      <c r="H1501" s="1">
        <v>0</v>
      </c>
      <c r="I1501" s="1" t="s">
        <v>1400</v>
      </c>
      <c r="J1501" s="1" t="s">
        <v>27</v>
      </c>
    </row>
    <row r="1502" spans="1:10" hidden="1" x14ac:dyDescent="0.25">
      <c r="A1502" s="1" t="s">
        <v>10</v>
      </c>
      <c r="B1502" s="1" t="s">
        <v>11</v>
      </c>
      <c r="C1502" s="1">
        <v>18514</v>
      </c>
      <c r="D1502" s="1">
        <v>27513</v>
      </c>
      <c r="E1502" s="2">
        <v>44585</v>
      </c>
      <c r="F1502" s="2">
        <v>44765</v>
      </c>
      <c r="G1502" s="3">
        <v>29232.5</v>
      </c>
      <c r="H1502" s="1">
        <v>0</v>
      </c>
      <c r="I1502" s="1" t="s">
        <v>831</v>
      </c>
      <c r="J1502" s="1" t="s">
        <v>13</v>
      </c>
    </row>
    <row r="1503" spans="1:10" hidden="1" x14ac:dyDescent="0.25">
      <c r="A1503" s="1" t="s">
        <v>24</v>
      </c>
      <c r="B1503" s="1" t="s">
        <v>25</v>
      </c>
      <c r="C1503" s="1">
        <v>18512</v>
      </c>
      <c r="D1503" s="1">
        <v>27510</v>
      </c>
      <c r="E1503" s="2">
        <v>44585</v>
      </c>
      <c r="F1503" s="2">
        <v>44765</v>
      </c>
      <c r="G1503" s="3">
        <v>23560.560000000001</v>
      </c>
      <c r="H1503" s="1">
        <v>0</v>
      </c>
      <c r="I1503" s="1" t="s">
        <v>887</v>
      </c>
      <c r="J1503" s="1" t="s">
        <v>27</v>
      </c>
    </row>
    <row r="1504" spans="1:10" hidden="1" x14ac:dyDescent="0.25">
      <c r="A1504" s="1" t="s">
        <v>198</v>
      </c>
      <c r="B1504" s="1" t="s">
        <v>199</v>
      </c>
      <c r="C1504" s="1">
        <v>18801</v>
      </c>
      <c r="D1504" s="1">
        <v>27823</v>
      </c>
      <c r="E1504" s="2">
        <v>44615</v>
      </c>
      <c r="F1504" s="2">
        <v>44765</v>
      </c>
      <c r="G1504" s="3">
        <v>26568.3</v>
      </c>
      <c r="H1504" s="1">
        <v>0</v>
      </c>
      <c r="I1504" s="1" t="s">
        <v>1023</v>
      </c>
      <c r="J1504" s="1" t="s">
        <v>13</v>
      </c>
    </row>
    <row r="1505" spans="1:10" hidden="1" x14ac:dyDescent="0.25">
      <c r="A1505" s="1" t="s">
        <v>20</v>
      </c>
      <c r="B1505" s="1" t="s">
        <v>21</v>
      </c>
      <c r="C1505" s="1">
        <v>18812</v>
      </c>
      <c r="D1505" s="1">
        <v>27835</v>
      </c>
      <c r="E1505" s="2">
        <v>44615</v>
      </c>
      <c r="F1505" s="2">
        <v>44765</v>
      </c>
      <c r="G1505" s="3">
        <v>2773.33</v>
      </c>
      <c r="H1505" s="1">
        <v>0</v>
      </c>
      <c r="I1505" s="1" t="s">
        <v>1027</v>
      </c>
      <c r="J1505" s="1" t="s">
        <v>23</v>
      </c>
    </row>
    <row r="1506" spans="1:10" hidden="1" x14ac:dyDescent="0.25">
      <c r="A1506" s="1" t="s">
        <v>198</v>
      </c>
      <c r="B1506" s="1" t="s">
        <v>199</v>
      </c>
      <c r="C1506" s="1">
        <v>18803</v>
      </c>
      <c r="D1506" s="1">
        <v>27825</v>
      </c>
      <c r="E1506" s="2">
        <v>44615</v>
      </c>
      <c r="F1506" s="2">
        <v>44765</v>
      </c>
      <c r="G1506" s="3">
        <v>85090.5</v>
      </c>
      <c r="H1506" s="1">
        <v>0</v>
      </c>
      <c r="I1506" s="1" t="s">
        <v>1146</v>
      </c>
      <c r="J1506" s="1" t="s">
        <v>13</v>
      </c>
    </row>
    <row r="1507" spans="1:10" hidden="1" x14ac:dyDescent="0.25">
      <c r="A1507" s="1" t="s">
        <v>10</v>
      </c>
      <c r="B1507" s="1" t="s">
        <v>11</v>
      </c>
      <c r="C1507" s="1">
        <v>18817</v>
      </c>
      <c r="D1507" s="1">
        <v>27840</v>
      </c>
      <c r="E1507" s="2">
        <v>44615</v>
      </c>
      <c r="F1507" s="2">
        <v>44765</v>
      </c>
      <c r="G1507" s="3">
        <v>12475</v>
      </c>
      <c r="H1507" s="1">
        <v>0</v>
      </c>
      <c r="I1507" s="1" t="s">
        <v>1176</v>
      </c>
      <c r="J1507" s="1" t="s">
        <v>13</v>
      </c>
    </row>
    <row r="1508" spans="1:10" hidden="1" x14ac:dyDescent="0.25">
      <c r="A1508" s="1" t="s">
        <v>231</v>
      </c>
      <c r="B1508" s="1" t="s">
        <v>232</v>
      </c>
      <c r="C1508" s="1">
        <v>18821</v>
      </c>
      <c r="D1508" s="1">
        <v>27844</v>
      </c>
      <c r="E1508" s="2">
        <v>44615</v>
      </c>
      <c r="F1508" s="2">
        <v>44765</v>
      </c>
      <c r="G1508" s="3">
        <v>6939.73</v>
      </c>
      <c r="H1508" s="1">
        <v>0</v>
      </c>
      <c r="I1508" s="1" t="s">
        <v>1350</v>
      </c>
      <c r="J1508" s="1" t="s">
        <v>13</v>
      </c>
    </row>
    <row r="1509" spans="1:10" hidden="1" x14ac:dyDescent="0.25">
      <c r="A1509" s="1" t="s">
        <v>10</v>
      </c>
      <c r="B1509" s="1" t="s">
        <v>11</v>
      </c>
      <c r="C1509" s="1">
        <v>18816</v>
      </c>
      <c r="D1509" s="1">
        <v>27839</v>
      </c>
      <c r="E1509" s="2">
        <v>44615</v>
      </c>
      <c r="F1509" s="2">
        <v>44765</v>
      </c>
      <c r="G1509" s="3">
        <v>74850</v>
      </c>
      <c r="H1509" s="1">
        <v>0</v>
      </c>
      <c r="I1509" s="1" t="s">
        <v>1465</v>
      </c>
      <c r="J1509" s="1" t="s">
        <v>13</v>
      </c>
    </row>
    <row r="1510" spans="1:10" hidden="1" x14ac:dyDescent="0.25">
      <c r="A1510" s="1" t="s">
        <v>198</v>
      </c>
      <c r="B1510" s="1" t="s">
        <v>199</v>
      </c>
      <c r="C1510" s="1">
        <v>18802</v>
      </c>
      <c r="D1510" s="1">
        <v>27824</v>
      </c>
      <c r="E1510" s="2">
        <v>44615</v>
      </c>
      <c r="F1510" s="2">
        <v>44765</v>
      </c>
      <c r="G1510" s="1">
        <v>487.5</v>
      </c>
      <c r="H1510" s="1">
        <v>0</v>
      </c>
      <c r="I1510" s="1" t="s">
        <v>1545</v>
      </c>
      <c r="J1510" s="1" t="s">
        <v>13</v>
      </c>
    </row>
    <row r="1511" spans="1:10" hidden="1" x14ac:dyDescent="0.25">
      <c r="A1511" s="1" t="s">
        <v>528</v>
      </c>
      <c r="B1511" s="1" t="s">
        <v>529</v>
      </c>
      <c r="C1511" s="1">
        <v>18804</v>
      </c>
      <c r="D1511" s="1">
        <v>27828</v>
      </c>
      <c r="E1511" s="2">
        <v>44615</v>
      </c>
      <c r="F1511" s="2">
        <v>44765</v>
      </c>
      <c r="G1511" s="3">
        <v>141000</v>
      </c>
      <c r="H1511" s="1">
        <v>0</v>
      </c>
      <c r="I1511" s="1" t="s">
        <v>1579</v>
      </c>
      <c r="J1511" s="1" t="s">
        <v>58</v>
      </c>
    </row>
    <row r="1512" spans="1:10" hidden="1" x14ac:dyDescent="0.25">
      <c r="A1512" s="1" t="s">
        <v>231</v>
      </c>
      <c r="B1512" s="1" t="s">
        <v>232</v>
      </c>
      <c r="C1512" s="1">
        <v>18822</v>
      </c>
      <c r="D1512" s="1">
        <v>27845</v>
      </c>
      <c r="E1512" s="2">
        <v>44615</v>
      </c>
      <c r="F1512" s="2">
        <v>44765</v>
      </c>
      <c r="G1512" s="3">
        <v>97769.3</v>
      </c>
      <c r="H1512" s="1">
        <v>0</v>
      </c>
      <c r="I1512" s="1" t="s">
        <v>1580</v>
      </c>
      <c r="J1512" s="1" t="s">
        <v>13</v>
      </c>
    </row>
    <row r="1513" spans="1:10" hidden="1" x14ac:dyDescent="0.25">
      <c r="A1513" s="1" t="s">
        <v>24</v>
      </c>
      <c r="B1513" s="1" t="s">
        <v>25</v>
      </c>
      <c r="C1513" s="1">
        <v>18815</v>
      </c>
      <c r="D1513" s="1">
        <v>27838</v>
      </c>
      <c r="E1513" s="2">
        <v>44615</v>
      </c>
      <c r="F1513" s="2">
        <v>44765</v>
      </c>
      <c r="G1513" s="3">
        <v>54000</v>
      </c>
      <c r="H1513" s="1">
        <v>0</v>
      </c>
      <c r="I1513" s="1" t="s">
        <v>1696</v>
      </c>
      <c r="J1513" s="1" t="s">
        <v>27</v>
      </c>
    </row>
    <row r="1514" spans="1:10" hidden="1" x14ac:dyDescent="0.25">
      <c r="A1514" s="1" t="s">
        <v>70</v>
      </c>
      <c r="B1514" s="1" t="s">
        <v>71</v>
      </c>
      <c r="C1514" s="1">
        <v>18526</v>
      </c>
      <c r="D1514" s="1">
        <v>27527</v>
      </c>
      <c r="E1514" s="2">
        <v>44586</v>
      </c>
      <c r="F1514" s="2">
        <v>44766</v>
      </c>
      <c r="G1514" s="3">
        <v>3360</v>
      </c>
      <c r="H1514" s="1">
        <v>0</v>
      </c>
      <c r="I1514" s="1" t="s">
        <v>349</v>
      </c>
      <c r="J1514" s="1" t="s">
        <v>73</v>
      </c>
    </row>
    <row r="1515" spans="1:10" hidden="1" x14ac:dyDescent="0.25">
      <c r="A1515" s="1" t="s">
        <v>20</v>
      </c>
      <c r="B1515" s="1" t="s">
        <v>21</v>
      </c>
      <c r="C1515" s="1">
        <v>18824</v>
      </c>
      <c r="D1515" s="1">
        <v>27846</v>
      </c>
      <c r="E1515" s="2">
        <v>44616</v>
      </c>
      <c r="F1515" s="2">
        <v>44766</v>
      </c>
      <c r="G1515" s="1">
        <v>559.59</v>
      </c>
      <c r="H1515" s="1">
        <v>0</v>
      </c>
      <c r="I1515" s="1" t="s">
        <v>1419</v>
      </c>
      <c r="J1515" s="1" t="s">
        <v>23</v>
      </c>
    </row>
    <row r="1516" spans="1:10" hidden="1" x14ac:dyDescent="0.25">
      <c r="A1516" s="1" t="s">
        <v>24</v>
      </c>
      <c r="B1516" s="1" t="s">
        <v>25</v>
      </c>
      <c r="C1516" s="1">
        <v>18842</v>
      </c>
      <c r="D1516" s="1">
        <v>27862</v>
      </c>
      <c r="E1516" s="2">
        <v>44616</v>
      </c>
      <c r="F1516" s="2">
        <v>44766</v>
      </c>
      <c r="G1516" s="3">
        <v>54000</v>
      </c>
      <c r="H1516" s="1">
        <v>0</v>
      </c>
      <c r="I1516" s="1" t="s">
        <v>1673</v>
      </c>
      <c r="J1516" s="1" t="s">
        <v>27</v>
      </c>
    </row>
    <row r="1517" spans="1:10" hidden="1" x14ac:dyDescent="0.25">
      <c r="A1517" s="1" t="s">
        <v>10</v>
      </c>
      <c r="B1517" s="1" t="s">
        <v>11</v>
      </c>
      <c r="C1517" s="1">
        <v>18547</v>
      </c>
      <c r="D1517" s="1">
        <v>27545</v>
      </c>
      <c r="E1517" s="2">
        <v>44587</v>
      </c>
      <c r="F1517" s="2">
        <v>44767</v>
      </c>
      <c r="G1517" s="3">
        <v>6900</v>
      </c>
      <c r="H1517" s="1">
        <v>0</v>
      </c>
      <c r="I1517" s="1" t="s">
        <v>194</v>
      </c>
      <c r="J1517" s="1" t="s">
        <v>13</v>
      </c>
    </row>
    <row r="1518" spans="1:10" hidden="1" x14ac:dyDescent="0.25">
      <c r="A1518" s="1" t="s">
        <v>244</v>
      </c>
      <c r="B1518" s="1" t="s">
        <v>98</v>
      </c>
      <c r="C1518" s="1">
        <v>18538</v>
      </c>
      <c r="D1518" s="1">
        <v>27536</v>
      </c>
      <c r="E1518" s="2">
        <v>44587</v>
      </c>
      <c r="F1518" s="2">
        <v>44767</v>
      </c>
      <c r="G1518" s="3">
        <v>30383.3</v>
      </c>
      <c r="H1518" s="1">
        <v>0</v>
      </c>
      <c r="I1518" s="1" t="s">
        <v>483</v>
      </c>
      <c r="J1518" s="1" t="s">
        <v>27</v>
      </c>
    </row>
    <row r="1519" spans="1:10" hidden="1" x14ac:dyDescent="0.25">
      <c r="A1519" s="1" t="s">
        <v>97</v>
      </c>
      <c r="B1519" s="1" t="s">
        <v>98</v>
      </c>
      <c r="C1519" s="1">
        <v>18537</v>
      </c>
      <c r="D1519" s="1">
        <v>27535</v>
      </c>
      <c r="E1519" s="2">
        <v>44587</v>
      </c>
      <c r="F1519" s="2">
        <v>44767</v>
      </c>
      <c r="G1519" s="3">
        <v>56161.599999999999</v>
      </c>
      <c r="H1519" s="1">
        <v>0</v>
      </c>
      <c r="I1519" s="1" t="s">
        <v>577</v>
      </c>
      <c r="J1519" s="1" t="s">
        <v>27</v>
      </c>
    </row>
    <row r="1520" spans="1:10" hidden="1" x14ac:dyDescent="0.25">
      <c r="A1520" s="1" t="s">
        <v>221</v>
      </c>
      <c r="B1520" s="1" t="s">
        <v>222</v>
      </c>
      <c r="C1520" s="1">
        <v>18540</v>
      </c>
      <c r="D1520" s="1">
        <v>27538</v>
      </c>
      <c r="E1520" s="2">
        <v>44587</v>
      </c>
      <c r="F1520" s="2">
        <v>44767</v>
      </c>
      <c r="G1520" s="3">
        <v>96968.8</v>
      </c>
      <c r="H1520" s="1">
        <v>0</v>
      </c>
      <c r="I1520" s="1" t="s">
        <v>683</v>
      </c>
      <c r="J1520" s="1" t="s">
        <v>27</v>
      </c>
    </row>
    <row r="1521" spans="1:10" hidden="1" x14ac:dyDescent="0.25">
      <c r="A1521" s="1" t="s">
        <v>97</v>
      </c>
      <c r="B1521" s="1" t="s">
        <v>98</v>
      </c>
      <c r="C1521" s="1">
        <v>18542</v>
      </c>
      <c r="D1521" s="1">
        <v>27540</v>
      </c>
      <c r="E1521" s="2">
        <v>44587</v>
      </c>
      <c r="F1521" s="2">
        <v>44767</v>
      </c>
      <c r="G1521" s="3">
        <v>12838</v>
      </c>
      <c r="H1521" s="1">
        <v>0</v>
      </c>
      <c r="I1521" s="1" t="s">
        <v>817</v>
      </c>
      <c r="J1521" s="1" t="s">
        <v>27</v>
      </c>
    </row>
    <row r="1522" spans="1:10" hidden="1" x14ac:dyDescent="0.25">
      <c r="A1522" s="1" t="s">
        <v>10</v>
      </c>
      <c r="B1522" s="1" t="s">
        <v>11</v>
      </c>
      <c r="C1522" s="1">
        <v>18546</v>
      </c>
      <c r="D1522" s="1">
        <v>27544</v>
      </c>
      <c r="E1522" s="2">
        <v>44587</v>
      </c>
      <c r="F1522" s="2">
        <v>44767</v>
      </c>
      <c r="G1522" s="3">
        <v>99300</v>
      </c>
      <c r="H1522" s="1">
        <v>0</v>
      </c>
      <c r="I1522" s="1" t="s">
        <v>888</v>
      </c>
      <c r="J1522" s="1" t="s">
        <v>13</v>
      </c>
    </row>
    <row r="1523" spans="1:10" hidden="1" x14ac:dyDescent="0.25">
      <c r="A1523" s="1" t="s">
        <v>244</v>
      </c>
      <c r="B1523" s="1" t="s">
        <v>98</v>
      </c>
      <c r="C1523" s="1">
        <v>18543</v>
      </c>
      <c r="D1523" s="1">
        <v>27541</v>
      </c>
      <c r="E1523" s="2">
        <v>44587</v>
      </c>
      <c r="F1523" s="2">
        <v>44767</v>
      </c>
      <c r="G1523" s="3">
        <v>7702.8</v>
      </c>
      <c r="H1523" s="1">
        <v>0</v>
      </c>
      <c r="I1523" s="1" t="s">
        <v>483</v>
      </c>
      <c r="J1523" s="1" t="s">
        <v>27</v>
      </c>
    </row>
    <row r="1524" spans="1:10" hidden="1" x14ac:dyDescent="0.25">
      <c r="A1524" s="1" t="s">
        <v>185</v>
      </c>
      <c r="B1524" s="1" t="s">
        <v>186</v>
      </c>
      <c r="C1524" s="1">
        <v>18853</v>
      </c>
      <c r="D1524" s="1">
        <v>27873</v>
      </c>
      <c r="E1524" s="2">
        <v>44617</v>
      </c>
      <c r="F1524" s="2">
        <v>44767</v>
      </c>
      <c r="G1524" s="3">
        <v>156000</v>
      </c>
      <c r="H1524" s="1">
        <v>0</v>
      </c>
      <c r="I1524" s="1" t="s">
        <v>1660</v>
      </c>
      <c r="J1524" s="1" t="s">
        <v>13</v>
      </c>
    </row>
    <row r="1525" spans="1:10" hidden="1" x14ac:dyDescent="0.25">
      <c r="A1525" s="1" t="s">
        <v>24</v>
      </c>
      <c r="B1525" s="1" t="s">
        <v>25</v>
      </c>
      <c r="C1525" s="1">
        <v>18849</v>
      </c>
      <c r="D1525" s="1">
        <v>27870</v>
      </c>
      <c r="E1525" s="2">
        <v>44617</v>
      </c>
      <c r="F1525" s="2">
        <v>44767</v>
      </c>
      <c r="G1525" s="3">
        <v>54000</v>
      </c>
      <c r="H1525" s="1">
        <v>0</v>
      </c>
      <c r="I1525" s="1" t="s">
        <v>1697</v>
      </c>
      <c r="J1525" s="1" t="s">
        <v>27</v>
      </c>
    </row>
    <row r="1526" spans="1:10" hidden="1" x14ac:dyDescent="0.25">
      <c r="A1526" s="1" t="s">
        <v>24</v>
      </c>
      <c r="B1526" s="1" t="s">
        <v>25</v>
      </c>
      <c r="C1526" s="1">
        <v>18563</v>
      </c>
      <c r="D1526" s="1">
        <v>27570</v>
      </c>
      <c r="E1526" s="2">
        <v>44589</v>
      </c>
      <c r="F1526" s="2">
        <v>44769</v>
      </c>
      <c r="G1526" s="3">
        <v>39840</v>
      </c>
      <c r="H1526" s="1">
        <v>0</v>
      </c>
      <c r="I1526" s="1" t="s">
        <v>303</v>
      </c>
      <c r="J1526" s="1" t="s">
        <v>27</v>
      </c>
    </row>
    <row r="1527" spans="1:10" hidden="1" x14ac:dyDescent="0.25">
      <c r="A1527" s="1" t="s">
        <v>221</v>
      </c>
      <c r="B1527" s="1" t="s">
        <v>222</v>
      </c>
      <c r="C1527" s="1">
        <v>18567</v>
      </c>
      <c r="D1527" s="1">
        <v>27574</v>
      </c>
      <c r="E1527" s="2">
        <v>44589</v>
      </c>
      <c r="F1527" s="2">
        <v>44769</v>
      </c>
      <c r="G1527" s="3">
        <v>48000</v>
      </c>
      <c r="H1527" s="1">
        <v>0</v>
      </c>
      <c r="I1527" s="1" t="s">
        <v>525</v>
      </c>
      <c r="J1527" s="1" t="s">
        <v>27</v>
      </c>
    </row>
    <row r="1528" spans="1:10" hidden="1" x14ac:dyDescent="0.25">
      <c r="A1528" s="1" t="s">
        <v>97</v>
      </c>
      <c r="B1528" s="1" t="s">
        <v>98</v>
      </c>
      <c r="C1528" s="1">
        <v>18566</v>
      </c>
      <c r="D1528" s="1">
        <v>27573</v>
      </c>
      <c r="E1528" s="2">
        <v>44589</v>
      </c>
      <c r="F1528" s="2">
        <v>44769</v>
      </c>
      <c r="G1528" s="3">
        <v>37800</v>
      </c>
      <c r="H1528" s="1">
        <v>0</v>
      </c>
      <c r="I1528" s="1" t="s">
        <v>795</v>
      </c>
      <c r="J1528" s="1" t="s">
        <v>27</v>
      </c>
    </row>
    <row r="1529" spans="1:10" hidden="1" x14ac:dyDescent="0.25">
      <c r="A1529" s="1" t="s">
        <v>20</v>
      </c>
      <c r="B1529" s="1" t="s">
        <v>21</v>
      </c>
      <c r="C1529" s="1">
        <v>18558</v>
      </c>
      <c r="D1529" s="1">
        <v>27565</v>
      </c>
      <c r="E1529" s="2">
        <v>44589</v>
      </c>
      <c r="F1529" s="2">
        <v>44769</v>
      </c>
      <c r="G1529" s="3">
        <v>2333.34</v>
      </c>
      <c r="H1529" s="1">
        <v>0</v>
      </c>
      <c r="I1529" s="1" t="s">
        <v>1102</v>
      </c>
      <c r="J1529" s="1" t="s">
        <v>23</v>
      </c>
    </row>
    <row r="1530" spans="1:10" hidden="1" x14ac:dyDescent="0.25">
      <c r="A1530" s="1" t="s">
        <v>70</v>
      </c>
      <c r="B1530" s="1" t="s">
        <v>71</v>
      </c>
      <c r="C1530" s="1">
        <v>18727</v>
      </c>
      <c r="D1530" s="1">
        <v>27743</v>
      </c>
      <c r="E1530" s="2">
        <v>44606</v>
      </c>
      <c r="F1530" s="2">
        <v>44771</v>
      </c>
      <c r="G1530" s="3">
        <v>17024.43</v>
      </c>
      <c r="H1530" s="1">
        <v>0</v>
      </c>
      <c r="I1530" s="1" t="s">
        <v>990</v>
      </c>
      <c r="J1530" s="1" t="s">
        <v>73</v>
      </c>
    </row>
    <row r="1531" spans="1:10" hidden="1" x14ac:dyDescent="0.25">
      <c r="A1531" s="1" t="s">
        <v>70</v>
      </c>
      <c r="B1531" s="1" t="s">
        <v>71</v>
      </c>
      <c r="C1531" s="1">
        <v>18726</v>
      </c>
      <c r="D1531" s="1">
        <v>27742</v>
      </c>
      <c r="E1531" s="2">
        <v>44606</v>
      </c>
      <c r="F1531" s="2">
        <v>44771</v>
      </c>
      <c r="G1531" s="3">
        <v>18583.48</v>
      </c>
      <c r="H1531" s="1">
        <v>0</v>
      </c>
      <c r="I1531" s="1" t="s">
        <v>432</v>
      </c>
      <c r="J1531" s="1" t="s">
        <v>73</v>
      </c>
    </row>
    <row r="1532" spans="1:10" hidden="1" x14ac:dyDescent="0.25">
      <c r="A1532" s="1" t="s">
        <v>70</v>
      </c>
      <c r="B1532" s="1" t="s">
        <v>71</v>
      </c>
      <c r="C1532" s="1">
        <v>18725</v>
      </c>
      <c r="D1532" s="1">
        <v>27741</v>
      </c>
      <c r="E1532" s="2">
        <v>44606</v>
      </c>
      <c r="F1532" s="2">
        <v>44771</v>
      </c>
      <c r="G1532" s="3">
        <v>3430</v>
      </c>
      <c r="H1532" s="1">
        <v>0</v>
      </c>
      <c r="I1532" s="1" t="s">
        <v>464</v>
      </c>
      <c r="J1532" s="1" t="s">
        <v>73</v>
      </c>
    </row>
    <row r="1533" spans="1:10" hidden="1" x14ac:dyDescent="0.25">
      <c r="A1533" s="1" t="s">
        <v>244</v>
      </c>
      <c r="B1533" s="1" t="s">
        <v>98</v>
      </c>
      <c r="C1533" s="1">
        <v>16999</v>
      </c>
      <c r="D1533" s="1">
        <v>26007</v>
      </c>
      <c r="E1533" s="2">
        <v>44466</v>
      </c>
      <c r="F1533" s="2">
        <v>44772</v>
      </c>
      <c r="G1533" s="3">
        <v>9780</v>
      </c>
      <c r="H1533" s="1">
        <v>0</v>
      </c>
      <c r="I1533" s="1" t="s">
        <v>245</v>
      </c>
      <c r="J1533" s="1" t="s">
        <v>27</v>
      </c>
    </row>
    <row r="1534" spans="1:10" hidden="1" x14ac:dyDescent="0.25">
      <c r="A1534" s="1" t="s">
        <v>89</v>
      </c>
      <c r="B1534" s="1" t="s">
        <v>90</v>
      </c>
      <c r="C1534" s="1">
        <v>18066</v>
      </c>
      <c r="D1534" s="1">
        <v>27080</v>
      </c>
      <c r="E1534" s="2">
        <v>44543</v>
      </c>
      <c r="F1534" s="2">
        <v>44772</v>
      </c>
      <c r="G1534" s="3">
        <v>57143.519999999997</v>
      </c>
      <c r="H1534" s="1">
        <v>0</v>
      </c>
      <c r="I1534" s="1" t="s">
        <v>276</v>
      </c>
      <c r="J1534" s="1" t="s">
        <v>92</v>
      </c>
    </row>
    <row r="1535" spans="1:10" hidden="1" x14ac:dyDescent="0.25">
      <c r="A1535" s="1" t="s">
        <v>316</v>
      </c>
      <c r="B1535" s="1" t="s">
        <v>317</v>
      </c>
      <c r="C1535" s="1">
        <v>18040</v>
      </c>
      <c r="D1535" s="1">
        <v>27051</v>
      </c>
      <c r="E1535" s="2">
        <v>44539</v>
      </c>
      <c r="F1535" s="2">
        <v>44772</v>
      </c>
      <c r="G1535" s="3">
        <v>128560</v>
      </c>
      <c r="H1535" s="1">
        <v>0</v>
      </c>
      <c r="I1535" s="1" t="s">
        <v>318</v>
      </c>
      <c r="J1535" s="1" t="s">
        <v>115</v>
      </c>
    </row>
    <row r="1536" spans="1:10" hidden="1" x14ac:dyDescent="0.25">
      <c r="A1536" s="1" t="s">
        <v>383</v>
      </c>
      <c r="B1536" s="1" t="s">
        <v>384</v>
      </c>
      <c r="C1536" s="1">
        <v>18936</v>
      </c>
      <c r="D1536" s="1">
        <v>27950</v>
      </c>
      <c r="E1536" s="2">
        <v>44628</v>
      </c>
      <c r="F1536" s="2">
        <v>44772</v>
      </c>
      <c r="G1536" s="3">
        <v>129200</v>
      </c>
      <c r="H1536" s="1">
        <v>0</v>
      </c>
      <c r="I1536" s="1" t="s">
        <v>385</v>
      </c>
      <c r="J1536" s="1" t="s">
        <v>115</v>
      </c>
    </row>
    <row r="1537" spans="1:10" hidden="1" x14ac:dyDescent="0.25">
      <c r="A1537" s="1" t="s">
        <v>89</v>
      </c>
      <c r="B1537" s="1" t="s">
        <v>90</v>
      </c>
      <c r="C1537" s="1">
        <v>18064</v>
      </c>
      <c r="D1537" s="1">
        <v>27078</v>
      </c>
      <c r="E1537" s="2">
        <v>44543</v>
      </c>
      <c r="F1537" s="2">
        <v>44772</v>
      </c>
      <c r="G1537" s="3">
        <v>186262.39999999999</v>
      </c>
      <c r="H1537" s="1">
        <v>0</v>
      </c>
      <c r="I1537" s="1" t="s">
        <v>688</v>
      </c>
      <c r="J1537" s="1" t="s">
        <v>92</v>
      </c>
    </row>
    <row r="1538" spans="1:10" hidden="1" x14ac:dyDescent="0.25">
      <c r="A1538" s="1" t="s">
        <v>316</v>
      </c>
      <c r="B1538" s="1" t="s">
        <v>317</v>
      </c>
      <c r="C1538" s="1">
        <v>17869</v>
      </c>
      <c r="D1538" s="1">
        <v>26873</v>
      </c>
      <c r="E1538" s="2">
        <v>44523</v>
      </c>
      <c r="F1538" s="2">
        <v>44772</v>
      </c>
      <c r="G1538" s="3">
        <v>64000</v>
      </c>
      <c r="H1538" s="1">
        <v>0</v>
      </c>
      <c r="I1538" s="1" t="s">
        <v>1047</v>
      </c>
      <c r="J1538" s="1" t="s">
        <v>115</v>
      </c>
    </row>
    <row r="1539" spans="1:10" hidden="1" x14ac:dyDescent="0.25">
      <c r="A1539" s="1" t="s">
        <v>316</v>
      </c>
      <c r="B1539" s="1" t="s">
        <v>317</v>
      </c>
      <c r="C1539" s="1">
        <v>17790</v>
      </c>
      <c r="D1539" s="1">
        <v>26793</v>
      </c>
      <c r="E1539" s="2">
        <v>44518</v>
      </c>
      <c r="F1539" s="2">
        <v>44772</v>
      </c>
      <c r="G1539" s="3">
        <v>85280</v>
      </c>
      <c r="H1539" s="1">
        <v>0</v>
      </c>
      <c r="I1539" s="1" t="s">
        <v>1215</v>
      </c>
      <c r="J1539" s="1" t="s">
        <v>115</v>
      </c>
    </row>
    <row r="1540" spans="1:10" hidden="1" x14ac:dyDescent="0.25">
      <c r="A1540" s="1" t="s">
        <v>10</v>
      </c>
      <c r="B1540" s="1" t="s">
        <v>11</v>
      </c>
      <c r="C1540" s="1">
        <v>18579</v>
      </c>
      <c r="D1540" s="1">
        <v>27588</v>
      </c>
      <c r="E1540" s="2">
        <v>44592</v>
      </c>
      <c r="F1540" s="2">
        <v>44772</v>
      </c>
      <c r="G1540" s="3">
        <v>117000</v>
      </c>
      <c r="H1540" s="1">
        <v>0</v>
      </c>
      <c r="I1540" s="1" t="s">
        <v>1268</v>
      </c>
      <c r="J1540" s="1" t="s">
        <v>13</v>
      </c>
    </row>
    <row r="1541" spans="1:10" hidden="1" x14ac:dyDescent="0.25">
      <c r="A1541" s="1" t="s">
        <v>316</v>
      </c>
      <c r="B1541" s="1" t="s">
        <v>317</v>
      </c>
      <c r="C1541" s="1">
        <v>17399</v>
      </c>
      <c r="D1541" s="1">
        <v>26403</v>
      </c>
      <c r="E1541" s="2">
        <v>44489</v>
      </c>
      <c r="F1541" s="2">
        <v>44772</v>
      </c>
      <c r="G1541" s="3">
        <v>94840</v>
      </c>
      <c r="H1541" s="1">
        <v>0</v>
      </c>
      <c r="I1541" s="1" t="s">
        <v>1576</v>
      </c>
      <c r="J1541" s="1" t="s">
        <v>115</v>
      </c>
    </row>
    <row r="1542" spans="1:10" hidden="1" x14ac:dyDescent="0.25">
      <c r="A1542" s="1" t="s">
        <v>316</v>
      </c>
      <c r="B1542" s="1" t="s">
        <v>317</v>
      </c>
      <c r="C1542" s="1">
        <v>17190</v>
      </c>
      <c r="D1542" s="1">
        <v>26188</v>
      </c>
      <c r="E1542" s="2">
        <v>44477</v>
      </c>
      <c r="F1542" s="2">
        <v>44772</v>
      </c>
      <c r="G1542" s="3">
        <v>42032</v>
      </c>
      <c r="H1542" s="1">
        <v>0</v>
      </c>
      <c r="I1542" s="1" t="s">
        <v>1596</v>
      </c>
      <c r="J1542" s="1" t="s">
        <v>115</v>
      </c>
    </row>
    <row r="1543" spans="1:10" hidden="1" x14ac:dyDescent="0.25">
      <c r="A1543" s="1" t="s">
        <v>24</v>
      </c>
      <c r="B1543" s="1" t="s">
        <v>25</v>
      </c>
      <c r="C1543" s="1">
        <v>18575</v>
      </c>
      <c r="D1543" s="1">
        <v>27583</v>
      </c>
      <c r="E1543" s="2">
        <v>44592</v>
      </c>
      <c r="F1543" s="2">
        <v>44772</v>
      </c>
      <c r="G1543" s="3">
        <v>54000</v>
      </c>
      <c r="H1543" s="1">
        <v>0</v>
      </c>
      <c r="I1543" s="1" t="s">
        <v>1635</v>
      </c>
      <c r="J1543" s="1" t="s">
        <v>27</v>
      </c>
    </row>
    <row r="1544" spans="1:10" hidden="1" x14ac:dyDescent="0.25">
      <c r="A1544" s="1" t="s">
        <v>65</v>
      </c>
      <c r="B1544" s="1" t="s">
        <v>66</v>
      </c>
      <c r="C1544" s="1">
        <v>17938</v>
      </c>
      <c r="D1544" s="1">
        <v>26952</v>
      </c>
      <c r="E1544" s="2">
        <v>44533</v>
      </c>
      <c r="F1544" s="2">
        <v>44773</v>
      </c>
      <c r="G1544" s="3">
        <v>8400</v>
      </c>
      <c r="H1544" s="1">
        <v>0</v>
      </c>
      <c r="I1544" s="1" t="s">
        <v>518</v>
      </c>
      <c r="J1544" s="1" t="s">
        <v>68</v>
      </c>
    </row>
    <row r="1545" spans="1:10" hidden="1" x14ac:dyDescent="0.25">
      <c r="A1545" s="1" t="s">
        <v>244</v>
      </c>
      <c r="B1545" s="1" t="s">
        <v>98</v>
      </c>
      <c r="C1545" s="1">
        <v>18591</v>
      </c>
      <c r="D1545" s="1">
        <v>27600</v>
      </c>
      <c r="E1545" s="2">
        <v>44593</v>
      </c>
      <c r="F1545" s="2">
        <v>44773</v>
      </c>
      <c r="G1545" s="3">
        <v>48000</v>
      </c>
      <c r="H1545" s="1">
        <v>0</v>
      </c>
      <c r="I1545" s="1" t="s">
        <v>864</v>
      </c>
      <c r="J1545" s="1" t="s">
        <v>27</v>
      </c>
    </row>
    <row r="1546" spans="1:10" hidden="1" x14ac:dyDescent="0.25">
      <c r="A1546" s="1" t="s">
        <v>10</v>
      </c>
      <c r="B1546" s="1" t="s">
        <v>11</v>
      </c>
      <c r="C1546" s="1">
        <v>18874</v>
      </c>
      <c r="D1546" s="1">
        <v>27892</v>
      </c>
      <c r="E1546" s="2">
        <v>44623</v>
      </c>
      <c r="F1546" s="2">
        <v>44773</v>
      </c>
      <c r="G1546" s="3">
        <v>23312</v>
      </c>
      <c r="H1546" s="1">
        <v>0</v>
      </c>
      <c r="I1546" s="1" t="s">
        <v>971</v>
      </c>
      <c r="J1546" s="1" t="s">
        <v>13</v>
      </c>
    </row>
    <row r="1547" spans="1:10" hidden="1" x14ac:dyDescent="0.25">
      <c r="A1547" s="1" t="s">
        <v>10</v>
      </c>
      <c r="B1547" s="1" t="s">
        <v>11</v>
      </c>
      <c r="C1547" s="1">
        <v>18885</v>
      </c>
      <c r="D1547" s="1">
        <v>27901</v>
      </c>
      <c r="E1547" s="2">
        <v>44623</v>
      </c>
      <c r="F1547" s="2">
        <v>44773</v>
      </c>
      <c r="G1547" s="3">
        <v>64800</v>
      </c>
      <c r="H1547" s="1">
        <v>0</v>
      </c>
      <c r="I1547" s="1" t="s">
        <v>1243</v>
      </c>
      <c r="J1547" s="1" t="s">
        <v>13</v>
      </c>
    </row>
    <row r="1548" spans="1:10" hidden="1" x14ac:dyDescent="0.25">
      <c r="A1548" s="1" t="s">
        <v>10</v>
      </c>
      <c r="B1548" s="1" t="s">
        <v>11</v>
      </c>
      <c r="C1548" s="1">
        <v>18880</v>
      </c>
      <c r="D1548" s="1">
        <v>27897</v>
      </c>
      <c r="E1548" s="2">
        <v>44623</v>
      </c>
      <c r="F1548" s="2">
        <v>44773</v>
      </c>
      <c r="G1548" s="3">
        <v>13905</v>
      </c>
      <c r="H1548" s="1">
        <v>0</v>
      </c>
      <c r="I1548" s="1" t="s">
        <v>1283</v>
      </c>
      <c r="J1548" s="1" t="s">
        <v>13</v>
      </c>
    </row>
    <row r="1549" spans="1:10" hidden="1" x14ac:dyDescent="0.25">
      <c r="A1549" s="1" t="s">
        <v>10</v>
      </c>
      <c r="B1549" s="1" t="s">
        <v>11</v>
      </c>
      <c r="C1549" s="1">
        <v>18881</v>
      </c>
      <c r="D1549" s="1">
        <v>27898</v>
      </c>
      <c r="E1549" s="2">
        <v>44623</v>
      </c>
      <c r="F1549" s="2">
        <v>44773</v>
      </c>
      <c r="G1549" s="3">
        <v>32445</v>
      </c>
      <c r="H1549" s="1">
        <v>0</v>
      </c>
      <c r="I1549" s="1" t="s">
        <v>1444</v>
      </c>
      <c r="J1549" s="1" t="s">
        <v>13</v>
      </c>
    </row>
    <row r="1550" spans="1:10" hidden="1" x14ac:dyDescent="0.25">
      <c r="A1550" s="1" t="s">
        <v>10</v>
      </c>
      <c r="B1550" s="1" t="s">
        <v>11</v>
      </c>
      <c r="C1550" s="1">
        <v>18882</v>
      </c>
      <c r="D1550" s="1">
        <v>27899</v>
      </c>
      <c r="E1550" s="2">
        <v>44623</v>
      </c>
      <c r="F1550" s="2">
        <v>44773</v>
      </c>
      <c r="G1550" s="3">
        <v>13847.49</v>
      </c>
      <c r="H1550" s="1">
        <v>0</v>
      </c>
      <c r="I1550" s="1" t="s">
        <v>1505</v>
      </c>
      <c r="J1550" s="1" t="s">
        <v>13</v>
      </c>
    </row>
    <row r="1551" spans="1:10" hidden="1" x14ac:dyDescent="0.25">
      <c r="A1551" s="1" t="s">
        <v>10</v>
      </c>
      <c r="B1551" s="1" t="s">
        <v>11</v>
      </c>
      <c r="C1551" s="1">
        <v>18875</v>
      </c>
      <c r="D1551" s="1">
        <v>27893</v>
      </c>
      <c r="E1551" s="2">
        <v>44623</v>
      </c>
      <c r="F1551" s="2">
        <v>44773</v>
      </c>
      <c r="G1551" s="3">
        <v>108000</v>
      </c>
      <c r="H1551" s="1">
        <v>0</v>
      </c>
      <c r="I1551" s="1" t="s">
        <v>1551</v>
      </c>
      <c r="J1551" s="1" t="s">
        <v>13</v>
      </c>
    </row>
    <row r="1552" spans="1:10" hidden="1" x14ac:dyDescent="0.25">
      <c r="A1552" s="1" t="s">
        <v>627</v>
      </c>
      <c r="B1552" s="1" t="s">
        <v>628</v>
      </c>
      <c r="C1552" s="1">
        <v>18887</v>
      </c>
      <c r="D1552" s="1">
        <v>27903</v>
      </c>
      <c r="E1552" s="2">
        <v>44623</v>
      </c>
      <c r="F1552" s="2">
        <v>44773</v>
      </c>
      <c r="G1552" s="3">
        <v>133500</v>
      </c>
      <c r="H1552" s="1">
        <v>0</v>
      </c>
      <c r="I1552" s="1" t="s">
        <v>1561</v>
      </c>
      <c r="J1552" s="1" t="s">
        <v>58</v>
      </c>
    </row>
    <row r="1553" spans="1:10" hidden="1" x14ac:dyDescent="0.25">
      <c r="A1553" s="1" t="s">
        <v>24</v>
      </c>
      <c r="B1553" s="1" t="s">
        <v>25</v>
      </c>
      <c r="C1553" s="1">
        <v>18876</v>
      </c>
      <c r="D1553" s="1">
        <v>27894</v>
      </c>
      <c r="E1553" s="2">
        <v>44623</v>
      </c>
      <c r="F1553" s="2">
        <v>44773</v>
      </c>
      <c r="G1553" s="3">
        <v>54000</v>
      </c>
      <c r="H1553" s="1">
        <v>0</v>
      </c>
      <c r="I1553" s="1" t="s">
        <v>1674</v>
      </c>
      <c r="J1553" s="1" t="s">
        <v>27</v>
      </c>
    </row>
    <row r="1554" spans="1:10" hidden="1" x14ac:dyDescent="0.25">
      <c r="A1554" s="1" t="s">
        <v>24</v>
      </c>
      <c r="B1554" s="1" t="s">
        <v>25</v>
      </c>
      <c r="C1554" s="1">
        <v>18920</v>
      </c>
      <c r="D1554" s="1">
        <v>27935</v>
      </c>
      <c r="E1554" s="2">
        <v>44624</v>
      </c>
      <c r="F1554" s="2">
        <v>44774</v>
      </c>
      <c r="G1554" s="3">
        <v>54000</v>
      </c>
      <c r="H1554" s="1">
        <v>0</v>
      </c>
      <c r="I1554" s="1" t="s">
        <v>32</v>
      </c>
      <c r="J1554" s="1" t="s">
        <v>27</v>
      </c>
    </row>
    <row r="1555" spans="1:10" hidden="1" x14ac:dyDescent="0.25">
      <c r="A1555" s="1" t="s">
        <v>10</v>
      </c>
      <c r="B1555" s="1" t="s">
        <v>11</v>
      </c>
      <c r="C1555" s="1">
        <v>18904</v>
      </c>
      <c r="D1555" s="1">
        <v>27919</v>
      </c>
      <c r="E1555" s="2">
        <v>44624</v>
      </c>
      <c r="F1555" s="2">
        <v>44774</v>
      </c>
      <c r="G1555" s="3">
        <v>5835</v>
      </c>
      <c r="H1555" s="1">
        <v>0</v>
      </c>
      <c r="I1555" s="1" t="s">
        <v>59</v>
      </c>
      <c r="J1555" s="1" t="s">
        <v>13</v>
      </c>
    </row>
    <row r="1556" spans="1:10" hidden="1" x14ac:dyDescent="0.25">
      <c r="A1556" s="1" t="s">
        <v>10</v>
      </c>
      <c r="B1556" s="1" t="s">
        <v>11</v>
      </c>
      <c r="C1556" s="1">
        <v>18913</v>
      </c>
      <c r="D1556" s="1">
        <v>27929</v>
      </c>
      <c r="E1556" s="2">
        <v>44624</v>
      </c>
      <c r="F1556" s="2">
        <v>44774</v>
      </c>
      <c r="G1556" s="3">
        <v>62375</v>
      </c>
      <c r="H1556" s="1">
        <v>0</v>
      </c>
      <c r="I1556" s="1" t="s">
        <v>169</v>
      </c>
      <c r="J1556" s="1" t="s">
        <v>13</v>
      </c>
    </row>
    <row r="1557" spans="1:10" hidden="1" x14ac:dyDescent="0.25">
      <c r="A1557" s="1" t="s">
        <v>159</v>
      </c>
      <c r="B1557" s="1" t="s">
        <v>129</v>
      </c>
      <c r="C1557" s="1">
        <v>18928</v>
      </c>
      <c r="D1557" s="1">
        <v>27939</v>
      </c>
      <c r="E1557" s="2">
        <v>44624</v>
      </c>
      <c r="F1557" s="2">
        <v>44774</v>
      </c>
      <c r="G1557" s="3">
        <v>167300.4</v>
      </c>
      <c r="H1557" s="1">
        <v>0</v>
      </c>
      <c r="I1557" s="1" t="s">
        <v>209</v>
      </c>
      <c r="J1557" s="1" t="s">
        <v>131</v>
      </c>
    </row>
    <row r="1558" spans="1:10" hidden="1" x14ac:dyDescent="0.25">
      <c r="A1558" s="1" t="s">
        <v>10</v>
      </c>
      <c r="B1558" s="1" t="s">
        <v>11</v>
      </c>
      <c r="C1558" s="1">
        <v>18899</v>
      </c>
      <c r="D1558" s="1">
        <v>27915</v>
      </c>
      <c r="E1558" s="2">
        <v>44624</v>
      </c>
      <c r="F1558" s="2">
        <v>44774</v>
      </c>
      <c r="G1558" s="3">
        <v>1675</v>
      </c>
      <c r="H1558" s="1">
        <v>0</v>
      </c>
      <c r="I1558" s="1" t="s">
        <v>314</v>
      </c>
      <c r="J1558" s="1" t="s">
        <v>13</v>
      </c>
    </row>
    <row r="1559" spans="1:10" hidden="1" x14ac:dyDescent="0.25">
      <c r="A1559" s="1" t="s">
        <v>10</v>
      </c>
      <c r="B1559" s="1" t="s">
        <v>11</v>
      </c>
      <c r="C1559" s="1">
        <v>18238</v>
      </c>
      <c r="D1559" s="1">
        <v>27250</v>
      </c>
      <c r="E1559" s="2">
        <v>44564</v>
      </c>
      <c r="F1559" s="2">
        <v>44774</v>
      </c>
      <c r="G1559" s="3">
        <v>78000.160000000003</v>
      </c>
      <c r="H1559" s="1">
        <v>0</v>
      </c>
      <c r="I1559" s="1" t="s">
        <v>355</v>
      </c>
      <c r="J1559" s="1" t="s">
        <v>13</v>
      </c>
    </row>
    <row r="1560" spans="1:10" hidden="1" x14ac:dyDescent="0.25">
      <c r="A1560" s="1" t="s">
        <v>10</v>
      </c>
      <c r="B1560" s="1" t="s">
        <v>11</v>
      </c>
      <c r="C1560" s="1">
        <v>18900</v>
      </c>
      <c r="D1560" s="1">
        <v>27916</v>
      </c>
      <c r="E1560" s="2">
        <v>44624</v>
      </c>
      <c r="F1560" s="2">
        <v>44774</v>
      </c>
      <c r="G1560" s="3">
        <v>25199.97</v>
      </c>
      <c r="H1560" s="1">
        <v>0</v>
      </c>
      <c r="I1560" s="1" t="s">
        <v>824</v>
      </c>
      <c r="J1560" s="1" t="s">
        <v>13</v>
      </c>
    </row>
    <row r="1561" spans="1:10" hidden="1" x14ac:dyDescent="0.25">
      <c r="A1561" s="1" t="s">
        <v>10</v>
      </c>
      <c r="B1561" s="1" t="s">
        <v>11</v>
      </c>
      <c r="C1561" s="1">
        <v>18914</v>
      </c>
      <c r="D1561" s="1">
        <v>27930</v>
      </c>
      <c r="E1561" s="2">
        <v>44624</v>
      </c>
      <c r="F1561" s="2">
        <v>44774</v>
      </c>
      <c r="G1561" s="3">
        <v>13597.75</v>
      </c>
      <c r="H1561" s="1">
        <v>0</v>
      </c>
      <c r="I1561" s="1" t="s">
        <v>879</v>
      </c>
      <c r="J1561" s="1" t="s">
        <v>13</v>
      </c>
    </row>
    <row r="1562" spans="1:10" hidden="1" x14ac:dyDescent="0.25">
      <c r="A1562" s="1" t="s">
        <v>97</v>
      </c>
      <c r="B1562" s="1" t="s">
        <v>98</v>
      </c>
      <c r="C1562" s="1">
        <v>18601</v>
      </c>
      <c r="D1562" s="1">
        <v>27610</v>
      </c>
      <c r="E1562" s="2">
        <v>44594</v>
      </c>
      <c r="F1562" s="2">
        <v>44774</v>
      </c>
      <c r="G1562" s="3">
        <v>48000</v>
      </c>
      <c r="H1562" s="1">
        <v>0</v>
      </c>
      <c r="I1562" s="1" t="s">
        <v>1162</v>
      </c>
      <c r="J1562" s="1" t="s">
        <v>27</v>
      </c>
    </row>
    <row r="1563" spans="1:10" hidden="1" x14ac:dyDescent="0.25">
      <c r="A1563" s="1" t="s">
        <v>10</v>
      </c>
      <c r="B1563" s="1" t="s">
        <v>11</v>
      </c>
      <c r="C1563" s="1">
        <v>18898</v>
      </c>
      <c r="D1563" s="1">
        <v>27914</v>
      </c>
      <c r="E1563" s="2">
        <v>44624</v>
      </c>
      <c r="F1563" s="2">
        <v>44774</v>
      </c>
      <c r="G1563" s="3">
        <v>36157</v>
      </c>
      <c r="H1563" s="1">
        <v>0</v>
      </c>
      <c r="I1563" s="1" t="s">
        <v>1223</v>
      </c>
      <c r="J1563" s="1" t="s">
        <v>13</v>
      </c>
    </row>
    <row r="1564" spans="1:10" hidden="1" x14ac:dyDescent="0.25">
      <c r="A1564" s="1" t="s">
        <v>244</v>
      </c>
      <c r="B1564" s="1" t="s">
        <v>98</v>
      </c>
      <c r="C1564" s="1">
        <v>18600</v>
      </c>
      <c r="D1564" s="1">
        <v>27609</v>
      </c>
      <c r="E1564" s="2">
        <v>44594</v>
      </c>
      <c r="F1564" s="2">
        <v>44774</v>
      </c>
      <c r="G1564" s="3">
        <v>48000</v>
      </c>
      <c r="H1564" s="1">
        <v>0</v>
      </c>
      <c r="I1564" s="1" t="s">
        <v>1392</v>
      </c>
      <c r="J1564" s="1" t="s">
        <v>27</v>
      </c>
    </row>
    <row r="1565" spans="1:10" hidden="1" x14ac:dyDescent="0.25">
      <c r="A1565" s="1" t="s">
        <v>221</v>
      </c>
      <c r="B1565" s="1" t="s">
        <v>222</v>
      </c>
      <c r="C1565" s="1">
        <v>18602</v>
      </c>
      <c r="D1565" s="1">
        <v>27611</v>
      </c>
      <c r="E1565" s="2">
        <v>44594</v>
      </c>
      <c r="F1565" s="2">
        <v>44774</v>
      </c>
      <c r="G1565" s="3">
        <v>48000</v>
      </c>
      <c r="H1565" s="1">
        <v>0</v>
      </c>
      <c r="I1565" s="1" t="s">
        <v>1517</v>
      </c>
      <c r="J1565" s="1" t="s">
        <v>27</v>
      </c>
    </row>
    <row r="1566" spans="1:10" hidden="1" x14ac:dyDescent="0.25">
      <c r="A1566" s="1" t="s">
        <v>89</v>
      </c>
      <c r="B1566" s="1" t="s">
        <v>90</v>
      </c>
      <c r="C1566" s="1">
        <v>17621</v>
      </c>
      <c r="D1566" s="1">
        <v>26623</v>
      </c>
      <c r="E1566" s="2">
        <v>44505</v>
      </c>
      <c r="F1566" s="2">
        <v>44775</v>
      </c>
      <c r="G1566" s="3">
        <v>2226</v>
      </c>
      <c r="H1566" s="1">
        <v>0</v>
      </c>
      <c r="I1566" s="1" t="s">
        <v>124</v>
      </c>
      <c r="J1566" s="1" t="s">
        <v>92</v>
      </c>
    </row>
    <row r="1567" spans="1:10" hidden="1" x14ac:dyDescent="0.25">
      <c r="A1567" s="1" t="s">
        <v>89</v>
      </c>
      <c r="B1567" s="1" t="s">
        <v>90</v>
      </c>
      <c r="C1567" s="1">
        <v>17619</v>
      </c>
      <c r="D1567" s="1">
        <v>26621</v>
      </c>
      <c r="E1567" s="2">
        <v>44505</v>
      </c>
      <c r="F1567" s="2">
        <v>44775</v>
      </c>
      <c r="G1567" s="3">
        <v>34470</v>
      </c>
      <c r="H1567" s="1">
        <v>0</v>
      </c>
      <c r="I1567" s="1" t="s">
        <v>467</v>
      </c>
      <c r="J1567" s="1" t="s">
        <v>92</v>
      </c>
    </row>
    <row r="1568" spans="1:10" hidden="1" x14ac:dyDescent="0.25">
      <c r="A1568" s="1" t="s">
        <v>10</v>
      </c>
      <c r="B1568" s="1" t="s">
        <v>11</v>
      </c>
      <c r="C1568" s="1">
        <v>18615</v>
      </c>
      <c r="D1568" s="1">
        <v>27625</v>
      </c>
      <c r="E1568" s="2">
        <v>44595</v>
      </c>
      <c r="F1568" s="2">
        <v>44775</v>
      </c>
      <c r="G1568" s="3">
        <v>93627</v>
      </c>
      <c r="H1568" s="1">
        <v>0</v>
      </c>
      <c r="I1568" s="1" t="s">
        <v>1232</v>
      </c>
      <c r="J1568" s="1" t="s">
        <v>13</v>
      </c>
    </row>
    <row r="1569" spans="1:10" hidden="1" x14ac:dyDescent="0.25">
      <c r="A1569" s="1" t="s">
        <v>10</v>
      </c>
      <c r="B1569" s="1" t="s">
        <v>11</v>
      </c>
      <c r="C1569" s="1">
        <v>18614</v>
      </c>
      <c r="D1569" s="1">
        <v>27624</v>
      </c>
      <c r="E1569" s="2">
        <v>44595</v>
      </c>
      <c r="F1569" s="2">
        <v>44775</v>
      </c>
      <c r="G1569" s="3">
        <v>28666.639999999999</v>
      </c>
      <c r="H1569" s="1">
        <v>0</v>
      </c>
      <c r="I1569" s="1" t="s">
        <v>1410</v>
      </c>
      <c r="J1569" s="1" t="s">
        <v>13</v>
      </c>
    </row>
    <row r="1570" spans="1:10" hidden="1" x14ac:dyDescent="0.25">
      <c r="A1570" s="1" t="s">
        <v>24</v>
      </c>
      <c r="B1570" s="1" t="s">
        <v>25</v>
      </c>
      <c r="C1570" s="1">
        <v>18288</v>
      </c>
      <c r="D1570" s="1">
        <v>27297</v>
      </c>
      <c r="E1570" s="2">
        <v>44566</v>
      </c>
      <c r="F1570" s="2">
        <v>44776</v>
      </c>
      <c r="G1570" s="3">
        <v>38212.5</v>
      </c>
      <c r="H1570" s="1">
        <v>0</v>
      </c>
      <c r="I1570" s="1" t="s">
        <v>44</v>
      </c>
      <c r="J1570" s="1" t="s">
        <v>27</v>
      </c>
    </row>
    <row r="1571" spans="1:10" hidden="1" x14ac:dyDescent="0.25">
      <c r="A1571" s="1" t="s">
        <v>65</v>
      </c>
      <c r="B1571" s="1" t="s">
        <v>66</v>
      </c>
      <c r="C1571" s="1">
        <v>17963</v>
      </c>
      <c r="D1571" s="1">
        <v>26978</v>
      </c>
      <c r="E1571" s="2">
        <v>44536</v>
      </c>
      <c r="F1571" s="2">
        <v>44776</v>
      </c>
      <c r="G1571" s="3">
        <v>25500</v>
      </c>
      <c r="H1571" s="1">
        <v>0</v>
      </c>
      <c r="I1571" s="1" t="s">
        <v>1665</v>
      </c>
      <c r="J1571" s="1" t="s">
        <v>68</v>
      </c>
    </row>
    <row r="1572" spans="1:10" hidden="1" x14ac:dyDescent="0.25">
      <c r="A1572" s="1" t="s">
        <v>10</v>
      </c>
      <c r="B1572" s="1" t="s">
        <v>11</v>
      </c>
      <c r="C1572" s="1">
        <v>18626</v>
      </c>
      <c r="D1572" s="1">
        <v>27637</v>
      </c>
      <c r="E1572" s="2">
        <v>44596</v>
      </c>
      <c r="F1572" s="2">
        <v>44776</v>
      </c>
      <c r="G1572" s="3">
        <v>40915</v>
      </c>
      <c r="H1572" s="1">
        <v>0</v>
      </c>
      <c r="I1572" s="1" t="s">
        <v>1690</v>
      </c>
      <c r="J1572" s="1" t="s">
        <v>13</v>
      </c>
    </row>
    <row r="1573" spans="1:10" hidden="1" x14ac:dyDescent="0.25">
      <c r="A1573" s="1" t="s">
        <v>10</v>
      </c>
      <c r="B1573" s="1" t="s">
        <v>11</v>
      </c>
      <c r="C1573" s="1">
        <v>18932</v>
      </c>
      <c r="D1573" s="1">
        <v>27945</v>
      </c>
      <c r="E1573" s="2">
        <v>44627</v>
      </c>
      <c r="F1573" s="2">
        <v>44777</v>
      </c>
      <c r="G1573" s="3">
        <v>61252.25</v>
      </c>
      <c r="H1573" s="1">
        <v>0</v>
      </c>
      <c r="I1573" s="1" t="s">
        <v>993</v>
      </c>
      <c r="J1573" s="1" t="s">
        <v>13</v>
      </c>
    </row>
    <row r="1574" spans="1:10" hidden="1" x14ac:dyDescent="0.25">
      <c r="A1574" s="1" t="s">
        <v>10</v>
      </c>
      <c r="B1574" s="1" t="s">
        <v>11</v>
      </c>
      <c r="C1574" s="1">
        <v>18314</v>
      </c>
      <c r="D1574" s="1">
        <v>27324</v>
      </c>
      <c r="E1574" s="2">
        <v>44568</v>
      </c>
      <c r="F1574" s="2">
        <v>44778</v>
      </c>
      <c r="G1574" s="3">
        <v>37533.4</v>
      </c>
      <c r="H1574" s="1">
        <v>0</v>
      </c>
      <c r="I1574" s="1" t="s">
        <v>146</v>
      </c>
      <c r="J1574" s="1" t="s">
        <v>13</v>
      </c>
    </row>
    <row r="1575" spans="1:10" hidden="1" x14ac:dyDescent="0.25">
      <c r="A1575" s="1" t="s">
        <v>10</v>
      </c>
      <c r="B1575" s="1" t="s">
        <v>11</v>
      </c>
      <c r="C1575" s="1">
        <v>18313</v>
      </c>
      <c r="D1575" s="1">
        <v>27323</v>
      </c>
      <c r="E1575" s="2">
        <v>44568</v>
      </c>
      <c r="F1575" s="2">
        <v>44778</v>
      </c>
      <c r="G1575" s="3">
        <v>1273.3399999999999</v>
      </c>
      <c r="H1575" s="1">
        <v>0</v>
      </c>
      <c r="I1575" s="1" t="s">
        <v>184</v>
      </c>
      <c r="J1575" s="1" t="s">
        <v>13</v>
      </c>
    </row>
    <row r="1576" spans="1:10" hidden="1" x14ac:dyDescent="0.25">
      <c r="A1576" s="1" t="s">
        <v>10</v>
      </c>
      <c r="B1576" s="1" t="s">
        <v>11</v>
      </c>
      <c r="C1576" s="1">
        <v>18310</v>
      </c>
      <c r="D1576" s="1">
        <v>27319</v>
      </c>
      <c r="E1576" s="2">
        <v>44568</v>
      </c>
      <c r="F1576" s="2">
        <v>44778</v>
      </c>
      <c r="G1576" s="3">
        <v>9333.36</v>
      </c>
      <c r="H1576" s="1">
        <v>0</v>
      </c>
      <c r="I1576" s="1" t="s">
        <v>589</v>
      </c>
      <c r="J1576" s="1" t="s">
        <v>13</v>
      </c>
    </row>
    <row r="1577" spans="1:10" hidden="1" x14ac:dyDescent="0.25">
      <c r="A1577" s="1" t="s">
        <v>70</v>
      </c>
      <c r="B1577" s="1" t="s">
        <v>71</v>
      </c>
      <c r="C1577" s="1">
        <v>18653</v>
      </c>
      <c r="D1577" s="1">
        <v>27665</v>
      </c>
      <c r="E1577" s="2">
        <v>44599</v>
      </c>
      <c r="F1577" s="2">
        <v>44779</v>
      </c>
      <c r="G1577" s="3">
        <v>8960.08</v>
      </c>
      <c r="H1577" s="1">
        <v>0</v>
      </c>
      <c r="I1577" s="1" t="s">
        <v>260</v>
      </c>
      <c r="J1577" s="1" t="s">
        <v>73</v>
      </c>
    </row>
    <row r="1578" spans="1:10" hidden="1" x14ac:dyDescent="0.25">
      <c r="A1578" s="1" t="s">
        <v>10</v>
      </c>
      <c r="B1578" s="1" t="s">
        <v>11</v>
      </c>
      <c r="C1578" s="1">
        <v>18661</v>
      </c>
      <c r="D1578" s="1">
        <v>27673</v>
      </c>
      <c r="E1578" s="2">
        <v>44599</v>
      </c>
      <c r="F1578" s="2">
        <v>44779</v>
      </c>
      <c r="G1578" s="3">
        <v>105000</v>
      </c>
      <c r="H1578" s="1">
        <v>0</v>
      </c>
      <c r="I1578" s="1" t="s">
        <v>603</v>
      </c>
      <c r="J1578" s="1" t="s">
        <v>13</v>
      </c>
    </row>
    <row r="1579" spans="1:10" hidden="1" x14ac:dyDescent="0.25">
      <c r="A1579" s="1" t="s">
        <v>70</v>
      </c>
      <c r="B1579" s="1" t="s">
        <v>71</v>
      </c>
      <c r="C1579" s="1">
        <v>18652</v>
      </c>
      <c r="D1579" s="1">
        <v>27664</v>
      </c>
      <c r="E1579" s="2">
        <v>44599</v>
      </c>
      <c r="F1579" s="2">
        <v>44779</v>
      </c>
      <c r="G1579" s="3">
        <v>2066.7199999999998</v>
      </c>
      <c r="H1579" s="1">
        <v>0</v>
      </c>
      <c r="I1579" s="1" t="s">
        <v>643</v>
      </c>
      <c r="J1579" s="1" t="s">
        <v>73</v>
      </c>
    </row>
    <row r="1580" spans="1:10" hidden="1" x14ac:dyDescent="0.25">
      <c r="A1580" s="1" t="s">
        <v>70</v>
      </c>
      <c r="B1580" s="1" t="s">
        <v>71</v>
      </c>
      <c r="C1580" s="1">
        <v>18654</v>
      </c>
      <c r="D1580" s="1">
        <v>27666</v>
      </c>
      <c r="E1580" s="2">
        <v>44599</v>
      </c>
      <c r="F1580" s="2">
        <v>44779</v>
      </c>
      <c r="G1580" s="3">
        <v>21747.14</v>
      </c>
      <c r="H1580" s="1">
        <v>0</v>
      </c>
      <c r="I1580" s="1" t="s">
        <v>261</v>
      </c>
      <c r="J1580" s="1" t="s">
        <v>73</v>
      </c>
    </row>
    <row r="1581" spans="1:10" hidden="1" x14ac:dyDescent="0.25">
      <c r="A1581" s="1" t="s">
        <v>10</v>
      </c>
      <c r="B1581" s="1" t="s">
        <v>11</v>
      </c>
      <c r="C1581" s="1">
        <v>18676</v>
      </c>
      <c r="D1581" s="1">
        <v>27688</v>
      </c>
      <c r="E1581" s="2">
        <v>44600</v>
      </c>
      <c r="F1581" s="2">
        <v>44780</v>
      </c>
      <c r="G1581" s="3">
        <v>63000</v>
      </c>
      <c r="H1581" s="1">
        <v>0</v>
      </c>
      <c r="I1581" s="1" t="s">
        <v>543</v>
      </c>
      <c r="J1581" s="1" t="s">
        <v>13</v>
      </c>
    </row>
    <row r="1582" spans="1:10" hidden="1" x14ac:dyDescent="0.25">
      <c r="A1582" s="1" t="s">
        <v>10</v>
      </c>
      <c r="B1582" s="1" t="s">
        <v>11</v>
      </c>
      <c r="C1582" s="1">
        <v>18671</v>
      </c>
      <c r="D1582" s="1">
        <v>27683</v>
      </c>
      <c r="E1582" s="2">
        <v>44600</v>
      </c>
      <c r="F1582" s="2">
        <v>44780</v>
      </c>
      <c r="G1582" s="3">
        <v>28000</v>
      </c>
      <c r="H1582" s="1">
        <v>0</v>
      </c>
      <c r="I1582" s="1" t="s">
        <v>896</v>
      </c>
      <c r="J1582" s="1" t="s">
        <v>13</v>
      </c>
    </row>
    <row r="1583" spans="1:10" hidden="1" x14ac:dyDescent="0.25">
      <c r="A1583" s="1" t="s">
        <v>221</v>
      </c>
      <c r="B1583" s="1" t="s">
        <v>222</v>
      </c>
      <c r="C1583" s="1">
        <v>18662</v>
      </c>
      <c r="D1583" s="1">
        <v>27674</v>
      </c>
      <c r="E1583" s="2">
        <v>44600</v>
      </c>
      <c r="F1583" s="2">
        <v>44780</v>
      </c>
      <c r="G1583" s="3">
        <v>48000</v>
      </c>
      <c r="H1583" s="1">
        <v>0</v>
      </c>
      <c r="I1583" s="1" t="s">
        <v>1147</v>
      </c>
      <c r="J1583" s="1" t="s">
        <v>27</v>
      </c>
    </row>
    <row r="1584" spans="1:10" hidden="1" x14ac:dyDescent="0.25">
      <c r="A1584" s="1" t="s">
        <v>10</v>
      </c>
      <c r="B1584" s="1" t="s">
        <v>11</v>
      </c>
      <c r="C1584" s="1">
        <v>18677</v>
      </c>
      <c r="D1584" s="1">
        <v>27689</v>
      </c>
      <c r="E1584" s="2">
        <v>44600</v>
      </c>
      <c r="F1584" s="2">
        <v>44780</v>
      </c>
      <c r="G1584" s="3">
        <v>46800</v>
      </c>
      <c r="H1584" s="1">
        <v>0</v>
      </c>
      <c r="I1584" s="1" t="s">
        <v>1274</v>
      </c>
      <c r="J1584" s="1" t="s">
        <v>13</v>
      </c>
    </row>
    <row r="1585" spans="1:10" hidden="1" x14ac:dyDescent="0.25">
      <c r="A1585" s="1" t="s">
        <v>244</v>
      </c>
      <c r="B1585" s="1" t="s">
        <v>98</v>
      </c>
      <c r="C1585" s="1">
        <v>18663</v>
      </c>
      <c r="D1585" s="1">
        <v>27675</v>
      </c>
      <c r="E1585" s="2">
        <v>44600</v>
      </c>
      <c r="F1585" s="2">
        <v>44780</v>
      </c>
      <c r="G1585" s="3">
        <v>48000</v>
      </c>
      <c r="H1585" s="1">
        <v>0</v>
      </c>
      <c r="I1585" s="1" t="s">
        <v>1412</v>
      </c>
      <c r="J1585" s="1" t="s">
        <v>27</v>
      </c>
    </row>
    <row r="1586" spans="1:10" hidden="1" x14ac:dyDescent="0.25">
      <c r="A1586" s="1" t="s">
        <v>97</v>
      </c>
      <c r="B1586" s="1" t="s">
        <v>98</v>
      </c>
      <c r="C1586" s="1">
        <v>18664</v>
      </c>
      <c r="D1586" s="1">
        <v>27676</v>
      </c>
      <c r="E1586" s="2">
        <v>44600</v>
      </c>
      <c r="F1586" s="2">
        <v>44780</v>
      </c>
      <c r="G1586" s="3">
        <v>48000</v>
      </c>
      <c r="H1586" s="1">
        <v>0</v>
      </c>
      <c r="I1586" s="1" t="s">
        <v>1540</v>
      </c>
      <c r="J1586" s="1" t="s">
        <v>27</v>
      </c>
    </row>
    <row r="1587" spans="1:10" hidden="1" x14ac:dyDescent="0.25">
      <c r="A1587" s="1" t="s">
        <v>10</v>
      </c>
      <c r="B1587" s="1" t="s">
        <v>11</v>
      </c>
      <c r="C1587" s="1">
        <v>18669</v>
      </c>
      <c r="D1587" s="1">
        <v>27681</v>
      </c>
      <c r="E1587" s="2">
        <v>44600</v>
      </c>
      <c r="F1587" s="2">
        <v>44780</v>
      </c>
      <c r="G1587" s="3">
        <v>25200</v>
      </c>
      <c r="H1587" s="1">
        <v>0</v>
      </c>
      <c r="I1587" s="1" t="s">
        <v>1556</v>
      </c>
      <c r="J1587" s="1" t="s">
        <v>13</v>
      </c>
    </row>
    <row r="1588" spans="1:10" hidden="1" x14ac:dyDescent="0.25">
      <c r="A1588" s="1" t="s">
        <v>10</v>
      </c>
      <c r="B1588" s="1" t="s">
        <v>11</v>
      </c>
      <c r="C1588" s="1">
        <v>18682</v>
      </c>
      <c r="D1588" s="1">
        <v>27694</v>
      </c>
      <c r="E1588" s="2">
        <v>44601</v>
      </c>
      <c r="F1588" s="2">
        <v>44781</v>
      </c>
      <c r="G1588" s="3">
        <v>121800</v>
      </c>
      <c r="H1588" s="1">
        <v>0</v>
      </c>
      <c r="I1588" s="1" t="s">
        <v>459</v>
      </c>
      <c r="J1588" s="1" t="s">
        <v>13</v>
      </c>
    </row>
    <row r="1589" spans="1:10" hidden="1" x14ac:dyDescent="0.25">
      <c r="A1589" s="1" t="s">
        <v>150</v>
      </c>
      <c r="B1589" s="1" t="s">
        <v>151</v>
      </c>
      <c r="C1589" s="1">
        <v>16544</v>
      </c>
      <c r="D1589" s="1">
        <v>25503</v>
      </c>
      <c r="E1589" s="2">
        <v>44421</v>
      </c>
      <c r="F1589" s="2">
        <v>44781</v>
      </c>
      <c r="G1589" s="3">
        <v>38250</v>
      </c>
      <c r="H1589" s="1">
        <v>0</v>
      </c>
      <c r="I1589" s="1" t="s">
        <v>1363</v>
      </c>
      <c r="J1589" s="1" t="s">
        <v>58</v>
      </c>
    </row>
    <row r="1590" spans="1:10" hidden="1" x14ac:dyDescent="0.25">
      <c r="A1590" s="1" t="s">
        <v>10</v>
      </c>
      <c r="B1590" s="1" t="s">
        <v>11</v>
      </c>
      <c r="C1590" s="1">
        <v>18351</v>
      </c>
      <c r="D1590" s="1">
        <v>27359</v>
      </c>
      <c r="E1590" s="2">
        <v>44572</v>
      </c>
      <c r="F1590" s="2">
        <v>44782</v>
      </c>
      <c r="G1590" s="3">
        <v>8666.68</v>
      </c>
      <c r="H1590" s="1">
        <v>0</v>
      </c>
      <c r="I1590" s="1" t="s">
        <v>45</v>
      </c>
      <c r="J1590" s="1" t="s">
        <v>13</v>
      </c>
    </row>
    <row r="1591" spans="1:10" hidden="1" x14ac:dyDescent="0.25">
      <c r="A1591" s="1" t="s">
        <v>97</v>
      </c>
      <c r="B1591" s="1" t="s">
        <v>98</v>
      </c>
      <c r="C1591" s="1">
        <v>18697</v>
      </c>
      <c r="D1591" s="1">
        <v>27710</v>
      </c>
      <c r="E1591" s="2">
        <v>44602</v>
      </c>
      <c r="F1591" s="2">
        <v>44782</v>
      </c>
      <c r="G1591" s="3">
        <v>48000</v>
      </c>
      <c r="H1591" s="1">
        <v>0</v>
      </c>
      <c r="I1591" s="1" t="s">
        <v>1208</v>
      </c>
      <c r="J1591" s="1" t="s">
        <v>27</v>
      </c>
    </row>
    <row r="1592" spans="1:10" hidden="1" x14ac:dyDescent="0.25">
      <c r="A1592" s="1" t="s">
        <v>244</v>
      </c>
      <c r="B1592" s="1" t="s">
        <v>98</v>
      </c>
      <c r="C1592" s="1">
        <v>18696</v>
      </c>
      <c r="D1592" s="1">
        <v>27709</v>
      </c>
      <c r="E1592" s="2">
        <v>44602</v>
      </c>
      <c r="F1592" s="2">
        <v>44782</v>
      </c>
      <c r="G1592" s="3">
        <v>48000</v>
      </c>
      <c r="H1592" s="1">
        <v>0</v>
      </c>
      <c r="I1592" s="1" t="s">
        <v>1275</v>
      </c>
      <c r="J1592" s="1" t="s">
        <v>27</v>
      </c>
    </row>
    <row r="1593" spans="1:10" hidden="1" x14ac:dyDescent="0.25">
      <c r="A1593" s="1" t="s">
        <v>10</v>
      </c>
      <c r="B1593" s="1" t="s">
        <v>11</v>
      </c>
      <c r="C1593" s="1">
        <v>18703</v>
      </c>
      <c r="D1593" s="1">
        <v>27716</v>
      </c>
      <c r="E1593" s="2">
        <v>44602</v>
      </c>
      <c r="F1593" s="2">
        <v>44782</v>
      </c>
      <c r="G1593" s="3">
        <v>107100</v>
      </c>
      <c r="H1593" s="1">
        <v>0</v>
      </c>
      <c r="I1593" s="1" t="s">
        <v>1346</v>
      </c>
      <c r="J1593" s="1" t="s">
        <v>13</v>
      </c>
    </row>
    <row r="1594" spans="1:10" hidden="1" x14ac:dyDescent="0.25">
      <c r="A1594" s="1" t="s">
        <v>221</v>
      </c>
      <c r="B1594" s="1" t="s">
        <v>222</v>
      </c>
      <c r="C1594" s="1">
        <v>18695</v>
      </c>
      <c r="D1594" s="1">
        <v>27708</v>
      </c>
      <c r="E1594" s="2">
        <v>44602</v>
      </c>
      <c r="F1594" s="2">
        <v>44782</v>
      </c>
      <c r="G1594" s="3">
        <v>48000</v>
      </c>
      <c r="H1594" s="1">
        <v>0</v>
      </c>
      <c r="I1594" s="1" t="s">
        <v>1586</v>
      </c>
      <c r="J1594" s="1" t="s">
        <v>27</v>
      </c>
    </row>
    <row r="1595" spans="1:10" hidden="1" x14ac:dyDescent="0.25">
      <c r="A1595" s="1" t="s">
        <v>180</v>
      </c>
      <c r="B1595" s="1" t="s">
        <v>181</v>
      </c>
      <c r="C1595" s="1">
        <v>18359</v>
      </c>
      <c r="D1595" s="1">
        <v>27367</v>
      </c>
      <c r="E1595" s="2">
        <v>44573</v>
      </c>
      <c r="F1595" s="2">
        <v>44783</v>
      </c>
      <c r="G1595" s="3">
        <v>33750</v>
      </c>
      <c r="H1595" s="1">
        <v>0</v>
      </c>
      <c r="I1595" s="1" t="s">
        <v>742</v>
      </c>
      <c r="J1595" s="1" t="s">
        <v>88</v>
      </c>
    </row>
    <row r="1596" spans="1:10" hidden="1" x14ac:dyDescent="0.25">
      <c r="A1596" s="1" t="s">
        <v>173</v>
      </c>
      <c r="B1596" s="1" t="s">
        <v>174</v>
      </c>
      <c r="C1596" s="1">
        <v>18077</v>
      </c>
      <c r="D1596" s="1">
        <v>27091</v>
      </c>
      <c r="E1596" s="2">
        <v>44544</v>
      </c>
      <c r="F1596" s="2">
        <v>44784</v>
      </c>
      <c r="G1596" s="3">
        <v>35250</v>
      </c>
      <c r="H1596" s="1">
        <v>0</v>
      </c>
      <c r="I1596" s="1" t="s">
        <v>1542</v>
      </c>
      <c r="J1596" s="1" t="s">
        <v>68</v>
      </c>
    </row>
    <row r="1597" spans="1:10" hidden="1" x14ac:dyDescent="0.25">
      <c r="A1597" s="1" t="s">
        <v>70</v>
      </c>
      <c r="B1597" s="1" t="s">
        <v>71</v>
      </c>
      <c r="C1597" s="1">
        <v>18727</v>
      </c>
      <c r="D1597" s="1">
        <v>27743</v>
      </c>
      <c r="E1597" s="2">
        <v>44606</v>
      </c>
      <c r="F1597" s="2">
        <v>44786</v>
      </c>
      <c r="G1597" s="3">
        <v>17024.560000000001</v>
      </c>
      <c r="H1597" s="1">
        <v>0</v>
      </c>
      <c r="I1597" s="1" t="s">
        <v>990</v>
      </c>
      <c r="J1597" s="1" t="s">
        <v>73</v>
      </c>
    </row>
    <row r="1598" spans="1:10" hidden="1" x14ac:dyDescent="0.25">
      <c r="A1598" s="1" t="s">
        <v>70</v>
      </c>
      <c r="B1598" s="1" t="s">
        <v>71</v>
      </c>
      <c r="C1598" s="1">
        <v>18726</v>
      </c>
      <c r="D1598" s="1">
        <v>27742</v>
      </c>
      <c r="E1598" s="2">
        <v>44606</v>
      </c>
      <c r="F1598" s="2">
        <v>44786</v>
      </c>
      <c r="G1598" s="3">
        <v>18583.66</v>
      </c>
      <c r="H1598" s="1">
        <v>0</v>
      </c>
      <c r="I1598" s="1" t="s">
        <v>432</v>
      </c>
      <c r="J1598" s="1" t="s">
        <v>73</v>
      </c>
    </row>
    <row r="1599" spans="1:10" hidden="1" x14ac:dyDescent="0.25">
      <c r="A1599" s="1" t="s">
        <v>70</v>
      </c>
      <c r="B1599" s="1" t="s">
        <v>71</v>
      </c>
      <c r="C1599" s="1">
        <v>18725</v>
      </c>
      <c r="D1599" s="1">
        <v>27741</v>
      </c>
      <c r="E1599" s="2">
        <v>44606</v>
      </c>
      <c r="F1599" s="2">
        <v>44786</v>
      </c>
      <c r="G1599" s="3">
        <v>3430</v>
      </c>
      <c r="H1599" s="1">
        <v>0</v>
      </c>
      <c r="I1599" s="1" t="s">
        <v>464</v>
      </c>
      <c r="J1599" s="1" t="s">
        <v>73</v>
      </c>
    </row>
    <row r="1600" spans="1:10" hidden="1" x14ac:dyDescent="0.25">
      <c r="A1600" s="1" t="s">
        <v>140</v>
      </c>
      <c r="B1600" s="1" t="s">
        <v>141</v>
      </c>
      <c r="C1600" s="1">
        <v>18730</v>
      </c>
      <c r="D1600" s="1">
        <v>27746</v>
      </c>
      <c r="E1600" s="2">
        <v>44607</v>
      </c>
      <c r="F1600" s="2">
        <v>44787</v>
      </c>
      <c r="G1600" s="3">
        <v>77390.820000000007</v>
      </c>
      <c r="H1600" s="1">
        <v>0</v>
      </c>
      <c r="I1600" s="1" t="s">
        <v>928</v>
      </c>
      <c r="J1600" s="1" t="s">
        <v>73</v>
      </c>
    </row>
    <row r="1601" spans="1:10" hidden="1" x14ac:dyDescent="0.25">
      <c r="A1601" s="1" t="s">
        <v>10</v>
      </c>
      <c r="B1601" s="1" t="s">
        <v>11</v>
      </c>
      <c r="C1601" s="1">
        <v>18431</v>
      </c>
      <c r="D1601" s="1">
        <v>27431</v>
      </c>
      <c r="E1601" s="2">
        <v>44578</v>
      </c>
      <c r="F1601" s="2">
        <v>44788</v>
      </c>
      <c r="G1601" s="3">
        <v>69000.14</v>
      </c>
      <c r="H1601" s="1">
        <v>0</v>
      </c>
      <c r="I1601" s="1" t="s">
        <v>681</v>
      </c>
      <c r="J1601" s="1" t="s">
        <v>13</v>
      </c>
    </row>
    <row r="1602" spans="1:10" hidden="1" x14ac:dyDescent="0.25">
      <c r="A1602" s="1" t="s">
        <v>10</v>
      </c>
      <c r="B1602" s="1" t="s">
        <v>11</v>
      </c>
      <c r="C1602" s="1">
        <v>18737</v>
      </c>
      <c r="D1602" s="1">
        <v>27755</v>
      </c>
      <c r="E1602" s="2">
        <v>44608</v>
      </c>
      <c r="F1602" s="2">
        <v>44788</v>
      </c>
      <c r="G1602" s="3">
        <v>29575</v>
      </c>
      <c r="H1602" s="1">
        <v>0</v>
      </c>
      <c r="I1602" s="1" t="s">
        <v>1255</v>
      </c>
      <c r="J1602" s="1" t="s">
        <v>13</v>
      </c>
    </row>
    <row r="1603" spans="1:10" hidden="1" x14ac:dyDescent="0.25">
      <c r="A1603" s="1" t="s">
        <v>10</v>
      </c>
      <c r="B1603" s="1" t="s">
        <v>11</v>
      </c>
      <c r="C1603" s="1">
        <v>18738</v>
      </c>
      <c r="D1603" s="1">
        <v>27756</v>
      </c>
      <c r="E1603" s="2">
        <v>44608</v>
      </c>
      <c r="F1603" s="2">
        <v>44788</v>
      </c>
      <c r="G1603" s="3">
        <v>43081.75</v>
      </c>
      <c r="H1603" s="1">
        <v>0</v>
      </c>
      <c r="I1603" s="1" t="s">
        <v>1557</v>
      </c>
      <c r="J1603" s="1" t="s">
        <v>13</v>
      </c>
    </row>
    <row r="1604" spans="1:10" hidden="1" x14ac:dyDescent="0.25">
      <c r="A1604" s="1" t="s">
        <v>20</v>
      </c>
      <c r="B1604" s="1" t="s">
        <v>21</v>
      </c>
      <c r="C1604" s="1">
        <v>18753</v>
      </c>
      <c r="D1604" s="1">
        <v>27772</v>
      </c>
      <c r="E1604" s="2">
        <v>44609</v>
      </c>
      <c r="F1604" s="2">
        <v>44789</v>
      </c>
      <c r="G1604" s="3">
        <v>3666.68</v>
      </c>
      <c r="H1604" s="1">
        <v>0</v>
      </c>
      <c r="I1604" s="1" t="s">
        <v>966</v>
      </c>
      <c r="J1604" s="1" t="s">
        <v>23</v>
      </c>
    </row>
    <row r="1605" spans="1:10" hidden="1" x14ac:dyDescent="0.25">
      <c r="A1605" s="1" t="s">
        <v>20</v>
      </c>
      <c r="B1605" s="1" t="s">
        <v>21</v>
      </c>
      <c r="C1605" s="1">
        <v>18750</v>
      </c>
      <c r="D1605" s="1">
        <v>27769</v>
      </c>
      <c r="E1605" s="2">
        <v>44609</v>
      </c>
      <c r="F1605" s="2">
        <v>44789</v>
      </c>
      <c r="G1605" s="3">
        <v>18452.7</v>
      </c>
      <c r="H1605" s="1">
        <v>0</v>
      </c>
      <c r="I1605" s="1" t="s">
        <v>1008</v>
      </c>
      <c r="J1605" s="1" t="s">
        <v>23</v>
      </c>
    </row>
    <row r="1606" spans="1:10" hidden="1" x14ac:dyDescent="0.25">
      <c r="A1606" s="1" t="s">
        <v>24</v>
      </c>
      <c r="B1606" s="1" t="s">
        <v>25</v>
      </c>
      <c r="C1606" s="1">
        <v>18756</v>
      </c>
      <c r="D1606" s="1">
        <v>27775</v>
      </c>
      <c r="E1606" s="2">
        <v>44610</v>
      </c>
      <c r="F1606" s="2">
        <v>44790</v>
      </c>
      <c r="G1606" s="3">
        <v>54000</v>
      </c>
      <c r="H1606" s="1">
        <v>0</v>
      </c>
      <c r="I1606" s="1" t="s">
        <v>913</v>
      </c>
      <c r="J1606" s="1" t="s">
        <v>27</v>
      </c>
    </row>
    <row r="1607" spans="1:10" hidden="1" x14ac:dyDescent="0.25">
      <c r="A1607" s="1" t="s">
        <v>1238</v>
      </c>
      <c r="B1607" s="1" t="s">
        <v>1239</v>
      </c>
      <c r="C1607" s="1"/>
      <c r="D1607" s="1">
        <v>176646</v>
      </c>
      <c r="E1607" s="2">
        <v>44547</v>
      </c>
      <c r="F1607" s="2">
        <v>44790</v>
      </c>
      <c r="G1607" s="3">
        <v>2400</v>
      </c>
      <c r="H1607" s="1">
        <v>0</v>
      </c>
      <c r="I1607" s="1" t="s">
        <v>1240</v>
      </c>
      <c r="J1607" s="1" t="s">
        <v>730</v>
      </c>
    </row>
    <row r="1608" spans="1:10" hidden="1" x14ac:dyDescent="0.25">
      <c r="A1608" s="1" t="s">
        <v>24</v>
      </c>
      <c r="B1608" s="1" t="s">
        <v>25</v>
      </c>
      <c r="C1608" s="1">
        <v>18502</v>
      </c>
      <c r="D1608" s="1">
        <v>27500</v>
      </c>
      <c r="E1608" s="2">
        <v>44582</v>
      </c>
      <c r="F1608" s="2">
        <v>44792</v>
      </c>
      <c r="G1608" s="3">
        <v>3170</v>
      </c>
      <c r="H1608" s="1">
        <v>0</v>
      </c>
      <c r="I1608" s="1" t="s">
        <v>482</v>
      </c>
      <c r="J1608" s="1" t="s">
        <v>27</v>
      </c>
    </row>
    <row r="1609" spans="1:10" hidden="1" x14ac:dyDescent="0.25">
      <c r="A1609" s="1" t="s">
        <v>321</v>
      </c>
      <c r="B1609" s="1" t="s">
        <v>322</v>
      </c>
      <c r="C1609" s="1">
        <v>18508</v>
      </c>
      <c r="D1609" s="1">
        <v>27506</v>
      </c>
      <c r="E1609" s="2">
        <v>44582</v>
      </c>
      <c r="F1609" s="2">
        <v>44792</v>
      </c>
      <c r="G1609" s="3">
        <v>8093.8</v>
      </c>
      <c r="H1609" s="1">
        <v>0</v>
      </c>
      <c r="I1609" s="1" t="s">
        <v>773</v>
      </c>
      <c r="J1609" s="1" t="s">
        <v>27</v>
      </c>
    </row>
    <row r="1610" spans="1:10" hidden="1" x14ac:dyDescent="0.25">
      <c r="A1610" s="1" t="s">
        <v>97</v>
      </c>
      <c r="B1610" s="1" t="s">
        <v>98</v>
      </c>
      <c r="C1610" s="1">
        <v>18500</v>
      </c>
      <c r="D1610" s="1">
        <v>27498</v>
      </c>
      <c r="E1610" s="2">
        <v>44582</v>
      </c>
      <c r="F1610" s="2">
        <v>44793</v>
      </c>
      <c r="G1610" s="3">
        <v>22909.8</v>
      </c>
      <c r="H1610" s="1">
        <v>0</v>
      </c>
      <c r="I1610" s="1" t="s">
        <v>164</v>
      </c>
      <c r="J1610" s="1" t="s">
        <v>27</v>
      </c>
    </row>
    <row r="1611" spans="1:10" hidden="1" x14ac:dyDescent="0.25">
      <c r="A1611" s="1" t="s">
        <v>201</v>
      </c>
      <c r="B1611" s="1" t="s">
        <v>202</v>
      </c>
      <c r="C1611" s="1">
        <v>18499</v>
      </c>
      <c r="D1611" s="1">
        <v>27497</v>
      </c>
      <c r="E1611" s="2">
        <v>44582</v>
      </c>
      <c r="F1611" s="2">
        <v>44793</v>
      </c>
      <c r="G1611" s="3">
        <v>33851.4</v>
      </c>
      <c r="H1611" s="1">
        <v>0</v>
      </c>
      <c r="I1611" s="1" t="s">
        <v>329</v>
      </c>
      <c r="J1611" s="1" t="s">
        <v>27</v>
      </c>
    </row>
    <row r="1612" spans="1:10" hidden="1" x14ac:dyDescent="0.25">
      <c r="A1612" s="1" t="s">
        <v>436</v>
      </c>
      <c r="B1612" s="1" t="s">
        <v>437</v>
      </c>
      <c r="C1612" s="1">
        <v>18257</v>
      </c>
      <c r="D1612" s="1">
        <v>27268</v>
      </c>
      <c r="E1612" s="2">
        <v>44565</v>
      </c>
      <c r="F1612" s="2">
        <v>44793</v>
      </c>
      <c r="G1612" s="3">
        <v>28249.9</v>
      </c>
      <c r="H1612" s="1">
        <v>0</v>
      </c>
      <c r="I1612" s="1" t="s">
        <v>438</v>
      </c>
      <c r="J1612" s="1" t="s">
        <v>27</v>
      </c>
    </row>
    <row r="1613" spans="1:10" hidden="1" x14ac:dyDescent="0.25">
      <c r="A1613" s="1" t="s">
        <v>97</v>
      </c>
      <c r="B1613" s="1" t="s">
        <v>98</v>
      </c>
      <c r="C1613" s="1">
        <v>18501</v>
      </c>
      <c r="D1613" s="1">
        <v>27499</v>
      </c>
      <c r="E1613" s="2">
        <v>44582</v>
      </c>
      <c r="F1613" s="2">
        <v>44793</v>
      </c>
      <c r="G1613" s="3">
        <v>51408</v>
      </c>
      <c r="H1613" s="1">
        <v>0</v>
      </c>
      <c r="I1613" s="1" t="s">
        <v>523</v>
      </c>
      <c r="J1613" s="1" t="s">
        <v>27</v>
      </c>
    </row>
    <row r="1614" spans="1:10" hidden="1" x14ac:dyDescent="0.25">
      <c r="A1614" s="1" t="s">
        <v>24</v>
      </c>
      <c r="B1614" s="1" t="s">
        <v>25</v>
      </c>
      <c r="C1614" s="1">
        <v>18504</v>
      </c>
      <c r="D1614" s="1">
        <v>27502</v>
      </c>
      <c r="E1614" s="2">
        <v>44582</v>
      </c>
      <c r="F1614" s="2">
        <v>44793</v>
      </c>
      <c r="G1614" s="3">
        <v>20000</v>
      </c>
      <c r="H1614" s="1">
        <v>0</v>
      </c>
      <c r="I1614" s="1" t="s">
        <v>548</v>
      </c>
      <c r="J1614" s="1" t="s">
        <v>27</v>
      </c>
    </row>
    <row r="1615" spans="1:10" hidden="1" x14ac:dyDescent="0.25">
      <c r="A1615" s="1" t="s">
        <v>201</v>
      </c>
      <c r="B1615" s="1" t="s">
        <v>202</v>
      </c>
      <c r="C1615" s="1">
        <v>18273</v>
      </c>
      <c r="D1615" s="1">
        <v>27283</v>
      </c>
      <c r="E1615" s="2">
        <v>44566</v>
      </c>
      <c r="F1615" s="2">
        <v>44793</v>
      </c>
      <c r="G1615" s="3">
        <v>108213.6</v>
      </c>
      <c r="H1615" s="1">
        <v>0</v>
      </c>
      <c r="I1615" s="1" t="s">
        <v>731</v>
      </c>
      <c r="J1615" s="1" t="s">
        <v>27</v>
      </c>
    </row>
    <row r="1616" spans="1:10" hidden="1" x14ac:dyDescent="0.25">
      <c r="A1616" s="1" t="s">
        <v>24</v>
      </c>
      <c r="B1616" s="1" t="s">
        <v>25</v>
      </c>
      <c r="C1616" s="1">
        <v>18291</v>
      </c>
      <c r="D1616" s="1">
        <v>27300</v>
      </c>
      <c r="E1616" s="2">
        <v>44566</v>
      </c>
      <c r="F1616" s="2">
        <v>44793</v>
      </c>
      <c r="G1616" s="3">
        <v>48000.2</v>
      </c>
      <c r="H1616" s="1">
        <v>0</v>
      </c>
      <c r="I1616" s="1" t="s">
        <v>790</v>
      </c>
      <c r="J1616" s="1" t="s">
        <v>27</v>
      </c>
    </row>
    <row r="1617" spans="1:10" hidden="1" x14ac:dyDescent="0.25">
      <c r="A1617" s="1" t="s">
        <v>244</v>
      </c>
      <c r="B1617" s="1" t="s">
        <v>98</v>
      </c>
      <c r="C1617" s="1">
        <v>18274</v>
      </c>
      <c r="D1617" s="1">
        <v>27284</v>
      </c>
      <c r="E1617" s="2">
        <v>44566</v>
      </c>
      <c r="F1617" s="2">
        <v>44793</v>
      </c>
      <c r="G1617" s="3">
        <v>19263.13</v>
      </c>
      <c r="H1617" s="1">
        <v>0</v>
      </c>
      <c r="I1617" s="1" t="s">
        <v>804</v>
      </c>
      <c r="J1617" s="1" t="s">
        <v>27</v>
      </c>
    </row>
    <row r="1618" spans="1:10" hidden="1" x14ac:dyDescent="0.25">
      <c r="A1618" s="1" t="s">
        <v>24</v>
      </c>
      <c r="B1618" s="1" t="s">
        <v>25</v>
      </c>
      <c r="C1618" s="1">
        <v>18763</v>
      </c>
      <c r="D1618" s="1">
        <v>27783</v>
      </c>
      <c r="E1618" s="2">
        <v>44613</v>
      </c>
      <c r="F1618" s="2">
        <v>44793</v>
      </c>
      <c r="G1618" s="3">
        <v>40000</v>
      </c>
      <c r="H1618" s="1">
        <v>0</v>
      </c>
      <c r="I1618" s="1" t="s">
        <v>894</v>
      </c>
      <c r="J1618" s="1" t="s">
        <v>27</v>
      </c>
    </row>
    <row r="1619" spans="1:10" hidden="1" x14ac:dyDescent="0.25">
      <c r="A1619" s="1" t="s">
        <v>24</v>
      </c>
      <c r="B1619" s="1" t="s">
        <v>25</v>
      </c>
      <c r="C1619" s="1">
        <v>18764</v>
      </c>
      <c r="D1619" s="1">
        <v>27784</v>
      </c>
      <c r="E1619" s="2">
        <v>44613</v>
      </c>
      <c r="F1619" s="2">
        <v>44793</v>
      </c>
      <c r="G1619" s="3">
        <v>23466.639999999999</v>
      </c>
      <c r="H1619" s="1">
        <v>0</v>
      </c>
      <c r="I1619" s="1" t="s">
        <v>929</v>
      </c>
      <c r="J1619" s="1" t="s">
        <v>27</v>
      </c>
    </row>
    <row r="1620" spans="1:10" hidden="1" x14ac:dyDescent="0.25">
      <c r="A1620" s="1" t="s">
        <v>221</v>
      </c>
      <c r="B1620" s="1" t="s">
        <v>222</v>
      </c>
      <c r="C1620" s="1">
        <v>18131</v>
      </c>
      <c r="D1620" s="1">
        <v>27145</v>
      </c>
      <c r="E1620" s="2">
        <v>44547</v>
      </c>
      <c r="F1620" s="2">
        <v>44793</v>
      </c>
      <c r="G1620" s="3">
        <v>20566</v>
      </c>
      <c r="H1620" s="1">
        <v>0</v>
      </c>
      <c r="I1620" s="1" t="s">
        <v>1021</v>
      </c>
      <c r="J1620" s="1" t="s">
        <v>27</v>
      </c>
    </row>
    <row r="1621" spans="1:10" hidden="1" x14ac:dyDescent="0.25">
      <c r="A1621" s="1" t="s">
        <v>24</v>
      </c>
      <c r="B1621" s="1" t="s">
        <v>25</v>
      </c>
      <c r="C1621" s="1">
        <v>18289</v>
      </c>
      <c r="D1621" s="1">
        <v>27298</v>
      </c>
      <c r="E1621" s="2">
        <v>44566</v>
      </c>
      <c r="F1621" s="2">
        <v>44793</v>
      </c>
      <c r="G1621" s="3">
        <v>23504.799999999999</v>
      </c>
      <c r="H1621" s="1">
        <v>0</v>
      </c>
      <c r="I1621" s="1" t="s">
        <v>1111</v>
      </c>
      <c r="J1621" s="1" t="s">
        <v>27</v>
      </c>
    </row>
    <row r="1622" spans="1:10" hidden="1" x14ac:dyDescent="0.25">
      <c r="A1622" s="1" t="s">
        <v>24</v>
      </c>
      <c r="B1622" s="1" t="s">
        <v>25</v>
      </c>
      <c r="C1622" s="1">
        <v>18503</v>
      </c>
      <c r="D1622" s="1">
        <v>27501</v>
      </c>
      <c r="E1622" s="2">
        <v>44582</v>
      </c>
      <c r="F1622" s="2">
        <v>44793</v>
      </c>
      <c r="G1622" s="3">
        <v>47358.35</v>
      </c>
      <c r="H1622" s="1">
        <v>0</v>
      </c>
      <c r="I1622" s="1" t="s">
        <v>548</v>
      </c>
      <c r="J1622" s="1" t="s">
        <v>27</v>
      </c>
    </row>
    <row r="1623" spans="1:10" hidden="1" x14ac:dyDescent="0.25">
      <c r="A1623" s="1" t="s">
        <v>24</v>
      </c>
      <c r="B1623" s="1" t="s">
        <v>25</v>
      </c>
      <c r="C1623" s="1">
        <v>18762</v>
      </c>
      <c r="D1623" s="1">
        <v>27782</v>
      </c>
      <c r="E1623" s="2">
        <v>44613</v>
      </c>
      <c r="F1623" s="2">
        <v>44793</v>
      </c>
      <c r="G1623" s="3">
        <v>11237.5</v>
      </c>
      <c r="H1623" s="1">
        <v>0</v>
      </c>
      <c r="I1623" s="1" t="s">
        <v>1180</v>
      </c>
      <c r="J1623" s="1" t="s">
        <v>27</v>
      </c>
    </row>
    <row r="1624" spans="1:10" hidden="1" x14ac:dyDescent="0.25">
      <c r="A1624" s="1" t="s">
        <v>97</v>
      </c>
      <c r="B1624" s="1" t="s">
        <v>98</v>
      </c>
      <c r="C1624" s="1">
        <v>18130</v>
      </c>
      <c r="D1624" s="1">
        <v>27144</v>
      </c>
      <c r="E1624" s="2">
        <v>44547</v>
      </c>
      <c r="F1624" s="2">
        <v>44793</v>
      </c>
      <c r="G1624" s="3">
        <v>11697.1</v>
      </c>
      <c r="H1624" s="1">
        <v>0</v>
      </c>
      <c r="I1624" s="1" t="s">
        <v>968</v>
      </c>
      <c r="J1624" s="1" t="s">
        <v>27</v>
      </c>
    </row>
    <row r="1625" spans="1:10" hidden="1" x14ac:dyDescent="0.25">
      <c r="A1625" s="1" t="s">
        <v>436</v>
      </c>
      <c r="B1625" s="1" t="s">
        <v>437</v>
      </c>
      <c r="C1625" s="1">
        <v>18391</v>
      </c>
      <c r="D1625" s="1">
        <v>27399</v>
      </c>
      <c r="E1625" s="2">
        <v>44575</v>
      </c>
      <c r="F1625" s="2">
        <v>44793</v>
      </c>
      <c r="G1625" s="3">
        <v>5972.52</v>
      </c>
      <c r="H1625" s="1">
        <v>0</v>
      </c>
      <c r="I1625" s="1" t="s">
        <v>1370</v>
      </c>
      <c r="J1625" s="1" t="s">
        <v>27</v>
      </c>
    </row>
    <row r="1626" spans="1:10" hidden="1" x14ac:dyDescent="0.25">
      <c r="A1626" s="1" t="s">
        <v>24</v>
      </c>
      <c r="B1626" s="1" t="s">
        <v>25</v>
      </c>
      <c r="C1626" s="1">
        <v>18176</v>
      </c>
      <c r="D1626" s="1">
        <v>27187</v>
      </c>
      <c r="E1626" s="2">
        <v>44550</v>
      </c>
      <c r="F1626" s="2">
        <v>44793</v>
      </c>
      <c r="G1626" s="3">
        <v>14076</v>
      </c>
      <c r="H1626" s="1">
        <v>0</v>
      </c>
      <c r="I1626" s="1" t="s">
        <v>548</v>
      </c>
      <c r="J1626" s="1" t="s">
        <v>27</v>
      </c>
    </row>
    <row r="1627" spans="1:10" hidden="1" x14ac:dyDescent="0.25">
      <c r="A1627" s="1" t="s">
        <v>24</v>
      </c>
      <c r="B1627" s="1" t="s">
        <v>25</v>
      </c>
      <c r="C1627" s="1">
        <v>18290</v>
      </c>
      <c r="D1627" s="1">
        <v>27299</v>
      </c>
      <c r="E1627" s="2">
        <v>44566</v>
      </c>
      <c r="F1627" s="2">
        <v>44793</v>
      </c>
      <c r="G1627" s="3">
        <v>14664</v>
      </c>
      <c r="H1627" s="1">
        <v>0</v>
      </c>
      <c r="I1627" s="1" t="s">
        <v>548</v>
      </c>
      <c r="J1627" s="1" t="s">
        <v>27</v>
      </c>
    </row>
    <row r="1628" spans="1:10" hidden="1" x14ac:dyDescent="0.25">
      <c r="A1628" s="1" t="s">
        <v>24</v>
      </c>
      <c r="B1628" s="1" t="s">
        <v>25</v>
      </c>
      <c r="C1628" s="1">
        <v>18761</v>
      </c>
      <c r="D1628" s="1">
        <v>27781</v>
      </c>
      <c r="E1628" s="2">
        <v>44613</v>
      </c>
      <c r="F1628" s="2">
        <v>44793</v>
      </c>
      <c r="G1628" s="3">
        <v>4320</v>
      </c>
      <c r="H1628" s="1">
        <v>0</v>
      </c>
      <c r="I1628" s="1" t="s">
        <v>1588</v>
      </c>
      <c r="J1628" s="1" t="s">
        <v>27</v>
      </c>
    </row>
    <row r="1629" spans="1:10" hidden="1" x14ac:dyDescent="0.25">
      <c r="A1629" s="1" t="s">
        <v>201</v>
      </c>
      <c r="B1629" s="1" t="s">
        <v>202</v>
      </c>
      <c r="C1629" s="1">
        <v>18790</v>
      </c>
      <c r="D1629" s="1">
        <v>27811</v>
      </c>
      <c r="E1629" s="2">
        <v>44614</v>
      </c>
      <c r="F1629" s="2">
        <v>44793</v>
      </c>
      <c r="G1629" s="3">
        <v>15980</v>
      </c>
      <c r="H1629" s="1">
        <v>0</v>
      </c>
      <c r="I1629" s="1" t="s">
        <v>1592</v>
      </c>
      <c r="J1629" s="1" t="s">
        <v>27</v>
      </c>
    </row>
    <row r="1630" spans="1:10" hidden="1" x14ac:dyDescent="0.25">
      <c r="A1630" s="1" t="s">
        <v>24</v>
      </c>
      <c r="B1630" s="1" t="s">
        <v>25</v>
      </c>
      <c r="C1630" s="1">
        <v>18792</v>
      </c>
      <c r="D1630" s="1">
        <v>27813</v>
      </c>
      <c r="E1630" s="2">
        <v>44614</v>
      </c>
      <c r="F1630" s="2">
        <v>44794</v>
      </c>
      <c r="G1630" s="3">
        <v>54000</v>
      </c>
      <c r="H1630" s="1">
        <v>0</v>
      </c>
      <c r="I1630" s="1" t="s">
        <v>1241</v>
      </c>
      <c r="J1630" s="1" t="s">
        <v>27</v>
      </c>
    </row>
    <row r="1631" spans="1:10" hidden="1" x14ac:dyDescent="0.25">
      <c r="A1631" s="1" t="s">
        <v>244</v>
      </c>
      <c r="B1631" s="1" t="s">
        <v>98</v>
      </c>
      <c r="C1631" s="1">
        <v>18787</v>
      </c>
      <c r="D1631" s="1">
        <v>27807</v>
      </c>
      <c r="E1631" s="2">
        <v>44614</v>
      </c>
      <c r="F1631" s="2">
        <v>44794</v>
      </c>
      <c r="G1631" s="3">
        <v>27000</v>
      </c>
      <c r="H1631" s="1">
        <v>0</v>
      </c>
      <c r="I1631" s="1" t="s">
        <v>1400</v>
      </c>
      <c r="J1631" s="1" t="s">
        <v>27</v>
      </c>
    </row>
    <row r="1632" spans="1:10" x14ac:dyDescent="0.25">
      <c r="A1632" s="1" t="s">
        <v>554</v>
      </c>
      <c r="B1632" s="1" t="s">
        <v>555</v>
      </c>
      <c r="C1632" s="1">
        <v>18785</v>
      </c>
      <c r="D1632" s="1">
        <v>27805</v>
      </c>
      <c r="E1632" s="2">
        <v>44614</v>
      </c>
      <c r="F1632" s="2">
        <v>44794</v>
      </c>
      <c r="G1632" s="3">
        <v>61215</v>
      </c>
      <c r="H1632" s="1">
        <v>0</v>
      </c>
      <c r="I1632" s="1" t="s">
        <v>700</v>
      </c>
      <c r="J1632" s="1" t="s">
        <v>27</v>
      </c>
    </row>
    <row r="1633" spans="1:10" hidden="1" x14ac:dyDescent="0.25">
      <c r="A1633" s="1" t="s">
        <v>201</v>
      </c>
      <c r="B1633" s="1" t="s">
        <v>202</v>
      </c>
      <c r="C1633" s="1">
        <v>18791</v>
      </c>
      <c r="D1633" s="1">
        <v>27812</v>
      </c>
      <c r="E1633" s="2">
        <v>44614</v>
      </c>
      <c r="F1633" s="2">
        <v>44794</v>
      </c>
      <c r="G1633" s="3">
        <v>72398</v>
      </c>
      <c r="H1633" s="1">
        <v>0</v>
      </c>
      <c r="I1633" s="1" t="s">
        <v>1592</v>
      </c>
      <c r="J1633" s="1" t="s">
        <v>27</v>
      </c>
    </row>
    <row r="1634" spans="1:10" hidden="1" x14ac:dyDescent="0.25">
      <c r="A1634" s="1" t="s">
        <v>20</v>
      </c>
      <c r="B1634" s="1" t="s">
        <v>21</v>
      </c>
      <c r="C1634" s="1">
        <v>18812</v>
      </c>
      <c r="D1634" s="1">
        <v>27835</v>
      </c>
      <c r="E1634" s="2">
        <v>44615</v>
      </c>
      <c r="F1634" s="2">
        <v>44795</v>
      </c>
      <c r="G1634" s="3">
        <v>2773.34</v>
      </c>
      <c r="H1634" s="1">
        <v>0</v>
      </c>
      <c r="I1634" s="1" t="s">
        <v>1027</v>
      </c>
      <c r="J1634" s="1" t="s">
        <v>23</v>
      </c>
    </row>
    <row r="1635" spans="1:10" hidden="1" x14ac:dyDescent="0.25">
      <c r="A1635" s="1" t="s">
        <v>10</v>
      </c>
      <c r="B1635" s="1" t="s">
        <v>11</v>
      </c>
      <c r="C1635" s="1">
        <v>18817</v>
      </c>
      <c r="D1635" s="1">
        <v>27840</v>
      </c>
      <c r="E1635" s="2">
        <v>44615</v>
      </c>
      <c r="F1635" s="2">
        <v>44795</v>
      </c>
      <c r="G1635" s="3">
        <v>12475</v>
      </c>
      <c r="H1635" s="1">
        <v>0</v>
      </c>
      <c r="I1635" s="1" t="s">
        <v>1176</v>
      </c>
      <c r="J1635" s="1" t="s">
        <v>13</v>
      </c>
    </row>
    <row r="1636" spans="1:10" hidden="1" x14ac:dyDescent="0.25">
      <c r="A1636" s="1" t="s">
        <v>231</v>
      </c>
      <c r="B1636" s="1" t="s">
        <v>232</v>
      </c>
      <c r="C1636" s="1">
        <v>18821</v>
      </c>
      <c r="D1636" s="1">
        <v>27844</v>
      </c>
      <c r="E1636" s="2">
        <v>44615</v>
      </c>
      <c r="F1636" s="2">
        <v>44795</v>
      </c>
      <c r="G1636" s="3">
        <v>6939.74</v>
      </c>
      <c r="H1636" s="1">
        <v>0</v>
      </c>
      <c r="I1636" s="1" t="s">
        <v>1350</v>
      </c>
      <c r="J1636" s="1" t="s">
        <v>13</v>
      </c>
    </row>
    <row r="1637" spans="1:10" hidden="1" x14ac:dyDescent="0.25">
      <c r="A1637" s="1" t="s">
        <v>10</v>
      </c>
      <c r="B1637" s="1" t="s">
        <v>11</v>
      </c>
      <c r="C1637" s="1">
        <v>18816</v>
      </c>
      <c r="D1637" s="1">
        <v>27839</v>
      </c>
      <c r="E1637" s="2">
        <v>44615</v>
      </c>
      <c r="F1637" s="2">
        <v>44795</v>
      </c>
      <c r="G1637" s="3">
        <v>74850</v>
      </c>
      <c r="H1637" s="1">
        <v>0</v>
      </c>
      <c r="I1637" s="1" t="s">
        <v>1465</v>
      </c>
      <c r="J1637" s="1" t="s">
        <v>13</v>
      </c>
    </row>
    <row r="1638" spans="1:10" hidden="1" x14ac:dyDescent="0.25">
      <c r="A1638" s="1" t="s">
        <v>24</v>
      </c>
      <c r="B1638" s="1" t="s">
        <v>25</v>
      </c>
      <c r="C1638" s="1">
        <v>18815</v>
      </c>
      <c r="D1638" s="1">
        <v>27838</v>
      </c>
      <c r="E1638" s="2">
        <v>44615</v>
      </c>
      <c r="F1638" s="2">
        <v>44795</v>
      </c>
      <c r="G1638" s="3">
        <v>54000</v>
      </c>
      <c r="H1638" s="1">
        <v>0</v>
      </c>
      <c r="I1638" s="1" t="s">
        <v>1696</v>
      </c>
      <c r="J1638" s="1" t="s">
        <v>27</v>
      </c>
    </row>
    <row r="1639" spans="1:10" hidden="1" x14ac:dyDescent="0.25">
      <c r="A1639" s="1" t="s">
        <v>24</v>
      </c>
      <c r="B1639" s="1" t="s">
        <v>25</v>
      </c>
      <c r="C1639" s="1">
        <v>18842</v>
      </c>
      <c r="D1639" s="1">
        <v>27862</v>
      </c>
      <c r="E1639" s="2">
        <v>44616</v>
      </c>
      <c r="F1639" s="2">
        <v>44796</v>
      </c>
      <c r="G1639" s="3">
        <v>54000</v>
      </c>
      <c r="H1639" s="1">
        <v>0</v>
      </c>
      <c r="I1639" s="1" t="s">
        <v>1673</v>
      </c>
      <c r="J1639" s="1" t="s">
        <v>27</v>
      </c>
    </row>
    <row r="1640" spans="1:10" hidden="1" x14ac:dyDescent="0.25">
      <c r="A1640" s="1" t="s">
        <v>24</v>
      </c>
      <c r="B1640" s="1" t="s">
        <v>25</v>
      </c>
      <c r="C1640" s="1">
        <v>18849</v>
      </c>
      <c r="D1640" s="1">
        <v>27870</v>
      </c>
      <c r="E1640" s="2">
        <v>44617</v>
      </c>
      <c r="F1640" s="2">
        <v>44797</v>
      </c>
      <c r="G1640" s="3">
        <v>54000</v>
      </c>
      <c r="H1640" s="1">
        <v>0</v>
      </c>
      <c r="I1640" s="1" t="s">
        <v>1697</v>
      </c>
      <c r="J1640" s="1" t="s">
        <v>27</v>
      </c>
    </row>
    <row r="1641" spans="1:10" hidden="1" x14ac:dyDescent="0.25">
      <c r="A1641" s="1" t="s">
        <v>36</v>
      </c>
      <c r="B1641" s="1" t="s">
        <v>37</v>
      </c>
      <c r="C1641" s="1">
        <v>18955</v>
      </c>
      <c r="D1641" s="1">
        <v>27966</v>
      </c>
      <c r="E1641" s="2">
        <v>44629</v>
      </c>
      <c r="F1641" s="2">
        <v>44803</v>
      </c>
      <c r="G1641" s="3">
        <v>189920</v>
      </c>
      <c r="H1641" s="1">
        <v>0</v>
      </c>
      <c r="I1641" s="1" t="s">
        <v>38</v>
      </c>
      <c r="J1641" s="1" t="s">
        <v>31</v>
      </c>
    </row>
    <row r="1642" spans="1:10" hidden="1" x14ac:dyDescent="0.25">
      <c r="A1642" s="1" t="s">
        <v>39</v>
      </c>
      <c r="B1642" s="1" t="s">
        <v>40</v>
      </c>
      <c r="C1642" s="1">
        <v>18956</v>
      </c>
      <c r="D1642" s="1">
        <v>27967</v>
      </c>
      <c r="E1642" s="2">
        <v>44630</v>
      </c>
      <c r="F1642" s="2">
        <v>44803</v>
      </c>
      <c r="G1642" s="3">
        <v>157120</v>
      </c>
      <c r="H1642" s="1">
        <v>0</v>
      </c>
      <c r="I1642" s="1" t="s">
        <v>41</v>
      </c>
      <c r="J1642" s="1" t="s">
        <v>31</v>
      </c>
    </row>
    <row r="1643" spans="1:10" hidden="1" x14ac:dyDescent="0.25">
      <c r="A1643" s="1" t="s">
        <v>74</v>
      </c>
      <c r="B1643" s="1" t="s">
        <v>75</v>
      </c>
      <c r="C1643" s="1">
        <v>18354</v>
      </c>
      <c r="D1643" s="1">
        <v>27362</v>
      </c>
      <c r="E1643" s="2">
        <v>44573</v>
      </c>
      <c r="F1643" s="2">
        <v>44803</v>
      </c>
      <c r="G1643" s="3">
        <v>30000</v>
      </c>
      <c r="H1643" s="1">
        <v>0</v>
      </c>
      <c r="I1643" s="1" t="s">
        <v>76</v>
      </c>
      <c r="J1643" s="1" t="s">
        <v>77</v>
      </c>
    </row>
    <row r="1644" spans="1:10" hidden="1" x14ac:dyDescent="0.25">
      <c r="A1644" s="1" t="s">
        <v>116</v>
      </c>
      <c r="B1644" s="1" t="s">
        <v>117</v>
      </c>
      <c r="C1644" s="1">
        <v>18470</v>
      </c>
      <c r="D1644" s="1">
        <v>27469</v>
      </c>
      <c r="E1644" s="2">
        <v>44580</v>
      </c>
      <c r="F1644" s="2">
        <v>44803</v>
      </c>
      <c r="G1644" s="3">
        <v>153600</v>
      </c>
      <c r="H1644" s="1">
        <v>0</v>
      </c>
      <c r="I1644" s="1" t="s">
        <v>118</v>
      </c>
      <c r="J1644" s="1" t="s">
        <v>50</v>
      </c>
    </row>
    <row r="1645" spans="1:10" hidden="1" x14ac:dyDescent="0.25">
      <c r="A1645" s="1" t="s">
        <v>165</v>
      </c>
      <c r="B1645" s="1" t="s">
        <v>29</v>
      </c>
      <c r="C1645" s="1">
        <v>18564</v>
      </c>
      <c r="D1645" s="1">
        <v>27571</v>
      </c>
      <c r="E1645" s="2">
        <v>44589</v>
      </c>
      <c r="F1645" s="2">
        <v>44803</v>
      </c>
      <c r="G1645" s="3">
        <v>209346</v>
      </c>
      <c r="H1645" s="1">
        <v>0</v>
      </c>
      <c r="I1645" s="1" t="s">
        <v>166</v>
      </c>
      <c r="J1645" s="1" t="s">
        <v>31</v>
      </c>
    </row>
    <row r="1646" spans="1:10" hidden="1" x14ac:dyDescent="0.25">
      <c r="A1646" s="1" t="s">
        <v>39</v>
      </c>
      <c r="B1646" s="1" t="s">
        <v>40</v>
      </c>
      <c r="C1646" s="1">
        <v>18577</v>
      </c>
      <c r="D1646" s="1">
        <v>27586</v>
      </c>
      <c r="E1646" s="2">
        <v>44592</v>
      </c>
      <c r="F1646" s="2">
        <v>44803</v>
      </c>
      <c r="G1646" s="3">
        <v>209605</v>
      </c>
      <c r="H1646" s="1">
        <v>0</v>
      </c>
      <c r="I1646" s="1" t="s">
        <v>195</v>
      </c>
      <c r="J1646" s="1" t="s">
        <v>31</v>
      </c>
    </row>
    <row r="1647" spans="1:10" hidden="1" x14ac:dyDescent="0.25">
      <c r="A1647" s="1" t="s">
        <v>116</v>
      </c>
      <c r="B1647" s="1" t="s">
        <v>117</v>
      </c>
      <c r="C1647" s="1">
        <v>18477</v>
      </c>
      <c r="D1647" s="1">
        <v>27475</v>
      </c>
      <c r="E1647" s="2">
        <v>44581</v>
      </c>
      <c r="F1647" s="2">
        <v>44803</v>
      </c>
      <c r="G1647" s="3">
        <v>53200</v>
      </c>
      <c r="H1647" s="1">
        <v>0</v>
      </c>
      <c r="I1647" s="1" t="s">
        <v>220</v>
      </c>
      <c r="J1647" s="1" t="s">
        <v>50</v>
      </c>
    </row>
    <row r="1648" spans="1:10" hidden="1" x14ac:dyDescent="0.25">
      <c r="A1648" s="1" t="s">
        <v>28</v>
      </c>
      <c r="B1648" s="1" t="s">
        <v>29</v>
      </c>
      <c r="C1648" s="1">
        <v>17703</v>
      </c>
      <c r="D1648" s="1">
        <v>26699</v>
      </c>
      <c r="E1648" s="2">
        <v>44510</v>
      </c>
      <c r="F1648" s="2">
        <v>44803</v>
      </c>
      <c r="G1648" s="3">
        <v>37050</v>
      </c>
      <c r="H1648" s="1">
        <v>0</v>
      </c>
      <c r="I1648" s="1" t="s">
        <v>255</v>
      </c>
      <c r="J1648" s="1" t="s">
        <v>31</v>
      </c>
    </row>
    <row r="1649" spans="1:10" hidden="1" x14ac:dyDescent="0.25">
      <c r="A1649" s="1" t="s">
        <v>28</v>
      </c>
      <c r="B1649" s="1" t="s">
        <v>29</v>
      </c>
      <c r="C1649" s="1">
        <v>16764</v>
      </c>
      <c r="D1649" s="1">
        <v>25736</v>
      </c>
      <c r="E1649" s="2">
        <v>44449</v>
      </c>
      <c r="F1649" s="2">
        <v>44803</v>
      </c>
      <c r="G1649" s="3">
        <v>392320</v>
      </c>
      <c r="H1649" s="1">
        <v>0</v>
      </c>
      <c r="I1649" s="1" t="s">
        <v>258</v>
      </c>
      <c r="J1649" s="1" t="s">
        <v>31</v>
      </c>
    </row>
    <row r="1650" spans="1:10" hidden="1" x14ac:dyDescent="0.25">
      <c r="A1650" s="1" t="s">
        <v>154</v>
      </c>
      <c r="B1650" s="1" t="s">
        <v>144</v>
      </c>
      <c r="C1650" s="1">
        <v>18016</v>
      </c>
      <c r="D1650" s="1">
        <v>27028</v>
      </c>
      <c r="E1650" s="2">
        <v>44538</v>
      </c>
      <c r="F1650" s="2">
        <v>44803</v>
      </c>
      <c r="G1650" s="3">
        <v>123440</v>
      </c>
      <c r="H1650" s="1">
        <v>0</v>
      </c>
      <c r="I1650" s="1" t="s">
        <v>274</v>
      </c>
      <c r="J1650" s="1" t="s">
        <v>64</v>
      </c>
    </row>
    <row r="1651" spans="1:10" hidden="1" x14ac:dyDescent="0.25">
      <c r="A1651" s="1" t="s">
        <v>47</v>
      </c>
      <c r="B1651" s="1" t="s">
        <v>48</v>
      </c>
      <c r="C1651" s="1">
        <v>18244</v>
      </c>
      <c r="D1651" s="1">
        <v>27257</v>
      </c>
      <c r="E1651" s="2">
        <v>44565</v>
      </c>
      <c r="F1651" s="2">
        <v>44803</v>
      </c>
      <c r="G1651" s="3">
        <v>60000</v>
      </c>
      <c r="H1651" s="1">
        <v>0</v>
      </c>
      <c r="I1651" s="1" t="s">
        <v>286</v>
      </c>
      <c r="J1651" s="1" t="s">
        <v>50</v>
      </c>
    </row>
    <row r="1652" spans="1:10" hidden="1" x14ac:dyDescent="0.25">
      <c r="A1652" s="1" t="s">
        <v>297</v>
      </c>
      <c r="B1652" s="1" t="s">
        <v>298</v>
      </c>
      <c r="C1652" s="1">
        <v>18378</v>
      </c>
      <c r="D1652" s="1">
        <v>27388</v>
      </c>
      <c r="E1652" s="2">
        <v>44574</v>
      </c>
      <c r="F1652" s="2">
        <v>44803</v>
      </c>
      <c r="G1652" s="3">
        <v>219854</v>
      </c>
      <c r="H1652" s="1">
        <v>0</v>
      </c>
      <c r="I1652" s="1" t="s">
        <v>299</v>
      </c>
      <c r="J1652" s="1" t="s">
        <v>31</v>
      </c>
    </row>
    <row r="1653" spans="1:10" hidden="1" x14ac:dyDescent="0.25">
      <c r="A1653" s="1" t="s">
        <v>116</v>
      </c>
      <c r="B1653" s="1" t="s">
        <v>117</v>
      </c>
      <c r="C1653" s="1">
        <v>18467</v>
      </c>
      <c r="D1653" s="1">
        <v>27466</v>
      </c>
      <c r="E1653" s="2">
        <v>44580</v>
      </c>
      <c r="F1653" s="2">
        <v>44803</v>
      </c>
      <c r="G1653" s="3">
        <v>240000</v>
      </c>
      <c r="H1653" s="1">
        <v>0</v>
      </c>
      <c r="I1653" s="1" t="s">
        <v>374</v>
      </c>
      <c r="J1653" s="1" t="s">
        <v>50</v>
      </c>
    </row>
    <row r="1654" spans="1:10" hidden="1" x14ac:dyDescent="0.25">
      <c r="A1654" s="1" t="s">
        <v>39</v>
      </c>
      <c r="B1654" s="1" t="s">
        <v>40</v>
      </c>
      <c r="C1654" s="1">
        <v>18639</v>
      </c>
      <c r="D1654" s="1">
        <v>27649</v>
      </c>
      <c r="E1654" s="2">
        <v>44596</v>
      </c>
      <c r="F1654" s="2">
        <v>44803</v>
      </c>
      <c r="G1654" s="3">
        <v>254925</v>
      </c>
      <c r="H1654" s="1">
        <v>0</v>
      </c>
      <c r="I1654" s="1" t="s">
        <v>401</v>
      </c>
      <c r="J1654" s="1" t="s">
        <v>31</v>
      </c>
    </row>
    <row r="1655" spans="1:10" hidden="1" x14ac:dyDescent="0.25">
      <c r="A1655" s="1" t="s">
        <v>143</v>
      </c>
      <c r="B1655" s="1" t="s">
        <v>144</v>
      </c>
      <c r="C1655" s="1">
        <v>18458</v>
      </c>
      <c r="D1655" s="1">
        <v>27456</v>
      </c>
      <c r="E1655" s="2">
        <v>44580</v>
      </c>
      <c r="F1655" s="2">
        <v>44803</v>
      </c>
      <c r="G1655" s="3">
        <v>4000</v>
      </c>
      <c r="H1655" s="1">
        <v>0</v>
      </c>
      <c r="I1655" s="1" t="s">
        <v>423</v>
      </c>
      <c r="J1655" s="1" t="s">
        <v>64</v>
      </c>
    </row>
    <row r="1656" spans="1:10" hidden="1" x14ac:dyDescent="0.25">
      <c r="A1656" s="1" t="s">
        <v>39</v>
      </c>
      <c r="B1656" s="1" t="s">
        <v>40</v>
      </c>
      <c r="C1656" s="1">
        <v>18490</v>
      </c>
      <c r="D1656" s="1">
        <v>27488</v>
      </c>
      <c r="E1656" s="2">
        <v>44581</v>
      </c>
      <c r="F1656" s="2">
        <v>44803</v>
      </c>
      <c r="G1656" s="3">
        <v>214730</v>
      </c>
      <c r="H1656" s="1">
        <v>0</v>
      </c>
      <c r="I1656" s="1" t="s">
        <v>424</v>
      </c>
      <c r="J1656" s="1" t="s">
        <v>31</v>
      </c>
    </row>
    <row r="1657" spans="1:10" hidden="1" x14ac:dyDescent="0.25">
      <c r="A1657" s="1" t="s">
        <v>442</v>
      </c>
      <c r="B1657" s="1" t="s">
        <v>443</v>
      </c>
      <c r="C1657" s="1">
        <v>18332</v>
      </c>
      <c r="D1657" s="1">
        <v>27339</v>
      </c>
      <c r="E1657" s="2">
        <v>44571</v>
      </c>
      <c r="F1657" s="2">
        <v>44803</v>
      </c>
      <c r="G1657" s="3">
        <v>212380</v>
      </c>
      <c r="H1657" s="1">
        <v>0</v>
      </c>
      <c r="I1657" s="1" t="s">
        <v>444</v>
      </c>
      <c r="J1657" s="1" t="s">
        <v>31</v>
      </c>
    </row>
    <row r="1658" spans="1:10" hidden="1" x14ac:dyDescent="0.25">
      <c r="A1658" s="1" t="s">
        <v>136</v>
      </c>
      <c r="B1658" s="1" t="s">
        <v>137</v>
      </c>
      <c r="C1658" s="1">
        <v>18350</v>
      </c>
      <c r="D1658" s="1">
        <v>27358</v>
      </c>
      <c r="E1658" s="2">
        <v>44572</v>
      </c>
      <c r="F1658" s="2">
        <v>44803</v>
      </c>
      <c r="G1658" s="3">
        <v>16200</v>
      </c>
      <c r="H1658" s="1">
        <v>0</v>
      </c>
      <c r="I1658" s="1" t="s">
        <v>315</v>
      </c>
      <c r="J1658" s="1" t="s">
        <v>77</v>
      </c>
    </row>
    <row r="1659" spans="1:10" hidden="1" x14ac:dyDescent="0.25">
      <c r="A1659" s="1" t="s">
        <v>173</v>
      </c>
      <c r="B1659" s="1" t="s">
        <v>174</v>
      </c>
      <c r="C1659" s="1">
        <v>18389</v>
      </c>
      <c r="D1659" s="1">
        <v>27397</v>
      </c>
      <c r="E1659" s="2">
        <v>44575</v>
      </c>
      <c r="F1659" s="2">
        <v>44803</v>
      </c>
      <c r="G1659" s="3">
        <v>363600</v>
      </c>
      <c r="H1659" s="1">
        <v>0</v>
      </c>
      <c r="I1659" s="1" t="s">
        <v>256</v>
      </c>
      <c r="J1659" s="1" t="s">
        <v>68</v>
      </c>
    </row>
    <row r="1660" spans="1:10" hidden="1" x14ac:dyDescent="0.25">
      <c r="A1660" s="1" t="s">
        <v>39</v>
      </c>
      <c r="B1660" s="1" t="s">
        <v>40</v>
      </c>
      <c r="C1660" s="1">
        <v>18693</v>
      </c>
      <c r="D1660" s="1">
        <v>27706</v>
      </c>
      <c r="E1660" s="2">
        <v>44601</v>
      </c>
      <c r="F1660" s="2">
        <v>44803</v>
      </c>
      <c r="G1660" s="3">
        <v>209605</v>
      </c>
      <c r="H1660" s="1">
        <v>0</v>
      </c>
      <c r="I1660" s="1" t="s">
        <v>460</v>
      </c>
      <c r="J1660" s="1" t="s">
        <v>31</v>
      </c>
    </row>
    <row r="1661" spans="1:10" hidden="1" x14ac:dyDescent="0.25">
      <c r="A1661" s="1" t="s">
        <v>461</v>
      </c>
      <c r="B1661" s="1" t="s">
        <v>462</v>
      </c>
      <c r="C1661" s="1">
        <v>18707</v>
      </c>
      <c r="D1661" s="1">
        <v>27720</v>
      </c>
      <c r="E1661" s="2">
        <v>44602</v>
      </c>
      <c r="F1661" s="2">
        <v>44803</v>
      </c>
      <c r="G1661" s="3">
        <v>189059.1</v>
      </c>
      <c r="H1661" s="1">
        <v>0</v>
      </c>
      <c r="I1661" s="1" t="s">
        <v>463</v>
      </c>
      <c r="J1661" s="1" t="s">
        <v>31</v>
      </c>
    </row>
    <row r="1662" spans="1:10" hidden="1" x14ac:dyDescent="0.25">
      <c r="A1662" s="1" t="s">
        <v>28</v>
      </c>
      <c r="B1662" s="1" t="s">
        <v>29</v>
      </c>
      <c r="C1662" s="1">
        <v>16583</v>
      </c>
      <c r="D1662" s="1">
        <v>25548</v>
      </c>
      <c r="E1662" s="2">
        <v>44427</v>
      </c>
      <c r="F1662" s="2">
        <v>44803</v>
      </c>
      <c r="G1662" s="3">
        <v>374945</v>
      </c>
      <c r="H1662" s="1">
        <v>0</v>
      </c>
      <c r="I1662" s="1" t="s">
        <v>465</v>
      </c>
      <c r="J1662" s="1" t="s">
        <v>31</v>
      </c>
    </row>
    <row r="1663" spans="1:10" hidden="1" x14ac:dyDescent="0.25">
      <c r="A1663" s="1" t="s">
        <v>133</v>
      </c>
      <c r="B1663" s="1" t="s">
        <v>134</v>
      </c>
      <c r="C1663" s="1">
        <v>17551</v>
      </c>
      <c r="D1663" s="1">
        <v>26558</v>
      </c>
      <c r="E1663" s="2">
        <v>44501</v>
      </c>
      <c r="F1663" s="2">
        <v>44803</v>
      </c>
      <c r="G1663" s="3">
        <v>40000</v>
      </c>
      <c r="H1663" s="1">
        <v>0</v>
      </c>
      <c r="I1663" s="1" t="s">
        <v>470</v>
      </c>
      <c r="J1663" s="1" t="s">
        <v>18</v>
      </c>
    </row>
    <row r="1664" spans="1:10" hidden="1" x14ac:dyDescent="0.25">
      <c r="A1664" s="1" t="s">
        <v>471</v>
      </c>
      <c r="B1664" s="1" t="s">
        <v>434</v>
      </c>
      <c r="C1664" s="1">
        <v>16947</v>
      </c>
      <c r="D1664" s="1">
        <v>25941</v>
      </c>
      <c r="E1664" s="2">
        <v>44461</v>
      </c>
      <c r="F1664" s="2">
        <v>44803</v>
      </c>
      <c r="G1664" s="3">
        <v>4365</v>
      </c>
      <c r="H1664" s="1">
        <v>0</v>
      </c>
      <c r="I1664" s="1" t="s">
        <v>472</v>
      </c>
      <c r="J1664" s="1" t="s">
        <v>92</v>
      </c>
    </row>
    <row r="1665" spans="1:10" hidden="1" x14ac:dyDescent="0.25">
      <c r="A1665" s="1" t="s">
        <v>474</v>
      </c>
      <c r="B1665" s="1" t="s">
        <v>475</v>
      </c>
      <c r="C1665" s="1">
        <v>17951</v>
      </c>
      <c r="D1665" s="1">
        <v>26965</v>
      </c>
      <c r="E1665" s="2">
        <v>44533</v>
      </c>
      <c r="F1665" s="2">
        <v>44803</v>
      </c>
      <c r="G1665" s="3">
        <v>140000</v>
      </c>
      <c r="H1665" s="1">
        <v>0</v>
      </c>
      <c r="I1665" s="1" t="s">
        <v>476</v>
      </c>
      <c r="J1665" s="1" t="s">
        <v>115</v>
      </c>
    </row>
    <row r="1666" spans="1:10" hidden="1" x14ac:dyDescent="0.25">
      <c r="A1666" s="1" t="s">
        <v>133</v>
      </c>
      <c r="B1666" s="1" t="s">
        <v>134</v>
      </c>
      <c r="C1666" s="1">
        <v>18264</v>
      </c>
      <c r="D1666" s="1">
        <v>27272</v>
      </c>
      <c r="E1666" s="2">
        <v>44566</v>
      </c>
      <c r="F1666" s="2">
        <v>44803</v>
      </c>
      <c r="G1666" s="3">
        <v>9084</v>
      </c>
      <c r="H1666" s="1">
        <v>0</v>
      </c>
      <c r="I1666" s="1" t="s">
        <v>493</v>
      </c>
      <c r="J1666" s="1" t="s">
        <v>18</v>
      </c>
    </row>
    <row r="1667" spans="1:10" hidden="1" x14ac:dyDescent="0.25">
      <c r="A1667" s="1" t="s">
        <v>133</v>
      </c>
      <c r="B1667" s="1" t="s">
        <v>134</v>
      </c>
      <c r="C1667" s="1">
        <v>18589</v>
      </c>
      <c r="D1667" s="1">
        <v>27598</v>
      </c>
      <c r="E1667" s="2">
        <v>44593</v>
      </c>
      <c r="F1667" s="2">
        <v>44803</v>
      </c>
      <c r="G1667" s="3">
        <v>150000</v>
      </c>
      <c r="H1667" s="1">
        <v>0</v>
      </c>
      <c r="I1667" s="1" t="s">
        <v>287</v>
      </c>
      <c r="J1667" s="1" t="s">
        <v>18</v>
      </c>
    </row>
    <row r="1668" spans="1:10" hidden="1" x14ac:dyDescent="0.25">
      <c r="A1668" s="1" t="s">
        <v>268</v>
      </c>
      <c r="B1668" s="1" t="s">
        <v>269</v>
      </c>
      <c r="C1668" s="1">
        <v>18565</v>
      </c>
      <c r="D1668" s="1">
        <v>27572</v>
      </c>
      <c r="E1668" s="2">
        <v>44589</v>
      </c>
      <c r="F1668" s="2">
        <v>44803</v>
      </c>
      <c r="G1668" s="3">
        <v>213120</v>
      </c>
      <c r="H1668" s="1">
        <v>0</v>
      </c>
      <c r="I1668" s="1" t="s">
        <v>524</v>
      </c>
      <c r="J1668" s="1" t="s">
        <v>31</v>
      </c>
    </row>
    <row r="1669" spans="1:10" hidden="1" x14ac:dyDescent="0.25">
      <c r="A1669" s="1" t="s">
        <v>538</v>
      </c>
      <c r="B1669" s="1" t="s">
        <v>539</v>
      </c>
      <c r="C1669" s="1">
        <v>18254</v>
      </c>
      <c r="D1669" s="1">
        <v>27265</v>
      </c>
      <c r="E1669" s="2">
        <v>44565</v>
      </c>
      <c r="F1669" s="2">
        <v>44803</v>
      </c>
      <c r="G1669" s="3">
        <v>23450</v>
      </c>
      <c r="H1669" s="1">
        <v>0</v>
      </c>
      <c r="I1669" s="1" t="s">
        <v>540</v>
      </c>
      <c r="J1669" s="1" t="s">
        <v>84</v>
      </c>
    </row>
    <row r="1670" spans="1:10" hidden="1" x14ac:dyDescent="0.25">
      <c r="A1670" s="1" t="s">
        <v>65</v>
      </c>
      <c r="B1670" s="1" t="s">
        <v>66</v>
      </c>
      <c r="C1670" s="1">
        <v>18268</v>
      </c>
      <c r="D1670" s="1">
        <v>27276</v>
      </c>
      <c r="E1670" s="2">
        <v>44566</v>
      </c>
      <c r="F1670" s="2">
        <v>44803</v>
      </c>
      <c r="G1670" s="3">
        <v>148050</v>
      </c>
      <c r="H1670" s="1">
        <v>0</v>
      </c>
      <c r="I1670" s="1" t="s">
        <v>541</v>
      </c>
      <c r="J1670" s="1" t="s">
        <v>68</v>
      </c>
    </row>
    <row r="1671" spans="1:10" hidden="1" x14ac:dyDescent="0.25">
      <c r="A1671" s="1" t="s">
        <v>116</v>
      </c>
      <c r="B1671" s="1" t="s">
        <v>117</v>
      </c>
      <c r="C1671" s="1">
        <v>18521</v>
      </c>
      <c r="D1671" s="1">
        <v>27521</v>
      </c>
      <c r="E1671" s="2">
        <v>44586</v>
      </c>
      <c r="F1671" s="2">
        <v>44803</v>
      </c>
      <c r="G1671" s="3">
        <v>240000</v>
      </c>
      <c r="H1671" s="1">
        <v>0</v>
      </c>
      <c r="I1671" s="1" t="s">
        <v>549</v>
      </c>
      <c r="J1671" s="1" t="s">
        <v>50</v>
      </c>
    </row>
    <row r="1672" spans="1:10" hidden="1" x14ac:dyDescent="0.25">
      <c r="A1672" s="1" t="s">
        <v>65</v>
      </c>
      <c r="B1672" s="1" t="s">
        <v>66</v>
      </c>
      <c r="C1672" s="1">
        <v>17937</v>
      </c>
      <c r="D1672" s="1">
        <v>26951</v>
      </c>
      <c r="E1672" s="2">
        <v>44533</v>
      </c>
      <c r="F1672" s="2">
        <v>44803</v>
      </c>
      <c r="G1672" s="3">
        <v>63300</v>
      </c>
      <c r="H1672" s="1">
        <v>0</v>
      </c>
      <c r="I1672" s="1" t="s">
        <v>568</v>
      </c>
      <c r="J1672" s="1" t="s">
        <v>68</v>
      </c>
    </row>
    <row r="1673" spans="1:10" hidden="1" x14ac:dyDescent="0.25">
      <c r="A1673" s="1" t="s">
        <v>474</v>
      </c>
      <c r="B1673" s="1" t="s">
        <v>475</v>
      </c>
      <c r="C1673" s="1">
        <v>18051</v>
      </c>
      <c r="D1673" s="1">
        <v>27063</v>
      </c>
      <c r="E1673" s="2">
        <v>44540</v>
      </c>
      <c r="F1673" s="2">
        <v>44803</v>
      </c>
      <c r="G1673" s="3">
        <v>154000</v>
      </c>
      <c r="H1673" s="1">
        <v>0</v>
      </c>
      <c r="I1673" s="1" t="s">
        <v>569</v>
      </c>
      <c r="J1673" s="1" t="s">
        <v>115</v>
      </c>
    </row>
    <row r="1674" spans="1:10" hidden="1" x14ac:dyDescent="0.25">
      <c r="A1674" s="1" t="s">
        <v>116</v>
      </c>
      <c r="B1674" s="1" t="s">
        <v>117</v>
      </c>
      <c r="C1674" s="1">
        <v>18520</v>
      </c>
      <c r="D1674" s="1">
        <v>27520</v>
      </c>
      <c r="E1674" s="2">
        <v>44586</v>
      </c>
      <c r="F1674" s="2">
        <v>44803</v>
      </c>
      <c r="G1674" s="3">
        <v>153600</v>
      </c>
      <c r="H1674" s="1">
        <v>0</v>
      </c>
      <c r="I1674" s="1" t="s">
        <v>576</v>
      </c>
      <c r="J1674" s="1" t="s">
        <v>50</v>
      </c>
    </row>
    <row r="1675" spans="1:10" hidden="1" x14ac:dyDescent="0.25">
      <c r="A1675" s="1" t="s">
        <v>39</v>
      </c>
      <c r="B1675" s="1" t="s">
        <v>40</v>
      </c>
      <c r="C1675" s="1">
        <v>18346</v>
      </c>
      <c r="D1675" s="1">
        <v>27354</v>
      </c>
      <c r="E1675" s="2">
        <v>44572</v>
      </c>
      <c r="F1675" s="2">
        <v>44803</v>
      </c>
      <c r="G1675" s="3">
        <v>169920</v>
      </c>
      <c r="H1675" s="1">
        <v>0</v>
      </c>
      <c r="I1675" s="1" t="s">
        <v>590</v>
      </c>
      <c r="J1675" s="1" t="s">
        <v>31</v>
      </c>
    </row>
    <row r="1676" spans="1:10" hidden="1" x14ac:dyDescent="0.25">
      <c r="A1676" s="1" t="s">
        <v>133</v>
      </c>
      <c r="B1676" s="1" t="s">
        <v>134</v>
      </c>
      <c r="C1676" s="1">
        <v>18376</v>
      </c>
      <c r="D1676" s="1">
        <v>27386</v>
      </c>
      <c r="E1676" s="2">
        <v>44574</v>
      </c>
      <c r="F1676" s="2">
        <v>44803</v>
      </c>
      <c r="G1676" s="3">
        <v>66616</v>
      </c>
      <c r="H1676" s="1">
        <v>0</v>
      </c>
      <c r="I1676" s="1" t="s">
        <v>591</v>
      </c>
      <c r="J1676" s="1" t="s">
        <v>18</v>
      </c>
    </row>
    <row r="1677" spans="1:10" hidden="1" x14ac:dyDescent="0.25">
      <c r="A1677" s="1" t="s">
        <v>592</v>
      </c>
      <c r="B1677" s="1" t="s">
        <v>593</v>
      </c>
      <c r="C1677" s="1">
        <v>18393</v>
      </c>
      <c r="D1677" s="1">
        <v>27401</v>
      </c>
      <c r="E1677" s="2">
        <v>44575</v>
      </c>
      <c r="F1677" s="2">
        <v>44803</v>
      </c>
      <c r="G1677" s="3">
        <v>124740</v>
      </c>
      <c r="H1677" s="1">
        <v>0</v>
      </c>
      <c r="I1677" s="1" t="s">
        <v>594</v>
      </c>
      <c r="J1677" s="1" t="s">
        <v>31</v>
      </c>
    </row>
    <row r="1678" spans="1:10" hidden="1" x14ac:dyDescent="0.25">
      <c r="A1678" s="1" t="s">
        <v>39</v>
      </c>
      <c r="B1678" s="1" t="s">
        <v>40</v>
      </c>
      <c r="C1678" s="1">
        <v>18578</v>
      </c>
      <c r="D1678" s="1">
        <v>27587</v>
      </c>
      <c r="E1678" s="2">
        <v>44592</v>
      </c>
      <c r="F1678" s="2">
        <v>44803</v>
      </c>
      <c r="G1678" s="3">
        <v>209605</v>
      </c>
      <c r="H1678" s="1">
        <v>0</v>
      </c>
      <c r="I1678" s="1" t="s">
        <v>598</v>
      </c>
      <c r="J1678" s="1" t="s">
        <v>31</v>
      </c>
    </row>
    <row r="1679" spans="1:10" hidden="1" x14ac:dyDescent="0.25">
      <c r="A1679" s="1" t="s">
        <v>28</v>
      </c>
      <c r="B1679" s="1" t="s">
        <v>29</v>
      </c>
      <c r="C1679" s="1">
        <v>18642</v>
      </c>
      <c r="D1679" s="1">
        <v>27652</v>
      </c>
      <c r="E1679" s="2">
        <v>44596</v>
      </c>
      <c r="F1679" s="2">
        <v>44803</v>
      </c>
      <c r="G1679" s="3">
        <v>34680</v>
      </c>
      <c r="H1679" s="1">
        <v>0</v>
      </c>
      <c r="I1679" s="1" t="s">
        <v>634</v>
      </c>
      <c r="J1679" s="1" t="s">
        <v>31</v>
      </c>
    </row>
    <row r="1680" spans="1:10" hidden="1" x14ac:dyDescent="0.25">
      <c r="A1680" s="1" t="s">
        <v>33</v>
      </c>
      <c r="B1680" s="1" t="s">
        <v>34</v>
      </c>
      <c r="C1680" s="1">
        <v>18620</v>
      </c>
      <c r="D1680" s="1">
        <v>27630</v>
      </c>
      <c r="E1680" s="2">
        <v>44596</v>
      </c>
      <c r="F1680" s="2">
        <v>44803</v>
      </c>
      <c r="G1680" s="3">
        <v>167328</v>
      </c>
      <c r="H1680" s="1">
        <v>0</v>
      </c>
      <c r="I1680" s="1" t="s">
        <v>642</v>
      </c>
      <c r="J1680" s="1" t="s">
        <v>18</v>
      </c>
    </row>
    <row r="1681" spans="1:10" hidden="1" x14ac:dyDescent="0.25">
      <c r="A1681" s="1" t="s">
        <v>33</v>
      </c>
      <c r="B1681" s="1" t="s">
        <v>34</v>
      </c>
      <c r="C1681" s="1">
        <v>18324</v>
      </c>
      <c r="D1681" s="1">
        <v>27333</v>
      </c>
      <c r="E1681" s="2">
        <v>44568</v>
      </c>
      <c r="F1681" s="2">
        <v>44803</v>
      </c>
      <c r="G1681" s="3">
        <v>126300</v>
      </c>
      <c r="H1681" s="1">
        <v>0</v>
      </c>
      <c r="I1681" s="1" t="s">
        <v>653</v>
      </c>
      <c r="J1681" s="1" t="s">
        <v>18</v>
      </c>
    </row>
    <row r="1682" spans="1:10" hidden="1" x14ac:dyDescent="0.25">
      <c r="A1682" s="1" t="s">
        <v>65</v>
      </c>
      <c r="B1682" s="1" t="s">
        <v>66</v>
      </c>
      <c r="C1682" s="1">
        <v>18583</v>
      </c>
      <c r="D1682" s="1">
        <v>27594</v>
      </c>
      <c r="E1682" s="2">
        <v>44593</v>
      </c>
      <c r="F1682" s="2">
        <v>44803</v>
      </c>
      <c r="G1682" s="3">
        <v>63750</v>
      </c>
      <c r="H1682" s="1">
        <v>0</v>
      </c>
      <c r="I1682" s="1" t="s">
        <v>656</v>
      </c>
      <c r="J1682" s="1" t="s">
        <v>68</v>
      </c>
    </row>
    <row r="1683" spans="1:10" hidden="1" x14ac:dyDescent="0.25">
      <c r="A1683" s="1" t="s">
        <v>669</v>
      </c>
      <c r="B1683" s="1" t="s">
        <v>670</v>
      </c>
      <c r="C1683" s="1">
        <v>18233</v>
      </c>
      <c r="D1683" s="1">
        <v>27245</v>
      </c>
      <c r="E1683" s="2">
        <v>44564</v>
      </c>
      <c r="F1683" s="2">
        <v>44803</v>
      </c>
      <c r="G1683" s="3">
        <v>173530</v>
      </c>
      <c r="H1683" s="1">
        <v>0</v>
      </c>
      <c r="I1683" s="1" t="s">
        <v>671</v>
      </c>
      <c r="J1683" s="1" t="s">
        <v>31</v>
      </c>
    </row>
    <row r="1684" spans="1:10" hidden="1" x14ac:dyDescent="0.25">
      <c r="A1684" s="1" t="s">
        <v>133</v>
      </c>
      <c r="B1684" s="1" t="s">
        <v>134</v>
      </c>
      <c r="C1684" s="1">
        <v>18008</v>
      </c>
      <c r="D1684" s="1">
        <v>27019</v>
      </c>
      <c r="E1684" s="2">
        <v>44537</v>
      </c>
      <c r="F1684" s="2">
        <v>44803</v>
      </c>
      <c r="G1684" s="3">
        <v>144000</v>
      </c>
      <c r="H1684" s="1">
        <v>0</v>
      </c>
      <c r="I1684" s="1" t="s">
        <v>680</v>
      </c>
      <c r="J1684" s="1" t="s">
        <v>18</v>
      </c>
    </row>
    <row r="1685" spans="1:10" hidden="1" x14ac:dyDescent="0.25">
      <c r="A1685" s="1" t="s">
        <v>214</v>
      </c>
      <c r="B1685" s="1" t="s">
        <v>215</v>
      </c>
      <c r="C1685" s="1">
        <v>18465</v>
      </c>
      <c r="D1685" s="1">
        <v>27463</v>
      </c>
      <c r="E1685" s="2">
        <v>44580</v>
      </c>
      <c r="F1685" s="2">
        <v>44803</v>
      </c>
      <c r="G1685" s="3">
        <v>248000</v>
      </c>
      <c r="H1685" s="1">
        <v>0</v>
      </c>
      <c r="I1685" s="1" t="s">
        <v>682</v>
      </c>
      <c r="J1685" s="1" t="s">
        <v>64</v>
      </c>
    </row>
    <row r="1686" spans="1:10" hidden="1" x14ac:dyDescent="0.25">
      <c r="A1686" s="1" t="s">
        <v>442</v>
      </c>
      <c r="B1686" s="1" t="s">
        <v>443</v>
      </c>
      <c r="C1686" s="1">
        <v>18631</v>
      </c>
      <c r="D1686" s="1">
        <v>27642</v>
      </c>
      <c r="E1686" s="2">
        <v>44596</v>
      </c>
      <c r="F1686" s="2">
        <v>44803</v>
      </c>
      <c r="G1686" s="3">
        <v>3000</v>
      </c>
      <c r="H1686" s="1">
        <v>0</v>
      </c>
      <c r="I1686" s="1" t="s">
        <v>687</v>
      </c>
      <c r="J1686" s="1" t="s">
        <v>31</v>
      </c>
    </row>
    <row r="1687" spans="1:10" hidden="1" x14ac:dyDescent="0.25">
      <c r="A1687" s="1" t="s">
        <v>165</v>
      </c>
      <c r="B1687" s="1" t="s">
        <v>29</v>
      </c>
      <c r="C1687" s="1">
        <v>18735</v>
      </c>
      <c r="D1687" s="1">
        <v>27751</v>
      </c>
      <c r="E1687" s="2">
        <v>44607</v>
      </c>
      <c r="F1687" s="2">
        <v>44803</v>
      </c>
      <c r="G1687" s="3">
        <v>205100</v>
      </c>
      <c r="H1687" s="1">
        <v>0</v>
      </c>
      <c r="I1687" s="1" t="s">
        <v>692</v>
      </c>
      <c r="J1687" s="1" t="s">
        <v>31</v>
      </c>
    </row>
    <row r="1688" spans="1:10" hidden="1" x14ac:dyDescent="0.25">
      <c r="A1688" s="1" t="s">
        <v>78</v>
      </c>
      <c r="B1688" s="1" t="s">
        <v>79</v>
      </c>
      <c r="C1688" s="1">
        <v>18296</v>
      </c>
      <c r="D1688" s="1">
        <v>27305</v>
      </c>
      <c r="E1688" s="2">
        <v>44567</v>
      </c>
      <c r="F1688" s="2">
        <v>44803</v>
      </c>
      <c r="G1688" s="3">
        <v>37176</v>
      </c>
      <c r="H1688" s="1">
        <v>0</v>
      </c>
      <c r="I1688" s="1" t="s">
        <v>716</v>
      </c>
      <c r="J1688" s="1" t="s">
        <v>68</v>
      </c>
    </row>
    <row r="1689" spans="1:10" hidden="1" x14ac:dyDescent="0.25">
      <c r="A1689" s="1" t="s">
        <v>165</v>
      </c>
      <c r="B1689" s="1" t="s">
        <v>29</v>
      </c>
      <c r="C1689" s="1">
        <v>18445</v>
      </c>
      <c r="D1689" s="1">
        <v>27445</v>
      </c>
      <c r="E1689" s="2">
        <v>44579</v>
      </c>
      <c r="F1689" s="2">
        <v>44803</v>
      </c>
      <c r="G1689" s="3">
        <v>209346</v>
      </c>
      <c r="H1689" s="1">
        <v>0</v>
      </c>
      <c r="I1689" s="1" t="s">
        <v>717</v>
      </c>
      <c r="J1689" s="1" t="s">
        <v>31</v>
      </c>
    </row>
    <row r="1690" spans="1:10" hidden="1" x14ac:dyDescent="0.25">
      <c r="A1690" s="1" t="s">
        <v>33</v>
      </c>
      <c r="B1690" s="1" t="s">
        <v>34</v>
      </c>
      <c r="C1690" s="1">
        <v>18323</v>
      </c>
      <c r="D1690" s="1">
        <v>27332</v>
      </c>
      <c r="E1690" s="2">
        <v>44568</v>
      </c>
      <c r="F1690" s="2">
        <v>44803</v>
      </c>
      <c r="G1690" s="3">
        <v>32000</v>
      </c>
      <c r="H1690" s="1">
        <v>0</v>
      </c>
      <c r="I1690" s="1" t="s">
        <v>740</v>
      </c>
      <c r="J1690" s="1" t="s">
        <v>18</v>
      </c>
    </row>
    <row r="1691" spans="1:10" hidden="1" x14ac:dyDescent="0.25">
      <c r="A1691" s="1" t="s">
        <v>538</v>
      </c>
      <c r="B1691" s="1" t="s">
        <v>539</v>
      </c>
      <c r="C1691" s="1">
        <v>18334</v>
      </c>
      <c r="D1691" s="1">
        <v>27341</v>
      </c>
      <c r="E1691" s="2">
        <v>44571</v>
      </c>
      <c r="F1691" s="2">
        <v>44803</v>
      </c>
      <c r="G1691" s="3">
        <v>98400</v>
      </c>
      <c r="H1691" s="1">
        <v>0</v>
      </c>
      <c r="I1691" s="1" t="s">
        <v>741</v>
      </c>
      <c r="J1691" s="1" t="s">
        <v>84</v>
      </c>
    </row>
    <row r="1692" spans="1:10" hidden="1" x14ac:dyDescent="0.25">
      <c r="A1692" s="1" t="s">
        <v>165</v>
      </c>
      <c r="B1692" s="1" t="s">
        <v>29</v>
      </c>
      <c r="C1692" s="1">
        <v>18933</v>
      </c>
      <c r="D1692" s="1">
        <v>27946</v>
      </c>
      <c r="E1692" s="2">
        <v>44627</v>
      </c>
      <c r="F1692" s="2">
        <v>44803</v>
      </c>
      <c r="G1692" s="3">
        <v>187520</v>
      </c>
      <c r="H1692" s="1">
        <v>0</v>
      </c>
      <c r="I1692" s="1" t="s">
        <v>757</v>
      </c>
      <c r="J1692" s="1" t="s">
        <v>31</v>
      </c>
    </row>
    <row r="1693" spans="1:10" hidden="1" x14ac:dyDescent="0.25">
      <c r="A1693" s="1" t="s">
        <v>39</v>
      </c>
      <c r="B1693" s="1" t="s">
        <v>40</v>
      </c>
      <c r="C1693" s="1">
        <v>18940</v>
      </c>
      <c r="D1693" s="1">
        <v>27954</v>
      </c>
      <c r="E1693" s="2">
        <v>44628</v>
      </c>
      <c r="F1693" s="2">
        <v>44803</v>
      </c>
      <c r="G1693" s="3">
        <v>157120</v>
      </c>
      <c r="H1693" s="1">
        <v>0</v>
      </c>
      <c r="I1693" s="1" t="s">
        <v>758</v>
      </c>
      <c r="J1693" s="1" t="s">
        <v>31</v>
      </c>
    </row>
    <row r="1694" spans="1:10" hidden="1" x14ac:dyDescent="0.25">
      <c r="A1694" s="1" t="s">
        <v>769</v>
      </c>
      <c r="B1694" s="1" t="s">
        <v>770</v>
      </c>
      <c r="C1694" s="1">
        <v>17731</v>
      </c>
      <c r="D1694" s="1">
        <v>26725</v>
      </c>
      <c r="E1694" s="2">
        <v>44511</v>
      </c>
      <c r="F1694" s="2">
        <v>44803</v>
      </c>
      <c r="G1694" s="3">
        <v>168120</v>
      </c>
      <c r="H1694" s="1">
        <v>0</v>
      </c>
      <c r="I1694" s="1" t="s">
        <v>771</v>
      </c>
      <c r="J1694" s="1" t="s">
        <v>84</v>
      </c>
    </row>
    <row r="1695" spans="1:10" hidden="1" x14ac:dyDescent="0.25">
      <c r="A1695" s="1" t="s">
        <v>133</v>
      </c>
      <c r="B1695" s="1" t="s">
        <v>134</v>
      </c>
      <c r="C1695" s="1">
        <v>18266</v>
      </c>
      <c r="D1695" s="1">
        <v>27274</v>
      </c>
      <c r="E1695" s="2">
        <v>44566</v>
      </c>
      <c r="F1695" s="2">
        <v>44803</v>
      </c>
      <c r="G1695" s="3">
        <v>235000</v>
      </c>
      <c r="H1695" s="1">
        <v>0</v>
      </c>
      <c r="I1695" s="1" t="s">
        <v>784</v>
      </c>
      <c r="J1695" s="1" t="s">
        <v>18</v>
      </c>
    </row>
    <row r="1696" spans="1:10" hidden="1" x14ac:dyDescent="0.25">
      <c r="A1696" s="1" t="s">
        <v>793</v>
      </c>
      <c r="B1696" s="1" t="s">
        <v>215</v>
      </c>
      <c r="C1696" s="1">
        <v>18466</v>
      </c>
      <c r="D1696" s="1">
        <v>27464</v>
      </c>
      <c r="E1696" s="2">
        <v>44580</v>
      </c>
      <c r="F1696" s="2">
        <v>44803</v>
      </c>
      <c r="G1696" s="3">
        <v>16000</v>
      </c>
      <c r="H1696" s="1">
        <v>0</v>
      </c>
      <c r="I1696" s="1" t="s">
        <v>794</v>
      </c>
      <c r="J1696" s="1" t="s">
        <v>64</v>
      </c>
    </row>
    <row r="1697" spans="1:10" hidden="1" x14ac:dyDescent="0.25">
      <c r="A1697" s="1" t="s">
        <v>402</v>
      </c>
      <c r="B1697" s="1" t="s">
        <v>403</v>
      </c>
      <c r="C1697" s="1">
        <v>18684</v>
      </c>
      <c r="D1697" s="1">
        <v>27697</v>
      </c>
      <c r="E1697" s="2">
        <v>44601</v>
      </c>
      <c r="F1697" s="2">
        <v>44803</v>
      </c>
      <c r="G1697" s="3">
        <v>108000</v>
      </c>
      <c r="H1697" s="1">
        <v>0</v>
      </c>
      <c r="I1697" s="1" t="s">
        <v>801</v>
      </c>
      <c r="J1697" s="1" t="s">
        <v>50</v>
      </c>
    </row>
    <row r="1698" spans="1:10" hidden="1" x14ac:dyDescent="0.25">
      <c r="A1698" s="1" t="s">
        <v>65</v>
      </c>
      <c r="B1698" s="1" t="s">
        <v>66</v>
      </c>
      <c r="C1698" s="1">
        <v>18759</v>
      </c>
      <c r="D1698" s="1">
        <v>27779</v>
      </c>
      <c r="E1698" s="2">
        <v>44610</v>
      </c>
      <c r="F1698" s="2">
        <v>44803</v>
      </c>
      <c r="G1698" s="3">
        <v>158790</v>
      </c>
      <c r="H1698" s="1">
        <v>0</v>
      </c>
      <c r="I1698" s="1" t="s">
        <v>803</v>
      </c>
      <c r="J1698" s="1" t="s">
        <v>68</v>
      </c>
    </row>
    <row r="1699" spans="1:10" hidden="1" x14ac:dyDescent="0.25">
      <c r="A1699" s="1" t="s">
        <v>828</v>
      </c>
      <c r="B1699" s="1" t="s">
        <v>829</v>
      </c>
      <c r="C1699" s="1">
        <v>18375</v>
      </c>
      <c r="D1699" s="1">
        <v>27385</v>
      </c>
      <c r="E1699" s="2">
        <v>44574</v>
      </c>
      <c r="F1699" s="2">
        <v>44803</v>
      </c>
      <c r="G1699" s="3">
        <v>110880</v>
      </c>
      <c r="H1699" s="1">
        <v>0</v>
      </c>
      <c r="I1699" s="1" t="s">
        <v>830</v>
      </c>
      <c r="J1699" s="1" t="s">
        <v>31</v>
      </c>
    </row>
    <row r="1700" spans="1:10" hidden="1" x14ac:dyDescent="0.25">
      <c r="A1700" s="1" t="s">
        <v>165</v>
      </c>
      <c r="B1700" s="1" t="s">
        <v>29</v>
      </c>
      <c r="C1700" s="1">
        <v>18643</v>
      </c>
      <c r="D1700" s="1">
        <v>27653</v>
      </c>
      <c r="E1700" s="2">
        <v>44596</v>
      </c>
      <c r="F1700" s="2">
        <v>44803</v>
      </c>
      <c r="G1700" s="3">
        <v>29300</v>
      </c>
      <c r="H1700" s="1">
        <v>0</v>
      </c>
      <c r="I1700" s="1" t="s">
        <v>837</v>
      </c>
      <c r="J1700" s="1" t="s">
        <v>31</v>
      </c>
    </row>
    <row r="1701" spans="1:10" hidden="1" x14ac:dyDescent="0.25">
      <c r="A1701" s="1" t="s">
        <v>850</v>
      </c>
      <c r="B1701" s="1" t="s">
        <v>851</v>
      </c>
      <c r="C1701" s="1">
        <v>18241</v>
      </c>
      <c r="D1701" s="1">
        <v>27254</v>
      </c>
      <c r="E1701" s="2">
        <v>44565</v>
      </c>
      <c r="F1701" s="2">
        <v>44803</v>
      </c>
      <c r="G1701" s="3">
        <v>40800</v>
      </c>
      <c r="H1701" s="1">
        <v>0</v>
      </c>
      <c r="I1701" s="1" t="s">
        <v>852</v>
      </c>
      <c r="J1701" s="1" t="s">
        <v>50</v>
      </c>
    </row>
    <row r="1702" spans="1:10" hidden="1" x14ac:dyDescent="0.25">
      <c r="A1702" s="1" t="s">
        <v>538</v>
      </c>
      <c r="B1702" s="1" t="s">
        <v>539</v>
      </c>
      <c r="C1702" s="1">
        <v>18255</v>
      </c>
      <c r="D1702" s="1">
        <v>27266</v>
      </c>
      <c r="E1702" s="2">
        <v>44565</v>
      </c>
      <c r="F1702" s="2">
        <v>44803</v>
      </c>
      <c r="G1702" s="3">
        <v>144720</v>
      </c>
      <c r="H1702" s="1">
        <v>0</v>
      </c>
      <c r="I1702" s="1" t="s">
        <v>853</v>
      </c>
      <c r="J1702" s="1" t="s">
        <v>84</v>
      </c>
    </row>
    <row r="1703" spans="1:10" hidden="1" x14ac:dyDescent="0.25">
      <c r="A1703" s="1" t="s">
        <v>116</v>
      </c>
      <c r="B1703" s="1" t="s">
        <v>117</v>
      </c>
      <c r="C1703" s="1">
        <v>18734</v>
      </c>
      <c r="D1703" s="1">
        <v>27750</v>
      </c>
      <c r="E1703" s="2">
        <v>44607</v>
      </c>
      <c r="F1703" s="2">
        <v>44803</v>
      </c>
      <c r="G1703" s="3">
        <v>240000</v>
      </c>
      <c r="H1703" s="1">
        <v>0</v>
      </c>
      <c r="I1703" s="1" t="s">
        <v>869</v>
      </c>
      <c r="J1703" s="1" t="s">
        <v>50</v>
      </c>
    </row>
    <row r="1704" spans="1:10" hidden="1" x14ac:dyDescent="0.25">
      <c r="A1704" s="1" t="s">
        <v>39</v>
      </c>
      <c r="B1704" s="1" t="s">
        <v>40</v>
      </c>
      <c r="C1704" s="1">
        <v>18931</v>
      </c>
      <c r="D1704" s="1">
        <v>27944</v>
      </c>
      <c r="E1704" s="2">
        <v>44627</v>
      </c>
      <c r="F1704" s="2">
        <v>44803</v>
      </c>
      <c r="G1704" s="3">
        <v>157120</v>
      </c>
      <c r="H1704" s="1">
        <v>0</v>
      </c>
      <c r="I1704" s="1" t="s">
        <v>880</v>
      </c>
      <c r="J1704" s="1" t="s">
        <v>31</v>
      </c>
    </row>
    <row r="1705" spans="1:10" hidden="1" x14ac:dyDescent="0.25">
      <c r="A1705" s="1" t="s">
        <v>433</v>
      </c>
      <c r="B1705" s="1" t="s">
        <v>434</v>
      </c>
      <c r="C1705" s="1">
        <v>17359</v>
      </c>
      <c r="D1705" s="1">
        <v>26361</v>
      </c>
      <c r="E1705" s="2">
        <v>44488</v>
      </c>
      <c r="F1705" s="2">
        <v>44803</v>
      </c>
      <c r="G1705" s="3">
        <v>12329</v>
      </c>
      <c r="H1705" s="1">
        <v>0</v>
      </c>
      <c r="I1705" s="1" t="s">
        <v>893</v>
      </c>
      <c r="J1705" s="1" t="s">
        <v>92</v>
      </c>
    </row>
    <row r="1706" spans="1:10" hidden="1" x14ac:dyDescent="0.25">
      <c r="A1706" s="1" t="s">
        <v>165</v>
      </c>
      <c r="B1706" s="1" t="s">
        <v>29</v>
      </c>
      <c r="C1706" s="1">
        <v>18717</v>
      </c>
      <c r="D1706" s="1">
        <v>27731</v>
      </c>
      <c r="E1706" s="2">
        <v>44603</v>
      </c>
      <c r="F1706" s="2">
        <v>44803</v>
      </c>
      <c r="G1706" s="3">
        <v>23440</v>
      </c>
      <c r="H1706" s="1">
        <v>0</v>
      </c>
      <c r="I1706" s="1" t="s">
        <v>954</v>
      </c>
      <c r="J1706" s="1" t="s">
        <v>31</v>
      </c>
    </row>
    <row r="1707" spans="1:10" hidden="1" x14ac:dyDescent="0.25">
      <c r="A1707" s="1" t="s">
        <v>65</v>
      </c>
      <c r="B1707" s="1" t="s">
        <v>66</v>
      </c>
      <c r="C1707" s="1">
        <v>18758</v>
      </c>
      <c r="D1707" s="1">
        <v>27778</v>
      </c>
      <c r="E1707" s="2">
        <v>44610</v>
      </c>
      <c r="F1707" s="2">
        <v>44803</v>
      </c>
      <c r="G1707" s="3">
        <v>73950</v>
      </c>
      <c r="H1707" s="1">
        <v>0</v>
      </c>
      <c r="I1707" s="1" t="s">
        <v>955</v>
      </c>
      <c r="J1707" s="1" t="s">
        <v>68</v>
      </c>
    </row>
    <row r="1708" spans="1:10" hidden="1" x14ac:dyDescent="0.25">
      <c r="A1708" s="1" t="s">
        <v>33</v>
      </c>
      <c r="B1708" s="1" t="s">
        <v>34</v>
      </c>
      <c r="C1708" s="1">
        <v>18622</v>
      </c>
      <c r="D1708" s="1">
        <v>27632</v>
      </c>
      <c r="E1708" s="2">
        <v>44596</v>
      </c>
      <c r="F1708" s="2">
        <v>44803</v>
      </c>
      <c r="G1708" s="3">
        <v>2630</v>
      </c>
      <c r="H1708" s="1">
        <v>0</v>
      </c>
      <c r="I1708" s="1" t="s">
        <v>965</v>
      </c>
      <c r="J1708" s="1" t="s">
        <v>18</v>
      </c>
    </row>
    <row r="1709" spans="1:10" hidden="1" x14ac:dyDescent="0.25">
      <c r="A1709" s="1" t="s">
        <v>10</v>
      </c>
      <c r="B1709" s="1" t="s">
        <v>11</v>
      </c>
      <c r="C1709" s="1">
        <v>18874</v>
      </c>
      <c r="D1709" s="1">
        <v>27892</v>
      </c>
      <c r="E1709" s="2">
        <v>44623</v>
      </c>
      <c r="F1709" s="2">
        <v>44803</v>
      </c>
      <c r="G1709" s="3">
        <v>23312</v>
      </c>
      <c r="H1709" s="1">
        <v>0</v>
      </c>
      <c r="I1709" s="1" t="s">
        <v>971</v>
      </c>
      <c r="J1709" s="1" t="s">
        <v>13</v>
      </c>
    </row>
    <row r="1710" spans="1:10" hidden="1" x14ac:dyDescent="0.25">
      <c r="A1710" s="1" t="s">
        <v>165</v>
      </c>
      <c r="B1710" s="1" t="s">
        <v>29</v>
      </c>
      <c r="C1710" s="1">
        <v>18644</v>
      </c>
      <c r="D1710" s="1">
        <v>27654</v>
      </c>
      <c r="E1710" s="2">
        <v>44596</v>
      </c>
      <c r="F1710" s="2">
        <v>44803</v>
      </c>
      <c r="G1710" s="3">
        <v>147108</v>
      </c>
      <c r="H1710" s="1">
        <v>0</v>
      </c>
      <c r="I1710" s="1" t="s">
        <v>987</v>
      </c>
      <c r="J1710" s="1" t="s">
        <v>31</v>
      </c>
    </row>
    <row r="1711" spans="1:10" hidden="1" x14ac:dyDescent="0.25">
      <c r="A1711" s="1" t="s">
        <v>133</v>
      </c>
      <c r="B1711" s="1" t="s">
        <v>134</v>
      </c>
      <c r="C1711" s="1">
        <v>18007</v>
      </c>
      <c r="D1711" s="1">
        <v>27018</v>
      </c>
      <c r="E1711" s="2">
        <v>44537</v>
      </c>
      <c r="F1711" s="2">
        <v>44803</v>
      </c>
      <c r="G1711" s="3">
        <v>144000</v>
      </c>
      <c r="H1711" s="1">
        <v>0</v>
      </c>
      <c r="I1711" s="1" t="s">
        <v>996</v>
      </c>
      <c r="J1711" s="1" t="s">
        <v>18</v>
      </c>
    </row>
    <row r="1712" spans="1:10" hidden="1" x14ac:dyDescent="0.25">
      <c r="A1712" s="1" t="s">
        <v>214</v>
      </c>
      <c r="B1712" s="1" t="s">
        <v>215</v>
      </c>
      <c r="C1712" s="1">
        <v>18464</v>
      </c>
      <c r="D1712" s="1">
        <v>27462</v>
      </c>
      <c r="E1712" s="2">
        <v>44580</v>
      </c>
      <c r="F1712" s="2">
        <v>44803</v>
      </c>
      <c r="G1712" s="3">
        <v>248000</v>
      </c>
      <c r="H1712" s="1">
        <v>0</v>
      </c>
      <c r="I1712" s="1" t="s">
        <v>1000</v>
      </c>
      <c r="J1712" s="1" t="s">
        <v>64</v>
      </c>
    </row>
    <row r="1713" spans="1:10" hidden="1" x14ac:dyDescent="0.25">
      <c r="A1713" s="1" t="s">
        <v>268</v>
      </c>
      <c r="B1713" s="1" t="s">
        <v>269</v>
      </c>
      <c r="C1713" s="1">
        <v>18632</v>
      </c>
      <c r="D1713" s="1">
        <v>27643</v>
      </c>
      <c r="E1713" s="2">
        <v>44596</v>
      </c>
      <c r="F1713" s="2">
        <v>44803</v>
      </c>
      <c r="G1713" s="3">
        <v>4020</v>
      </c>
      <c r="H1713" s="1">
        <v>0</v>
      </c>
      <c r="I1713" s="1" t="s">
        <v>1003</v>
      </c>
      <c r="J1713" s="1" t="s">
        <v>31</v>
      </c>
    </row>
    <row r="1714" spans="1:10" hidden="1" x14ac:dyDescent="0.25">
      <c r="A1714" s="1" t="s">
        <v>78</v>
      </c>
      <c r="B1714" s="1" t="s">
        <v>79</v>
      </c>
      <c r="C1714" s="1">
        <v>18356</v>
      </c>
      <c r="D1714" s="1">
        <v>27364</v>
      </c>
      <c r="E1714" s="2">
        <v>44573</v>
      </c>
      <c r="F1714" s="2">
        <v>44803</v>
      </c>
      <c r="G1714" s="3">
        <v>121660</v>
      </c>
      <c r="H1714" s="1">
        <v>0</v>
      </c>
      <c r="I1714" s="1" t="s">
        <v>1031</v>
      </c>
      <c r="J1714" s="1" t="s">
        <v>68</v>
      </c>
    </row>
    <row r="1715" spans="1:10" hidden="1" x14ac:dyDescent="0.25">
      <c r="A1715" s="1" t="s">
        <v>154</v>
      </c>
      <c r="B1715" s="1" t="s">
        <v>144</v>
      </c>
      <c r="C1715" s="1">
        <v>18162</v>
      </c>
      <c r="D1715" s="1">
        <v>27173</v>
      </c>
      <c r="E1715" s="2">
        <v>44550</v>
      </c>
      <c r="F1715" s="2">
        <v>44803</v>
      </c>
      <c r="G1715" s="3">
        <v>227950</v>
      </c>
      <c r="H1715" s="1">
        <v>0</v>
      </c>
      <c r="I1715" s="1" t="s">
        <v>1032</v>
      </c>
      <c r="J1715" s="1" t="s">
        <v>64</v>
      </c>
    </row>
    <row r="1716" spans="1:10" hidden="1" x14ac:dyDescent="0.25">
      <c r="A1716" s="1" t="s">
        <v>1045</v>
      </c>
      <c r="B1716" s="1" t="s">
        <v>215</v>
      </c>
      <c r="C1716" s="1">
        <v>18519</v>
      </c>
      <c r="D1716" s="1">
        <v>27519</v>
      </c>
      <c r="E1716" s="2">
        <v>44585</v>
      </c>
      <c r="F1716" s="2">
        <v>44803</v>
      </c>
      <c r="G1716" s="3">
        <v>266500</v>
      </c>
      <c r="H1716" s="1">
        <v>0</v>
      </c>
      <c r="I1716" s="1" t="s">
        <v>1046</v>
      </c>
      <c r="J1716" s="1" t="s">
        <v>64</v>
      </c>
    </row>
    <row r="1717" spans="1:10" hidden="1" x14ac:dyDescent="0.25">
      <c r="A1717" s="1" t="s">
        <v>47</v>
      </c>
      <c r="B1717" s="1" t="s">
        <v>48</v>
      </c>
      <c r="C1717" s="1">
        <v>18243</v>
      </c>
      <c r="D1717" s="1">
        <v>27256</v>
      </c>
      <c r="E1717" s="2">
        <v>44565</v>
      </c>
      <c r="F1717" s="2">
        <v>44803</v>
      </c>
      <c r="G1717" s="3">
        <v>42500</v>
      </c>
      <c r="H1717" s="1">
        <v>0</v>
      </c>
      <c r="I1717" s="1" t="s">
        <v>1056</v>
      </c>
      <c r="J1717" s="1" t="s">
        <v>50</v>
      </c>
    </row>
    <row r="1718" spans="1:10" hidden="1" x14ac:dyDescent="0.25">
      <c r="A1718" s="1" t="s">
        <v>136</v>
      </c>
      <c r="B1718" s="1" t="s">
        <v>137</v>
      </c>
      <c r="C1718" s="1">
        <v>18702</v>
      </c>
      <c r="D1718" s="1">
        <v>182017</v>
      </c>
      <c r="E1718" s="2">
        <v>44602</v>
      </c>
      <c r="F1718" s="2">
        <v>44803</v>
      </c>
      <c r="G1718" s="3">
        <v>11700</v>
      </c>
      <c r="H1718" s="1">
        <v>0</v>
      </c>
      <c r="I1718" s="1" t="s">
        <v>1061</v>
      </c>
      <c r="J1718" s="1" t="s">
        <v>77</v>
      </c>
    </row>
    <row r="1719" spans="1:10" hidden="1" x14ac:dyDescent="0.25">
      <c r="A1719" s="1" t="s">
        <v>828</v>
      </c>
      <c r="B1719" s="1" t="s">
        <v>829</v>
      </c>
      <c r="C1719" s="1">
        <v>18377</v>
      </c>
      <c r="D1719" s="1">
        <v>27387</v>
      </c>
      <c r="E1719" s="2">
        <v>44574</v>
      </c>
      <c r="F1719" s="2">
        <v>44803</v>
      </c>
      <c r="G1719" s="3">
        <v>110880</v>
      </c>
      <c r="H1719" s="1">
        <v>0</v>
      </c>
      <c r="I1719" s="1" t="s">
        <v>1068</v>
      </c>
      <c r="J1719" s="1" t="s">
        <v>31</v>
      </c>
    </row>
    <row r="1720" spans="1:10" hidden="1" x14ac:dyDescent="0.25">
      <c r="A1720" s="1" t="s">
        <v>39</v>
      </c>
      <c r="B1720" s="1" t="s">
        <v>40</v>
      </c>
      <c r="C1720" s="1">
        <v>18379</v>
      </c>
      <c r="D1720" s="1">
        <v>27389</v>
      </c>
      <c r="E1720" s="2">
        <v>44574</v>
      </c>
      <c r="F1720" s="2">
        <v>44803</v>
      </c>
      <c r="G1720" s="3">
        <v>169920</v>
      </c>
      <c r="H1720" s="1">
        <v>0</v>
      </c>
      <c r="I1720" s="1" t="s">
        <v>1069</v>
      </c>
      <c r="J1720" s="1" t="s">
        <v>31</v>
      </c>
    </row>
    <row r="1721" spans="1:10" hidden="1" x14ac:dyDescent="0.25">
      <c r="A1721" s="1" t="s">
        <v>769</v>
      </c>
      <c r="B1721" s="1" t="s">
        <v>770</v>
      </c>
      <c r="C1721" s="1">
        <v>17709</v>
      </c>
      <c r="D1721" s="1">
        <v>26705</v>
      </c>
      <c r="E1721" s="2">
        <v>44510</v>
      </c>
      <c r="F1721" s="2">
        <v>44803</v>
      </c>
      <c r="G1721" s="3">
        <v>149440</v>
      </c>
      <c r="H1721" s="1">
        <v>0</v>
      </c>
      <c r="I1721" s="1" t="s">
        <v>1071</v>
      </c>
      <c r="J1721" s="1" t="s">
        <v>84</v>
      </c>
    </row>
    <row r="1722" spans="1:10" hidden="1" x14ac:dyDescent="0.25">
      <c r="A1722" s="1" t="s">
        <v>39</v>
      </c>
      <c r="B1722" s="1" t="s">
        <v>40</v>
      </c>
      <c r="C1722" s="1">
        <v>18846</v>
      </c>
      <c r="D1722" s="1">
        <v>27867</v>
      </c>
      <c r="E1722" s="2">
        <v>44617</v>
      </c>
      <c r="F1722" s="2">
        <v>44803</v>
      </c>
      <c r="G1722" s="3">
        <v>181670</v>
      </c>
      <c r="H1722" s="1">
        <v>0</v>
      </c>
      <c r="I1722" s="1" t="s">
        <v>1091</v>
      </c>
      <c r="J1722" s="1" t="s">
        <v>31</v>
      </c>
    </row>
    <row r="1723" spans="1:10" hidden="1" x14ac:dyDescent="0.25">
      <c r="A1723" s="1" t="s">
        <v>133</v>
      </c>
      <c r="B1723" s="1" t="s">
        <v>134</v>
      </c>
      <c r="C1723" s="1">
        <v>17988</v>
      </c>
      <c r="D1723" s="1">
        <v>26999</v>
      </c>
      <c r="E1723" s="2">
        <v>44536</v>
      </c>
      <c r="F1723" s="2">
        <v>44803</v>
      </c>
      <c r="G1723" s="3">
        <v>150000</v>
      </c>
      <c r="H1723" s="1">
        <v>0</v>
      </c>
      <c r="I1723" s="1" t="s">
        <v>1095</v>
      </c>
      <c r="J1723" s="1" t="s">
        <v>18</v>
      </c>
    </row>
    <row r="1724" spans="1:10" hidden="1" x14ac:dyDescent="0.25">
      <c r="A1724" s="1" t="s">
        <v>793</v>
      </c>
      <c r="B1724" s="1" t="s">
        <v>215</v>
      </c>
      <c r="C1724" s="1">
        <v>18456</v>
      </c>
      <c r="D1724" s="1">
        <v>27454</v>
      </c>
      <c r="E1724" s="2">
        <v>44580</v>
      </c>
      <c r="F1724" s="2">
        <v>44803</v>
      </c>
      <c r="G1724" s="3">
        <v>21120</v>
      </c>
      <c r="H1724" s="1">
        <v>0</v>
      </c>
      <c r="I1724" s="1" t="s">
        <v>1101</v>
      </c>
      <c r="J1724" s="1" t="s">
        <v>64</v>
      </c>
    </row>
    <row r="1725" spans="1:10" hidden="1" x14ac:dyDescent="0.25">
      <c r="A1725" s="1" t="s">
        <v>173</v>
      </c>
      <c r="B1725" s="1" t="s">
        <v>174</v>
      </c>
      <c r="C1725" s="1">
        <v>18300</v>
      </c>
      <c r="D1725" s="1">
        <v>27309</v>
      </c>
      <c r="E1725" s="2">
        <v>44567</v>
      </c>
      <c r="F1725" s="2">
        <v>44803</v>
      </c>
      <c r="G1725" s="3">
        <v>34848</v>
      </c>
      <c r="H1725" s="1">
        <v>0</v>
      </c>
      <c r="I1725" s="1" t="s">
        <v>1112</v>
      </c>
      <c r="J1725" s="1" t="s">
        <v>68</v>
      </c>
    </row>
    <row r="1726" spans="1:10" hidden="1" x14ac:dyDescent="0.25">
      <c r="A1726" s="1" t="s">
        <v>65</v>
      </c>
      <c r="B1726" s="1" t="s">
        <v>66</v>
      </c>
      <c r="C1726" s="1">
        <v>18582</v>
      </c>
      <c r="D1726" s="1">
        <v>27593</v>
      </c>
      <c r="E1726" s="2">
        <v>44593</v>
      </c>
      <c r="F1726" s="2">
        <v>44803</v>
      </c>
      <c r="G1726" s="3">
        <v>55000</v>
      </c>
      <c r="H1726" s="1">
        <v>0</v>
      </c>
      <c r="I1726" s="1" t="s">
        <v>1115</v>
      </c>
      <c r="J1726" s="1" t="s">
        <v>68</v>
      </c>
    </row>
    <row r="1727" spans="1:10" hidden="1" x14ac:dyDescent="0.25">
      <c r="A1727" s="1" t="s">
        <v>268</v>
      </c>
      <c r="B1727" s="1" t="s">
        <v>269</v>
      </c>
      <c r="C1727" s="1">
        <v>18704</v>
      </c>
      <c r="D1727" s="1">
        <v>27717</v>
      </c>
      <c r="E1727" s="2">
        <v>44602</v>
      </c>
      <c r="F1727" s="2">
        <v>44803</v>
      </c>
      <c r="G1727" s="3">
        <v>228364</v>
      </c>
      <c r="H1727" s="1">
        <v>0</v>
      </c>
      <c r="I1727" s="1" t="s">
        <v>1141</v>
      </c>
      <c r="J1727" s="1" t="s">
        <v>31</v>
      </c>
    </row>
    <row r="1728" spans="1:10" hidden="1" x14ac:dyDescent="0.25">
      <c r="A1728" s="1" t="s">
        <v>39</v>
      </c>
      <c r="B1728" s="1" t="s">
        <v>40</v>
      </c>
      <c r="C1728" s="1">
        <v>18736</v>
      </c>
      <c r="D1728" s="1">
        <v>27752</v>
      </c>
      <c r="E1728" s="2">
        <v>44607</v>
      </c>
      <c r="F1728" s="2">
        <v>44803</v>
      </c>
      <c r="G1728" s="3">
        <v>186580</v>
      </c>
      <c r="H1728" s="1">
        <v>0</v>
      </c>
      <c r="I1728" s="1" t="s">
        <v>1142</v>
      </c>
      <c r="J1728" s="1" t="s">
        <v>31</v>
      </c>
    </row>
    <row r="1729" spans="1:10" hidden="1" x14ac:dyDescent="0.25">
      <c r="A1729" s="1" t="s">
        <v>39</v>
      </c>
      <c r="B1729" s="1" t="s">
        <v>40</v>
      </c>
      <c r="C1729" s="1">
        <v>18786</v>
      </c>
      <c r="D1729" s="1">
        <v>27806</v>
      </c>
      <c r="E1729" s="2">
        <v>44614</v>
      </c>
      <c r="F1729" s="2">
        <v>44803</v>
      </c>
      <c r="G1729" s="3">
        <v>181670</v>
      </c>
      <c r="H1729" s="1">
        <v>0</v>
      </c>
      <c r="I1729" s="1" t="s">
        <v>1143</v>
      </c>
      <c r="J1729" s="1" t="s">
        <v>31</v>
      </c>
    </row>
    <row r="1730" spans="1:10" hidden="1" x14ac:dyDescent="0.25">
      <c r="A1730" s="1" t="s">
        <v>297</v>
      </c>
      <c r="B1730" s="1" t="s">
        <v>298</v>
      </c>
      <c r="C1730" s="1">
        <v>18674</v>
      </c>
      <c r="D1730" s="1">
        <v>27686</v>
      </c>
      <c r="E1730" s="2">
        <v>44600</v>
      </c>
      <c r="F1730" s="2">
        <v>44803</v>
      </c>
      <c r="G1730" s="3">
        <v>219854</v>
      </c>
      <c r="H1730" s="1">
        <v>0</v>
      </c>
      <c r="I1730" s="1" t="s">
        <v>1164</v>
      </c>
      <c r="J1730" s="1" t="s">
        <v>31</v>
      </c>
    </row>
    <row r="1731" spans="1:10" hidden="1" x14ac:dyDescent="0.25">
      <c r="A1731" s="1" t="s">
        <v>1045</v>
      </c>
      <c r="B1731" s="1" t="s">
        <v>215</v>
      </c>
      <c r="C1731" s="1">
        <v>18090</v>
      </c>
      <c r="D1731" s="1">
        <v>27102</v>
      </c>
      <c r="E1731" s="2">
        <v>44544</v>
      </c>
      <c r="F1731" s="2">
        <v>44803</v>
      </c>
      <c r="G1731" s="3">
        <v>266500</v>
      </c>
      <c r="H1731" s="1">
        <v>0</v>
      </c>
      <c r="I1731" s="1" t="s">
        <v>1175</v>
      </c>
      <c r="J1731" s="1" t="s">
        <v>64</v>
      </c>
    </row>
    <row r="1732" spans="1:10" hidden="1" x14ac:dyDescent="0.25">
      <c r="A1732" s="1" t="s">
        <v>769</v>
      </c>
      <c r="B1732" s="1" t="s">
        <v>770</v>
      </c>
      <c r="C1732" s="1">
        <v>18143</v>
      </c>
      <c r="D1732" s="1">
        <v>27155</v>
      </c>
      <c r="E1732" s="2">
        <v>44547</v>
      </c>
      <c r="F1732" s="2">
        <v>44803</v>
      </c>
      <c r="G1732" s="3">
        <v>158400</v>
      </c>
      <c r="H1732" s="1">
        <v>0</v>
      </c>
      <c r="I1732" s="1" t="s">
        <v>1182</v>
      </c>
      <c r="J1732" s="1" t="s">
        <v>84</v>
      </c>
    </row>
    <row r="1733" spans="1:10" hidden="1" x14ac:dyDescent="0.25">
      <c r="A1733" s="1" t="s">
        <v>39</v>
      </c>
      <c r="B1733" s="1" t="s">
        <v>40</v>
      </c>
      <c r="C1733" s="1">
        <v>18852</v>
      </c>
      <c r="D1733" s="1">
        <v>27872</v>
      </c>
      <c r="E1733" s="2">
        <v>44617</v>
      </c>
      <c r="F1733" s="2">
        <v>44803</v>
      </c>
      <c r="G1733" s="3">
        <v>157120</v>
      </c>
      <c r="H1733" s="1">
        <v>0</v>
      </c>
      <c r="I1733" s="1" t="s">
        <v>1187</v>
      </c>
      <c r="J1733" s="1" t="s">
        <v>31</v>
      </c>
    </row>
    <row r="1734" spans="1:10" hidden="1" x14ac:dyDescent="0.25">
      <c r="A1734" s="1" t="s">
        <v>510</v>
      </c>
      <c r="B1734" s="1" t="s">
        <v>511</v>
      </c>
      <c r="C1734" s="1">
        <v>18733</v>
      </c>
      <c r="D1734" s="1">
        <v>27749</v>
      </c>
      <c r="E1734" s="2">
        <v>44607</v>
      </c>
      <c r="F1734" s="2">
        <v>44803</v>
      </c>
      <c r="G1734" s="3">
        <v>375544</v>
      </c>
      <c r="H1734" s="1">
        <v>0</v>
      </c>
      <c r="I1734" s="1" t="s">
        <v>1190</v>
      </c>
      <c r="J1734" s="1" t="s">
        <v>92</v>
      </c>
    </row>
    <row r="1735" spans="1:10" hidden="1" x14ac:dyDescent="0.25">
      <c r="A1735" s="1" t="s">
        <v>36</v>
      </c>
      <c r="B1735" s="1" t="s">
        <v>37</v>
      </c>
      <c r="C1735" s="1">
        <v>18740</v>
      </c>
      <c r="D1735" s="1">
        <v>27759</v>
      </c>
      <c r="E1735" s="2">
        <v>44608</v>
      </c>
      <c r="F1735" s="2">
        <v>44803</v>
      </c>
      <c r="G1735" s="3">
        <v>189920</v>
      </c>
      <c r="H1735" s="1">
        <v>0</v>
      </c>
      <c r="I1735" s="1" t="s">
        <v>1191</v>
      </c>
      <c r="J1735" s="1" t="s">
        <v>31</v>
      </c>
    </row>
    <row r="1736" spans="1:10" hidden="1" x14ac:dyDescent="0.25">
      <c r="A1736" s="1" t="s">
        <v>214</v>
      </c>
      <c r="B1736" s="1" t="s">
        <v>215</v>
      </c>
      <c r="C1736" s="1">
        <v>18497</v>
      </c>
      <c r="D1736" s="1">
        <v>27495</v>
      </c>
      <c r="E1736" s="2">
        <v>44582</v>
      </c>
      <c r="F1736" s="2">
        <v>44803</v>
      </c>
      <c r="G1736" s="3">
        <v>183520</v>
      </c>
      <c r="H1736" s="1">
        <v>0</v>
      </c>
      <c r="I1736" s="1" t="s">
        <v>1204</v>
      </c>
      <c r="J1736" s="1" t="s">
        <v>64</v>
      </c>
    </row>
    <row r="1737" spans="1:10" hidden="1" x14ac:dyDescent="0.25">
      <c r="A1737" s="1" t="s">
        <v>669</v>
      </c>
      <c r="B1737" s="1" t="s">
        <v>670</v>
      </c>
      <c r="C1737" s="1">
        <v>18279</v>
      </c>
      <c r="D1737" s="1">
        <v>27289</v>
      </c>
      <c r="E1737" s="2">
        <v>44566</v>
      </c>
      <c r="F1737" s="2">
        <v>44803</v>
      </c>
      <c r="G1737" s="3">
        <v>173530</v>
      </c>
      <c r="H1737" s="1">
        <v>0</v>
      </c>
      <c r="I1737" s="1" t="s">
        <v>1221</v>
      </c>
      <c r="J1737" s="1" t="s">
        <v>31</v>
      </c>
    </row>
    <row r="1738" spans="1:10" hidden="1" x14ac:dyDescent="0.25">
      <c r="A1738" s="1" t="s">
        <v>474</v>
      </c>
      <c r="B1738" s="1" t="s">
        <v>475</v>
      </c>
      <c r="C1738" s="1">
        <v>17960</v>
      </c>
      <c r="D1738" s="1">
        <v>26975</v>
      </c>
      <c r="E1738" s="2">
        <v>44536</v>
      </c>
      <c r="F1738" s="2">
        <v>44803</v>
      </c>
      <c r="G1738" s="3">
        <v>577200</v>
      </c>
      <c r="H1738" s="1">
        <v>0</v>
      </c>
      <c r="I1738" s="1" t="s">
        <v>1224</v>
      </c>
      <c r="J1738" s="1" t="s">
        <v>115</v>
      </c>
    </row>
    <row r="1739" spans="1:10" hidden="1" x14ac:dyDescent="0.25">
      <c r="A1739" s="1" t="s">
        <v>65</v>
      </c>
      <c r="B1739" s="1" t="s">
        <v>66</v>
      </c>
      <c r="C1739" s="1">
        <v>18581</v>
      </c>
      <c r="D1739" s="1">
        <v>27592</v>
      </c>
      <c r="E1739" s="2">
        <v>44593</v>
      </c>
      <c r="F1739" s="2">
        <v>44803</v>
      </c>
      <c r="G1739" s="3">
        <v>23300</v>
      </c>
      <c r="H1739" s="1">
        <v>0</v>
      </c>
      <c r="I1739" s="1" t="s">
        <v>1230</v>
      </c>
      <c r="J1739" s="1" t="s">
        <v>68</v>
      </c>
    </row>
    <row r="1740" spans="1:10" hidden="1" x14ac:dyDescent="0.25">
      <c r="A1740" s="1" t="s">
        <v>769</v>
      </c>
      <c r="B1740" s="1" t="s">
        <v>770</v>
      </c>
      <c r="C1740" s="1">
        <v>18122</v>
      </c>
      <c r="D1740" s="1">
        <v>27135</v>
      </c>
      <c r="E1740" s="2">
        <v>44546</v>
      </c>
      <c r="F1740" s="2">
        <v>44803</v>
      </c>
      <c r="G1740" s="3">
        <v>183150</v>
      </c>
      <c r="H1740" s="1">
        <v>0</v>
      </c>
      <c r="I1740" s="1" t="s">
        <v>1236</v>
      </c>
      <c r="J1740" s="1" t="s">
        <v>84</v>
      </c>
    </row>
    <row r="1741" spans="1:10" hidden="1" x14ac:dyDescent="0.25">
      <c r="A1741" s="1" t="s">
        <v>154</v>
      </c>
      <c r="B1741" s="1" t="s">
        <v>144</v>
      </c>
      <c r="C1741" s="1">
        <v>18124</v>
      </c>
      <c r="D1741" s="1">
        <v>27137</v>
      </c>
      <c r="E1741" s="2">
        <v>44546</v>
      </c>
      <c r="F1741" s="2">
        <v>44803</v>
      </c>
      <c r="G1741" s="3">
        <v>242500</v>
      </c>
      <c r="H1741" s="1">
        <v>0</v>
      </c>
      <c r="I1741" s="1" t="s">
        <v>1237</v>
      </c>
      <c r="J1741" s="1" t="s">
        <v>64</v>
      </c>
    </row>
    <row r="1742" spans="1:10" hidden="1" x14ac:dyDescent="0.25">
      <c r="A1742" s="1" t="s">
        <v>10</v>
      </c>
      <c r="B1742" s="1" t="s">
        <v>11</v>
      </c>
      <c r="C1742" s="1">
        <v>18885</v>
      </c>
      <c r="D1742" s="1">
        <v>27901</v>
      </c>
      <c r="E1742" s="2">
        <v>44623</v>
      </c>
      <c r="F1742" s="2">
        <v>44803</v>
      </c>
      <c r="G1742" s="3">
        <v>64800</v>
      </c>
      <c r="H1742" s="1">
        <v>0</v>
      </c>
      <c r="I1742" s="1" t="s">
        <v>1243</v>
      </c>
      <c r="J1742" s="1" t="s">
        <v>13</v>
      </c>
    </row>
    <row r="1743" spans="1:10" hidden="1" x14ac:dyDescent="0.25">
      <c r="A1743" s="1" t="s">
        <v>214</v>
      </c>
      <c r="B1743" s="1" t="s">
        <v>215</v>
      </c>
      <c r="C1743" s="1">
        <v>18089</v>
      </c>
      <c r="D1743" s="1">
        <v>27101</v>
      </c>
      <c r="E1743" s="2">
        <v>44544</v>
      </c>
      <c r="F1743" s="2">
        <v>44803</v>
      </c>
      <c r="G1743" s="3">
        <v>248000</v>
      </c>
      <c r="H1743" s="1">
        <v>0</v>
      </c>
      <c r="I1743" s="1" t="s">
        <v>1247</v>
      </c>
      <c r="J1743" s="1" t="s">
        <v>64</v>
      </c>
    </row>
    <row r="1744" spans="1:10" hidden="1" x14ac:dyDescent="0.25">
      <c r="A1744" s="1" t="s">
        <v>769</v>
      </c>
      <c r="B1744" s="1" t="s">
        <v>770</v>
      </c>
      <c r="C1744" s="1">
        <v>18100</v>
      </c>
      <c r="D1744" s="1">
        <v>27112</v>
      </c>
      <c r="E1744" s="2">
        <v>44544</v>
      </c>
      <c r="F1744" s="2">
        <v>44803</v>
      </c>
      <c r="G1744" s="3">
        <v>158400</v>
      </c>
      <c r="H1744" s="1">
        <v>0</v>
      </c>
      <c r="I1744" s="1" t="s">
        <v>1248</v>
      </c>
      <c r="J1744" s="1" t="s">
        <v>84</v>
      </c>
    </row>
    <row r="1745" spans="1:10" hidden="1" x14ac:dyDescent="0.25">
      <c r="A1745" s="1" t="s">
        <v>471</v>
      </c>
      <c r="B1745" s="1" t="s">
        <v>434</v>
      </c>
      <c r="C1745" s="1">
        <v>16973</v>
      </c>
      <c r="D1745" s="1">
        <v>25970</v>
      </c>
      <c r="E1745" s="2">
        <v>44462</v>
      </c>
      <c r="F1745" s="2">
        <v>44803</v>
      </c>
      <c r="G1745" s="3">
        <v>28772.6</v>
      </c>
      <c r="H1745" s="1">
        <v>0</v>
      </c>
      <c r="I1745" s="1" t="s">
        <v>1263</v>
      </c>
      <c r="J1745" s="1" t="s">
        <v>92</v>
      </c>
    </row>
    <row r="1746" spans="1:10" hidden="1" x14ac:dyDescent="0.25">
      <c r="A1746" s="1" t="s">
        <v>154</v>
      </c>
      <c r="B1746" s="1" t="s">
        <v>144</v>
      </c>
      <c r="C1746" s="1">
        <v>18462</v>
      </c>
      <c r="D1746" s="1">
        <v>27460</v>
      </c>
      <c r="E1746" s="2">
        <v>44580</v>
      </c>
      <c r="F1746" s="2">
        <v>44803</v>
      </c>
      <c r="G1746" s="3">
        <v>8960</v>
      </c>
      <c r="H1746" s="1">
        <v>0</v>
      </c>
      <c r="I1746" s="1" t="s">
        <v>1267</v>
      </c>
      <c r="J1746" s="1" t="s">
        <v>64</v>
      </c>
    </row>
    <row r="1747" spans="1:10" hidden="1" x14ac:dyDescent="0.25">
      <c r="A1747" s="1" t="s">
        <v>133</v>
      </c>
      <c r="B1747" s="1" t="s">
        <v>134</v>
      </c>
      <c r="C1747" s="1">
        <v>18747</v>
      </c>
      <c r="D1747" s="1">
        <v>27766</v>
      </c>
      <c r="E1747" s="2">
        <v>44609</v>
      </c>
      <c r="F1747" s="2">
        <v>44803</v>
      </c>
      <c r="G1747" s="3">
        <v>63000</v>
      </c>
      <c r="H1747" s="1">
        <v>0</v>
      </c>
      <c r="I1747" s="1" t="s">
        <v>1276</v>
      </c>
      <c r="J1747" s="1" t="s">
        <v>18</v>
      </c>
    </row>
    <row r="1748" spans="1:10" hidden="1" x14ac:dyDescent="0.25">
      <c r="A1748" s="1" t="s">
        <v>10</v>
      </c>
      <c r="B1748" s="1" t="s">
        <v>11</v>
      </c>
      <c r="C1748" s="1">
        <v>18880</v>
      </c>
      <c r="D1748" s="1">
        <v>27897</v>
      </c>
      <c r="E1748" s="2">
        <v>44623</v>
      </c>
      <c r="F1748" s="2">
        <v>44803</v>
      </c>
      <c r="G1748" s="3">
        <v>13905</v>
      </c>
      <c r="H1748" s="1">
        <v>0</v>
      </c>
      <c r="I1748" s="1" t="s">
        <v>1283</v>
      </c>
      <c r="J1748" s="1" t="s">
        <v>13</v>
      </c>
    </row>
    <row r="1749" spans="1:10" hidden="1" x14ac:dyDescent="0.25">
      <c r="A1749" s="1" t="s">
        <v>214</v>
      </c>
      <c r="B1749" s="1" t="s">
        <v>215</v>
      </c>
      <c r="C1749" s="1">
        <v>18088</v>
      </c>
      <c r="D1749" s="1">
        <v>27100</v>
      </c>
      <c r="E1749" s="2">
        <v>44544</v>
      </c>
      <c r="F1749" s="2">
        <v>44803</v>
      </c>
      <c r="G1749" s="3">
        <v>183520</v>
      </c>
      <c r="H1749" s="1">
        <v>0</v>
      </c>
      <c r="I1749" s="1" t="s">
        <v>1285</v>
      </c>
      <c r="J1749" s="1" t="s">
        <v>64</v>
      </c>
    </row>
    <row r="1750" spans="1:10" hidden="1" x14ac:dyDescent="0.25">
      <c r="A1750" s="1" t="s">
        <v>39</v>
      </c>
      <c r="B1750" s="1" t="s">
        <v>40</v>
      </c>
      <c r="C1750" s="1">
        <v>18345</v>
      </c>
      <c r="D1750" s="1">
        <v>27353</v>
      </c>
      <c r="E1750" s="2">
        <v>44572</v>
      </c>
      <c r="F1750" s="2">
        <v>44803</v>
      </c>
      <c r="G1750" s="3">
        <v>169920</v>
      </c>
      <c r="H1750" s="1">
        <v>0</v>
      </c>
      <c r="I1750" s="1" t="s">
        <v>1292</v>
      </c>
      <c r="J1750" s="1" t="s">
        <v>31</v>
      </c>
    </row>
    <row r="1751" spans="1:10" hidden="1" x14ac:dyDescent="0.25">
      <c r="A1751" s="1" t="s">
        <v>116</v>
      </c>
      <c r="B1751" s="1" t="s">
        <v>117</v>
      </c>
      <c r="C1751" s="1">
        <v>18360</v>
      </c>
      <c r="D1751" s="1">
        <v>27368</v>
      </c>
      <c r="E1751" s="2">
        <v>44573</v>
      </c>
      <c r="F1751" s="2">
        <v>44803</v>
      </c>
      <c r="G1751" s="3">
        <v>240000</v>
      </c>
      <c r="H1751" s="1">
        <v>0</v>
      </c>
      <c r="I1751" s="1" t="s">
        <v>1297</v>
      </c>
      <c r="J1751" s="1" t="s">
        <v>50</v>
      </c>
    </row>
    <row r="1752" spans="1:10" hidden="1" x14ac:dyDescent="0.25">
      <c r="A1752" s="1" t="s">
        <v>297</v>
      </c>
      <c r="B1752" s="1" t="s">
        <v>298</v>
      </c>
      <c r="C1752" s="1">
        <v>18362</v>
      </c>
      <c r="D1752" s="1">
        <v>27370</v>
      </c>
      <c r="E1752" s="2">
        <v>44573</v>
      </c>
      <c r="F1752" s="2">
        <v>44803</v>
      </c>
      <c r="G1752" s="3">
        <v>219854</v>
      </c>
      <c r="H1752" s="1">
        <v>0</v>
      </c>
      <c r="I1752" s="1" t="s">
        <v>1298</v>
      </c>
      <c r="J1752" s="1" t="s">
        <v>31</v>
      </c>
    </row>
    <row r="1753" spans="1:10" hidden="1" x14ac:dyDescent="0.25">
      <c r="A1753" s="1" t="s">
        <v>769</v>
      </c>
      <c r="B1753" s="1" t="s">
        <v>770</v>
      </c>
      <c r="C1753" s="1">
        <v>18111</v>
      </c>
      <c r="D1753" s="1">
        <v>27124</v>
      </c>
      <c r="E1753" s="2">
        <v>44545</v>
      </c>
      <c r="F1753" s="2">
        <v>44803</v>
      </c>
      <c r="G1753" s="3">
        <v>183150</v>
      </c>
      <c r="H1753" s="1">
        <v>0</v>
      </c>
      <c r="I1753" s="1" t="s">
        <v>1303</v>
      </c>
      <c r="J1753" s="1" t="s">
        <v>84</v>
      </c>
    </row>
    <row r="1754" spans="1:10" hidden="1" x14ac:dyDescent="0.25">
      <c r="A1754" s="1" t="s">
        <v>47</v>
      </c>
      <c r="B1754" s="1" t="s">
        <v>48</v>
      </c>
      <c r="C1754" s="1">
        <v>18859</v>
      </c>
      <c r="D1754" s="1">
        <v>27879</v>
      </c>
      <c r="E1754" s="2">
        <v>44622</v>
      </c>
      <c r="F1754" s="2">
        <v>44803</v>
      </c>
      <c r="G1754" s="3">
        <v>90100</v>
      </c>
      <c r="H1754" s="1">
        <v>0</v>
      </c>
      <c r="I1754" s="1" t="s">
        <v>1313</v>
      </c>
      <c r="J1754" s="1" t="s">
        <v>50</v>
      </c>
    </row>
    <row r="1755" spans="1:10" hidden="1" x14ac:dyDescent="0.25">
      <c r="A1755" s="1" t="s">
        <v>165</v>
      </c>
      <c r="B1755" s="1" t="s">
        <v>29</v>
      </c>
      <c r="C1755" s="1">
        <v>18641</v>
      </c>
      <c r="D1755" s="1">
        <v>27651</v>
      </c>
      <c r="E1755" s="2">
        <v>44596</v>
      </c>
      <c r="F1755" s="2">
        <v>44803</v>
      </c>
      <c r="G1755" s="3">
        <v>76180</v>
      </c>
      <c r="H1755" s="1">
        <v>0</v>
      </c>
      <c r="I1755" s="1" t="s">
        <v>1321</v>
      </c>
      <c r="J1755" s="1" t="s">
        <v>31</v>
      </c>
    </row>
    <row r="1756" spans="1:10" hidden="1" x14ac:dyDescent="0.25">
      <c r="A1756" s="1" t="s">
        <v>165</v>
      </c>
      <c r="B1756" s="1" t="s">
        <v>29</v>
      </c>
      <c r="C1756" s="1">
        <v>18748</v>
      </c>
      <c r="D1756" s="1">
        <v>27767</v>
      </c>
      <c r="E1756" s="2">
        <v>44609</v>
      </c>
      <c r="F1756" s="2">
        <v>44803</v>
      </c>
      <c r="G1756" s="3">
        <v>216820</v>
      </c>
      <c r="H1756" s="1">
        <v>0</v>
      </c>
      <c r="I1756" s="1" t="s">
        <v>1323</v>
      </c>
      <c r="J1756" s="1" t="s">
        <v>31</v>
      </c>
    </row>
    <row r="1757" spans="1:10" hidden="1" x14ac:dyDescent="0.25">
      <c r="A1757" s="1" t="s">
        <v>173</v>
      </c>
      <c r="B1757" s="1" t="s">
        <v>174</v>
      </c>
      <c r="C1757" s="1">
        <v>18841</v>
      </c>
      <c r="D1757" s="1">
        <v>27861</v>
      </c>
      <c r="E1757" s="2">
        <v>44616</v>
      </c>
      <c r="F1757" s="2">
        <v>44803</v>
      </c>
      <c r="G1757" s="3">
        <v>36300</v>
      </c>
      <c r="H1757" s="1">
        <v>0</v>
      </c>
      <c r="I1757" s="1" t="s">
        <v>1326</v>
      </c>
      <c r="J1757" s="1" t="s">
        <v>68</v>
      </c>
    </row>
    <row r="1758" spans="1:10" hidden="1" x14ac:dyDescent="0.25">
      <c r="A1758" s="1" t="s">
        <v>33</v>
      </c>
      <c r="B1758" s="1" t="s">
        <v>34</v>
      </c>
      <c r="C1758" s="1">
        <v>18525</v>
      </c>
      <c r="D1758" s="1">
        <v>27526</v>
      </c>
      <c r="E1758" s="2">
        <v>44586</v>
      </c>
      <c r="F1758" s="2">
        <v>44803</v>
      </c>
      <c r="G1758" s="3">
        <v>84672</v>
      </c>
      <c r="H1758" s="1">
        <v>0</v>
      </c>
      <c r="I1758" s="1" t="s">
        <v>1335</v>
      </c>
      <c r="J1758" s="1" t="s">
        <v>18</v>
      </c>
    </row>
    <row r="1759" spans="1:10" hidden="1" x14ac:dyDescent="0.25">
      <c r="A1759" s="1" t="s">
        <v>133</v>
      </c>
      <c r="B1759" s="1" t="s">
        <v>134</v>
      </c>
      <c r="C1759" s="1">
        <v>18711</v>
      </c>
      <c r="D1759" s="1">
        <v>27725</v>
      </c>
      <c r="E1759" s="2">
        <v>44603</v>
      </c>
      <c r="F1759" s="2">
        <v>44803</v>
      </c>
      <c r="G1759" s="3">
        <v>123000</v>
      </c>
      <c r="H1759" s="1">
        <v>0</v>
      </c>
      <c r="I1759" s="1" t="s">
        <v>287</v>
      </c>
      <c r="J1759" s="1" t="s">
        <v>18</v>
      </c>
    </row>
    <row r="1760" spans="1:10" hidden="1" x14ac:dyDescent="0.25">
      <c r="A1760" s="1" t="s">
        <v>828</v>
      </c>
      <c r="B1760" s="1" t="s">
        <v>829</v>
      </c>
      <c r="C1760" s="1">
        <v>18828</v>
      </c>
      <c r="D1760" s="1">
        <v>27849</v>
      </c>
      <c r="E1760" s="2">
        <v>44616</v>
      </c>
      <c r="F1760" s="2">
        <v>44803</v>
      </c>
      <c r="G1760" s="3">
        <v>40272</v>
      </c>
      <c r="H1760" s="1">
        <v>0</v>
      </c>
      <c r="I1760" s="1" t="s">
        <v>1361</v>
      </c>
      <c r="J1760" s="1" t="s">
        <v>31</v>
      </c>
    </row>
    <row r="1761" spans="1:10" hidden="1" x14ac:dyDescent="0.25">
      <c r="A1761" s="1" t="s">
        <v>173</v>
      </c>
      <c r="B1761" s="1" t="s">
        <v>174</v>
      </c>
      <c r="C1761" s="1">
        <v>18864</v>
      </c>
      <c r="D1761" s="1">
        <v>27883</v>
      </c>
      <c r="E1761" s="2">
        <v>44622</v>
      </c>
      <c r="F1761" s="2">
        <v>44803</v>
      </c>
      <c r="G1761" s="3">
        <v>37752</v>
      </c>
      <c r="H1761" s="1">
        <v>0</v>
      </c>
      <c r="I1761" s="1" t="s">
        <v>1362</v>
      </c>
      <c r="J1761" s="1" t="s">
        <v>68</v>
      </c>
    </row>
    <row r="1762" spans="1:10" hidden="1" x14ac:dyDescent="0.25">
      <c r="A1762" s="1" t="s">
        <v>136</v>
      </c>
      <c r="B1762" s="1" t="s">
        <v>137</v>
      </c>
      <c r="C1762" s="1">
        <v>18701</v>
      </c>
      <c r="D1762" s="1">
        <v>27714</v>
      </c>
      <c r="E1762" s="2">
        <v>44602</v>
      </c>
      <c r="F1762" s="2">
        <v>44803</v>
      </c>
      <c r="G1762" s="3">
        <v>46500</v>
      </c>
      <c r="H1762" s="1">
        <v>0</v>
      </c>
      <c r="I1762" s="1" t="s">
        <v>1373</v>
      </c>
      <c r="J1762" s="1" t="s">
        <v>77</v>
      </c>
    </row>
    <row r="1763" spans="1:10" hidden="1" x14ac:dyDescent="0.25">
      <c r="A1763" s="1" t="s">
        <v>538</v>
      </c>
      <c r="B1763" s="1" t="s">
        <v>539</v>
      </c>
      <c r="C1763" s="1">
        <v>18278</v>
      </c>
      <c r="D1763" s="1">
        <v>27288</v>
      </c>
      <c r="E1763" s="2">
        <v>44566</v>
      </c>
      <c r="F1763" s="2">
        <v>44803</v>
      </c>
      <c r="G1763" s="3">
        <v>150080</v>
      </c>
      <c r="H1763" s="1">
        <v>0</v>
      </c>
      <c r="I1763" s="1" t="s">
        <v>1378</v>
      </c>
      <c r="J1763" s="1" t="s">
        <v>84</v>
      </c>
    </row>
    <row r="1764" spans="1:10" hidden="1" x14ac:dyDescent="0.25">
      <c r="A1764" s="1" t="s">
        <v>474</v>
      </c>
      <c r="B1764" s="1" t="s">
        <v>475</v>
      </c>
      <c r="C1764" s="1">
        <v>17961</v>
      </c>
      <c r="D1764" s="1">
        <v>26976</v>
      </c>
      <c r="E1764" s="2">
        <v>44536</v>
      </c>
      <c r="F1764" s="2">
        <v>44803</v>
      </c>
      <c r="G1764" s="3">
        <v>61620</v>
      </c>
      <c r="H1764" s="1">
        <v>0</v>
      </c>
      <c r="I1764" s="1" t="s">
        <v>1382</v>
      </c>
      <c r="J1764" s="1" t="s">
        <v>115</v>
      </c>
    </row>
    <row r="1765" spans="1:10" hidden="1" x14ac:dyDescent="0.25">
      <c r="A1765" s="1" t="s">
        <v>769</v>
      </c>
      <c r="B1765" s="1" t="s">
        <v>770</v>
      </c>
      <c r="C1765" s="1">
        <v>18361</v>
      </c>
      <c r="D1765" s="1">
        <v>27369</v>
      </c>
      <c r="E1765" s="2">
        <v>44573</v>
      </c>
      <c r="F1765" s="2">
        <v>44803</v>
      </c>
      <c r="G1765" s="3">
        <v>183150</v>
      </c>
      <c r="H1765" s="1">
        <v>0</v>
      </c>
      <c r="I1765" s="1" t="s">
        <v>1389</v>
      </c>
      <c r="J1765" s="1" t="s">
        <v>84</v>
      </c>
    </row>
    <row r="1766" spans="1:10" hidden="1" x14ac:dyDescent="0.25">
      <c r="A1766" s="1" t="s">
        <v>136</v>
      </c>
      <c r="B1766" s="1" t="s">
        <v>137</v>
      </c>
      <c r="C1766" s="1">
        <v>18702</v>
      </c>
      <c r="D1766" s="1">
        <v>27715</v>
      </c>
      <c r="E1766" s="2">
        <v>44602</v>
      </c>
      <c r="F1766" s="2">
        <v>44803</v>
      </c>
      <c r="G1766" s="3">
        <v>11700</v>
      </c>
      <c r="H1766" s="1">
        <v>0</v>
      </c>
      <c r="I1766" s="1" t="s">
        <v>1061</v>
      </c>
      <c r="J1766" s="1" t="s">
        <v>77</v>
      </c>
    </row>
    <row r="1767" spans="1:10" hidden="1" x14ac:dyDescent="0.25">
      <c r="A1767" s="1" t="s">
        <v>769</v>
      </c>
      <c r="B1767" s="1" t="s">
        <v>770</v>
      </c>
      <c r="C1767" s="1">
        <v>18070</v>
      </c>
      <c r="D1767" s="1">
        <v>27085</v>
      </c>
      <c r="E1767" s="2">
        <v>44543</v>
      </c>
      <c r="F1767" s="2">
        <v>44803</v>
      </c>
      <c r="G1767" s="3">
        <v>158400</v>
      </c>
      <c r="H1767" s="1">
        <v>0</v>
      </c>
      <c r="I1767" s="1" t="s">
        <v>1401</v>
      </c>
      <c r="J1767" s="1" t="s">
        <v>84</v>
      </c>
    </row>
    <row r="1768" spans="1:10" hidden="1" x14ac:dyDescent="0.25">
      <c r="A1768" s="1" t="s">
        <v>39</v>
      </c>
      <c r="B1768" s="1" t="s">
        <v>40</v>
      </c>
      <c r="C1768" s="1">
        <v>18854</v>
      </c>
      <c r="D1768" s="1">
        <v>27874</v>
      </c>
      <c r="E1768" s="2">
        <v>44617</v>
      </c>
      <c r="F1768" s="2">
        <v>44803</v>
      </c>
      <c r="G1768" s="3">
        <v>181670</v>
      </c>
      <c r="H1768" s="1">
        <v>0</v>
      </c>
      <c r="I1768" s="1" t="s">
        <v>1403</v>
      </c>
      <c r="J1768" s="1" t="s">
        <v>31</v>
      </c>
    </row>
    <row r="1769" spans="1:10" hidden="1" x14ac:dyDescent="0.25">
      <c r="A1769" s="1" t="s">
        <v>39</v>
      </c>
      <c r="B1769" s="1" t="s">
        <v>40</v>
      </c>
      <c r="C1769" s="1">
        <v>18640</v>
      </c>
      <c r="D1769" s="1">
        <v>27650</v>
      </c>
      <c r="E1769" s="2">
        <v>44596</v>
      </c>
      <c r="F1769" s="2">
        <v>44803</v>
      </c>
      <c r="G1769" s="3">
        <v>29300</v>
      </c>
      <c r="H1769" s="1">
        <v>0</v>
      </c>
      <c r="I1769" s="1" t="s">
        <v>1408</v>
      </c>
      <c r="J1769" s="1" t="s">
        <v>31</v>
      </c>
    </row>
    <row r="1770" spans="1:10" hidden="1" x14ac:dyDescent="0.25">
      <c r="A1770" s="1" t="s">
        <v>39</v>
      </c>
      <c r="B1770" s="1" t="s">
        <v>40</v>
      </c>
      <c r="C1770" s="1">
        <v>18861</v>
      </c>
      <c r="D1770" s="1">
        <v>27881</v>
      </c>
      <c r="E1770" s="2">
        <v>44622</v>
      </c>
      <c r="F1770" s="2">
        <v>44803</v>
      </c>
      <c r="G1770" s="3">
        <v>157120</v>
      </c>
      <c r="H1770" s="1">
        <v>0</v>
      </c>
      <c r="I1770" s="1" t="s">
        <v>1418</v>
      </c>
      <c r="J1770" s="1" t="s">
        <v>31</v>
      </c>
    </row>
    <row r="1771" spans="1:10" hidden="1" x14ac:dyDescent="0.25">
      <c r="A1771" s="1" t="s">
        <v>36</v>
      </c>
      <c r="B1771" s="1" t="s">
        <v>37</v>
      </c>
      <c r="C1771" s="1">
        <v>18851</v>
      </c>
      <c r="D1771" s="1">
        <v>27871</v>
      </c>
      <c r="E1771" s="2">
        <v>44617</v>
      </c>
      <c r="F1771" s="2">
        <v>44803</v>
      </c>
      <c r="G1771" s="3">
        <v>189920</v>
      </c>
      <c r="H1771" s="1">
        <v>0</v>
      </c>
      <c r="I1771" s="1" t="s">
        <v>1420</v>
      </c>
      <c r="J1771" s="1" t="s">
        <v>31</v>
      </c>
    </row>
    <row r="1772" spans="1:10" hidden="1" x14ac:dyDescent="0.25">
      <c r="A1772" s="1" t="s">
        <v>143</v>
      </c>
      <c r="B1772" s="1" t="s">
        <v>144</v>
      </c>
      <c r="C1772" s="1">
        <v>18015</v>
      </c>
      <c r="D1772" s="1">
        <v>27027</v>
      </c>
      <c r="E1772" s="2">
        <v>44538</v>
      </c>
      <c r="F1772" s="2">
        <v>44803</v>
      </c>
      <c r="G1772" s="3">
        <v>56740</v>
      </c>
      <c r="H1772" s="1">
        <v>0</v>
      </c>
      <c r="I1772" s="1" t="s">
        <v>1433</v>
      </c>
      <c r="J1772" s="1" t="s">
        <v>64</v>
      </c>
    </row>
    <row r="1773" spans="1:10" hidden="1" x14ac:dyDescent="0.25">
      <c r="A1773" s="1" t="s">
        <v>10</v>
      </c>
      <c r="B1773" s="1" t="s">
        <v>11</v>
      </c>
      <c r="C1773" s="1">
        <v>18881</v>
      </c>
      <c r="D1773" s="1">
        <v>27898</v>
      </c>
      <c r="E1773" s="2">
        <v>44623</v>
      </c>
      <c r="F1773" s="2">
        <v>44803</v>
      </c>
      <c r="G1773" s="3">
        <v>32445</v>
      </c>
      <c r="H1773" s="1">
        <v>0</v>
      </c>
      <c r="I1773" s="1" t="s">
        <v>1444</v>
      </c>
      <c r="J1773" s="1" t="s">
        <v>13</v>
      </c>
    </row>
    <row r="1774" spans="1:10" hidden="1" x14ac:dyDescent="0.25">
      <c r="A1774" s="1" t="s">
        <v>133</v>
      </c>
      <c r="B1774" s="1" t="s">
        <v>134</v>
      </c>
      <c r="C1774" s="1">
        <v>18330</v>
      </c>
      <c r="D1774" s="1">
        <v>27337</v>
      </c>
      <c r="E1774" s="2">
        <v>44568</v>
      </c>
      <c r="F1774" s="2">
        <v>44803</v>
      </c>
      <c r="G1774" s="3">
        <v>150000</v>
      </c>
      <c r="H1774" s="1">
        <v>0</v>
      </c>
      <c r="I1774" s="1" t="s">
        <v>1450</v>
      </c>
      <c r="J1774" s="1" t="s">
        <v>18</v>
      </c>
    </row>
    <row r="1775" spans="1:10" hidden="1" x14ac:dyDescent="0.25">
      <c r="A1775" s="1" t="s">
        <v>136</v>
      </c>
      <c r="B1775" s="1" t="s">
        <v>137</v>
      </c>
      <c r="C1775" s="1">
        <v>18348</v>
      </c>
      <c r="D1775" s="1">
        <v>27356</v>
      </c>
      <c r="E1775" s="2">
        <v>44572</v>
      </c>
      <c r="F1775" s="2">
        <v>44803</v>
      </c>
      <c r="G1775" s="3">
        <v>111300</v>
      </c>
      <c r="H1775" s="1">
        <v>0</v>
      </c>
      <c r="I1775" s="1" t="s">
        <v>1451</v>
      </c>
      <c r="J1775" s="1" t="s">
        <v>77</v>
      </c>
    </row>
    <row r="1776" spans="1:10" hidden="1" x14ac:dyDescent="0.25">
      <c r="A1776" s="1" t="s">
        <v>143</v>
      </c>
      <c r="B1776" s="1" t="s">
        <v>144</v>
      </c>
      <c r="C1776" s="1">
        <v>18459</v>
      </c>
      <c r="D1776" s="1">
        <v>27457</v>
      </c>
      <c r="E1776" s="2">
        <v>44580</v>
      </c>
      <c r="F1776" s="2">
        <v>44803</v>
      </c>
      <c r="G1776" s="3">
        <v>54670</v>
      </c>
      <c r="H1776" s="1">
        <v>0</v>
      </c>
      <c r="I1776" s="1" t="s">
        <v>1471</v>
      </c>
      <c r="J1776" s="1" t="s">
        <v>64</v>
      </c>
    </row>
    <row r="1777" spans="1:10" hidden="1" x14ac:dyDescent="0.25">
      <c r="A1777" s="1" t="s">
        <v>165</v>
      </c>
      <c r="B1777" s="1" t="s">
        <v>29</v>
      </c>
      <c r="C1777" s="1">
        <v>18623</v>
      </c>
      <c r="D1777" s="1">
        <v>27634</v>
      </c>
      <c r="E1777" s="2">
        <v>44596</v>
      </c>
      <c r="F1777" s="2">
        <v>44803</v>
      </c>
      <c r="G1777" s="3">
        <v>181056</v>
      </c>
      <c r="H1777" s="1">
        <v>0</v>
      </c>
      <c r="I1777" s="1" t="s">
        <v>1476</v>
      </c>
      <c r="J1777" s="1" t="s">
        <v>31</v>
      </c>
    </row>
    <row r="1778" spans="1:10" hidden="1" x14ac:dyDescent="0.25">
      <c r="A1778" s="1" t="s">
        <v>36</v>
      </c>
      <c r="B1778" s="1" t="s">
        <v>37</v>
      </c>
      <c r="C1778" s="1">
        <v>18827</v>
      </c>
      <c r="D1778" s="1">
        <v>27848</v>
      </c>
      <c r="E1778" s="2">
        <v>44616</v>
      </c>
      <c r="F1778" s="2">
        <v>44803</v>
      </c>
      <c r="G1778" s="3">
        <v>20000</v>
      </c>
      <c r="H1778" s="1">
        <v>0</v>
      </c>
      <c r="I1778" s="1" t="s">
        <v>1485</v>
      </c>
      <c r="J1778" s="1" t="s">
        <v>31</v>
      </c>
    </row>
    <row r="1779" spans="1:10" hidden="1" x14ac:dyDescent="0.25">
      <c r="A1779" s="1" t="s">
        <v>10</v>
      </c>
      <c r="B1779" s="1" t="s">
        <v>11</v>
      </c>
      <c r="C1779" s="1">
        <v>18882</v>
      </c>
      <c r="D1779" s="1">
        <v>27899</v>
      </c>
      <c r="E1779" s="2">
        <v>44623</v>
      </c>
      <c r="F1779" s="2">
        <v>44803</v>
      </c>
      <c r="G1779" s="3">
        <v>13847.49</v>
      </c>
      <c r="H1779" s="1">
        <v>0</v>
      </c>
      <c r="I1779" s="1" t="s">
        <v>1505</v>
      </c>
      <c r="J1779" s="1" t="s">
        <v>13</v>
      </c>
    </row>
    <row r="1780" spans="1:10" hidden="1" x14ac:dyDescent="0.25">
      <c r="A1780" s="1" t="s">
        <v>769</v>
      </c>
      <c r="B1780" s="1" t="s">
        <v>770</v>
      </c>
      <c r="C1780" s="1">
        <v>18069</v>
      </c>
      <c r="D1780" s="1">
        <v>27084</v>
      </c>
      <c r="E1780" s="2">
        <v>44543</v>
      </c>
      <c r="F1780" s="2">
        <v>44803</v>
      </c>
      <c r="G1780" s="3">
        <v>158400</v>
      </c>
      <c r="H1780" s="1">
        <v>0</v>
      </c>
      <c r="I1780" s="1" t="s">
        <v>1524</v>
      </c>
      <c r="J1780" s="1" t="s">
        <v>84</v>
      </c>
    </row>
    <row r="1781" spans="1:10" hidden="1" x14ac:dyDescent="0.25">
      <c r="A1781" s="1" t="s">
        <v>33</v>
      </c>
      <c r="B1781" s="1" t="s">
        <v>34</v>
      </c>
      <c r="C1781" s="1">
        <v>17911</v>
      </c>
      <c r="D1781" s="1">
        <v>26924</v>
      </c>
      <c r="E1781" s="2">
        <v>44532</v>
      </c>
      <c r="F1781" s="2">
        <v>44803</v>
      </c>
      <c r="G1781" s="3">
        <v>25200</v>
      </c>
      <c r="H1781" s="1">
        <v>0</v>
      </c>
      <c r="I1781" s="1" t="s">
        <v>1535</v>
      </c>
      <c r="J1781" s="1" t="s">
        <v>18</v>
      </c>
    </row>
    <row r="1782" spans="1:10" hidden="1" x14ac:dyDescent="0.25">
      <c r="A1782" s="1" t="s">
        <v>297</v>
      </c>
      <c r="B1782" s="1" t="s">
        <v>298</v>
      </c>
      <c r="C1782" s="1">
        <v>18630</v>
      </c>
      <c r="D1782" s="1">
        <v>27641</v>
      </c>
      <c r="E1782" s="2">
        <v>44596</v>
      </c>
      <c r="F1782" s="2">
        <v>44803</v>
      </c>
      <c r="G1782" s="3">
        <v>14800</v>
      </c>
      <c r="H1782" s="1">
        <v>0</v>
      </c>
      <c r="I1782" s="1" t="s">
        <v>1537</v>
      </c>
      <c r="J1782" s="1" t="s">
        <v>31</v>
      </c>
    </row>
    <row r="1783" spans="1:10" hidden="1" x14ac:dyDescent="0.25">
      <c r="A1783" s="1" t="s">
        <v>39</v>
      </c>
      <c r="B1783" s="1" t="s">
        <v>40</v>
      </c>
      <c r="C1783" s="1">
        <v>18694</v>
      </c>
      <c r="D1783" s="1">
        <v>27707</v>
      </c>
      <c r="E1783" s="2">
        <v>44601</v>
      </c>
      <c r="F1783" s="2">
        <v>44803</v>
      </c>
      <c r="G1783" s="3">
        <v>209605</v>
      </c>
      <c r="H1783" s="1">
        <v>0</v>
      </c>
      <c r="I1783" s="1" t="s">
        <v>1541</v>
      </c>
      <c r="J1783" s="1" t="s">
        <v>31</v>
      </c>
    </row>
    <row r="1784" spans="1:10" hidden="1" x14ac:dyDescent="0.25">
      <c r="A1784" s="1" t="s">
        <v>474</v>
      </c>
      <c r="B1784" s="1" t="s">
        <v>475</v>
      </c>
      <c r="C1784" s="1">
        <v>18175</v>
      </c>
      <c r="D1784" s="1">
        <v>27186</v>
      </c>
      <c r="E1784" s="2">
        <v>44550</v>
      </c>
      <c r="F1784" s="2">
        <v>44803</v>
      </c>
      <c r="G1784" s="3">
        <v>126000</v>
      </c>
      <c r="H1784" s="1">
        <v>0</v>
      </c>
      <c r="I1784" s="1" t="s">
        <v>1549</v>
      </c>
      <c r="J1784" s="1" t="s">
        <v>115</v>
      </c>
    </row>
    <row r="1785" spans="1:10" hidden="1" x14ac:dyDescent="0.25">
      <c r="A1785" s="1" t="s">
        <v>10</v>
      </c>
      <c r="B1785" s="1" t="s">
        <v>11</v>
      </c>
      <c r="C1785" s="1">
        <v>18875</v>
      </c>
      <c r="D1785" s="1">
        <v>27893</v>
      </c>
      <c r="E1785" s="2">
        <v>44623</v>
      </c>
      <c r="F1785" s="2">
        <v>44803</v>
      </c>
      <c r="G1785" s="3">
        <v>108000</v>
      </c>
      <c r="H1785" s="1">
        <v>0</v>
      </c>
      <c r="I1785" s="1" t="s">
        <v>1551</v>
      </c>
      <c r="J1785" s="1" t="s">
        <v>13</v>
      </c>
    </row>
    <row r="1786" spans="1:10" hidden="1" x14ac:dyDescent="0.25">
      <c r="A1786" s="1" t="s">
        <v>36</v>
      </c>
      <c r="B1786" s="1" t="s">
        <v>37</v>
      </c>
      <c r="C1786" s="1">
        <v>18728</v>
      </c>
      <c r="D1786" s="1">
        <v>27744</v>
      </c>
      <c r="E1786" s="2">
        <v>44606</v>
      </c>
      <c r="F1786" s="2">
        <v>44803</v>
      </c>
      <c r="G1786" s="3">
        <v>219595</v>
      </c>
      <c r="H1786" s="1">
        <v>0</v>
      </c>
      <c r="I1786" s="1" t="s">
        <v>1563</v>
      </c>
      <c r="J1786" s="1" t="s">
        <v>31</v>
      </c>
    </row>
    <row r="1787" spans="1:10" hidden="1" x14ac:dyDescent="0.25">
      <c r="A1787" s="1" t="s">
        <v>116</v>
      </c>
      <c r="B1787" s="1" t="s">
        <v>117</v>
      </c>
      <c r="C1787" s="1">
        <v>18468</v>
      </c>
      <c r="D1787" s="1">
        <v>27467</v>
      </c>
      <c r="E1787" s="2">
        <v>44580</v>
      </c>
      <c r="F1787" s="2">
        <v>44803</v>
      </c>
      <c r="G1787" s="3">
        <v>153600</v>
      </c>
      <c r="H1787" s="1">
        <v>0</v>
      </c>
      <c r="I1787" s="1" t="s">
        <v>1573</v>
      </c>
      <c r="J1787" s="1" t="s">
        <v>50</v>
      </c>
    </row>
    <row r="1788" spans="1:10" hidden="1" x14ac:dyDescent="0.25">
      <c r="A1788" s="1" t="s">
        <v>78</v>
      </c>
      <c r="B1788" s="1" t="s">
        <v>79</v>
      </c>
      <c r="C1788" s="1">
        <v>18839</v>
      </c>
      <c r="D1788" s="1">
        <v>27859</v>
      </c>
      <c r="E1788" s="2">
        <v>44616</v>
      </c>
      <c r="F1788" s="2">
        <v>44803</v>
      </c>
      <c r="G1788" s="3">
        <v>46464</v>
      </c>
      <c r="H1788" s="1">
        <v>0</v>
      </c>
      <c r="I1788" s="1" t="s">
        <v>1581</v>
      </c>
      <c r="J1788" s="1" t="s">
        <v>68</v>
      </c>
    </row>
    <row r="1789" spans="1:10" hidden="1" x14ac:dyDescent="0.25">
      <c r="A1789" s="1" t="s">
        <v>39</v>
      </c>
      <c r="B1789" s="1" t="s">
        <v>40</v>
      </c>
      <c r="C1789" s="1">
        <v>18706</v>
      </c>
      <c r="D1789" s="1">
        <v>27719</v>
      </c>
      <c r="E1789" s="2">
        <v>44602</v>
      </c>
      <c r="F1789" s="2">
        <v>44803</v>
      </c>
      <c r="G1789" s="3">
        <v>170905</v>
      </c>
      <c r="H1789" s="1">
        <v>0</v>
      </c>
      <c r="I1789" s="1" t="s">
        <v>1583</v>
      </c>
      <c r="J1789" s="1" t="s">
        <v>31</v>
      </c>
    </row>
    <row r="1790" spans="1:10" hidden="1" x14ac:dyDescent="0.25">
      <c r="A1790" s="1" t="s">
        <v>39</v>
      </c>
      <c r="B1790" s="1" t="s">
        <v>40</v>
      </c>
      <c r="C1790" s="1">
        <v>18778</v>
      </c>
      <c r="D1790" s="1">
        <v>27798</v>
      </c>
      <c r="E1790" s="2">
        <v>44613</v>
      </c>
      <c r="F1790" s="2">
        <v>44803</v>
      </c>
      <c r="G1790" s="3">
        <v>157120</v>
      </c>
      <c r="H1790" s="1">
        <v>0</v>
      </c>
      <c r="I1790" s="1" t="s">
        <v>1589</v>
      </c>
      <c r="J1790" s="1" t="s">
        <v>31</v>
      </c>
    </row>
    <row r="1791" spans="1:10" hidden="1" x14ac:dyDescent="0.25">
      <c r="A1791" s="1" t="s">
        <v>133</v>
      </c>
      <c r="B1791" s="1" t="s">
        <v>134</v>
      </c>
      <c r="C1791" s="1">
        <v>17948</v>
      </c>
      <c r="D1791" s="1">
        <v>26962</v>
      </c>
      <c r="E1791" s="2">
        <v>44533</v>
      </c>
      <c r="F1791" s="2">
        <v>44803</v>
      </c>
      <c r="G1791" s="3">
        <v>150000</v>
      </c>
      <c r="H1791" s="1">
        <v>0</v>
      </c>
      <c r="I1791" s="1" t="s">
        <v>1607</v>
      </c>
      <c r="J1791" s="1" t="s">
        <v>18</v>
      </c>
    </row>
    <row r="1792" spans="1:10" hidden="1" x14ac:dyDescent="0.25">
      <c r="A1792" s="1" t="s">
        <v>769</v>
      </c>
      <c r="B1792" s="1" t="s">
        <v>770</v>
      </c>
      <c r="C1792" s="1">
        <v>18305</v>
      </c>
      <c r="D1792" s="1">
        <v>27314</v>
      </c>
      <c r="E1792" s="2">
        <v>44567</v>
      </c>
      <c r="F1792" s="2">
        <v>44803</v>
      </c>
      <c r="G1792" s="3">
        <v>158400</v>
      </c>
      <c r="H1792" s="1">
        <v>0</v>
      </c>
      <c r="I1792" s="1" t="s">
        <v>1608</v>
      </c>
      <c r="J1792" s="1" t="s">
        <v>84</v>
      </c>
    </row>
    <row r="1793" spans="1:10" hidden="1" x14ac:dyDescent="0.25">
      <c r="A1793" s="1" t="s">
        <v>402</v>
      </c>
      <c r="B1793" s="1" t="s">
        <v>403</v>
      </c>
      <c r="C1793" s="1">
        <v>18907</v>
      </c>
      <c r="D1793" s="1">
        <v>27922</v>
      </c>
      <c r="E1793" s="2">
        <v>44624</v>
      </c>
      <c r="F1793" s="2">
        <v>44803</v>
      </c>
      <c r="G1793" s="3">
        <v>34000</v>
      </c>
      <c r="H1793" s="1">
        <v>0</v>
      </c>
      <c r="I1793" s="1" t="s">
        <v>1630</v>
      </c>
      <c r="J1793" s="1" t="s">
        <v>50</v>
      </c>
    </row>
    <row r="1794" spans="1:10" hidden="1" x14ac:dyDescent="0.25">
      <c r="A1794" s="1" t="s">
        <v>1045</v>
      </c>
      <c r="B1794" s="1" t="s">
        <v>215</v>
      </c>
      <c r="C1794" s="1">
        <v>18489</v>
      </c>
      <c r="D1794" s="1">
        <v>27487</v>
      </c>
      <c r="E1794" s="2">
        <v>44581</v>
      </c>
      <c r="F1794" s="2">
        <v>44803</v>
      </c>
      <c r="G1794" s="3">
        <v>266500</v>
      </c>
      <c r="H1794" s="1">
        <v>0</v>
      </c>
      <c r="I1794" s="1" t="s">
        <v>1634</v>
      </c>
      <c r="J1794" s="1" t="s">
        <v>64</v>
      </c>
    </row>
    <row r="1795" spans="1:10" hidden="1" x14ac:dyDescent="0.25">
      <c r="A1795" s="1" t="s">
        <v>39</v>
      </c>
      <c r="B1795" s="1" t="s">
        <v>40</v>
      </c>
      <c r="C1795" s="1">
        <v>18705</v>
      </c>
      <c r="D1795" s="1">
        <v>27718</v>
      </c>
      <c r="E1795" s="2">
        <v>44602</v>
      </c>
      <c r="F1795" s="2">
        <v>44803</v>
      </c>
      <c r="G1795" s="3">
        <v>245500</v>
      </c>
      <c r="H1795" s="1">
        <v>0</v>
      </c>
      <c r="I1795" s="1" t="s">
        <v>1645</v>
      </c>
      <c r="J1795" s="1" t="s">
        <v>31</v>
      </c>
    </row>
    <row r="1796" spans="1:10" hidden="1" x14ac:dyDescent="0.25">
      <c r="A1796" s="1" t="s">
        <v>669</v>
      </c>
      <c r="B1796" s="1" t="s">
        <v>670</v>
      </c>
      <c r="C1796" s="1">
        <v>18236</v>
      </c>
      <c r="D1796" s="1">
        <v>27248</v>
      </c>
      <c r="E1796" s="2">
        <v>44564</v>
      </c>
      <c r="F1796" s="2">
        <v>44803</v>
      </c>
      <c r="G1796" s="3">
        <v>150080</v>
      </c>
      <c r="H1796" s="1">
        <v>0</v>
      </c>
      <c r="I1796" s="1" t="s">
        <v>1648</v>
      </c>
      <c r="J1796" s="1" t="s">
        <v>31</v>
      </c>
    </row>
    <row r="1797" spans="1:10" hidden="1" x14ac:dyDescent="0.25">
      <c r="A1797" s="1" t="s">
        <v>116</v>
      </c>
      <c r="B1797" s="1" t="s">
        <v>117</v>
      </c>
      <c r="C1797" s="1">
        <v>18253</v>
      </c>
      <c r="D1797" s="1">
        <v>27264</v>
      </c>
      <c r="E1797" s="2">
        <v>44565</v>
      </c>
      <c r="F1797" s="2">
        <v>44803</v>
      </c>
      <c r="G1797" s="3">
        <v>240000</v>
      </c>
      <c r="H1797" s="1">
        <v>0</v>
      </c>
      <c r="I1797" s="1" t="s">
        <v>1649</v>
      </c>
      <c r="J1797" s="1" t="s">
        <v>50</v>
      </c>
    </row>
    <row r="1798" spans="1:10" hidden="1" x14ac:dyDescent="0.25">
      <c r="A1798" s="1" t="s">
        <v>850</v>
      </c>
      <c r="B1798" s="1" t="s">
        <v>851</v>
      </c>
      <c r="C1798" s="1">
        <v>18242</v>
      </c>
      <c r="D1798" s="1">
        <v>27255</v>
      </c>
      <c r="E1798" s="2">
        <v>44565</v>
      </c>
      <c r="F1798" s="2">
        <v>44803</v>
      </c>
      <c r="G1798" s="3">
        <v>60000</v>
      </c>
      <c r="H1798" s="1">
        <v>0</v>
      </c>
      <c r="I1798" s="1" t="s">
        <v>1662</v>
      </c>
      <c r="J1798" s="1" t="s">
        <v>50</v>
      </c>
    </row>
    <row r="1799" spans="1:10" hidden="1" x14ac:dyDescent="0.25">
      <c r="A1799" s="1" t="s">
        <v>268</v>
      </c>
      <c r="B1799" s="1" t="s">
        <v>269</v>
      </c>
      <c r="C1799" s="1">
        <v>18833</v>
      </c>
      <c r="D1799" s="1">
        <v>27853</v>
      </c>
      <c r="E1799" s="2">
        <v>44616</v>
      </c>
      <c r="F1799" s="2">
        <v>44803</v>
      </c>
      <c r="G1799" s="3">
        <v>3614</v>
      </c>
      <c r="H1799" s="1">
        <v>0</v>
      </c>
      <c r="I1799" s="1" t="s">
        <v>1672</v>
      </c>
      <c r="J1799" s="1" t="s">
        <v>31</v>
      </c>
    </row>
    <row r="1800" spans="1:10" hidden="1" x14ac:dyDescent="0.25">
      <c r="A1800" s="1" t="s">
        <v>24</v>
      </c>
      <c r="B1800" s="1" t="s">
        <v>25</v>
      </c>
      <c r="C1800" s="1">
        <v>18876</v>
      </c>
      <c r="D1800" s="1">
        <v>27894</v>
      </c>
      <c r="E1800" s="2">
        <v>44623</v>
      </c>
      <c r="F1800" s="2">
        <v>44803</v>
      </c>
      <c r="G1800" s="3">
        <v>54000</v>
      </c>
      <c r="H1800" s="1">
        <v>0</v>
      </c>
      <c r="I1800" s="1" t="s">
        <v>1674</v>
      </c>
      <c r="J1800" s="1" t="s">
        <v>27</v>
      </c>
    </row>
    <row r="1801" spans="1:10" hidden="1" x14ac:dyDescent="0.25">
      <c r="A1801" s="1" t="s">
        <v>769</v>
      </c>
      <c r="B1801" s="1" t="s">
        <v>770</v>
      </c>
      <c r="C1801" s="1">
        <v>17710</v>
      </c>
      <c r="D1801" s="1">
        <v>26706</v>
      </c>
      <c r="E1801" s="2">
        <v>44510</v>
      </c>
      <c r="F1801" s="2">
        <v>44803</v>
      </c>
      <c r="G1801" s="3">
        <v>149440</v>
      </c>
      <c r="H1801" s="1">
        <v>0</v>
      </c>
      <c r="I1801" s="1" t="s">
        <v>1682</v>
      </c>
      <c r="J1801" s="1" t="s">
        <v>84</v>
      </c>
    </row>
    <row r="1802" spans="1:10" hidden="1" x14ac:dyDescent="0.25">
      <c r="A1802" s="1" t="s">
        <v>65</v>
      </c>
      <c r="B1802" s="1" t="s">
        <v>66</v>
      </c>
      <c r="C1802" s="1">
        <v>18580</v>
      </c>
      <c r="D1802" s="1">
        <v>27591</v>
      </c>
      <c r="E1802" s="2">
        <v>44593</v>
      </c>
      <c r="F1802" s="2">
        <v>44803</v>
      </c>
      <c r="G1802" s="3">
        <v>131200</v>
      </c>
      <c r="H1802" s="1">
        <v>0</v>
      </c>
      <c r="I1802" s="1" t="s">
        <v>541</v>
      </c>
      <c r="J1802" s="1" t="s">
        <v>68</v>
      </c>
    </row>
    <row r="1803" spans="1:10" hidden="1" x14ac:dyDescent="0.25">
      <c r="A1803" s="1" t="s">
        <v>133</v>
      </c>
      <c r="B1803" s="1" t="s">
        <v>134</v>
      </c>
      <c r="C1803" s="1">
        <v>18712</v>
      </c>
      <c r="D1803" s="1">
        <v>27726</v>
      </c>
      <c r="E1803" s="2">
        <v>44603</v>
      </c>
      <c r="F1803" s="2">
        <v>44803</v>
      </c>
      <c r="G1803" s="3">
        <v>126000</v>
      </c>
      <c r="H1803" s="1">
        <v>0</v>
      </c>
      <c r="I1803" s="1" t="s">
        <v>1688</v>
      </c>
      <c r="J1803" s="1" t="s">
        <v>18</v>
      </c>
    </row>
    <row r="1804" spans="1:10" hidden="1" x14ac:dyDescent="0.25">
      <c r="A1804" s="1" t="s">
        <v>268</v>
      </c>
      <c r="B1804" s="1" t="s">
        <v>269</v>
      </c>
      <c r="C1804" s="1">
        <v>18749</v>
      </c>
      <c r="D1804" s="1">
        <v>27768</v>
      </c>
      <c r="E1804" s="2">
        <v>44609</v>
      </c>
      <c r="F1804" s="2">
        <v>44803</v>
      </c>
      <c r="G1804" s="3">
        <v>216836</v>
      </c>
      <c r="H1804" s="1">
        <v>0</v>
      </c>
      <c r="I1804" s="1" t="s">
        <v>1693</v>
      </c>
      <c r="J1804" s="1" t="s">
        <v>31</v>
      </c>
    </row>
    <row r="1805" spans="1:10" hidden="1" x14ac:dyDescent="0.25">
      <c r="A1805" s="1" t="s">
        <v>474</v>
      </c>
      <c r="B1805" s="1" t="s">
        <v>475</v>
      </c>
      <c r="C1805" s="1">
        <v>17998</v>
      </c>
      <c r="D1805" s="1">
        <v>27010</v>
      </c>
      <c r="E1805" s="2">
        <v>44537</v>
      </c>
      <c r="F1805" s="2">
        <v>44803</v>
      </c>
      <c r="G1805" s="3">
        <v>154000</v>
      </c>
      <c r="H1805" s="1">
        <v>0</v>
      </c>
      <c r="I1805" s="1" t="s">
        <v>1703</v>
      </c>
      <c r="J1805" s="1" t="s">
        <v>115</v>
      </c>
    </row>
    <row r="1806" spans="1:10" hidden="1" x14ac:dyDescent="0.25">
      <c r="A1806" s="1" t="s">
        <v>173</v>
      </c>
      <c r="B1806" s="1" t="s">
        <v>174</v>
      </c>
      <c r="C1806" s="1">
        <v>18384</v>
      </c>
      <c r="D1806" s="1">
        <v>27393</v>
      </c>
      <c r="E1806" s="2">
        <v>44574</v>
      </c>
      <c r="F1806" s="2">
        <v>44803</v>
      </c>
      <c r="G1806" s="3">
        <v>264400</v>
      </c>
      <c r="H1806" s="1">
        <v>0</v>
      </c>
      <c r="I1806" s="1" t="s">
        <v>1705</v>
      </c>
      <c r="J1806" s="1" t="s">
        <v>68</v>
      </c>
    </row>
    <row r="1807" spans="1:10" hidden="1" x14ac:dyDescent="0.25">
      <c r="A1807" s="1" t="s">
        <v>297</v>
      </c>
      <c r="B1807" s="1" t="s">
        <v>298</v>
      </c>
      <c r="C1807" s="1">
        <v>18673</v>
      </c>
      <c r="D1807" s="1">
        <v>27685</v>
      </c>
      <c r="E1807" s="2">
        <v>44600</v>
      </c>
      <c r="F1807" s="2">
        <v>44803</v>
      </c>
      <c r="G1807" s="3">
        <v>219854</v>
      </c>
      <c r="H1807" s="1">
        <v>0</v>
      </c>
      <c r="I1807" s="1" t="s">
        <v>1710</v>
      </c>
      <c r="J1807" s="1" t="s">
        <v>31</v>
      </c>
    </row>
    <row r="1808" spans="1:10" hidden="1" x14ac:dyDescent="0.25">
      <c r="A1808" s="1" t="s">
        <v>154</v>
      </c>
      <c r="B1808" s="1" t="s">
        <v>144</v>
      </c>
      <c r="C1808" s="1">
        <v>18123</v>
      </c>
      <c r="D1808" s="1">
        <v>27136</v>
      </c>
      <c r="E1808" s="2">
        <v>44546</v>
      </c>
      <c r="F1808" s="2">
        <v>44803</v>
      </c>
      <c r="G1808" s="3">
        <v>242500</v>
      </c>
      <c r="H1808" s="1">
        <v>0</v>
      </c>
      <c r="I1808" s="1" t="s">
        <v>1713</v>
      </c>
      <c r="J1808" s="1" t="s">
        <v>64</v>
      </c>
    </row>
    <row r="1809" spans="1:10" hidden="1" x14ac:dyDescent="0.25">
      <c r="A1809" s="1" t="s">
        <v>116</v>
      </c>
      <c r="B1809" s="1" t="s">
        <v>117</v>
      </c>
      <c r="C1809" s="1">
        <v>18856</v>
      </c>
      <c r="D1809" s="1">
        <v>27876</v>
      </c>
      <c r="E1809" s="2">
        <v>44622</v>
      </c>
      <c r="F1809" s="2">
        <v>44803</v>
      </c>
      <c r="G1809" s="3">
        <v>65000</v>
      </c>
      <c r="H1809" s="1">
        <v>0</v>
      </c>
      <c r="I1809" s="1" t="s">
        <v>1716</v>
      </c>
      <c r="J1809" s="1" t="s">
        <v>50</v>
      </c>
    </row>
    <row r="1810" spans="1:10" hidden="1" x14ac:dyDescent="0.25">
      <c r="A1810" s="1" t="s">
        <v>24</v>
      </c>
      <c r="B1810" s="1" t="s">
        <v>25</v>
      </c>
      <c r="C1810" s="1">
        <v>18920</v>
      </c>
      <c r="D1810" s="1">
        <v>27935</v>
      </c>
      <c r="E1810" s="2">
        <v>44624</v>
      </c>
      <c r="F1810" s="2">
        <v>44804</v>
      </c>
      <c r="G1810" s="3">
        <v>54000</v>
      </c>
      <c r="H1810" s="1">
        <v>0</v>
      </c>
      <c r="I1810" s="1" t="s">
        <v>32</v>
      </c>
      <c r="J1810" s="1" t="s">
        <v>27</v>
      </c>
    </row>
    <row r="1811" spans="1:10" hidden="1" x14ac:dyDescent="0.25">
      <c r="A1811" s="1" t="s">
        <v>10</v>
      </c>
      <c r="B1811" s="1" t="s">
        <v>11</v>
      </c>
      <c r="C1811" s="1">
        <v>18904</v>
      </c>
      <c r="D1811" s="1">
        <v>27919</v>
      </c>
      <c r="E1811" s="2">
        <v>44624</v>
      </c>
      <c r="F1811" s="2">
        <v>44804</v>
      </c>
      <c r="G1811" s="3">
        <v>5835</v>
      </c>
      <c r="H1811" s="1">
        <v>0</v>
      </c>
      <c r="I1811" s="1" t="s">
        <v>59</v>
      </c>
      <c r="J1811" s="1" t="s">
        <v>13</v>
      </c>
    </row>
    <row r="1812" spans="1:10" hidden="1" x14ac:dyDescent="0.25">
      <c r="A1812" s="1" t="s">
        <v>10</v>
      </c>
      <c r="B1812" s="1" t="s">
        <v>11</v>
      </c>
      <c r="C1812" s="1">
        <v>18913</v>
      </c>
      <c r="D1812" s="1">
        <v>27929</v>
      </c>
      <c r="E1812" s="2">
        <v>44624</v>
      </c>
      <c r="F1812" s="2">
        <v>44804</v>
      </c>
      <c r="G1812" s="3">
        <v>62375</v>
      </c>
      <c r="H1812" s="1">
        <v>0</v>
      </c>
      <c r="I1812" s="1" t="s">
        <v>169</v>
      </c>
      <c r="J1812" s="1" t="s">
        <v>13</v>
      </c>
    </row>
    <row r="1813" spans="1:10" hidden="1" x14ac:dyDescent="0.25">
      <c r="A1813" s="1" t="s">
        <v>10</v>
      </c>
      <c r="B1813" s="1" t="s">
        <v>11</v>
      </c>
      <c r="C1813" s="1">
        <v>18899</v>
      </c>
      <c r="D1813" s="1">
        <v>27915</v>
      </c>
      <c r="E1813" s="2">
        <v>44624</v>
      </c>
      <c r="F1813" s="2">
        <v>44804</v>
      </c>
      <c r="G1813" s="3">
        <v>1675</v>
      </c>
      <c r="H1813" s="1">
        <v>0</v>
      </c>
      <c r="I1813" s="1" t="s">
        <v>314</v>
      </c>
      <c r="J1813" s="1" t="s">
        <v>13</v>
      </c>
    </row>
    <row r="1814" spans="1:10" hidden="1" x14ac:dyDescent="0.25">
      <c r="A1814" s="1" t="s">
        <v>10</v>
      </c>
      <c r="B1814" s="1" t="s">
        <v>11</v>
      </c>
      <c r="C1814" s="1">
        <v>18900</v>
      </c>
      <c r="D1814" s="1">
        <v>27916</v>
      </c>
      <c r="E1814" s="2">
        <v>44624</v>
      </c>
      <c r="F1814" s="2">
        <v>44804</v>
      </c>
      <c r="G1814" s="3">
        <v>25199.97</v>
      </c>
      <c r="H1814" s="1">
        <v>0</v>
      </c>
      <c r="I1814" s="1" t="s">
        <v>824</v>
      </c>
      <c r="J1814" s="1" t="s">
        <v>13</v>
      </c>
    </row>
    <row r="1815" spans="1:10" hidden="1" x14ac:dyDescent="0.25">
      <c r="A1815" s="1" t="s">
        <v>10</v>
      </c>
      <c r="B1815" s="1" t="s">
        <v>11</v>
      </c>
      <c r="C1815" s="1">
        <v>18914</v>
      </c>
      <c r="D1815" s="1">
        <v>27930</v>
      </c>
      <c r="E1815" s="2">
        <v>44624</v>
      </c>
      <c r="F1815" s="2">
        <v>44804</v>
      </c>
      <c r="G1815" s="3">
        <v>13597.75</v>
      </c>
      <c r="H1815" s="1">
        <v>0</v>
      </c>
      <c r="I1815" s="1" t="s">
        <v>879</v>
      </c>
      <c r="J1815" s="1" t="s">
        <v>13</v>
      </c>
    </row>
    <row r="1816" spans="1:10" hidden="1" x14ac:dyDescent="0.25">
      <c r="A1816" s="1" t="s">
        <v>10</v>
      </c>
      <c r="B1816" s="1" t="s">
        <v>11</v>
      </c>
      <c r="C1816" s="1">
        <v>18898</v>
      </c>
      <c r="D1816" s="1">
        <v>27914</v>
      </c>
      <c r="E1816" s="2">
        <v>44624</v>
      </c>
      <c r="F1816" s="2">
        <v>44804</v>
      </c>
      <c r="G1816" s="3">
        <v>36157</v>
      </c>
      <c r="H1816" s="1">
        <v>0</v>
      </c>
      <c r="I1816" s="1" t="s">
        <v>1223</v>
      </c>
      <c r="J1816" s="1" t="s">
        <v>13</v>
      </c>
    </row>
    <row r="1817" spans="1:10" hidden="1" x14ac:dyDescent="0.25">
      <c r="A1817" s="1" t="s">
        <v>10</v>
      </c>
      <c r="B1817" s="1" t="s">
        <v>11</v>
      </c>
      <c r="C1817" s="1">
        <v>18896</v>
      </c>
      <c r="D1817" s="1">
        <v>27912</v>
      </c>
      <c r="E1817" s="2">
        <v>44624</v>
      </c>
      <c r="F1817" s="2">
        <v>44804</v>
      </c>
      <c r="G1817" s="3">
        <v>50600</v>
      </c>
      <c r="H1817" s="1">
        <v>0</v>
      </c>
      <c r="I1817" s="1" t="s">
        <v>1305</v>
      </c>
      <c r="J1817" s="1" t="s">
        <v>13</v>
      </c>
    </row>
    <row r="1818" spans="1:10" hidden="1" x14ac:dyDescent="0.25">
      <c r="A1818" s="1" t="s">
        <v>10</v>
      </c>
      <c r="B1818" s="1" t="s">
        <v>11</v>
      </c>
      <c r="C1818" s="1">
        <v>18614</v>
      </c>
      <c r="D1818" s="1">
        <v>27624</v>
      </c>
      <c r="E1818" s="2">
        <v>44595</v>
      </c>
      <c r="F1818" s="2">
        <v>44805</v>
      </c>
      <c r="G1818" s="3">
        <v>28666.720000000001</v>
      </c>
      <c r="H1818" s="1">
        <v>0</v>
      </c>
      <c r="I1818" s="1" t="s">
        <v>1410</v>
      </c>
      <c r="J1818" s="1" t="s">
        <v>13</v>
      </c>
    </row>
    <row r="1819" spans="1:10" hidden="1" x14ac:dyDescent="0.25">
      <c r="A1819" s="1" t="s">
        <v>150</v>
      </c>
      <c r="B1819" s="1" t="s">
        <v>151</v>
      </c>
      <c r="C1819" s="1">
        <v>16726</v>
      </c>
      <c r="D1819" s="1">
        <v>25693</v>
      </c>
      <c r="E1819" s="2">
        <v>44445</v>
      </c>
      <c r="F1819" s="2">
        <v>44805</v>
      </c>
      <c r="G1819" s="3">
        <v>30300</v>
      </c>
      <c r="H1819" s="1">
        <v>0</v>
      </c>
      <c r="I1819" s="1" t="s">
        <v>1706</v>
      </c>
      <c r="J1819" s="1" t="s">
        <v>58</v>
      </c>
    </row>
    <row r="1820" spans="1:10" hidden="1" x14ac:dyDescent="0.25">
      <c r="A1820" s="1" t="s">
        <v>10</v>
      </c>
      <c r="B1820" s="1" t="s">
        <v>11</v>
      </c>
      <c r="C1820" s="1">
        <v>18932</v>
      </c>
      <c r="D1820" s="1">
        <v>27945</v>
      </c>
      <c r="E1820" s="2">
        <v>44627</v>
      </c>
      <c r="F1820" s="2">
        <v>44807</v>
      </c>
      <c r="G1820" s="3">
        <v>61252.25</v>
      </c>
      <c r="H1820" s="1">
        <v>0</v>
      </c>
      <c r="I1820" s="1" t="s">
        <v>993</v>
      </c>
      <c r="J1820" s="1" t="s">
        <v>13</v>
      </c>
    </row>
    <row r="1821" spans="1:10" hidden="1" x14ac:dyDescent="0.25">
      <c r="A1821" s="1" t="s">
        <v>173</v>
      </c>
      <c r="B1821" s="1" t="s">
        <v>174</v>
      </c>
      <c r="C1821" s="1">
        <v>18298</v>
      </c>
      <c r="D1821" s="1">
        <v>27308</v>
      </c>
      <c r="E1821" s="2">
        <v>44567</v>
      </c>
      <c r="F1821" s="2">
        <v>44807</v>
      </c>
      <c r="G1821" s="3">
        <v>32500</v>
      </c>
      <c r="H1821" s="1">
        <v>0</v>
      </c>
      <c r="I1821" s="1" t="s">
        <v>1704</v>
      </c>
      <c r="J1821" s="1" t="s">
        <v>68</v>
      </c>
    </row>
    <row r="1822" spans="1:10" hidden="1" x14ac:dyDescent="0.25">
      <c r="A1822" s="1" t="s">
        <v>159</v>
      </c>
      <c r="B1822" s="1" t="s">
        <v>129</v>
      </c>
      <c r="C1822" s="1">
        <v>18647</v>
      </c>
      <c r="D1822" s="1">
        <v>27657</v>
      </c>
      <c r="E1822" s="2">
        <v>44599</v>
      </c>
      <c r="F1822" s="2">
        <v>44809</v>
      </c>
      <c r="G1822" s="3">
        <v>170000</v>
      </c>
      <c r="H1822" s="1">
        <v>0</v>
      </c>
      <c r="I1822" s="1" t="s">
        <v>923</v>
      </c>
      <c r="J1822" s="1" t="s">
        <v>131</v>
      </c>
    </row>
    <row r="1823" spans="1:10" hidden="1" x14ac:dyDescent="0.25">
      <c r="A1823" s="1" t="s">
        <v>159</v>
      </c>
      <c r="B1823" s="1" t="s">
        <v>129</v>
      </c>
      <c r="C1823" s="1">
        <v>18649</v>
      </c>
      <c r="D1823" s="1">
        <v>27659</v>
      </c>
      <c r="E1823" s="2">
        <v>44599</v>
      </c>
      <c r="F1823" s="2">
        <v>44809</v>
      </c>
      <c r="G1823" s="3">
        <v>34400</v>
      </c>
      <c r="H1823" s="1">
        <v>0</v>
      </c>
      <c r="I1823" s="1" t="s">
        <v>948</v>
      </c>
      <c r="J1823" s="1" t="s">
        <v>131</v>
      </c>
    </row>
    <row r="1824" spans="1:10" hidden="1" x14ac:dyDescent="0.25">
      <c r="A1824" s="1" t="s">
        <v>180</v>
      </c>
      <c r="B1824" s="1" t="s">
        <v>181</v>
      </c>
      <c r="C1824" s="1">
        <v>18358</v>
      </c>
      <c r="D1824" s="1">
        <v>27366</v>
      </c>
      <c r="E1824" s="2">
        <v>44573</v>
      </c>
      <c r="F1824" s="2">
        <v>44813</v>
      </c>
      <c r="G1824" s="3">
        <v>90500</v>
      </c>
      <c r="H1824" s="1">
        <v>0</v>
      </c>
      <c r="I1824" s="1" t="s">
        <v>654</v>
      </c>
      <c r="J1824" s="1" t="s">
        <v>88</v>
      </c>
    </row>
    <row r="1825" spans="1:10" hidden="1" x14ac:dyDescent="0.25">
      <c r="A1825" s="1" t="s">
        <v>173</v>
      </c>
      <c r="B1825" s="1" t="s">
        <v>174</v>
      </c>
      <c r="C1825" s="1">
        <v>18357</v>
      </c>
      <c r="D1825" s="1">
        <v>27365</v>
      </c>
      <c r="E1825" s="2">
        <v>44573</v>
      </c>
      <c r="F1825" s="2">
        <v>44813</v>
      </c>
      <c r="G1825" s="3">
        <v>128300</v>
      </c>
      <c r="H1825" s="1">
        <v>0</v>
      </c>
      <c r="I1825" s="1" t="s">
        <v>997</v>
      </c>
      <c r="J1825" s="1" t="s">
        <v>68</v>
      </c>
    </row>
    <row r="1826" spans="1:10" hidden="1" x14ac:dyDescent="0.25">
      <c r="A1826" s="1" t="s">
        <v>402</v>
      </c>
      <c r="B1826" s="1" t="s">
        <v>403</v>
      </c>
      <c r="C1826" s="1">
        <v>18247</v>
      </c>
      <c r="D1826" s="1">
        <v>27260</v>
      </c>
      <c r="E1826" s="2">
        <v>44565</v>
      </c>
      <c r="F1826" s="2">
        <v>44814</v>
      </c>
      <c r="G1826" s="3">
        <v>4989.6000000000004</v>
      </c>
      <c r="H1826" s="1">
        <v>0</v>
      </c>
      <c r="I1826" s="1" t="s">
        <v>404</v>
      </c>
      <c r="J1826" s="1" t="s">
        <v>50</v>
      </c>
    </row>
    <row r="1827" spans="1:10" hidden="1" x14ac:dyDescent="0.25">
      <c r="A1827" s="1" t="s">
        <v>402</v>
      </c>
      <c r="B1827" s="1" t="s">
        <v>403</v>
      </c>
      <c r="C1827" s="1">
        <v>18910</v>
      </c>
      <c r="D1827" s="1">
        <v>27925</v>
      </c>
      <c r="E1827" s="2">
        <v>44624</v>
      </c>
      <c r="F1827" s="2">
        <v>44814</v>
      </c>
      <c r="G1827" s="3">
        <v>100888.16</v>
      </c>
      <c r="H1827" s="1">
        <v>0</v>
      </c>
      <c r="I1827" s="1" t="s">
        <v>517</v>
      </c>
      <c r="J1827" s="1" t="s">
        <v>50</v>
      </c>
    </row>
    <row r="1828" spans="1:10" hidden="1" x14ac:dyDescent="0.25">
      <c r="A1828" s="1" t="s">
        <v>180</v>
      </c>
      <c r="B1828" s="1" t="s">
        <v>181</v>
      </c>
      <c r="C1828" s="1">
        <v>18370</v>
      </c>
      <c r="D1828" s="1">
        <v>27380</v>
      </c>
      <c r="E1828" s="2">
        <v>44574</v>
      </c>
      <c r="F1828" s="2">
        <v>44814</v>
      </c>
      <c r="G1828" s="3">
        <v>33000</v>
      </c>
      <c r="H1828" s="1">
        <v>0</v>
      </c>
      <c r="I1828" s="1" t="s">
        <v>571</v>
      </c>
      <c r="J1828" s="1" t="s">
        <v>88</v>
      </c>
    </row>
    <row r="1829" spans="1:10" hidden="1" x14ac:dyDescent="0.25">
      <c r="A1829" s="1" t="s">
        <v>108</v>
      </c>
      <c r="B1829" s="1" t="s">
        <v>109</v>
      </c>
      <c r="C1829" s="1">
        <v>18369</v>
      </c>
      <c r="D1829" s="1">
        <v>27378</v>
      </c>
      <c r="E1829" s="2">
        <v>44574</v>
      </c>
      <c r="F1829" s="2">
        <v>44814</v>
      </c>
      <c r="G1829" s="3">
        <v>133600</v>
      </c>
      <c r="H1829" s="1">
        <v>0</v>
      </c>
      <c r="I1829" s="1" t="s">
        <v>639</v>
      </c>
      <c r="J1829" s="1" t="s">
        <v>88</v>
      </c>
    </row>
    <row r="1830" spans="1:10" hidden="1" x14ac:dyDescent="0.25">
      <c r="A1830" s="1" t="s">
        <v>402</v>
      </c>
      <c r="B1830" s="1" t="s">
        <v>403</v>
      </c>
      <c r="C1830" s="1">
        <v>18245</v>
      </c>
      <c r="D1830" s="1">
        <v>27258</v>
      </c>
      <c r="E1830" s="2">
        <v>44565</v>
      </c>
      <c r="F1830" s="2">
        <v>44814</v>
      </c>
      <c r="G1830" s="3">
        <v>46566</v>
      </c>
      <c r="H1830" s="1">
        <v>0</v>
      </c>
      <c r="I1830" s="1" t="s">
        <v>1057</v>
      </c>
      <c r="J1830" s="1" t="s">
        <v>50</v>
      </c>
    </row>
    <row r="1831" spans="1:10" hidden="1" x14ac:dyDescent="0.25">
      <c r="A1831" s="1" t="s">
        <v>402</v>
      </c>
      <c r="B1831" s="1" t="s">
        <v>403</v>
      </c>
      <c r="C1831" s="1">
        <v>18683</v>
      </c>
      <c r="D1831" s="1">
        <v>27696</v>
      </c>
      <c r="E1831" s="2">
        <v>44601</v>
      </c>
      <c r="F1831" s="2">
        <v>44814</v>
      </c>
      <c r="G1831" s="3">
        <v>39250</v>
      </c>
      <c r="H1831" s="1">
        <v>0</v>
      </c>
      <c r="I1831" s="1" t="s">
        <v>1529</v>
      </c>
      <c r="J1831" s="1" t="s">
        <v>50</v>
      </c>
    </row>
    <row r="1832" spans="1:10" hidden="1" x14ac:dyDescent="0.25">
      <c r="A1832" s="1" t="s">
        <v>402</v>
      </c>
      <c r="B1832" s="1" t="s">
        <v>403</v>
      </c>
      <c r="C1832" s="1">
        <v>18685</v>
      </c>
      <c r="D1832" s="1">
        <v>27698</v>
      </c>
      <c r="E1832" s="2">
        <v>44601</v>
      </c>
      <c r="F1832" s="2">
        <v>44814</v>
      </c>
      <c r="G1832" s="3">
        <v>16971.84</v>
      </c>
      <c r="H1832" s="1">
        <v>0</v>
      </c>
      <c r="I1832" s="1" t="s">
        <v>1530</v>
      </c>
      <c r="J1832" s="1" t="s">
        <v>50</v>
      </c>
    </row>
    <row r="1833" spans="1:10" hidden="1" x14ac:dyDescent="0.25">
      <c r="A1833" s="1" t="s">
        <v>402</v>
      </c>
      <c r="B1833" s="1" t="s">
        <v>403</v>
      </c>
      <c r="C1833" s="1">
        <v>18246</v>
      </c>
      <c r="D1833" s="1">
        <v>27259</v>
      </c>
      <c r="E1833" s="2">
        <v>44565</v>
      </c>
      <c r="F1833" s="2">
        <v>44814</v>
      </c>
      <c r="G1833" s="3">
        <v>108000</v>
      </c>
      <c r="H1833" s="1">
        <v>0</v>
      </c>
      <c r="I1833" s="1" t="s">
        <v>1675</v>
      </c>
      <c r="J1833" s="1" t="s">
        <v>50</v>
      </c>
    </row>
    <row r="1834" spans="1:10" hidden="1" x14ac:dyDescent="0.25">
      <c r="A1834" s="1" t="s">
        <v>280</v>
      </c>
      <c r="B1834" s="1" t="s">
        <v>281</v>
      </c>
      <c r="C1834" s="1">
        <v>18355</v>
      </c>
      <c r="D1834" s="1">
        <v>27363</v>
      </c>
      <c r="E1834" s="2">
        <v>44573</v>
      </c>
      <c r="F1834" s="2">
        <v>44819</v>
      </c>
      <c r="G1834" s="3">
        <v>54034</v>
      </c>
      <c r="H1834" s="1">
        <v>0</v>
      </c>
      <c r="I1834" s="1" t="s">
        <v>282</v>
      </c>
      <c r="J1834" s="1" t="s">
        <v>77</v>
      </c>
    </row>
    <row r="1835" spans="1:10" hidden="1" x14ac:dyDescent="0.25">
      <c r="A1835" s="1" t="s">
        <v>55</v>
      </c>
      <c r="B1835" s="1" t="s">
        <v>56</v>
      </c>
      <c r="C1835" s="1">
        <v>16898</v>
      </c>
      <c r="D1835" s="1">
        <v>25883</v>
      </c>
      <c r="E1835" s="2">
        <v>44459</v>
      </c>
      <c r="F1835" s="2">
        <v>44819</v>
      </c>
      <c r="G1835" s="3">
        <v>34600</v>
      </c>
      <c r="H1835" s="1">
        <v>0</v>
      </c>
      <c r="I1835" s="1" t="s">
        <v>1251</v>
      </c>
      <c r="J1835" s="1" t="s">
        <v>58</v>
      </c>
    </row>
    <row r="1836" spans="1:10" hidden="1" x14ac:dyDescent="0.25">
      <c r="A1836" s="1" t="s">
        <v>1238</v>
      </c>
      <c r="B1836" s="1" t="s">
        <v>1239</v>
      </c>
      <c r="C1836" s="1"/>
      <c r="D1836" s="1">
        <v>176646</v>
      </c>
      <c r="E1836" s="2">
        <v>44547</v>
      </c>
      <c r="F1836" s="2">
        <v>44821</v>
      </c>
      <c r="G1836" s="3">
        <v>2400</v>
      </c>
      <c r="H1836" s="1">
        <v>0</v>
      </c>
      <c r="I1836" s="1" t="s">
        <v>1240</v>
      </c>
      <c r="J1836" s="1" t="s">
        <v>730</v>
      </c>
    </row>
    <row r="1837" spans="1:10" hidden="1" x14ac:dyDescent="0.25">
      <c r="A1837" s="1" t="s">
        <v>321</v>
      </c>
      <c r="B1837" s="1" t="s">
        <v>322</v>
      </c>
      <c r="C1837" s="1">
        <v>16814</v>
      </c>
      <c r="D1837" s="1">
        <v>25786</v>
      </c>
      <c r="E1837" s="2">
        <v>44454</v>
      </c>
      <c r="F1837" s="2">
        <v>44604</v>
      </c>
      <c r="G1837" s="3">
        <v>44674</v>
      </c>
      <c r="H1837" s="1">
        <v>26</v>
      </c>
      <c r="I1837" s="1" t="s">
        <v>1657</v>
      </c>
      <c r="J1837" s="1" t="s">
        <v>27</v>
      </c>
    </row>
    <row r="1838" spans="1:10" hidden="1" x14ac:dyDescent="0.25">
      <c r="A1838" s="1" t="s">
        <v>24</v>
      </c>
      <c r="B1838" s="1" t="s">
        <v>25</v>
      </c>
      <c r="C1838" s="1">
        <v>18763</v>
      </c>
      <c r="D1838" s="1">
        <v>27783</v>
      </c>
      <c r="E1838" s="2">
        <v>44613</v>
      </c>
      <c r="F1838" s="2">
        <v>44823</v>
      </c>
      <c r="G1838" s="3">
        <v>40000</v>
      </c>
      <c r="H1838" s="1">
        <v>0</v>
      </c>
      <c r="I1838" s="1" t="s">
        <v>894</v>
      </c>
      <c r="J1838" s="1" t="s">
        <v>27</v>
      </c>
    </row>
    <row r="1839" spans="1:10" hidden="1" x14ac:dyDescent="0.25">
      <c r="A1839" s="1" t="s">
        <v>24</v>
      </c>
      <c r="B1839" s="1" t="s">
        <v>25</v>
      </c>
      <c r="C1839" s="1">
        <v>18764</v>
      </c>
      <c r="D1839" s="1">
        <v>27784</v>
      </c>
      <c r="E1839" s="2">
        <v>44613</v>
      </c>
      <c r="F1839" s="2">
        <v>44823</v>
      </c>
      <c r="G1839" s="3">
        <v>23466.720000000001</v>
      </c>
      <c r="H1839" s="1">
        <v>0</v>
      </c>
      <c r="I1839" s="1" t="s">
        <v>929</v>
      </c>
      <c r="J1839" s="1" t="s">
        <v>27</v>
      </c>
    </row>
    <row r="1840" spans="1:10" hidden="1" x14ac:dyDescent="0.25">
      <c r="A1840" s="1" t="s">
        <v>24</v>
      </c>
      <c r="B1840" s="1" t="s">
        <v>25</v>
      </c>
      <c r="C1840" s="1">
        <v>18762</v>
      </c>
      <c r="D1840" s="1">
        <v>27782</v>
      </c>
      <c r="E1840" s="2">
        <v>44613</v>
      </c>
      <c r="F1840" s="2">
        <v>44823</v>
      </c>
      <c r="G1840" s="3">
        <v>11237.5</v>
      </c>
      <c r="H1840" s="1">
        <v>0</v>
      </c>
      <c r="I1840" s="1" t="s">
        <v>1180</v>
      </c>
      <c r="J1840" s="1" t="s">
        <v>27</v>
      </c>
    </row>
    <row r="1841" spans="1:10" hidden="1" x14ac:dyDescent="0.25">
      <c r="A1841" s="1" t="s">
        <v>24</v>
      </c>
      <c r="B1841" s="1" t="s">
        <v>25</v>
      </c>
      <c r="C1841" s="1">
        <v>18761</v>
      </c>
      <c r="D1841" s="1">
        <v>27781</v>
      </c>
      <c r="E1841" s="2">
        <v>44613</v>
      </c>
      <c r="F1841" s="2">
        <v>44823</v>
      </c>
      <c r="G1841" s="3">
        <v>4320</v>
      </c>
      <c r="H1841" s="1">
        <v>0</v>
      </c>
      <c r="I1841" s="1" t="s">
        <v>1588</v>
      </c>
      <c r="J1841" s="1" t="s">
        <v>27</v>
      </c>
    </row>
    <row r="1842" spans="1:10" hidden="1" x14ac:dyDescent="0.25">
      <c r="A1842" s="1" t="s">
        <v>763</v>
      </c>
      <c r="B1842" s="1" t="s">
        <v>764</v>
      </c>
      <c r="C1842" s="1">
        <v>18065</v>
      </c>
      <c r="D1842" s="1">
        <v>27079</v>
      </c>
      <c r="E1842" s="2">
        <v>44543</v>
      </c>
      <c r="F1842" s="2">
        <v>44824</v>
      </c>
      <c r="G1842" s="3">
        <v>83292</v>
      </c>
      <c r="H1842" s="1">
        <v>0</v>
      </c>
      <c r="I1842" s="1" t="s">
        <v>765</v>
      </c>
      <c r="J1842" s="1" t="s">
        <v>92</v>
      </c>
    </row>
    <row r="1843" spans="1:10" hidden="1" x14ac:dyDescent="0.25">
      <c r="A1843" s="1" t="s">
        <v>128</v>
      </c>
      <c r="B1843" s="1" t="s">
        <v>129</v>
      </c>
      <c r="C1843" s="1">
        <v>18795</v>
      </c>
      <c r="D1843" s="1">
        <v>27817</v>
      </c>
      <c r="E1843" s="2">
        <v>44614</v>
      </c>
      <c r="F1843" s="2">
        <v>44824</v>
      </c>
      <c r="G1843" s="3">
        <v>258000</v>
      </c>
      <c r="H1843" s="1">
        <v>0</v>
      </c>
      <c r="I1843" s="1" t="s">
        <v>1026</v>
      </c>
      <c r="J1843" s="1" t="s">
        <v>131</v>
      </c>
    </row>
    <row r="1844" spans="1:10" hidden="1" x14ac:dyDescent="0.25">
      <c r="A1844" s="1" t="s">
        <v>244</v>
      </c>
      <c r="B1844" s="1" t="s">
        <v>98</v>
      </c>
      <c r="C1844" s="1">
        <v>18787</v>
      </c>
      <c r="D1844" s="1">
        <v>27807</v>
      </c>
      <c r="E1844" s="2">
        <v>44614</v>
      </c>
      <c r="F1844" s="2">
        <v>44824</v>
      </c>
      <c r="G1844" s="3">
        <v>27000</v>
      </c>
      <c r="H1844" s="1">
        <v>0</v>
      </c>
      <c r="I1844" s="1" t="s">
        <v>1400</v>
      </c>
      <c r="J1844" s="1" t="s">
        <v>27</v>
      </c>
    </row>
    <row r="1845" spans="1:10" hidden="1" x14ac:dyDescent="0.25">
      <c r="A1845" s="1" t="s">
        <v>173</v>
      </c>
      <c r="B1845" s="1" t="s">
        <v>174</v>
      </c>
      <c r="C1845" s="1">
        <v>18513</v>
      </c>
      <c r="D1845" s="1">
        <v>27511</v>
      </c>
      <c r="E1845" s="2">
        <v>44585</v>
      </c>
      <c r="F1845" s="2">
        <v>44825</v>
      </c>
      <c r="G1845" s="3">
        <v>175870</v>
      </c>
      <c r="H1845" s="1">
        <v>0</v>
      </c>
      <c r="I1845" s="1" t="s">
        <v>193</v>
      </c>
      <c r="J1845" s="1" t="s">
        <v>68</v>
      </c>
    </row>
    <row r="1846" spans="1:10" hidden="1" x14ac:dyDescent="0.25">
      <c r="A1846" s="1" t="s">
        <v>159</v>
      </c>
      <c r="B1846" s="1" t="s">
        <v>129</v>
      </c>
      <c r="C1846" s="1">
        <v>18844</v>
      </c>
      <c r="D1846" s="1">
        <v>27865</v>
      </c>
      <c r="E1846" s="2">
        <v>44616</v>
      </c>
      <c r="F1846" s="2">
        <v>44826</v>
      </c>
      <c r="G1846" s="3">
        <v>56120</v>
      </c>
      <c r="H1846" s="1">
        <v>0</v>
      </c>
      <c r="I1846" s="1" t="s">
        <v>1417</v>
      </c>
      <c r="J1846" s="1" t="s">
        <v>131</v>
      </c>
    </row>
    <row r="1847" spans="1:10" hidden="1" x14ac:dyDescent="0.25">
      <c r="A1847" s="1" t="s">
        <v>10</v>
      </c>
      <c r="B1847" s="1" t="s">
        <v>11</v>
      </c>
      <c r="C1847" s="1">
        <v>18886</v>
      </c>
      <c r="D1847" s="1">
        <v>27902</v>
      </c>
      <c r="E1847" s="2">
        <v>44623</v>
      </c>
      <c r="F1847" s="2">
        <v>44833</v>
      </c>
      <c r="G1847" s="3">
        <v>30000</v>
      </c>
      <c r="H1847" s="1">
        <v>0</v>
      </c>
      <c r="I1847" s="1" t="s">
        <v>1020</v>
      </c>
      <c r="J1847" s="1" t="s">
        <v>13</v>
      </c>
    </row>
    <row r="1848" spans="1:10" hidden="1" x14ac:dyDescent="0.25">
      <c r="A1848" s="1" t="s">
        <v>10</v>
      </c>
      <c r="B1848" s="1" t="s">
        <v>11</v>
      </c>
      <c r="C1848" s="1">
        <v>18882</v>
      </c>
      <c r="D1848" s="1">
        <v>27899</v>
      </c>
      <c r="E1848" s="2">
        <v>44623</v>
      </c>
      <c r="F1848" s="2">
        <v>44833</v>
      </c>
      <c r="G1848" s="3">
        <v>13847.52</v>
      </c>
      <c r="H1848" s="1">
        <v>0</v>
      </c>
      <c r="I1848" s="1" t="s">
        <v>1505</v>
      </c>
      <c r="J1848" s="1" t="s">
        <v>13</v>
      </c>
    </row>
    <row r="1849" spans="1:10" hidden="1" x14ac:dyDescent="0.25">
      <c r="A1849" s="1" t="s">
        <v>33</v>
      </c>
      <c r="B1849" s="1" t="s">
        <v>34</v>
      </c>
      <c r="C1849" s="1">
        <v>18938</v>
      </c>
      <c r="D1849" s="1">
        <v>27952</v>
      </c>
      <c r="E1849" s="2">
        <v>44628</v>
      </c>
      <c r="F1849" s="2">
        <v>44834</v>
      </c>
      <c r="G1849" s="3">
        <v>120400</v>
      </c>
      <c r="H1849" s="1">
        <v>0</v>
      </c>
      <c r="I1849" s="1" t="s">
        <v>35</v>
      </c>
      <c r="J1849" s="1" t="s">
        <v>18</v>
      </c>
    </row>
    <row r="1850" spans="1:10" hidden="1" x14ac:dyDescent="0.25">
      <c r="A1850" s="1" t="s">
        <v>55</v>
      </c>
      <c r="B1850" s="1" t="s">
        <v>56</v>
      </c>
      <c r="C1850" s="1">
        <v>17468</v>
      </c>
      <c r="D1850" s="1">
        <v>26475</v>
      </c>
      <c r="E1850" s="2">
        <v>44495</v>
      </c>
      <c r="F1850" s="2">
        <v>44834</v>
      </c>
      <c r="G1850" s="3">
        <v>6250</v>
      </c>
      <c r="H1850" s="1">
        <v>0</v>
      </c>
      <c r="I1850" s="1" t="s">
        <v>57</v>
      </c>
      <c r="J1850" s="1" t="s">
        <v>58</v>
      </c>
    </row>
    <row r="1851" spans="1:10" hidden="1" x14ac:dyDescent="0.25">
      <c r="A1851" s="1" t="s">
        <v>150</v>
      </c>
      <c r="B1851" s="1" t="s">
        <v>151</v>
      </c>
      <c r="C1851" s="1">
        <v>18414</v>
      </c>
      <c r="D1851" s="1">
        <v>27417</v>
      </c>
      <c r="E1851" s="2">
        <v>44575</v>
      </c>
      <c r="F1851" s="2">
        <v>44834</v>
      </c>
      <c r="G1851" s="3">
        <v>6674</v>
      </c>
      <c r="H1851" s="1">
        <v>0</v>
      </c>
      <c r="I1851" s="1" t="s">
        <v>152</v>
      </c>
      <c r="J1851" s="1" t="s">
        <v>58</v>
      </c>
    </row>
    <row r="1852" spans="1:10" hidden="1" x14ac:dyDescent="0.25">
      <c r="A1852" s="1" t="s">
        <v>177</v>
      </c>
      <c r="B1852" s="1" t="s">
        <v>178</v>
      </c>
      <c r="C1852" s="1">
        <v>17962</v>
      </c>
      <c r="D1852" s="1">
        <v>26977</v>
      </c>
      <c r="E1852" s="2">
        <v>44536</v>
      </c>
      <c r="F1852" s="2">
        <v>44834</v>
      </c>
      <c r="G1852" s="3">
        <v>13800</v>
      </c>
      <c r="H1852" s="1">
        <v>0</v>
      </c>
      <c r="I1852" s="1" t="s">
        <v>179</v>
      </c>
      <c r="J1852" s="1" t="s">
        <v>58</v>
      </c>
    </row>
    <row r="1853" spans="1:10" hidden="1" x14ac:dyDescent="0.25">
      <c r="A1853" s="1" t="s">
        <v>15</v>
      </c>
      <c r="B1853" s="1" t="s">
        <v>16</v>
      </c>
      <c r="C1853" s="1">
        <v>18294</v>
      </c>
      <c r="D1853" s="1">
        <v>27303</v>
      </c>
      <c r="E1853" s="2">
        <v>44567</v>
      </c>
      <c r="F1853" s="2">
        <v>44834</v>
      </c>
      <c r="G1853" s="3">
        <v>174073.4</v>
      </c>
      <c r="H1853" s="1">
        <v>0</v>
      </c>
      <c r="I1853" s="1" t="s">
        <v>183</v>
      </c>
      <c r="J1853" s="1" t="s">
        <v>18</v>
      </c>
    </row>
    <row r="1854" spans="1:10" hidden="1" x14ac:dyDescent="0.25">
      <c r="A1854" s="1" t="s">
        <v>231</v>
      </c>
      <c r="B1854" s="1" t="s">
        <v>232</v>
      </c>
      <c r="C1854" s="1">
        <v>18429</v>
      </c>
      <c r="D1854" s="1">
        <v>27429</v>
      </c>
      <c r="E1854" s="2">
        <v>44578</v>
      </c>
      <c r="F1854" s="2">
        <v>44834</v>
      </c>
      <c r="G1854" s="3">
        <v>17150</v>
      </c>
      <c r="H1854" s="1">
        <v>0</v>
      </c>
      <c r="I1854" s="1" t="s">
        <v>233</v>
      </c>
      <c r="J1854" s="1" t="s">
        <v>13</v>
      </c>
    </row>
    <row r="1855" spans="1:10" hidden="1" x14ac:dyDescent="0.25">
      <c r="A1855" s="1" t="s">
        <v>116</v>
      </c>
      <c r="B1855" s="1" t="s">
        <v>117</v>
      </c>
      <c r="C1855" s="1">
        <v>18529</v>
      </c>
      <c r="D1855" s="1">
        <v>27529</v>
      </c>
      <c r="E1855" s="2">
        <v>44586</v>
      </c>
      <c r="F1855" s="2">
        <v>44834</v>
      </c>
      <c r="G1855" s="3">
        <v>147500</v>
      </c>
      <c r="H1855" s="1">
        <v>0</v>
      </c>
      <c r="I1855" s="1" t="s">
        <v>238</v>
      </c>
      <c r="J1855" s="1" t="s">
        <v>50</v>
      </c>
    </row>
    <row r="1856" spans="1:10" hidden="1" x14ac:dyDescent="0.25">
      <c r="A1856" s="1" t="s">
        <v>15</v>
      </c>
      <c r="B1856" s="1" t="s">
        <v>16</v>
      </c>
      <c r="C1856" s="1">
        <v>17844</v>
      </c>
      <c r="D1856" s="1">
        <v>26848</v>
      </c>
      <c r="E1856" s="2">
        <v>44522</v>
      </c>
      <c r="F1856" s="2">
        <v>44834</v>
      </c>
      <c r="G1856" s="3">
        <v>159175</v>
      </c>
      <c r="H1856" s="1">
        <v>0</v>
      </c>
      <c r="I1856" s="1" t="s">
        <v>302</v>
      </c>
      <c r="J1856" s="1" t="s">
        <v>18</v>
      </c>
    </row>
    <row r="1857" spans="1:10" hidden="1" x14ac:dyDescent="0.25">
      <c r="A1857" s="1" t="s">
        <v>33</v>
      </c>
      <c r="B1857" s="1" t="s">
        <v>34</v>
      </c>
      <c r="C1857" s="1">
        <v>18322</v>
      </c>
      <c r="D1857" s="1">
        <v>27331</v>
      </c>
      <c r="E1857" s="2">
        <v>44568</v>
      </c>
      <c r="F1857" s="2">
        <v>44834</v>
      </c>
      <c r="G1857" s="3">
        <v>23200</v>
      </c>
      <c r="H1857" s="1">
        <v>0</v>
      </c>
      <c r="I1857" s="1" t="s">
        <v>347</v>
      </c>
      <c r="J1857" s="1" t="s">
        <v>18</v>
      </c>
    </row>
    <row r="1858" spans="1:10" hidden="1" x14ac:dyDescent="0.25">
      <c r="A1858" s="1" t="s">
        <v>33</v>
      </c>
      <c r="B1858" s="1" t="s">
        <v>34</v>
      </c>
      <c r="C1858" s="1">
        <v>18321</v>
      </c>
      <c r="D1858" s="1">
        <v>27330</v>
      </c>
      <c r="E1858" s="2">
        <v>44568</v>
      </c>
      <c r="F1858" s="2">
        <v>44834</v>
      </c>
      <c r="G1858" s="3">
        <v>51182</v>
      </c>
      <c r="H1858" s="1">
        <v>0</v>
      </c>
      <c r="I1858" s="1" t="s">
        <v>391</v>
      </c>
      <c r="J1858" s="1" t="s">
        <v>18</v>
      </c>
    </row>
    <row r="1859" spans="1:10" hidden="1" x14ac:dyDescent="0.25">
      <c r="A1859" s="1" t="s">
        <v>55</v>
      </c>
      <c r="B1859" s="1" t="s">
        <v>56</v>
      </c>
      <c r="C1859" s="1">
        <v>16718</v>
      </c>
      <c r="D1859" s="1">
        <v>25684</v>
      </c>
      <c r="E1859" s="2">
        <v>44442</v>
      </c>
      <c r="F1859" s="2">
        <v>44834</v>
      </c>
      <c r="G1859" s="3">
        <v>15360</v>
      </c>
      <c r="H1859" s="1">
        <v>0</v>
      </c>
      <c r="I1859" s="1" t="s">
        <v>417</v>
      </c>
      <c r="J1859" s="1" t="s">
        <v>58</v>
      </c>
    </row>
    <row r="1860" spans="1:10" hidden="1" x14ac:dyDescent="0.25">
      <c r="A1860" s="1" t="s">
        <v>150</v>
      </c>
      <c r="B1860" s="1" t="s">
        <v>151</v>
      </c>
      <c r="C1860" s="1">
        <v>17788</v>
      </c>
      <c r="D1860" s="1">
        <v>26792</v>
      </c>
      <c r="E1860" s="2">
        <v>44518</v>
      </c>
      <c r="F1860" s="2">
        <v>44834</v>
      </c>
      <c r="G1860" s="3">
        <v>18782</v>
      </c>
      <c r="H1860" s="1">
        <v>0</v>
      </c>
      <c r="I1860" s="1" t="s">
        <v>419</v>
      </c>
      <c r="J1860" s="1" t="s">
        <v>58</v>
      </c>
    </row>
    <row r="1861" spans="1:10" hidden="1" x14ac:dyDescent="0.25">
      <c r="A1861" s="1" t="s">
        <v>55</v>
      </c>
      <c r="B1861" s="1" t="s">
        <v>56</v>
      </c>
      <c r="C1861" s="1">
        <v>17466</v>
      </c>
      <c r="D1861" s="1">
        <v>26473</v>
      </c>
      <c r="E1861" s="2">
        <v>44495</v>
      </c>
      <c r="F1861" s="2">
        <v>44834</v>
      </c>
      <c r="G1861" s="3">
        <v>103250</v>
      </c>
      <c r="H1861" s="1">
        <v>0</v>
      </c>
      <c r="I1861" s="1" t="s">
        <v>469</v>
      </c>
      <c r="J1861" s="1" t="s">
        <v>58</v>
      </c>
    </row>
    <row r="1862" spans="1:10" hidden="1" x14ac:dyDescent="0.25">
      <c r="A1862" s="1" t="s">
        <v>198</v>
      </c>
      <c r="B1862" s="1" t="s">
        <v>199</v>
      </c>
      <c r="C1862" s="1">
        <v>17774</v>
      </c>
      <c r="D1862" s="1">
        <v>26778</v>
      </c>
      <c r="E1862" s="2">
        <v>44517</v>
      </c>
      <c r="F1862" s="2">
        <v>44834</v>
      </c>
      <c r="G1862" s="3">
        <v>32952.6</v>
      </c>
      <c r="H1862" s="1">
        <v>0</v>
      </c>
      <c r="I1862" s="1" t="s">
        <v>522</v>
      </c>
      <c r="J1862" s="1" t="s">
        <v>13</v>
      </c>
    </row>
    <row r="1863" spans="1:10" hidden="1" x14ac:dyDescent="0.25">
      <c r="A1863" s="1" t="s">
        <v>159</v>
      </c>
      <c r="B1863" s="1" t="s">
        <v>129</v>
      </c>
      <c r="C1863" s="1">
        <v>18923</v>
      </c>
      <c r="D1863" s="1">
        <v>27937</v>
      </c>
      <c r="E1863" s="2">
        <v>44624</v>
      </c>
      <c r="F1863" s="2">
        <v>44834</v>
      </c>
      <c r="G1863" s="3">
        <v>223600</v>
      </c>
      <c r="H1863" s="1">
        <v>0</v>
      </c>
      <c r="I1863" s="1" t="s">
        <v>564</v>
      </c>
      <c r="J1863" s="1" t="s">
        <v>131</v>
      </c>
    </row>
    <row r="1864" spans="1:10" hidden="1" x14ac:dyDescent="0.25">
      <c r="A1864" s="1" t="s">
        <v>10</v>
      </c>
      <c r="B1864" s="1" t="s">
        <v>11</v>
      </c>
      <c r="C1864" s="1">
        <v>18901</v>
      </c>
      <c r="D1864" s="1">
        <v>27917</v>
      </c>
      <c r="E1864" s="2">
        <v>44624</v>
      </c>
      <c r="F1864" s="2">
        <v>44834</v>
      </c>
      <c r="G1864" s="3">
        <v>20000</v>
      </c>
      <c r="H1864" s="1">
        <v>0</v>
      </c>
      <c r="I1864" s="1" t="s">
        <v>609</v>
      </c>
      <c r="J1864" s="1" t="s">
        <v>13</v>
      </c>
    </row>
    <row r="1865" spans="1:10" hidden="1" x14ac:dyDescent="0.25">
      <c r="A1865" s="1" t="s">
        <v>15</v>
      </c>
      <c r="B1865" s="1" t="s">
        <v>16</v>
      </c>
      <c r="C1865" s="1">
        <v>17952</v>
      </c>
      <c r="D1865" s="1">
        <v>26966</v>
      </c>
      <c r="E1865" s="2">
        <v>44533</v>
      </c>
      <c r="F1865" s="2">
        <v>44834</v>
      </c>
      <c r="G1865" s="3">
        <v>60000</v>
      </c>
      <c r="H1865" s="1">
        <v>0</v>
      </c>
      <c r="I1865" s="1" t="s">
        <v>637</v>
      </c>
      <c r="J1865" s="1" t="s">
        <v>18</v>
      </c>
    </row>
    <row r="1866" spans="1:10" hidden="1" x14ac:dyDescent="0.25">
      <c r="A1866" s="1" t="s">
        <v>627</v>
      </c>
      <c r="B1866" s="1" t="s">
        <v>628</v>
      </c>
      <c r="C1866" s="1">
        <v>18390</v>
      </c>
      <c r="D1866" s="1">
        <v>27398</v>
      </c>
      <c r="E1866" s="2">
        <v>44575</v>
      </c>
      <c r="F1866" s="2">
        <v>44834</v>
      </c>
      <c r="G1866" s="3">
        <v>19458</v>
      </c>
      <c r="H1866" s="1">
        <v>0</v>
      </c>
      <c r="I1866" s="1" t="s">
        <v>655</v>
      </c>
      <c r="J1866" s="1" t="s">
        <v>58</v>
      </c>
    </row>
    <row r="1867" spans="1:10" hidden="1" x14ac:dyDescent="0.25">
      <c r="A1867" s="1" t="s">
        <v>627</v>
      </c>
      <c r="B1867" s="1" t="s">
        <v>628</v>
      </c>
      <c r="C1867" s="1">
        <v>17318</v>
      </c>
      <c r="D1867" s="1">
        <v>26316</v>
      </c>
      <c r="E1867" s="2">
        <v>44487</v>
      </c>
      <c r="F1867" s="2">
        <v>44834</v>
      </c>
      <c r="G1867" s="3">
        <v>50051.99</v>
      </c>
      <c r="H1867" s="1">
        <v>0</v>
      </c>
      <c r="I1867" s="1" t="s">
        <v>668</v>
      </c>
      <c r="J1867" s="1" t="s">
        <v>58</v>
      </c>
    </row>
    <row r="1868" spans="1:10" hidden="1" x14ac:dyDescent="0.25">
      <c r="A1868" s="1" t="s">
        <v>15</v>
      </c>
      <c r="B1868" s="1" t="s">
        <v>16</v>
      </c>
      <c r="C1868" s="1">
        <v>17623</v>
      </c>
      <c r="D1868" s="1">
        <v>26625</v>
      </c>
      <c r="E1868" s="2">
        <v>44505</v>
      </c>
      <c r="F1868" s="2">
        <v>44834</v>
      </c>
      <c r="G1868" s="3">
        <v>52750</v>
      </c>
      <c r="H1868" s="1">
        <v>0</v>
      </c>
      <c r="I1868" s="1" t="s">
        <v>732</v>
      </c>
      <c r="J1868" s="1" t="s">
        <v>18</v>
      </c>
    </row>
    <row r="1869" spans="1:10" hidden="1" x14ac:dyDescent="0.25">
      <c r="A1869" s="1" t="s">
        <v>154</v>
      </c>
      <c r="B1869" s="1" t="s">
        <v>144</v>
      </c>
      <c r="C1869" s="1">
        <v>18474</v>
      </c>
      <c r="D1869" s="1">
        <v>27472</v>
      </c>
      <c r="E1869" s="2">
        <v>44580</v>
      </c>
      <c r="F1869" s="2">
        <v>44834</v>
      </c>
      <c r="G1869" s="3">
        <v>23460</v>
      </c>
      <c r="H1869" s="1">
        <v>0</v>
      </c>
      <c r="I1869" s="1" t="s">
        <v>772</v>
      </c>
      <c r="J1869" s="1" t="s">
        <v>64</v>
      </c>
    </row>
    <row r="1870" spans="1:10" hidden="1" x14ac:dyDescent="0.25">
      <c r="A1870" s="1" t="s">
        <v>116</v>
      </c>
      <c r="B1870" s="1" t="s">
        <v>117</v>
      </c>
      <c r="C1870" s="1">
        <v>18576</v>
      </c>
      <c r="D1870" s="1">
        <v>27584</v>
      </c>
      <c r="E1870" s="2">
        <v>44592</v>
      </c>
      <c r="F1870" s="2">
        <v>44834</v>
      </c>
      <c r="G1870" s="3">
        <v>210000</v>
      </c>
      <c r="H1870" s="1">
        <v>0</v>
      </c>
      <c r="I1870" s="1" t="s">
        <v>774</v>
      </c>
      <c r="J1870" s="1" t="s">
        <v>50</v>
      </c>
    </row>
    <row r="1871" spans="1:10" hidden="1" x14ac:dyDescent="0.25">
      <c r="A1871" s="1" t="s">
        <v>198</v>
      </c>
      <c r="B1871" s="1" t="s">
        <v>199</v>
      </c>
      <c r="C1871" s="1">
        <v>18433</v>
      </c>
      <c r="D1871" s="1">
        <v>27433</v>
      </c>
      <c r="E1871" s="2">
        <v>44579</v>
      </c>
      <c r="F1871" s="2">
        <v>44834</v>
      </c>
      <c r="G1871" s="3">
        <v>5424</v>
      </c>
      <c r="H1871" s="1">
        <v>0</v>
      </c>
      <c r="I1871" s="1" t="s">
        <v>814</v>
      </c>
      <c r="J1871" s="1" t="s">
        <v>13</v>
      </c>
    </row>
    <row r="1872" spans="1:10" hidden="1" x14ac:dyDescent="0.25">
      <c r="A1872" s="1" t="s">
        <v>177</v>
      </c>
      <c r="B1872" s="1" t="s">
        <v>178</v>
      </c>
      <c r="C1872" s="1">
        <v>17238</v>
      </c>
      <c r="D1872" s="1">
        <v>26237</v>
      </c>
      <c r="E1872" s="2">
        <v>44482</v>
      </c>
      <c r="F1872" s="2">
        <v>44834</v>
      </c>
      <c r="G1872" s="3">
        <v>77470</v>
      </c>
      <c r="H1872" s="1">
        <v>0</v>
      </c>
      <c r="I1872" s="1" t="s">
        <v>819</v>
      </c>
      <c r="J1872" s="1" t="s">
        <v>58</v>
      </c>
    </row>
    <row r="1873" spans="1:10" hidden="1" x14ac:dyDescent="0.25">
      <c r="A1873" s="1" t="s">
        <v>55</v>
      </c>
      <c r="B1873" s="1" t="s">
        <v>56</v>
      </c>
      <c r="C1873" s="1">
        <v>17464</v>
      </c>
      <c r="D1873" s="1">
        <v>26471</v>
      </c>
      <c r="E1873" s="2">
        <v>44495</v>
      </c>
      <c r="F1873" s="2">
        <v>44834</v>
      </c>
      <c r="G1873" s="3">
        <v>33784</v>
      </c>
      <c r="H1873" s="1">
        <v>0</v>
      </c>
      <c r="I1873" s="1" t="s">
        <v>823</v>
      </c>
      <c r="J1873" s="1" t="s">
        <v>58</v>
      </c>
    </row>
    <row r="1874" spans="1:10" hidden="1" x14ac:dyDescent="0.25">
      <c r="A1874" s="1" t="s">
        <v>10</v>
      </c>
      <c r="B1874" s="1" t="s">
        <v>11</v>
      </c>
      <c r="C1874" s="1">
        <v>18900</v>
      </c>
      <c r="D1874" s="1">
        <v>27916</v>
      </c>
      <c r="E1874" s="2">
        <v>44624</v>
      </c>
      <c r="F1874" s="2">
        <v>44834</v>
      </c>
      <c r="G1874" s="3">
        <v>25200.06</v>
      </c>
      <c r="H1874" s="1">
        <v>0</v>
      </c>
      <c r="I1874" s="1" t="s">
        <v>824</v>
      </c>
      <c r="J1874" s="1" t="s">
        <v>13</v>
      </c>
    </row>
    <row r="1875" spans="1:10" hidden="1" x14ac:dyDescent="0.25">
      <c r="A1875" s="1" t="s">
        <v>15</v>
      </c>
      <c r="B1875" s="1" t="s">
        <v>16</v>
      </c>
      <c r="C1875" s="1">
        <v>18609</v>
      </c>
      <c r="D1875" s="1">
        <v>27617</v>
      </c>
      <c r="E1875" s="2">
        <v>44594</v>
      </c>
      <c r="F1875" s="2">
        <v>44834</v>
      </c>
      <c r="G1875" s="3">
        <v>54800</v>
      </c>
      <c r="H1875" s="1">
        <v>0</v>
      </c>
      <c r="I1875" s="1" t="s">
        <v>865</v>
      </c>
      <c r="J1875" s="1" t="s">
        <v>18</v>
      </c>
    </row>
    <row r="1876" spans="1:10" hidden="1" x14ac:dyDescent="0.25">
      <c r="A1876" s="1" t="s">
        <v>177</v>
      </c>
      <c r="B1876" s="1" t="s">
        <v>178</v>
      </c>
      <c r="C1876" s="1">
        <v>17237</v>
      </c>
      <c r="D1876" s="1">
        <v>26236</v>
      </c>
      <c r="E1876" s="2">
        <v>44482</v>
      </c>
      <c r="F1876" s="2">
        <v>44834</v>
      </c>
      <c r="G1876" s="3">
        <v>2800</v>
      </c>
      <c r="H1876" s="1">
        <v>0</v>
      </c>
      <c r="I1876" s="1" t="s">
        <v>866</v>
      </c>
      <c r="J1876" s="1" t="s">
        <v>58</v>
      </c>
    </row>
    <row r="1877" spans="1:10" hidden="1" x14ac:dyDescent="0.25">
      <c r="A1877" s="1" t="s">
        <v>934</v>
      </c>
      <c r="B1877" s="1" t="s">
        <v>935</v>
      </c>
      <c r="C1877" s="1">
        <v>17956</v>
      </c>
      <c r="D1877" s="1">
        <v>26971</v>
      </c>
      <c r="E1877" s="2">
        <v>44536</v>
      </c>
      <c r="F1877" s="2">
        <v>44834</v>
      </c>
      <c r="G1877" s="3">
        <v>21100</v>
      </c>
      <c r="H1877" s="1">
        <v>0</v>
      </c>
      <c r="I1877" s="1" t="s">
        <v>936</v>
      </c>
      <c r="J1877" s="1" t="s">
        <v>58</v>
      </c>
    </row>
    <row r="1878" spans="1:10" hidden="1" x14ac:dyDescent="0.25">
      <c r="A1878" s="1" t="s">
        <v>248</v>
      </c>
      <c r="B1878" s="1" t="s">
        <v>249</v>
      </c>
      <c r="C1878" s="1"/>
      <c r="D1878" s="1">
        <v>170347</v>
      </c>
      <c r="E1878" s="2">
        <v>44469</v>
      </c>
      <c r="F1878" s="2">
        <v>44834</v>
      </c>
      <c r="G1878" s="3">
        <v>4998.08</v>
      </c>
      <c r="H1878" s="1">
        <v>0</v>
      </c>
      <c r="I1878" s="1" t="s">
        <v>1009</v>
      </c>
      <c r="J1878" s="1" t="s">
        <v>251</v>
      </c>
    </row>
    <row r="1879" spans="1:10" hidden="1" x14ac:dyDescent="0.25">
      <c r="A1879" s="1" t="s">
        <v>116</v>
      </c>
      <c r="B1879" s="1" t="s">
        <v>117</v>
      </c>
      <c r="C1879" s="1">
        <v>18686</v>
      </c>
      <c r="D1879" s="1">
        <v>27699</v>
      </c>
      <c r="E1879" s="2">
        <v>44601</v>
      </c>
      <c r="F1879" s="2">
        <v>44834</v>
      </c>
      <c r="G1879" s="3">
        <v>214800</v>
      </c>
      <c r="H1879" s="1">
        <v>0</v>
      </c>
      <c r="I1879" s="1" t="s">
        <v>1015</v>
      </c>
      <c r="J1879" s="1" t="s">
        <v>50</v>
      </c>
    </row>
    <row r="1880" spans="1:10" hidden="1" x14ac:dyDescent="0.25">
      <c r="A1880" s="1" t="s">
        <v>39</v>
      </c>
      <c r="B1880" s="1" t="s">
        <v>40</v>
      </c>
      <c r="C1880" s="1">
        <v>18836</v>
      </c>
      <c r="D1880" s="1">
        <v>27856</v>
      </c>
      <c r="E1880" s="2">
        <v>44616</v>
      </c>
      <c r="F1880" s="2">
        <v>44834</v>
      </c>
      <c r="G1880" s="3">
        <v>135936</v>
      </c>
      <c r="H1880" s="1">
        <v>0</v>
      </c>
      <c r="I1880" s="1" t="s">
        <v>1019</v>
      </c>
      <c r="J1880" s="1" t="s">
        <v>31</v>
      </c>
    </row>
    <row r="1881" spans="1:10" hidden="1" x14ac:dyDescent="0.25">
      <c r="A1881" s="1" t="s">
        <v>150</v>
      </c>
      <c r="B1881" s="1" t="s">
        <v>151</v>
      </c>
      <c r="C1881" s="1">
        <v>18095</v>
      </c>
      <c r="D1881" s="1">
        <v>27107</v>
      </c>
      <c r="E1881" s="2">
        <v>44544</v>
      </c>
      <c r="F1881" s="2">
        <v>44834</v>
      </c>
      <c r="G1881" s="3">
        <v>47446</v>
      </c>
      <c r="H1881" s="1">
        <v>0</v>
      </c>
      <c r="I1881" s="1" t="s">
        <v>1025</v>
      </c>
      <c r="J1881" s="1" t="s">
        <v>58</v>
      </c>
    </row>
    <row r="1882" spans="1:10" hidden="1" x14ac:dyDescent="0.25">
      <c r="A1882" s="1" t="s">
        <v>150</v>
      </c>
      <c r="B1882" s="1" t="s">
        <v>151</v>
      </c>
      <c r="C1882" s="1">
        <v>17622</v>
      </c>
      <c r="D1882" s="1">
        <v>26624</v>
      </c>
      <c r="E1882" s="2">
        <v>44505</v>
      </c>
      <c r="F1882" s="2">
        <v>44834</v>
      </c>
      <c r="G1882" s="3">
        <v>7100</v>
      </c>
      <c r="H1882" s="1">
        <v>0</v>
      </c>
      <c r="I1882" s="1" t="s">
        <v>1029</v>
      </c>
      <c r="J1882" s="1" t="s">
        <v>58</v>
      </c>
    </row>
    <row r="1883" spans="1:10" hidden="1" x14ac:dyDescent="0.25">
      <c r="A1883" s="1" t="s">
        <v>116</v>
      </c>
      <c r="B1883" s="1" t="s">
        <v>117</v>
      </c>
      <c r="C1883" s="1">
        <v>18937</v>
      </c>
      <c r="D1883" s="1">
        <v>27951</v>
      </c>
      <c r="E1883" s="2">
        <v>44628</v>
      </c>
      <c r="F1883" s="2">
        <v>44834</v>
      </c>
      <c r="G1883" s="3">
        <v>237600</v>
      </c>
      <c r="H1883" s="1">
        <v>0</v>
      </c>
      <c r="I1883" s="1" t="s">
        <v>1037</v>
      </c>
      <c r="J1883" s="1" t="s">
        <v>50</v>
      </c>
    </row>
    <row r="1884" spans="1:10" hidden="1" x14ac:dyDescent="0.25">
      <c r="A1884" s="1" t="s">
        <v>116</v>
      </c>
      <c r="B1884" s="1" t="s">
        <v>117</v>
      </c>
      <c r="C1884" s="1">
        <v>18469</v>
      </c>
      <c r="D1884" s="1">
        <v>27468</v>
      </c>
      <c r="E1884" s="2">
        <v>44580</v>
      </c>
      <c r="F1884" s="2">
        <v>44834</v>
      </c>
      <c r="G1884" s="3">
        <v>250000</v>
      </c>
      <c r="H1884" s="1">
        <v>0</v>
      </c>
      <c r="I1884" s="1" t="s">
        <v>1044</v>
      </c>
      <c r="J1884" s="1" t="s">
        <v>50</v>
      </c>
    </row>
    <row r="1885" spans="1:10" hidden="1" x14ac:dyDescent="0.25">
      <c r="A1885" s="1" t="s">
        <v>55</v>
      </c>
      <c r="B1885" s="1" t="s">
        <v>56</v>
      </c>
      <c r="C1885" s="1">
        <v>17989</v>
      </c>
      <c r="D1885" s="1">
        <v>27000</v>
      </c>
      <c r="E1885" s="2">
        <v>44537</v>
      </c>
      <c r="F1885" s="2">
        <v>44834</v>
      </c>
      <c r="G1885" s="3">
        <v>25300</v>
      </c>
      <c r="H1885" s="1">
        <v>0</v>
      </c>
      <c r="I1885" s="1" t="s">
        <v>1110</v>
      </c>
      <c r="J1885" s="1" t="s">
        <v>58</v>
      </c>
    </row>
    <row r="1886" spans="1:10" hidden="1" x14ac:dyDescent="0.25">
      <c r="A1886" s="1" t="s">
        <v>116</v>
      </c>
      <c r="B1886" s="1" t="s">
        <v>117</v>
      </c>
      <c r="C1886" s="1">
        <v>18518</v>
      </c>
      <c r="D1886" s="1">
        <v>27517</v>
      </c>
      <c r="E1886" s="2">
        <v>44585</v>
      </c>
      <c r="F1886" s="2">
        <v>44834</v>
      </c>
      <c r="G1886" s="3">
        <v>184500</v>
      </c>
      <c r="H1886" s="1">
        <v>0</v>
      </c>
      <c r="I1886" s="1" t="s">
        <v>1132</v>
      </c>
      <c r="J1886" s="1" t="s">
        <v>50</v>
      </c>
    </row>
    <row r="1887" spans="1:10" hidden="1" x14ac:dyDescent="0.25">
      <c r="A1887" s="1" t="s">
        <v>231</v>
      </c>
      <c r="B1887" s="1" t="s">
        <v>232</v>
      </c>
      <c r="C1887" s="1">
        <v>16857</v>
      </c>
      <c r="D1887" s="1">
        <v>25830</v>
      </c>
      <c r="E1887" s="2">
        <v>44455</v>
      </c>
      <c r="F1887" s="2">
        <v>44834</v>
      </c>
      <c r="G1887" s="3">
        <v>158205.79999999999</v>
      </c>
      <c r="H1887" s="1">
        <v>0</v>
      </c>
      <c r="I1887" s="1" t="s">
        <v>1205</v>
      </c>
      <c r="J1887" s="1" t="s">
        <v>13</v>
      </c>
    </row>
    <row r="1888" spans="1:10" hidden="1" x14ac:dyDescent="0.25">
      <c r="A1888" s="1" t="s">
        <v>231</v>
      </c>
      <c r="B1888" s="1" t="s">
        <v>232</v>
      </c>
      <c r="C1888" s="1">
        <v>17342</v>
      </c>
      <c r="D1888" s="1">
        <v>26346</v>
      </c>
      <c r="E1888" s="2">
        <v>44488</v>
      </c>
      <c r="F1888" s="2">
        <v>44834</v>
      </c>
      <c r="G1888" s="3">
        <v>52633.84</v>
      </c>
      <c r="H1888" s="1">
        <v>0</v>
      </c>
      <c r="I1888" s="1" t="s">
        <v>1051</v>
      </c>
      <c r="J1888" s="1" t="s">
        <v>13</v>
      </c>
    </row>
    <row r="1889" spans="1:10" hidden="1" x14ac:dyDescent="0.25">
      <c r="A1889" s="1" t="s">
        <v>116</v>
      </c>
      <c r="B1889" s="1" t="s">
        <v>117</v>
      </c>
      <c r="C1889" s="1">
        <v>18517</v>
      </c>
      <c r="D1889" s="1">
        <v>27516</v>
      </c>
      <c r="E1889" s="2">
        <v>44585</v>
      </c>
      <c r="F1889" s="2">
        <v>44834</v>
      </c>
      <c r="G1889" s="3">
        <v>105000</v>
      </c>
      <c r="H1889" s="1">
        <v>0</v>
      </c>
      <c r="I1889" s="1" t="s">
        <v>1229</v>
      </c>
      <c r="J1889" s="1" t="s">
        <v>50</v>
      </c>
    </row>
    <row r="1890" spans="1:10" hidden="1" x14ac:dyDescent="0.25">
      <c r="A1890" s="1" t="s">
        <v>150</v>
      </c>
      <c r="B1890" s="1" t="s">
        <v>151</v>
      </c>
      <c r="C1890" s="1">
        <v>17134</v>
      </c>
      <c r="D1890" s="1">
        <v>26141</v>
      </c>
      <c r="E1890" s="2">
        <v>44474</v>
      </c>
      <c r="F1890" s="2">
        <v>44834</v>
      </c>
      <c r="G1890" s="3">
        <v>118090</v>
      </c>
      <c r="H1890" s="1">
        <v>0</v>
      </c>
      <c r="I1890" s="1" t="s">
        <v>1256</v>
      </c>
      <c r="J1890" s="1" t="s">
        <v>58</v>
      </c>
    </row>
    <row r="1891" spans="1:10" hidden="1" x14ac:dyDescent="0.25">
      <c r="A1891" s="1" t="s">
        <v>116</v>
      </c>
      <c r="B1891" s="1" t="s">
        <v>117</v>
      </c>
      <c r="C1891" s="1">
        <v>18855</v>
      </c>
      <c r="D1891" s="1">
        <v>27875</v>
      </c>
      <c r="E1891" s="2">
        <v>44622</v>
      </c>
      <c r="F1891" s="2">
        <v>44834</v>
      </c>
      <c r="G1891" s="3">
        <v>56000</v>
      </c>
      <c r="H1891" s="1">
        <v>0</v>
      </c>
      <c r="I1891" s="1" t="s">
        <v>1258</v>
      </c>
      <c r="J1891" s="1" t="s">
        <v>50</v>
      </c>
    </row>
    <row r="1892" spans="1:10" hidden="1" x14ac:dyDescent="0.25">
      <c r="A1892" s="1" t="s">
        <v>116</v>
      </c>
      <c r="B1892" s="1" t="s">
        <v>117</v>
      </c>
      <c r="C1892" s="1">
        <v>18911</v>
      </c>
      <c r="D1892" s="1">
        <v>27926</v>
      </c>
      <c r="E1892" s="2">
        <v>44624</v>
      </c>
      <c r="F1892" s="2">
        <v>44834</v>
      </c>
      <c r="G1892" s="3">
        <v>151200</v>
      </c>
      <c r="H1892" s="1">
        <v>0</v>
      </c>
      <c r="I1892" s="1" t="s">
        <v>1261</v>
      </c>
      <c r="J1892" s="1" t="s">
        <v>50</v>
      </c>
    </row>
    <row r="1893" spans="1:10" hidden="1" x14ac:dyDescent="0.25">
      <c r="A1893" s="1" t="s">
        <v>15</v>
      </c>
      <c r="B1893" s="1" t="s">
        <v>16</v>
      </c>
      <c r="C1893" s="1">
        <v>16941</v>
      </c>
      <c r="D1893" s="1">
        <v>25934</v>
      </c>
      <c r="E1893" s="2">
        <v>44461</v>
      </c>
      <c r="F1893" s="2">
        <v>44834</v>
      </c>
      <c r="G1893" s="3">
        <v>83000</v>
      </c>
      <c r="H1893" s="1">
        <v>0</v>
      </c>
      <c r="I1893" s="1" t="s">
        <v>1262</v>
      </c>
      <c r="J1893" s="1" t="s">
        <v>18</v>
      </c>
    </row>
    <row r="1894" spans="1:10" hidden="1" x14ac:dyDescent="0.25">
      <c r="A1894" s="1" t="s">
        <v>150</v>
      </c>
      <c r="B1894" s="1" t="s">
        <v>151</v>
      </c>
      <c r="C1894" s="1">
        <v>17390</v>
      </c>
      <c r="D1894" s="1">
        <v>26394</v>
      </c>
      <c r="E1894" s="2">
        <v>44489</v>
      </c>
      <c r="F1894" s="2">
        <v>44834</v>
      </c>
      <c r="G1894" s="3">
        <v>38400</v>
      </c>
      <c r="H1894" s="1">
        <v>0</v>
      </c>
      <c r="I1894" s="1" t="s">
        <v>1273</v>
      </c>
      <c r="J1894" s="1" t="s">
        <v>58</v>
      </c>
    </row>
    <row r="1895" spans="1:10" hidden="1" x14ac:dyDescent="0.25">
      <c r="A1895" s="1" t="s">
        <v>15</v>
      </c>
      <c r="B1895" s="1" t="s">
        <v>16</v>
      </c>
      <c r="C1895" s="1">
        <v>17845</v>
      </c>
      <c r="D1895" s="1">
        <v>26849</v>
      </c>
      <c r="E1895" s="2">
        <v>44522</v>
      </c>
      <c r="F1895" s="2">
        <v>44834</v>
      </c>
      <c r="G1895" s="3">
        <v>12080</v>
      </c>
      <c r="H1895" s="1">
        <v>0</v>
      </c>
      <c r="I1895" s="1" t="s">
        <v>1300</v>
      </c>
      <c r="J1895" s="1" t="s">
        <v>18</v>
      </c>
    </row>
    <row r="1896" spans="1:10" hidden="1" x14ac:dyDescent="0.25">
      <c r="A1896" s="1" t="s">
        <v>39</v>
      </c>
      <c r="B1896" s="1" t="s">
        <v>40</v>
      </c>
      <c r="C1896" s="1">
        <v>18796</v>
      </c>
      <c r="D1896" s="1">
        <v>27818</v>
      </c>
      <c r="E1896" s="2">
        <v>44614</v>
      </c>
      <c r="F1896" s="2">
        <v>44834</v>
      </c>
      <c r="G1896" s="3">
        <v>370800</v>
      </c>
      <c r="H1896" s="1">
        <v>0</v>
      </c>
      <c r="I1896" s="1" t="s">
        <v>1304</v>
      </c>
      <c r="J1896" s="1" t="s">
        <v>31</v>
      </c>
    </row>
    <row r="1897" spans="1:10" hidden="1" x14ac:dyDescent="0.25">
      <c r="A1897" s="1" t="s">
        <v>268</v>
      </c>
      <c r="B1897" s="1" t="s">
        <v>269</v>
      </c>
      <c r="C1897" s="1">
        <v>18834</v>
      </c>
      <c r="D1897" s="1">
        <v>27854</v>
      </c>
      <c r="E1897" s="2">
        <v>44616</v>
      </c>
      <c r="F1897" s="2">
        <v>44834</v>
      </c>
      <c r="G1897" s="3">
        <v>22240</v>
      </c>
      <c r="H1897" s="1">
        <v>0</v>
      </c>
      <c r="I1897" s="1" t="s">
        <v>387</v>
      </c>
      <c r="J1897" s="1" t="s">
        <v>31</v>
      </c>
    </row>
    <row r="1898" spans="1:10" hidden="1" x14ac:dyDescent="0.25">
      <c r="A1898" s="1" t="s">
        <v>268</v>
      </c>
      <c r="B1898" s="1" t="s">
        <v>269</v>
      </c>
      <c r="C1898" s="1">
        <v>18634</v>
      </c>
      <c r="D1898" s="1">
        <v>27645</v>
      </c>
      <c r="E1898" s="2">
        <v>44596</v>
      </c>
      <c r="F1898" s="2">
        <v>44834</v>
      </c>
      <c r="G1898" s="3">
        <v>131084</v>
      </c>
      <c r="H1898" s="1">
        <v>0</v>
      </c>
      <c r="I1898" s="1" t="s">
        <v>1320</v>
      </c>
      <c r="J1898" s="1" t="s">
        <v>31</v>
      </c>
    </row>
    <row r="1899" spans="1:10" hidden="1" x14ac:dyDescent="0.25">
      <c r="A1899" s="1" t="s">
        <v>150</v>
      </c>
      <c r="B1899" s="1" t="s">
        <v>151</v>
      </c>
      <c r="C1899" s="1">
        <v>18768</v>
      </c>
      <c r="D1899" s="1">
        <v>27789</v>
      </c>
      <c r="E1899" s="2">
        <v>44613</v>
      </c>
      <c r="F1899" s="2">
        <v>44834</v>
      </c>
      <c r="G1899" s="3">
        <v>149110</v>
      </c>
      <c r="H1899" s="1">
        <v>0</v>
      </c>
      <c r="I1899" s="1" t="s">
        <v>1340</v>
      </c>
      <c r="J1899" s="1" t="s">
        <v>58</v>
      </c>
    </row>
    <row r="1900" spans="1:10" hidden="1" x14ac:dyDescent="0.25">
      <c r="A1900" s="1" t="s">
        <v>15</v>
      </c>
      <c r="B1900" s="1" t="s">
        <v>16</v>
      </c>
      <c r="C1900" s="1">
        <v>16867</v>
      </c>
      <c r="D1900" s="1">
        <v>25843</v>
      </c>
      <c r="E1900" s="2">
        <v>44456</v>
      </c>
      <c r="F1900" s="2">
        <v>44834</v>
      </c>
      <c r="G1900" s="3">
        <v>95636</v>
      </c>
      <c r="H1900" s="1">
        <v>0</v>
      </c>
      <c r="I1900" s="1" t="s">
        <v>1342</v>
      </c>
      <c r="J1900" s="1" t="s">
        <v>18</v>
      </c>
    </row>
    <row r="1901" spans="1:10" hidden="1" x14ac:dyDescent="0.25">
      <c r="A1901" s="1" t="s">
        <v>934</v>
      </c>
      <c r="B1901" s="1" t="s">
        <v>935</v>
      </c>
      <c r="C1901" s="1">
        <v>17317</v>
      </c>
      <c r="D1901" s="1">
        <v>26315</v>
      </c>
      <c r="E1901" s="2">
        <v>44487</v>
      </c>
      <c r="F1901" s="2">
        <v>44834</v>
      </c>
      <c r="G1901" s="3">
        <v>23500</v>
      </c>
      <c r="H1901" s="1">
        <v>0</v>
      </c>
      <c r="I1901" s="1" t="s">
        <v>1345</v>
      </c>
      <c r="J1901" s="1" t="s">
        <v>58</v>
      </c>
    </row>
    <row r="1902" spans="1:10" hidden="1" x14ac:dyDescent="0.25">
      <c r="A1902" s="1" t="s">
        <v>268</v>
      </c>
      <c r="B1902" s="1" t="s">
        <v>269</v>
      </c>
      <c r="C1902" s="1">
        <v>18835</v>
      </c>
      <c r="D1902" s="1">
        <v>27855</v>
      </c>
      <c r="E1902" s="2">
        <v>44616</v>
      </c>
      <c r="F1902" s="2">
        <v>44834</v>
      </c>
      <c r="G1902" s="3">
        <v>16238.4</v>
      </c>
      <c r="H1902" s="1">
        <v>0</v>
      </c>
      <c r="I1902" s="1" t="s">
        <v>1377</v>
      </c>
      <c r="J1902" s="1" t="s">
        <v>31</v>
      </c>
    </row>
    <row r="1903" spans="1:10" hidden="1" x14ac:dyDescent="0.25">
      <c r="A1903" s="1" t="s">
        <v>268</v>
      </c>
      <c r="B1903" s="1" t="s">
        <v>269</v>
      </c>
      <c r="C1903" s="1">
        <v>18633</v>
      </c>
      <c r="D1903" s="1">
        <v>27644</v>
      </c>
      <c r="E1903" s="2">
        <v>44596</v>
      </c>
      <c r="F1903" s="2">
        <v>44834</v>
      </c>
      <c r="G1903" s="3">
        <v>108179.8</v>
      </c>
      <c r="H1903" s="1">
        <v>0</v>
      </c>
      <c r="I1903" s="1" t="s">
        <v>1407</v>
      </c>
      <c r="J1903" s="1" t="s">
        <v>31</v>
      </c>
    </row>
    <row r="1904" spans="1:10" hidden="1" x14ac:dyDescent="0.25">
      <c r="A1904" s="1" t="s">
        <v>180</v>
      </c>
      <c r="B1904" s="1" t="s">
        <v>181</v>
      </c>
      <c r="C1904" s="1">
        <v>18894</v>
      </c>
      <c r="D1904" s="1">
        <v>27910</v>
      </c>
      <c r="E1904" s="2">
        <v>44624</v>
      </c>
      <c r="F1904" s="2">
        <v>44834</v>
      </c>
      <c r="G1904" s="3">
        <v>101250</v>
      </c>
      <c r="H1904" s="1">
        <v>0</v>
      </c>
      <c r="I1904" s="1" t="s">
        <v>1445</v>
      </c>
      <c r="J1904" s="1" t="s">
        <v>88</v>
      </c>
    </row>
    <row r="1905" spans="1:10" hidden="1" x14ac:dyDescent="0.25">
      <c r="A1905" s="1" t="s">
        <v>15</v>
      </c>
      <c r="B1905" s="1" t="s">
        <v>16</v>
      </c>
      <c r="C1905" s="1">
        <v>17630</v>
      </c>
      <c r="D1905" s="1">
        <v>26632</v>
      </c>
      <c r="E1905" s="2">
        <v>44505</v>
      </c>
      <c r="F1905" s="2">
        <v>44834</v>
      </c>
      <c r="G1905" s="3">
        <v>38925</v>
      </c>
      <c r="H1905" s="1">
        <v>0</v>
      </c>
      <c r="I1905" s="1" t="s">
        <v>1446</v>
      </c>
      <c r="J1905" s="1" t="s">
        <v>18</v>
      </c>
    </row>
    <row r="1906" spans="1:10" hidden="1" x14ac:dyDescent="0.25">
      <c r="A1906" s="1" t="s">
        <v>198</v>
      </c>
      <c r="B1906" s="1" t="s">
        <v>199</v>
      </c>
      <c r="C1906" s="1">
        <v>18434</v>
      </c>
      <c r="D1906" s="1">
        <v>27434</v>
      </c>
      <c r="E1906" s="2">
        <v>44579</v>
      </c>
      <c r="F1906" s="2">
        <v>44834</v>
      </c>
      <c r="G1906" s="3">
        <v>25606</v>
      </c>
      <c r="H1906" s="1">
        <v>0</v>
      </c>
      <c r="I1906" s="1" t="s">
        <v>1452</v>
      </c>
      <c r="J1906" s="1" t="s">
        <v>13</v>
      </c>
    </row>
    <row r="1907" spans="1:10" hidden="1" x14ac:dyDescent="0.25">
      <c r="A1907" s="1" t="s">
        <v>428</v>
      </c>
      <c r="B1907" s="1" t="s">
        <v>429</v>
      </c>
      <c r="C1907" s="1">
        <v>18843</v>
      </c>
      <c r="D1907" s="1">
        <v>27863</v>
      </c>
      <c r="E1907" s="2">
        <v>44616</v>
      </c>
      <c r="F1907" s="2">
        <v>44834</v>
      </c>
      <c r="G1907" s="3">
        <v>44900</v>
      </c>
      <c r="H1907" s="1">
        <v>0</v>
      </c>
      <c r="I1907" s="1" t="s">
        <v>1504</v>
      </c>
      <c r="J1907" s="1" t="s">
        <v>31</v>
      </c>
    </row>
    <row r="1908" spans="1:10" hidden="1" x14ac:dyDescent="0.25">
      <c r="A1908" s="1" t="s">
        <v>150</v>
      </c>
      <c r="B1908" s="1" t="s">
        <v>151</v>
      </c>
      <c r="C1908" s="1">
        <v>18096</v>
      </c>
      <c r="D1908" s="1">
        <v>27108</v>
      </c>
      <c r="E1908" s="2">
        <v>44544</v>
      </c>
      <c r="F1908" s="2">
        <v>44834</v>
      </c>
      <c r="G1908" s="3">
        <v>4698</v>
      </c>
      <c r="H1908" s="1">
        <v>0</v>
      </c>
      <c r="I1908" s="1" t="s">
        <v>1546</v>
      </c>
      <c r="J1908" s="1" t="s">
        <v>58</v>
      </c>
    </row>
    <row r="1909" spans="1:10" hidden="1" x14ac:dyDescent="0.25">
      <c r="A1909" s="1" t="s">
        <v>15</v>
      </c>
      <c r="B1909" s="1" t="s">
        <v>16</v>
      </c>
      <c r="C1909" s="1">
        <v>17284</v>
      </c>
      <c r="D1909" s="1">
        <v>26282</v>
      </c>
      <c r="E1909" s="2">
        <v>44484</v>
      </c>
      <c r="F1909" s="2">
        <v>44834</v>
      </c>
      <c r="G1909" s="3">
        <v>37236</v>
      </c>
      <c r="H1909" s="1">
        <v>0</v>
      </c>
      <c r="I1909" s="1" t="s">
        <v>1554</v>
      </c>
      <c r="J1909" s="1" t="s">
        <v>18</v>
      </c>
    </row>
    <row r="1910" spans="1:10" hidden="1" x14ac:dyDescent="0.25">
      <c r="A1910" s="1" t="s">
        <v>268</v>
      </c>
      <c r="B1910" s="1" t="s">
        <v>269</v>
      </c>
      <c r="C1910" s="1">
        <v>18837</v>
      </c>
      <c r="D1910" s="1">
        <v>27857</v>
      </c>
      <c r="E1910" s="2">
        <v>44616</v>
      </c>
      <c r="F1910" s="2">
        <v>44834</v>
      </c>
      <c r="G1910" s="3">
        <v>116110</v>
      </c>
      <c r="H1910" s="1">
        <v>0</v>
      </c>
      <c r="I1910" s="1" t="s">
        <v>1560</v>
      </c>
      <c r="J1910" s="1" t="s">
        <v>31</v>
      </c>
    </row>
    <row r="1911" spans="1:10" hidden="1" x14ac:dyDescent="0.25">
      <c r="A1911" s="1" t="s">
        <v>321</v>
      </c>
      <c r="B1911" s="1" t="s">
        <v>322</v>
      </c>
      <c r="C1911" s="1">
        <v>17737</v>
      </c>
      <c r="D1911" s="1">
        <v>26730</v>
      </c>
      <c r="E1911" s="2">
        <v>44511</v>
      </c>
      <c r="F1911" s="2">
        <v>44601</v>
      </c>
      <c r="G1911" s="1">
        <v>380</v>
      </c>
      <c r="H1911" s="1">
        <v>29</v>
      </c>
      <c r="I1911" s="1" t="s">
        <v>1707</v>
      </c>
      <c r="J1911" s="1" t="s">
        <v>27</v>
      </c>
    </row>
    <row r="1912" spans="1:10" hidden="1" x14ac:dyDescent="0.25">
      <c r="A1912" s="1" t="s">
        <v>116</v>
      </c>
      <c r="B1912" s="1" t="s">
        <v>117</v>
      </c>
      <c r="C1912" s="1">
        <v>18303</v>
      </c>
      <c r="D1912" s="1">
        <v>27312</v>
      </c>
      <c r="E1912" s="2">
        <v>44567</v>
      </c>
      <c r="F1912" s="2">
        <v>44834</v>
      </c>
      <c r="G1912" s="3">
        <v>184800</v>
      </c>
      <c r="H1912" s="1">
        <v>0</v>
      </c>
      <c r="I1912" s="1" t="s">
        <v>1568</v>
      </c>
      <c r="J1912" s="1" t="s">
        <v>50</v>
      </c>
    </row>
    <row r="1913" spans="1:10" hidden="1" x14ac:dyDescent="0.25">
      <c r="A1913" s="1" t="s">
        <v>177</v>
      </c>
      <c r="B1913" s="1" t="s">
        <v>178</v>
      </c>
      <c r="C1913" s="1">
        <v>17012</v>
      </c>
      <c r="D1913" s="1">
        <v>26021</v>
      </c>
      <c r="E1913" s="2">
        <v>44467</v>
      </c>
      <c r="F1913" s="2">
        <v>44834</v>
      </c>
      <c r="G1913" s="3">
        <v>47800</v>
      </c>
      <c r="H1913" s="1">
        <v>0</v>
      </c>
      <c r="I1913" s="1" t="s">
        <v>1606</v>
      </c>
      <c r="J1913" s="1" t="s">
        <v>58</v>
      </c>
    </row>
    <row r="1914" spans="1:10" hidden="1" x14ac:dyDescent="0.25">
      <c r="A1914" s="1" t="s">
        <v>116</v>
      </c>
      <c r="B1914" s="1" t="s">
        <v>117</v>
      </c>
      <c r="C1914" s="1">
        <v>18478</v>
      </c>
      <c r="D1914" s="1">
        <v>27476</v>
      </c>
      <c r="E1914" s="2">
        <v>44581</v>
      </c>
      <c r="F1914" s="2">
        <v>44834</v>
      </c>
      <c r="G1914" s="3">
        <v>144000</v>
      </c>
      <c r="H1914" s="1">
        <v>0</v>
      </c>
      <c r="I1914" s="1" t="s">
        <v>1685</v>
      </c>
      <c r="J1914" s="1" t="s">
        <v>50</v>
      </c>
    </row>
    <row r="1915" spans="1:10" hidden="1" x14ac:dyDescent="0.25">
      <c r="A1915" s="1" t="s">
        <v>128</v>
      </c>
      <c r="B1915" s="1" t="s">
        <v>129</v>
      </c>
      <c r="C1915" s="1">
        <v>18930</v>
      </c>
      <c r="D1915" s="1">
        <v>27941</v>
      </c>
      <c r="E1915" s="2">
        <v>44625</v>
      </c>
      <c r="F1915" s="2">
        <v>44835</v>
      </c>
      <c r="G1915" s="3">
        <v>90850</v>
      </c>
      <c r="H1915" s="1">
        <v>0</v>
      </c>
      <c r="I1915" s="1" t="s">
        <v>210</v>
      </c>
      <c r="J1915" s="1" t="s">
        <v>131</v>
      </c>
    </row>
    <row r="1916" spans="1:10" hidden="1" x14ac:dyDescent="0.25">
      <c r="A1916" s="1" t="s">
        <v>39</v>
      </c>
      <c r="B1916" s="1" t="s">
        <v>40</v>
      </c>
      <c r="C1916" s="1">
        <v>18605</v>
      </c>
      <c r="D1916" s="1">
        <v>27613</v>
      </c>
      <c r="E1916" s="2">
        <v>44594</v>
      </c>
      <c r="F1916" s="2">
        <v>44835</v>
      </c>
      <c r="G1916" s="3">
        <v>321602.5</v>
      </c>
      <c r="H1916" s="1">
        <v>0</v>
      </c>
      <c r="I1916" s="1" t="s">
        <v>1253</v>
      </c>
      <c r="J1916" s="1" t="s">
        <v>31</v>
      </c>
    </row>
    <row r="1917" spans="1:10" hidden="1" x14ac:dyDescent="0.25">
      <c r="A1917" s="1" t="s">
        <v>291</v>
      </c>
      <c r="B1917" s="1" t="s">
        <v>292</v>
      </c>
      <c r="C1917" s="1">
        <v>18699</v>
      </c>
      <c r="D1917" s="1">
        <v>27712</v>
      </c>
      <c r="E1917" s="2">
        <v>44602</v>
      </c>
      <c r="F1917" s="2">
        <v>44842</v>
      </c>
      <c r="G1917" s="3">
        <v>39121.199999999997</v>
      </c>
      <c r="H1917" s="1">
        <v>0</v>
      </c>
      <c r="I1917" s="1" t="s">
        <v>1165</v>
      </c>
      <c r="J1917" s="1" t="s">
        <v>115</v>
      </c>
    </row>
    <row r="1918" spans="1:10" hidden="1" x14ac:dyDescent="0.25">
      <c r="A1918" s="1" t="s">
        <v>180</v>
      </c>
      <c r="B1918" s="1" t="s">
        <v>181</v>
      </c>
      <c r="C1918" s="1">
        <v>18709</v>
      </c>
      <c r="D1918" s="1">
        <v>27723</v>
      </c>
      <c r="E1918" s="2">
        <v>44603</v>
      </c>
      <c r="F1918" s="2">
        <v>44843</v>
      </c>
      <c r="G1918" s="3">
        <v>182440</v>
      </c>
      <c r="H1918" s="1">
        <v>0</v>
      </c>
      <c r="I1918" s="1" t="s">
        <v>1462</v>
      </c>
      <c r="J1918" s="1" t="s">
        <v>88</v>
      </c>
    </row>
    <row r="1919" spans="1:10" hidden="1" x14ac:dyDescent="0.25">
      <c r="A1919" s="1" t="s">
        <v>108</v>
      </c>
      <c r="B1919" s="1" t="s">
        <v>109</v>
      </c>
      <c r="C1919" s="1">
        <v>18780</v>
      </c>
      <c r="D1919" s="1">
        <v>27800</v>
      </c>
      <c r="E1919" s="2">
        <v>44613</v>
      </c>
      <c r="F1919" s="2">
        <v>44853</v>
      </c>
      <c r="G1919" s="3">
        <v>287728</v>
      </c>
      <c r="H1919" s="1">
        <v>0</v>
      </c>
      <c r="I1919" s="1" t="s">
        <v>1010</v>
      </c>
      <c r="J1919" s="1" t="s">
        <v>88</v>
      </c>
    </row>
    <row r="1920" spans="1:10" hidden="1" x14ac:dyDescent="0.25">
      <c r="A1920" s="1" t="s">
        <v>244</v>
      </c>
      <c r="B1920" s="1" t="s">
        <v>98</v>
      </c>
      <c r="C1920" s="1">
        <v>18787</v>
      </c>
      <c r="D1920" s="1">
        <v>27807</v>
      </c>
      <c r="E1920" s="2">
        <v>44614</v>
      </c>
      <c r="F1920" s="2">
        <v>44854</v>
      </c>
      <c r="G1920" s="3">
        <v>27000</v>
      </c>
      <c r="H1920" s="1">
        <v>0</v>
      </c>
      <c r="I1920" s="1" t="s">
        <v>1400</v>
      </c>
      <c r="J1920" s="1" t="s">
        <v>27</v>
      </c>
    </row>
    <row r="1921" spans="1:10" hidden="1" x14ac:dyDescent="0.25">
      <c r="A1921" s="1" t="s">
        <v>55</v>
      </c>
      <c r="B1921" s="1" t="s">
        <v>56</v>
      </c>
      <c r="C1921" s="1">
        <v>17465</v>
      </c>
      <c r="D1921" s="1">
        <v>26472</v>
      </c>
      <c r="E1921" s="2">
        <v>44495</v>
      </c>
      <c r="F1921" s="2">
        <v>44855</v>
      </c>
      <c r="G1921" s="3">
        <v>99500</v>
      </c>
      <c r="H1921" s="1">
        <v>0</v>
      </c>
      <c r="I1921" s="1" t="s">
        <v>606</v>
      </c>
      <c r="J1921" s="1" t="s">
        <v>58</v>
      </c>
    </row>
    <row r="1922" spans="1:10" hidden="1" x14ac:dyDescent="0.25">
      <c r="A1922" s="1" t="s">
        <v>231</v>
      </c>
      <c r="B1922" s="1" t="s">
        <v>232</v>
      </c>
      <c r="C1922" s="1">
        <v>17927</v>
      </c>
      <c r="D1922" s="1">
        <v>26941</v>
      </c>
      <c r="E1922" s="2">
        <v>44532</v>
      </c>
      <c r="F1922" s="2">
        <v>44864</v>
      </c>
      <c r="G1922" s="3">
        <v>30150</v>
      </c>
      <c r="H1922" s="1">
        <v>0</v>
      </c>
      <c r="I1922" s="1" t="s">
        <v>294</v>
      </c>
      <c r="J1922" s="1" t="s">
        <v>13</v>
      </c>
    </row>
    <row r="1923" spans="1:10" hidden="1" x14ac:dyDescent="0.25">
      <c r="A1923" s="1" t="s">
        <v>231</v>
      </c>
      <c r="B1923" s="1" t="s">
        <v>232</v>
      </c>
      <c r="C1923" s="1">
        <v>17663</v>
      </c>
      <c r="D1923" s="1">
        <v>26660</v>
      </c>
      <c r="E1923" s="2">
        <v>44508</v>
      </c>
      <c r="F1923" s="2">
        <v>44864</v>
      </c>
      <c r="G1923" s="3">
        <v>5200</v>
      </c>
      <c r="H1923" s="1">
        <v>0</v>
      </c>
      <c r="I1923" s="1" t="s">
        <v>312</v>
      </c>
      <c r="J1923" s="1" t="s">
        <v>13</v>
      </c>
    </row>
    <row r="1924" spans="1:10" hidden="1" x14ac:dyDescent="0.25">
      <c r="A1924" s="1" t="s">
        <v>231</v>
      </c>
      <c r="B1924" s="1" t="s">
        <v>232</v>
      </c>
      <c r="C1924" s="1">
        <v>17657</v>
      </c>
      <c r="D1924" s="1">
        <v>26655</v>
      </c>
      <c r="E1924" s="2">
        <v>44508</v>
      </c>
      <c r="F1924" s="2">
        <v>44864</v>
      </c>
      <c r="G1924" s="1">
        <v>760</v>
      </c>
      <c r="H1924" s="1">
        <v>0</v>
      </c>
      <c r="I1924" s="1" t="s">
        <v>495</v>
      </c>
      <c r="J1924" s="1" t="s">
        <v>13</v>
      </c>
    </row>
    <row r="1925" spans="1:10" hidden="1" x14ac:dyDescent="0.25">
      <c r="A1925" s="1" t="s">
        <v>231</v>
      </c>
      <c r="B1925" s="1" t="s">
        <v>232</v>
      </c>
      <c r="C1925" s="1">
        <v>17662</v>
      </c>
      <c r="D1925" s="1">
        <v>26659</v>
      </c>
      <c r="E1925" s="2">
        <v>44508</v>
      </c>
      <c r="F1925" s="2">
        <v>44864</v>
      </c>
      <c r="G1925" s="3">
        <v>115096.64</v>
      </c>
      <c r="H1925" s="1">
        <v>0</v>
      </c>
      <c r="I1925" s="1" t="s">
        <v>786</v>
      </c>
      <c r="J1925" s="1" t="s">
        <v>13</v>
      </c>
    </row>
    <row r="1926" spans="1:10" hidden="1" x14ac:dyDescent="0.25">
      <c r="A1926" s="1" t="s">
        <v>173</v>
      </c>
      <c r="B1926" s="1" t="s">
        <v>174</v>
      </c>
      <c r="C1926" s="1">
        <v>18867</v>
      </c>
      <c r="D1926" s="1">
        <v>27886</v>
      </c>
      <c r="E1926" s="2">
        <v>44622</v>
      </c>
      <c r="F1926" s="2">
        <v>44864</v>
      </c>
      <c r="G1926" s="3">
        <v>46300</v>
      </c>
      <c r="H1926" s="1">
        <v>0</v>
      </c>
      <c r="I1926" s="1" t="s">
        <v>970</v>
      </c>
      <c r="J1926" s="1" t="s">
        <v>68</v>
      </c>
    </row>
    <row r="1927" spans="1:10" hidden="1" x14ac:dyDescent="0.25">
      <c r="A1927" s="1" t="s">
        <v>231</v>
      </c>
      <c r="B1927" s="1" t="s">
        <v>232</v>
      </c>
      <c r="C1927" s="1">
        <v>18426</v>
      </c>
      <c r="D1927" s="1">
        <v>27427</v>
      </c>
      <c r="E1927" s="2">
        <v>44578</v>
      </c>
      <c r="F1927" s="2">
        <v>44864</v>
      </c>
      <c r="G1927" s="3">
        <v>17150</v>
      </c>
      <c r="H1927" s="1">
        <v>0</v>
      </c>
      <c r="I1927" s="1" t="s">
        <v>1051</v>
      </c>
      <c r="J1927" s="1" t="s">
        <v>13</v>
      </c>
    </row>
    <row r="1928" spans="1:10" hidden="1" x14ac:dyDescent="0.25">
      <c r="A1928" s="1" t="s">
        <v>108</v>
      </c>
      <c r="B1928" s="1" t="s">
        <v>109</v>
      </c>
      <c r="C1928" s="1">
        <v>18922</v>
      </c>
      <c r="D1928" s="1">
        <v>27936</v>
      </c>
      <c r="E1928" s="2">
        <v>44624</v>
      </c>
      <c r="F1928" s="2">
        <v>44864</v>
      </c>
      <c r="G1928" s="3">
        <v>386400</v>
      </c>
      <c r="H1928" s="1">
        <v>0</v>
      </c>
      <c r="I1928" s="1" t="s">
        <v>1128</v>
      </c>
      <c r="J1928" s="1" t="s">
        <v>88</v>
      </c>
    </row>
    <row r="1929" spans="1:10" hidden="1" x14ac:dyDescent="0.25">
      <c r="A1929" s="1" t="s">
        <v>180</v>
      </c>
      <c r="B1929" s="1" t="s">
        <v>181</v>
      </c>
      <c r="C1929" s="1">
        <v>18895</v>
      </c>
      <c r="D1929" s="1">
        <v>27911</v>
      </c>
      <c r="E1929" s="2">
        <v>44624</v>
      </c>
      <c r="F1929" s="2">
        <v>44864</v>
      </c>
      <c r="G1929" s="3">
        <v>304650</v>
      </c>
      <c r="H1929" s="1">
        <v>0</v>
      </c>
      <c r="I1929" s="1" t="s">
        <v>1211</v>
      </c>
      <c r="J1929" s="1" t="s">
        <v>88</v>
      </c>
    </row>
    <row r="1930" spans="1:10" hidden="1" x14ac:dyDescent="0.25">
      <c r="A1930" s="1" t="s">
        <v>15</v>
      </c>
      <c r="B1930" s="1" t="s">
        <v>16</v>
      </c>
      <c r="C1930" s="1">
        <v>18611</v>
      </c>
      <c r="D1930" s="1">
        <v>27619</v>
      </c>
      <c r="E1930" s="2">
        <v>44594</v>
      </c>
      <c r="F1930" s="2">
        <v>44864</v>
      </c>
      <c r="G1930" s="3">
        <v>241000</v>
      </c>
      <c r="H1930" s="1">
        <v>0</v>
      </c>
      <c r="I1930" s="1" t="s">
        <v>1536</v>
      </c>
      <c r="J1930" s="1" t="s">
        <v>18</v>
      </c>
    </row>
    <row r="1931" spans="1:10" hidden="1" x14ac:dyDescent="0.25">
      <c r="A1931" s="1" t="s">
        <v>231</v>
      </c>
      <c r="B1931" s="1" t="s">
        <v>232</v>
      </c>
      <c r="C1931" s="1">
        <v>18092</v>
      </c>
      <c r="D1931" s="1">
        <v>27104</v>
      </c>
      <c r="E1931" s="2">
        <v>44544</v>
      </c>
      <c r="F1931" s="2">
        <v>44864</v>
      </c>
      <c r="G1931" s="3">
        <v>61698</v>
      </c>
      <c r="H1931" s="1">
        <v>0</v>
      </c>
      <c r="I1931" s="1" t="s">
        <v>1543</v>
      </c>
      <c r="J1931" s="1" t="s">
        <v>13</v>
      </c>
    </row>
    <row r="1932" spans="1:10" hidden="1" x14ac:dyDescent="0.25">
      <c r="A1932" s="1" t="s">
        <v>173</v>
      </c>
      <c r="B1932" s="1" t="s">
        <v>174</v>
      </c>
      <c r="C1932" s="1">
        <v>18866</v>
      </c>
      <c r="D1932" s="1">
        <v>27885</v>
      </c>
      <c r="E1932" s="2">
        <v>44622</v>
      </c>
      <c r="F1932" s="2">
        <v>44864</v>
      </c>
      <c r="G1932" s="3">
        <v>339080</v>
      </c>
      <c r="H1932" s="1">
        <v>0</v>
      </c>
      <c r="I1932" s="1" t="s">
        <v>1623</v>
      </c>
      <c r="J1932" s="1" t="s">
        <v>68</v>
      </c>
    </row>
    <row r="1933" spans="1:10" hidden="1" x14ac:dyDescent="0.25">
      <c r="A1933" s="1" t="s">
        <v>248</v>
      </c>
      <c r="B1933" s="1" t="s">
        <v>249</v>
      </c>
      <c r="C1933" s="1"/>
      <c r="D1933" s="1">
        <v>172705</v>
      </c>
      <c r="E1933" s="2">
        <v>44500</v>
      </c>
      <c r="F1933" s="2">
        <v>44865</v>
      </c>
      <c r="G1933" s="3">
        <v>5612.84</v>
      </c>
      <c r="H1933" s="1">
        <v>0</v>
      </c>
      <c r="I1933" s="1" t="s">
        <v>878</v>
      </c>
      <c r="J1933" s="1" t="s">
        <v>251</v>
      </c>
    </row>
    <row r="1934" spans="1:10" hidden="1" x14ac:dyDescent="0.25">
      <c r="A1934" s="1" t="s">
        <v>55</v>
      </c>
      <c r="B1934" s="1" t="s">
        <v>56</v>
      </c>
      <c r="C1934" s="1">
        <v>17958</v>
      </c>
      <c r="D1934" s="1">
        <v>26973</v>
      </c>
      <c r="E1934" s="2">
        <v>44536</v>
      </c>
      <c r="F1934" s="2">
        <v>44896</v>
      </c>
      <c r="G1934" s="3">
        <v>12500</v>
      </c>
      <c r="H1934" s="1">
        <v>0</v>
      </c>
      <c r="I1934" s="1" t="s">
        <v>1432</v>
      </c>
      <c r="J1934" s="1" t="s">
        <v>58</v>
      </c>
    </row>
  </sheetData>
  <autoFilter ref="A1:J1934">
    <filterColumn colId="1">
      <filters>
        <filter val="KELENYA RODRIGUES DOS SANTOS"/>
      </filters>
    </filterColumn>
    <sortState ref="A2:J1934">
      <sortCondition ref="F1:F193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tabSelected="1" zoomScale="70" zoomScaleNormal="70" workbookViewId="0">
      <selection activeCell="C3" sqref="C3:E3"/>
    </sheetView>
  </sheetViews>
  <sheetFormatPr defaultRowHeight="15" x14ac:dyDescent="0.25"/>
  <cols>
    <col min="1" max="1" width="48.85546875" bestFit="1" customWidth="1"/>
    <col min="2" max="2" width="25.28515625" bestFit="1" customWidth="1"/>
    <col min="3" max="3" width="63.140625" customWidth="1"/>
    <col min="4" max="4" width="50.140625" customWidth="1"/>
    <col min="5" max="5" width="69.85546875" customWidth="1"/>
  </cols>
  <sheetData>
    <row r="3" spans="1:5" x14ac:dyDescent="0.25">
      <c r="A3" s="5" t="s">
        <v>1717</v>
      </c>
      <c r="B3" s="6" t="s">
        <v>1718</v>
      </c>
      <c r="C3" s="4" t="s">
        <v>1720</v>
      </c>
      <c r="D3" s="4" t="s">
        <v>1721</v>
      </c>
      <c r="E3" s="4" t="s">
        <v>1722</v>
      </c>
    </row>
    <row r="4" spans="1:5" x14ac:dyDescent="0.25">
      <c r="A4" s="7" t="s">
        <v>189</v>
      </c>
      <c r="B4" s="8">
        <v>12660.02</v>
      </c>
      <c r="C4" s="6" t="str">
        <f>IFERROR(VLOOKUP(A4,'[1]ANALISE INADIMPLENCIA'!$A$4:$E$10,3,FALSE),"-")</f>
        <v>PROGRAMADO O PAGAMENTO PARA DIA 11/03/2022</v>
      </c>
      <c r="D4" s="6" t="str">
        <f>IFERROR(VLOOKUP(A4,'[1]ANALISE INADIMPLENCIA'!$A$4:$E$10,4,FALSE),"-")</f>
        <v>-</v>
      </c>
      <c r="E4" s="6" t="str">
        <f>IFERROR(VLOOKUP(A4,'[1]ANALISE INADIMPLENCIA'!$A$4:$E$10,5,FALSE),"-")</f>
        <v>AGUARDANDO PAGAMENTO</v>
      </c>
    </row>
    <row r="5" spans="1:5" x14ac:dyDescent="0.25">
      <c r="A5" s="7" t="s">
        <v>278</v>
      </c>
      <c r="B5" s="8">
        <v>21022.5</v>
      </c>
      <c r="C5" s="6" t="str">
        <f>IFERROR(VLOOKUP(A5,'[1]ANALISE INADIMPLENCIA'!$A$4:$E$10,3,FALSE),"-")</f>
        <v>PROGRAMADO O PAGAMENTO PARA DIA 11/03/2022</v>
      </c>
      <c r="D5" s="6" t="str">
        <f>IFERROR(VLOOKUP(A5,'[1]ANALISE INADIMPLENCIA'!$A$4:$E$10,4,FALSE),"-")</f>
        <v>-</v>
      </c>
      <c r="E5" s="6" t="str">
        <f>IFERROR(VLOOKUP(A5,'[1]ANALISE INADIMPLENCIA'!$A$4:$E$10,5,FALSE),"-")</f>
        <v>AGUARDANDO PAGAMENTO</v>
      </c>
    </row>
    <row r="6" spans="1:5" ht="45" x14ac:dyDescent="0.25">
      <c r="A6" s="7" t="s">
        <v>310</v>
      </c>
      <c r="B6" s="8">
        <v>116085.4</v>
      </c>
      <c r="C6" s="6" t="str">
        <f>IFERROR(VLOOKUP(A6,'[1]ANALISE INADIMPLENCIA'!$A$4:$E$10,3,FALSE),"-")</f>
        <v>CONFISSÃO DE DIVIDA ASSINADA E CPR</v>
      </c>
      <c r="D6" s="6" t="str">
        <f>IFERROR(VLOOKUP(A6,'[1]ANALISE INADIMPLENCIA'!$A$4:$E$10,4,FALSE),"-")</f>
        <v>4 PARCELAS RESTANTES (05/01/22, 04/02/22, 06/03/22 e 05/04/22)</v>
      </c>
      <c r="E6" s="6" t="str">
        <f>IFERROR(VLOOKUP(A6,'[1]ANALISE INADIMPLENCIA'!$A$4:$E$10,5,FALSE),"-")</f>
        <v>AGUARDAR PAGAMENTOS E EXECUTAR CPR QUE VENCE EM 16/03/2022, JUNTO COM A CPR DA ANA CLARA, CASO NÃO SEJA PAGO ATÉ O VENCIMENTO DA CPR</v>
      </c>
    </row>
    <row r="7" spans="1:5" x14ac:dyDescent="0.25">
      <c r="A7" s="7" t="s">
        <v>579</v>
      </c>
      <c r="B7" s="8">
        <v>23424.06</v>
      </c>
      <c r="C7" s="6" t="str">
        <f>IFERROR(VLOOKUP(A7,'[1]ANALISE INADIMPLENCIA'!$A$4:$E$10,3,FALSE),"-")</f>
        <v>CONFISSAO DE DIVIDA ASSINADA</v>
      </c>
      <c r="D7" s="6" t="str">
        <f>IFERROR(VLOOKUP(A7,'[1]ANALISE INADIMPLENCIA'!$A$4:$E$10,4,FALSE),"-")</f>
        <v>2 PARCELAS RESTANTES (12/03, 27/03)</v>
      </c>
      <c r="E7" s="6" t="str">
        <f>IFERROR(VLOOKUP(A7,'[1]ANALISE INADIMPLENCIA'!$A$4:$E$10,5,FALSE),"-")</f>
        <v>AGUARDANDO PAGAMENTO</v>
      </c>
    </row>
    <row r="8" spans="1:5" ht="30" x14ac:dyDescent="0.25">
      <c r="A8" s="7" t="s">
        <v>322</v>
      </c>
      <c r="B8" s="8">
        <v>60058.03</v>
      </c>
      <c r="C8" s="6" t="str">
        <f>IFERROR(VLOOKUP(A8,'[1]ANALISE INADIMPLENCIA'!$A$4:$E$10,3,FALSE),"-")</f>
        <v>QUITOU 10 MIL DO SALDO DEVEDOR EM 21/02. PROXIMOS VENCIMENTOS DIA 11/03</v>
      </c>
      <c r="D8" s="6" t="s">
        <v>1726</v>
      </c>
      <c r="E8" s="6" t="s">
        <v>1725</v>
      </c>
    </row>
    <row r="9" spans="1:5" ht="30" x14ac:dyDescent="0.25">
      <c r="A9" s="7" t="s">
        <v>16</v>
      </c>
      <c r="B9" s="8">
        <v>35738.26</v>
      </c>
      <c r="C9" s="6" t="str">
        <f>IFERROR(VLOOKUP(A9,'[1]ANALISE INADIMPLENCIA'!$A$4:$E$10,3,FALSE),"-")</f>
        <v>ENVIADO MINUTA ALTERADO PARA O CLAYRTON REPASSAR AO CLIENTE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AGUARDANDO RETORNO DO CLAYRTON</v>
      </c>
    </row>
    <row r="10" spans="1:5" x14ac:dyDescent="0.25">
      <c r="A10" s="9" t="s">
        <v>1719</v>
      </c>
      <c r="B10" s="10">
        <v>268988.26999999996</v>
      </c>
    </row>
    <row r="11" spans="1:5" x14ac:dyDescent="0.25">
      <c r="A11" s="11" t="s">
        <v>1723</v>
      </c>
      <c r="B11" s="12">
        <f>SUM('TOTAL EM ABERTO'!G2:G1934)</f>
        <v>116527675.15999989</v>
      </c>
    </row>
    <row r="12" spans="1:5" x14ac:dyDescent="0.25">
      <c r="A12" s="11" t="s">
        <v>1724</v>
      </c>
      <c r="B12" s="13">
        <f>GETPIVOTDATA("Valor R$",$A$3)/B11</f>
        <v>2.3083638254231195E-3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2"/>
  <sheetViews>
    <sheetView showGridLines="0" workbookViewId="0">
      <selection activeCell="J12" sqref="A1:J12"/>
    </sheetView>
  </sheetViews>
  <sheetFormatPr defaultRowHeight="15" x14ac:dyDescent="0.25"/>
  <cols>
    <col min="1" max="1" width="9.42578125" bestFit="1" customWidth="1"/>
    <col min="2" max="2" width="48.85546875" bestFit="1" customWidth="1"/>
    <col min="3" max="3" width="9.5703125" bestFit="1" customWidth="1"/>
    <col min="4" max="4" width="6.7109375" bestFit="1" customWidth="1"/>
    <col min="5" max="5" width="10.5703125" bestFit="1" customWidth="1"/>
    <col min="6" max="6" width="10.7109375" bestFit="1" customWidth="1"/>
    <col min="7" max="7" width="9" bestFit="1" customWidth="1"/>
    <col min="8" max="8" width="10.28515625" bestFit="1" customWidth="1"/>
    <col min="9" max="9" width="20" bestFit="1" customWidth="1"/>
    <col min="10" max="10" width="27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15</v>
      </c>
      <c r="B2" s="1" t="s">
        <v>16</v>
      </c>
      <c r="C2" s="1">
        <v>14107</v>
      </c>
      <c r="D2" s="1">
        <v>22838</v>
      </c>
      <c r="E2" s="2">
        <v>44106</v>
      </c>
      <c r="F2" s="2">
        <v>44499</v>
      </c>
      <c r="G2" s="3">
        <v>32978.26</v>
      </c>
      <c r="H2" s="1">
        <v>131</v>
      </c>
      <c r="I2" s="1" t="s">
        <v>17</v>
      </c>
      <c r="J2" s="1" t="s">
        <v>18</v>
      </c>
    </row>
    <row r="3" spans="1:10" x14ac:dyDescent="0.25">
      <c r="A3" s="1" t="s">
        <v>309</v>
      </c>
      <c r="B3" s="1" t="s">
        <v>310</v>
      </c>
      <c r="C3" s="1">
        <v>14047</v>
      </c>
      <c r="D3" s="1">
        <v>22777</v>
      </c>
      <c r="E3" s="2">
        <v>44103</v>
      </c>
      <c r="F3" s="2">
        <v>44346</v>
      </c>
      <c r="G3" s="3">
        <v>32185.4</v>
      </c>
      <c r="H3" s="1">
        <v>284</v>
      </c>
      <c r="I3" s="1" t="s">
        <v>311</v>
      </c>
      <c r="J3" s="1" t="s">
        <v>84</v>
      </c>
    </row>
    <row r="4" spans="1:10" x14ac:dyDescent="0.25">
      <c r="A4" s="1" t="s">
        <v>321</v>
      </c>
      <c r="B4" s="1" t="s">
        <v>322</v>
      </c>
      <c r="C4" s="1">
        <v>17738</v>
      </c>
      <c r="D4" s="1">
        <v>26731</v>
      </c>
      <c r="E4" s="2">
        <v>44511</v>
      </c>
      <c r="F4" s="2">
        <v>44601</v>
      </c>
      <c r="G4" s="3">
        <v>2691.02</v>
      </c>
      <c r="H4" s="1">
        <v>29</v>
      </c>
      <c r="I4" s="1" t="s">
        <v>323</v>
      </c>
      <c r="J4" s="1" t="s">
        <v>27</v>
      </c>
    </row>
    <row r="5" spans="1:10" x14ac:dyDescent="0.25">
      <c r="A5" s="1" t="s">
        <v>15</v>
      </c>
      <c r="B5" s="1" t="s">
        <v>16</v>
      </c>
      <c r="C5" s="1">
        <v>17629</v>
      </c>
      <c r="D5" s="1">
        <v>26631</v>
      </c>
      <c r="E5" s="2">
        <v>44505</v>
      </c>
      <c r="F5" s="2">
        <v>44505</v>
      </c>
      <c r="G5" s="3">
        <v>2760</v>
      </c>
      <c r="H5" s="1">
        <v>125</v>
      </c>
      <c r="I5" s="1" t="s">
        <v>360</v>
      </c>
      <c r="J5" s="1" t="s">
        <v>18</v>
      </c>
    </row>
    <row r="6" spans="1:10" x14ac:dyDescent="0.25">
      <c r="A6" s="1" t="s">
        <v>188</v>
      </c>
      <c r="B6" s="1" t="s">
        <v>189</v>
      </c>
      <c r="C6" s="1">
        <v>17617</v>
      </c>
      <c r="D6" s="1">
        <v>26619</v>
      </c>
      <c r="E6" s="2">
        <v>44505</v>
      </c>
      <c r="F6" s="2">
        <v>44625</v>
      </c>
      <c r="G6" s="3">
        <v>12660.02</v>
      </c>
      <c r="H6" s="1">
        <v>5</v>
      </c>
      <c r="I6" s="1" t="s">
        <v>380</v>
      </c>
      <c r="J6" s="1" t="s">
        <v>58</v>
      </c>
    </row>
    <row r="7" spans="1:10" x14ac:dyDescent="0.25">
      <c r="A7" s="1" t="s">
        <v>277</v>
      </c>
      <c r="B7" s="1" t="s">
        <v>278</v>
      </c>
      <c r="C7" s="1">
        <v>17965</v>
      </c>
      <c r="D7" s="1">
        <v>26980</v>
      </c>
      <c r="E7" s="2">
        <v>44536</v>
      </c>
      <c r="F7" s="2">
        <v>44626</v>
      </c>
      <c r="G7" s="3">
        <v>21022.5</v>
      </c>
      <c r="H7" s="1">
        <v>4</v>
      </c>
      <c r="I7" s="1" t="s">
        <v>519</v>
      </c>
      <c r="J7" s="1" t="s">
        <v>13</v>
      </c>
    </row>
    <row r="8" spans="1:10" x14ac:dyDescent="0.25">
      <c r="A8" s="1" t="s">
        <v>578</v>
      </c>
      <c r="B8" s="1" t="s">
        <v>579</v>
      </c>
      <c r="C8" s="1">
        <v>16389</v>
      </c>
      <c r="D8" s="1">
        <v>25338</v>
      </c>
      <c r="E8" s="2">
        <v>44407</v>
      </c>
      <c r="F8" s="2">
        <v>44557</v>
      </c>
      <c r="G8" s="3">
        <v>23424.06</v>
      </c>
      <c r="H8" s="1">
        <v>73</v>
      </c>
      <c r="I8" s="1" t="s">
        <v>580</v>
      </c>
      <c r="J8" s="1" t="s">
        <v>73</v>
      </c>
    </row>
    <row r="9" spans="1:10" x14ac:dyDescent="0.25">
      <c r="A9" s="1" t="s">
        <v>321</v>
      </c>
      <c r="B9" s="1" t="s">
        <v>322</v>
      </c>
      <c r="C9" s="1">
        <v>16577</v>
      </c>
      <c r="D9" s="1">
        <v>25541</v>
      </c>
      <c r="E9" s="2">
        <v>44426</v>
      </c>
      <c r="F9" s="2">
        <v>44606</v>
      </c>
      <c r="G9" s="3">
        <v>12313.01</v>
      </c>
      <c r="H9" s="1">
        <v>24</v>
      </c>
      <c r="I9" s="1" t="s">
        <v>646</v>
      </c>
      <c r="J9" s="1" t="s">
        <v>27</v>
      </c>
    </row>
    <row r="10" spans="1:10" x14ac:dyDescent="0.25">
      <c r="A10" s="1" t="s">
        <v>309</v>
      </c>
      <c r="B10" s="1" t="s">
        <v>310</v>
      </c>
      <c r="C10" s="1">
        <v>14573</v>
      </c>
      <c r="D10" s="1">
        <v>23329</v>
      </c>
      <c r="E10" s="2">
        <v>44158</v>
      </c>
      <c r="F10" s="2">
        <v>44377</v>
      </c>
      <c r="G10" s="3">
        <v>83900</v>
      </c>
      <c r="H10" s="1">
        <v>253</v>
      </c>
      <c r="I10" s="1" t="s">
        <v>950</v>
      </c>
      <c r="J10" s="1" t="s">
        <v>84</v>
      </c>
    </row>
    <row r="11" spans="1:10" x14ac:dyDescent="0.25">
      <c r="A11" s="1" t="s">
        <v>321</v>
      </c>
      <c r="B11" s="1" t="s">
        <v>322</v>
      </c>
      <c r="C11" s="1">
        <v>16814</v>
      </c>
      <c r="D11" s="1">
        <v>25786</v>
      </c>
      <c r="E11" s="2">
        <v>44454</v>
      </c>
      <c r="F11" s="2">
        <v>44604</v>
      </c>
      <c r="G11" s="3">
        <v>44674</v>
      </c>
      <c r="H11" s="1">
        <v>26</v>
      </c>
      <c r="I11" s="1" t="s">
        <v>1657</v>
      </c>
      <c r="J11" s="1" t="s">
        <v>27</v>
      </c>
    </row>
    <row r="12" spans="1:10" x14ac:dyDescent="0.25">
      <c r="A12" s="1" t="s">
        <v>321</v>
      </c>
      <c r="B12" s="1" t="s">
        <v>322</v>
      </c>
      <c r="C12" s="1">
        <v>17737</v>
      </c>
      <c r="D12" s="1">
        <v>26730</v>
      </c>
      <c r="E12" s="2">
        <v>44511</v>
      </c>
      <c r="F12" s="2">
        <v>44601</v>
      </c>
      <c r="G12" s="1">
        <v>380</v>
      </c>
      <c r="H12" s="1">
        <v>29</v>
      </c>
      <c r="I12" s="1" t="s">
        <v>1707</v>
      </c>
      <c r="J12" s="1" t="s">
        <v>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2022-03-11T11:53:57Z</dcterms:created>
  <dcterms:modified xsi:type="dcterms:W3CDTF">2022-03-14T14:33:45Z</dcterms:modified>
</cp:coreProperties>
</file>