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externalLinks/externalLink1.xml" ContentType="application/vnd.openxmlformats-officedocument.spreadsheetml.externalLink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Cache/pivotCacheDefinition2.xml" ContentType="application/vnd.openxmlformats-officedocument.spreadsheetml.pivotCacheDefinition+xml"/>
  <Override PartName="/xl/pivotCache/pivotCacheRecords2.xml" ContentType="application/vnd.openxmlformats-officedocument.spreadsheetml.pivotCacheRecords+xml"/>
  <Override PartName="/xl/pivotCache/pivotCacheDefinition3.xml" ContentType="application/vnd.openxmlformats-officedocument.spreadsheetml.pivotCacheDefinition+xml"/>
  <Override PartName="/xl/pivotCache/pivotCacheRecords3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330"/>
  <workbookPr hidePivotFieldList="1" defaultThemeVersion="166925"/>
  <mc:AlternateContent xmlns:mc="http://schemas.openxmlformats.org/markup-compatibility/2006">
    <mc:Choice Requires="x15">
      <x15ac:absPath xmlns:x15ac="http://schemas.microsoft.com/office/spreadsheetml/2010/11/ac" url="C:\Users\CO74279\Desktop\INADIMPLENCIA\2022\JULHO 2022\"/>
    </mc:Choice>
  </mc:AlternateContent>
  <xr:revisionPtr revIDLastSave="0" documentId="13_ncr:1_{D85A00A1-355C-47E7-B448-187C35B69DB1}" xr6:coauthVersionLast="47" xr6:coauthVersionMax="47" xr10:uidLastSave="{00000000-0000-0000-0000-000000000000}"/>
  <bookViews>
    <workbookView xWindow="-108" yWindow="-108" windowWidth="23256" windowHeight="12576" xr2:uid="{2E075745-CCA7-4C98-B8F3-14DF24EEA6C8}"/>
  </bookViews>
  <sheets>
    <sheet name="TOTAL EM ABERTO" sheetId="1" r:id="rId1"/>
    <sheet name="VENCIMENTOS JULHO 2022" sheetId="11" r:id="rId2"/>
    <sheet name="TOTAL INADIMPLENTES" sheetId="2" r:id="rId3"/>
    <sheet name="CLIENTES PDD" sheetId="7" r:id="rId4"/>
    <sheet name="ANALISE CLIENTES PDD" sheetId="8" r:id="rId5"/>
    <sheet name="ANALISE DE INADIMPLENCIA" sheetId="6" r:id="rId6"/>
  </sheets>
  <externalReferences>
    <externalReference r:id="rId7"/>
  </externalReferences>
  <definedNames>
    <definedName name="_xlnm._FilterDatabase" localSheetId="3" hidden="1">'CLIENTES PDD'!$A$1:$N$48</definedName>
    <definedName name="_xlnm._FilterDatabase" localSheetId="0" hidden="1">'TOTAL EM ABERTO'!$A$1:$J$1323</definedName>
    <definedName name="_xlnm._FilterDatabase" localSheetId="1" hidden="1">'VENCIMENTOS JULHO 2022'!$A$1:$G$131</definedName>
  </definedNames>
  <calcPr calcId="191029"/>
  <pivotCaches>
    <pivotCache cacheId="4" r:id="rId8"/>
    <pivotCache cacheId="5" r:id="rId9"/>
    <pivotCache cacheId="6" r:id="rId10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B11" i="6" l="1"/>
  <c r="C5" i="6"/>
  <c r="D5" i="6"/>
  <c r="E5" i="6"/>
  <c r="C6" i="6"/>
  <c r="D6" i="6"/>
  <c r="E6" i="6"/>
  <c r="C7" i="6"/>
  <c r="D7" i="6"/>
  <c r="E7" i="6"/>
  <c r="C8" i="6"/>
  <c r="D8" i="6"/>
  <c r="E8" i="6"/>
  <c r="C9" i="6"/>
  <c r="D9" i="6"/>
  <c r="E9" i="6"/>
  <c r="D4" i="6"/>
  <c r="B12" i="6"/>
</calcChain>
</file>

<file path=xl/sharedStrings.xml><?xml version="1.0" encoding="utf-8"?>
<sst xmlns="http://schemas.openxmlformats.org/spreadsheetml/2006/main" count="6111" uniqueCount="1318">
  <si>
    <t>Codigo PN</t>
  </si>
  <si>
    <t>Razao Social</t>
  </si>
  <si>
    <t>No.Docto.</t>
  </si>
  <si>
    <t>No. NF</t>
  </si>
  <si>
    <t>Emissão</t>
  </si>
  <si>
    <t>Vencimento</t>
  </si>
  <si>
    <t>Valor R$</t>
  </si>
  <si>
    <t>Dias Atraso</t>
  </si>
  <si>
    <t>Observacoes</t>
  </si>
  <si>
    <t>Vendedor</t>
  </si>
  <si>
    <t>CL09094</t>
  </si>
  <si>
    <t>FARM VALLEY INS AGRIC LTDA</t>
  </si>
  <si>
    <t>NOTA FISCAL Nº 26999</t>
  </si>
  <si>
    <t>RAFAEL NERES DE OLIVEIRA</t>
  </si>
  <si>
    <t>CL08757</t>
  </si>
  <si>
    <t>BOASAFRA COM E REPRES LTDA</t>
  </si>
  <si>
    <t>NOTA FISCAL Nº 27102</t>
  </si>
  <si>
    <t>MARTIN WEISMANN</t>
  </si>
  <si>
    <t>CL08511</t>
  </si>
  <si>
    <t>NOTA FISCAL Nº 27454</t>
  </si>
  <si>
    <t>LAIANE PEREIRA RIOS</t>
  </si>
  <si>
    <t>CL08748</t>
  </si>
  <si>
    <t>PLANT QUALITY INSUMOS AGRIC LTDA ME</t>
  </si>
  <si>
    <t>NOTA FISCAL Nº 27565</t>
  </si>
  <si>
    <t>NATHALIA PARISI NAURE</t>
  </si>
  <si>
    <t>CL09123</t>
  </si>
  <si>
    <t>MOGIANA NEGOCIOS AGROPEC LTDA</t>
  </si>
  <si>
    <t>NOTA FISCAL Nº 27840</t>
  </si>
  <si>
    <t>MARCOS ROBERTO PEREIRA</t>
  </si>
  <si>
    <t>CL09137</t>
  </si>
  <si>
    <t>SEG AGRIC DISTR AGRO COML LTDA</t>
  </si>
  <si>
    <t>NOTA FISCAL Nº 28069</t>
  </si>
  <si>
    <t>MARIO JORGE GANS</t>
  </si>
  <si>
    <t>CL08747</t>
  </si>
  <si>
    <t>G R AGRICOLA LTDA EPP</t>
  </si>
  <si>
    <t>NOTA FISCAL Nº 28170</t>
  </si>
  <si>
    <t>FERNANDO GONCALVES</t>
  </si>
  <si>
    <t>CL09237</t>
  </si>
  <si>
    <t>REDUZINO E CRUZ COML LTDA</t>
  </si>
  <si>
    <t>NOTA FISCAL Nº 28475</t>
  </si>
  <si>
    <t>LUCAS SOARES FERREIRA</t>
  </si>
  <si>
    <t>CL09326</t>
  </si>
  <si>
    <t>AGROLINE COMERCIO DE PRODUTOS VETERINARIOS LTDA</t>
  </si>
  <si>
    <t>NOTA FISCAL Nº 28615</t>
  </si>
  <si>
    <t>ANDERSON REZZADORI</t>
  </si>
  <si>
    <t>CL09294</t>
  </si>
  <si>
    <t>JASMAR CONSULTORIA, COMERCIO E REPRESENTACOES LTDA</t>
  </si>
  <si>
    <t>NOTA FISCAL Nº 28617</t>
  </si>
  <si>
    <t>CL08571</t>
  </si>
  <si>
    <t>VITAGRICOLA LTDA</t>
  </si>
  <si>
    <t>NOTA FISCAL Nº 28727</t>
  </si>
  <si>
    <t>NOTA FISCAL Nº 28754</t>
  </si>
  <si>
    <t>NOTA FISCAL Nº 28755</t>
  </si>
  <si>
    <t>CL08689</t>
  </si>
  <si>
    <t>CLAUDIANA DE ALMEIDA RODRIGUES IMP E EXP DE FERT EIRELI</t>
  </si>
  <si>
    <t>NOTA FISCAL Nº 28821</t>
  </si>
  <si>
    <t>ERICK ALEXANDRE DE OLIVEIRA</t>
  </si>
  <si>
    <t>NOTA FISCAL Nº 27319</t>
  </si>
  <si>
    <t>CL08821</t>
  </si>
  <si>
    <t>PRODUFERTIL COM DE PRODS AGRIC LTDA</t>
  </si>
  <si>
    <t>NOTA FISCAL Nº 27354</t>
  </si>
  <si>
    <t>CARLOS EDUARDO BERNARDES</t>
  </si>
  <si>
    <t>NOTA FISCAL Nº 27386</t>
  </si>
  <si>
    <t>CL08870</t>
  </si>
  <si>
    <t>LEONARDO SANFELICE EITELWEIN</t>
  </si>
  <si>
    <t>NOTA FISCAL Nº 27401</t>
  </si>
  <si>
    <t>NOTA FISCAL Nº 27587</t>
  </si>
  <si>
    <t>NOTA FISCAL Nº 27673</t>
  </si>
  <si>
    <t>CL06154</t>
  </si>
  <si>
    <t>APOIO RURAL AGROPECUARIA LTDA</t>
  </si>
  <si>
    <t>NOTA FISCAL Nº 27708</t>
  </si>
  <si>
    <t>NOTA FISCAL Nº 27781</t>
  </si>
  <si>
    <t>NOTA FISCAL Nº 27798</t>
  </si>
  <si>
    <t>CL08834</t>
  </si>
  <si>
    <t>AGRO ALTA COM DE INS AGRIC LTDA ME</t>
  </si>
  <si>
    <t>NOTA FISCAL Nº 27992</t>
  </si>
  <si>
    <t>NOTA FISCAL Nº 28024</t>
  </si>
  <si>
    <t>NOTA FISCAL Nº 28150</t>
  </si>
  <si>
    <t>CL08666</t>
  </si>
  <si>
    <t>SOLOTEK IND DE ADUBOS E FERT S/A</t>
  </si>
  <si>
    <t>NOTA FISCAL Nº 28214</t>
  </si>
  <si>
    <t>JULIO CESAR CANHETE</t>
  </si>
  <si>
    <t>CL09276</t>
  </si>
  <si>
    <t>APOIO DISTRIBUIDORA AGRICOLA LTDA</t>
  </si>
  <si>
    <t>NOTA FISCAL Nº 28235</t>
  </si>
  <si>
    <t>CL06114</t>
  </si>
  <si>
    <t>NOTA FISCAL Nº 28569</t>
  </si>
  <si>
    <t>NOTA FISCAL Nº 28620</t>
  </si>
  <si>
    <t>CL08898</t>
  </si>
  <si>
    <t>AGROOESTE COM E REPRES LTDA</t>
  </si>
  <si>
    <t>NOTA FISCAL Nº 26705</t>
  </si>
  <si>
    <t>CL08661</t>
  </si>
  <si>
    <t>RIO CEDRO COM E REPRES LTDA</t>
  </si>
  <si>
    <t>NOTA FISCAL Nº 27256</t>
  </si>
  <si>
    <t>CLAYRTON DA SILVA</t>
  </si>
  <si>
    <t>CL09160</t>
  </si>
  <si>
    <t>TERRASEMENTES COM E REPRES EIRELI</t>
  </si>
  <si>
    <t>Notas Fiscais de Saída - CL09160</t>
  </si>
  <si>
    <t>CL08835</t>
  </si>
  <si>
    <t>SERGIO EITELWEIN</t>
  </si>
  <si>
    <t>NOTA FISCAL Nº 27387</t>
  </si>
  <si>
    <t>NOTA FISCAL Nº 27389</t>
  </si>
  <si>
    <t>Notas Fiscais de Saída - CL08834</t>
  </si>
  <si>
    <t>NOTA FISCAL Nº 27674</t>
  </si>
  <si>
    <t>CL09168</t>
  </si>
  <si>
    <t>CRISTIAN HOLZ</t>
  </si>
  <si>
    <t>NOTA FISCAL Nº 28179</t>
  </si>
  <si>
    <t>CL02167</t>
  </si>
  <si>
    <t>COMPO EXPERT Chile Fertilizantes Ltda</t>
  </si>
  <si>
    <t>ABIMAEL DA SILVA BORGES</t>
  </si>
  <si>
    <t>CL09187</t>
  </si>
  <si>
    <t>NICE HYBRID SEEDS COMPANY</t>
  </si>
  <si>
    <t>-Nenhum vendedor-</t>
  </si>
  <si>
    <t>NOTA FISCAL Nº 28236</t>
  </si>
  <si>
    <t>CL08586</t>
  </si>
  <si>
    <t>AGROSOIL COM E REPRES PROD AGRIC LTDA ME</t>
  </si>
  <si>
    <t>NOTA FISCAL Nº 28437</t>
  </si>
  <si>
    <t>NOTA FISCAL Nº 28533</t>
  </si>
  <si>
    <t>NOTA FISCAL Nº 28535</t>
  </si>
  <si>
    <t>CL08168</t>
  </si>
  <si>
    <t>VETQUIMICA COMERCIAL AGRICOLA LTDA</t>
  </si>
  <si>
    <t>NOTA FISCAL Nº 28566</t>
  </si>
  <si>
    <t>NOTA FISCAL Nº 28568</t>
  </si>
  <si>
    <t>NOTA FISCAL Nº 28664</t>
  </si>
  <si>
    <t>NOTA FISCAL Nº 28702</t>
  </si>
  <si>
    <t>CL01217</t>
  </si>
  <si>
    <t>FITOVET LTDA</t>
  </si>
  <si>
    <t>NOTA FISCAL Nº 25693</t>
  </si>
  <si>
    <t>NOTA FISCAL Nº 26486</t>
  </si>
  <si>
    <t>CL09118</t>
  </si>
  <si>
    <t>ROBSON EMANUEL NUNES FERREIRA</t>
  </si>
  <si>
    <t>NOTA FISCAL Nº 27010</t>
  </si>
  <si>
    <t>CESAR JOSE CAIXETA</t>
  </si>
  <si>
    <t>CL03733</t>
  </si>
  <si>
    <t>SILVANA LOPES DOMINGUES MARSON</t>
  </si>
  <si>
    <t>NOTA FISCAL Nº 27136</t>
  </si>
  <si>
    <t>CL08936</t>
  </si>
  <si>
    <t>AHL DISTRIBUIDORA S/A</t>
  </si>
  <si>
    <t>NOTA FISCAL Nº 27308</t>
  </si>
  <si>
    <t>NOTA FISCAL Nº 27393</t>
  </si>
  <si>
    <t>CL08712</t>
  </si>
  <si>
    <t>AGRO TERESENSE LTDA</t>
  </si>
  <si>
    <t>Notas Fiscais de Saída - CL08712</t>
  </si>
  <si>
    <t>NOTA FISCAL Nº 28057</t>
  </si>
  <si>
    <t>CL01252</t>
  </si>
  <si>
    <t>DISAM DIST DE INS AGRIC SULAMERICA LTDA</t>
  </si>
  <si>
    <t>NOTA FISCAL Nº 28206</t>
  </si>
  <si>
    <t>LUCAS ROBERTO WEBER</t>
  </si>
  <si>
    <t>NOTA FISCAL Nº 28237</t>
  </si>
  <si>
    <t>NOTA FISCAL Nº 28296</t>
  </si>
  <si>
    <t>CL09013</t>
  </si>
  <si>
    <t>MEGA MAQUINA CONSULTORIA E COM LTDA</t>
  </si>
  <si>
    <t>NOTA FISCAL Nº 28322</t>
  </si>
  <si>
    <t>NOTA FISCAL Nº 28403</t>
  </si>
  <si>
    <t>CL09239</t>
  </si>
  <si>
    <t>ALEXANDRE SATIRO DOS SANTOS</t>
  </si>
  <si>
    <t>NOTA FISCAL Nº 28420</t>
  </si>
  <si>
    <t>LEOMAR GONCALVES MULLER</t>
  </si>
  <si>
    <t>Notas Fiscais de Saída - CL06114</t>
  </si>
  <si>
    <t>NOTA FISCAL Nº 28744</t>
  </si>
  <si>
    <t>NOTA FISCAL Nº 28820</t>
  </si>
  <si>
    <t>CL01008</t>
  </si>
  <si>
    <t>SAGRA INS AGROPEC LTDA</t>
  </si>
  <si>
    <t>NOTA FISCAL Nº 26361</t>
  </si>
  <si>
    <t>CARLA VALDEZ</t>
  </si>
  <si>
    <t>Variação cambial atualização 10.2021</t>
  </si>
  <si>
    <t>NOTA FISCAL Nº 27107</t>
  </si>
  <si>
    <t>NOTA FISCAL Nº 27510</t>
  </si>
  <si>
    <t>NOTA FISCAL Nº 27544</t>
  </si>
  <si>
    <t>NOTA FISCAL Nº 27783</t>
  </si>
  <si>
    <t>CL01398</t>
  </si>
  <si>
    <t>RAZERA AGRIC LTDA</t>
  </si>
  <si>
    <t>NOTA FISCAL Nº 27800</t>
  </si>
  <si>
    <t>ALEXSANDER CAMPAGNOLO</t>
  </si>
  <si>
    <t>CL08193</t>
  </si>
  <si>
    <t>NOTA FISCAL Nº 27817</t>
  </si>
  <si>
    <t>NOTA FISCAL Nº 27835</t>
  </si>
  <si>
    <t>NOTA FISCAL Nº 27930</t>
  </si>
  <si>
    <t>NOTA FISCAL Nº 27944</t>
  </si>
  <si>
    <t>CL09029</t>
  </si>
  <si>
    <t>CARLOS ROBERTO DA SILVA</t>
  </si>
  <si>
    <t>NOTA FISCAL Nº 27976</t>
  </si>
  <si>
    <t>NOTA FISCAL Nº 28295</t>
  </si>
  <si>
    <t>NOTA FISCAL Nº 28407</t>
  </si>
  <si>
    <t>NOTA FISCAL Nº 28409</t>
  </si>
  <si>
    <t>NOTA FISCAL Nº 28642</t>
  </si>
  <si>
    <t>NOTA FISCAL Nº 28699</t>
  </si>
  <si>
    <t>CL09093</t>
  </si>
  <si>
    <t>KELENYA RODRIGUES DOS SANTOS</t>
  </si>
  <si>
    <t>Notas Fiscais de Saída - CL09093</t>
  </si>
  <si>
    <t>Notas Fiscais de Saída - CL09029</t>
  </si>
  <si>
    <t>NOTA FISCAL Nº 26725</t>
  </si>
  <si>
    <t>CL08848</t>
  </si>
  <si>
    <t>OLGA MARIA FERREIRA TAVARES E OUTROS</t>
  </si>
  <si>
    <t>NOTA FISCAL Nº 27079</t>
  </si>
  <si>
    <t>NOTA FISCAL Nº 27472</t>
  </si>
  <si>
    <t>CL09033</t>
  </si>
  <si>
    <t>L F DE FREITAS ME</t>
  </si>
  <si>
    <t>NOTA FISCAL Nº 27506</t>
  </si>
  <si>
    <t>CL08007</t>
  </si>
  <si>
    <t>CONTINENTAL AGRONEGOCIOS EIRELI ME</t>
  </si>
  <si>
    <t>NOTA FISCAL Nº 27584</t>
  </si>
  <si>
    <t>CL09251</t>
  </si>
  <si>
    <t>AGRODINAMICA COM E REPRES LTDA</t>
  </si>
  <si>
    <t>NOTA FISCAL Nº 27946</t>
  </si>
  <si>
    <t>NOTA FISCAL Nº 27954</t>
  </si>
  <si>
    <t>NOTA FISCAL Nº 28129</t>
  </si>
  <si>
    <t>NOTA FISCAL Nº 28192</t>
  </si>
  <si>
    <t>NOTA FISCAL Nº 28221</t>
  </si>
  <si>
    <t>CL09172</t>
  </si>
  <si>
    <t>NOTA FISCAL Nº 28258</t>
  </si>
  <si>
    <t>NOTA FISCAL Nº 28305</t>
  </si>
  <si>
    <t>NOTA FISCAL Nº 28449</t>
  </si>
  <si>
    <t>NOTA FISCAL Nº 28487</t>
  </si>
  <si>
    <t>NOTA FISCAL Nº 28531</t>
  </si>
  <si>
    <t>NOTA FISCAL Nº 28735</t>
  </si>
  <si>
    <t>NOTA FISCAL Nº 28739</t>
  </si>
  <si>
    <t>Variação cambial atualização 09.2021</t>
  </si>
  <si>
    <t>NOTA FISCAL Nº 26213</t>
  </si>
  <si>
    <t>NOTA FISCAL Nº 27018</t>
  </si>
  <si>
    <t>NOTA FISCAL Nº 27108</t>
  </si>
  <si>
    <t>NOTA FISCAL Nº 27186</t>
  </si>
  <si>
    <t>NOTA FISCAL Nº 27365</t>
  </si>
  <si>
    <t>CL08630</t>
  </si>
  <si>
    <t>NOTA FISCAL Nº 27462</t>
  </si>
  <si>
    <t>CL08907</t>
  </si>
  <si>
    <t>INDEPENDENCIA AGRICOLA LTDA</t>
  </si>
  <si>
    <t>NOTA FISCAL Nº 27643</t>
  </si>
  <si>
    <t>NOTA FISCAL Nº 27769</t>
  </si>
  <si>
    <t>NOTA FISCAL Nº 27893</t>
  </si>
  <si>
    <t>NOTA FISCAL Nº 27945</t>
  </si>
  <si>
    <t>NOTA FISCAL Nº 27985</t>
  </si>
  <si>
    <t>NOTA FISCAL Nº 28059</t>
  </si>
  <si>
    <t>NOTA FISCAL Nº 28094</t>
  </si>
  <si>
    <t>CL07667</t>
  </si>
  <si>
    <t>AGROFITO I LTDA ME</t>
  </si>
  <si>
    <t>NOTA FISCAL Nº 28169</t>
  </si>
  <si>
    <t>CL09224</t>
  </si>
  <si>
    <t>AGRO COML AGROMANIA LTDA</t>
  </si>
  <si>
    <t>NOTA FISCAL Nº 28418</t>
  </si>
  <si>
    <t>NOTA FISCAL Nº 28472</t>
  </si>
  <si>
    <t>NOTA FISCAL Nº 28974</t>
  </si>
  <si>
    <t>CL09356</t>
  </si>
  <si>
    <t>AGROPECUARIA SÃO GABRIEL LTDA</t>
  </si>
  <si>
    <t>NOTA FISCAL Nº 28982</t>
  </si>
  <si>
    <t>CL08869</t>
  </si>
  <si>
    <t>MERCADO AGRIC LTDA</t>
  </si>
  <si>
    <t>NOTA FISCAL Nº 26471</t>
  </si>
  <si>
    <t>CL08334</t>
  </si>
  <si>
    <t>GARANTIA AGRONEGOCIOS LTDA</t>
  </si>
  <si>
    <t>Notas Fiscais de Saída - CL08334</t>
  </si>
  <si>
    <t>NOTA FISCAL Nº 27385</t>
  </si>
  <si>
    <t>NOTA FISCAL Nº 27513</t>
  </si>
  <si>
    <t>NOTA FISCAL Nº 27653</t>
  </si>
  <si>
    <t>NOTA FISCAL Nº 27916</t>
  </si>
  <si>
    <t>CL01010</t>
  </si>
  <si>
    <t>DECIO LUIZ CASSOL &amp; CIA LTDA</t>
  </si>
  <si>
    <t>NOTA FISCAL Nº 28048</t>
  </si>
  <si>
    <t>CL09258</t>
  </si>
  <si>
    <t>ROCHA AGRONEGOCIO LTDA</t>
  </si>
  <si>
    <t>NOTA FISCAL Nº 28105</t>
  </si>
  <si>
    <t>Notas Fiscais de Saída - CL08936</t>
  </si>
  <si>
    <t>NOTA FISCAL Nº 28288</t>
  </si>
  <si>
    <t>NOTA FISCAL Nº 28368</t>
  </si>
  <si>
    <t>CL08552</t>
  </si>
  <si>
    <t>RAFAEL CIALFI ABBONDANZA REPRES EPP</t>
  </si>
  <si>
    <t>NOTA FISCAL Nº 28609</t>
  </si>
  <si>
    <t>NOTA FISCAL Nº 28728</t>
  </si>
  <si>
    <t>NOTA FISCAL Nº 28796</t>
  </si>
  <si>
    <t>NOTA FISCAL Nº 28824</t>
  </si>
  <si>
    <t>NOTA FISCAL Nº 28521</t>
  </si>
  <si>
    <t>CL09092</t>
  </si>
  <si>
    <t>DOURADO E VIANA LTDA</t>
  </si>
  <si>
    <t>NOTA FISCAL Nº 26924</t>
  </si>
  <si>
    <t>CL09202</t>
  </si>
  <si>
    <t>TERRA BRASIL COM E REPRES EIRELI</t>
  </si>
  <si>
    <t>NOTA FISCAL Nº 26977</t>
  </si>
  <si>
    <t>NOTA FISCAL Nº 27091</t>
  </si>
  <si>
    <t>NOTA FISCAL Nº 27104</t>
  </si>
  <si>
    <t>CL08753</t>
  </si>
  <si>
    <t>TERRA VERDE COM E REPRES DE PRODS AGRIC LTDA</t>
  </si>
  <si>
    <t>Notas Fiscais de Saída - CL08753</t>
  </si>
  <si>
    <t>NOTA FISCAL Nº 27323</t>
  </si>
  <si>
    <t>NOTA FISCAL Nº 27511</t>
  </si>
  <si>
    <t>NOTA FISCAL Nº 27545</t>
  </si>
  <si>
    <t>Notas Fiscais de Saída - CL08821</t>
  </si>
  <si>
    <t>NOTA FISCAL Nº 27619</t>
  </si>
  <si>
    <t>NOTA FISCAL Nº 27676</t>
  </si>
  <si>
    <t>NOTA FISCAL Nº 27707</t>
  </si>
  <si>
    <t>NOTA FISCAL Nº 27929</t>
  </si>
  <si>
    <t>NOTA FISCAL Nº 27977</t>
  </si>
  <si>
    <t>NOTA FISCAL Nº 28101</t>
  </si>
  <si>
    <t>NOTA FISCAL Nº 28181</t>
  </si>
  <si>
    <t>CL08829</t>
  </si>
  <si>
    <t>EVOLUCAO AGRICOLA LTDA</t>
  </si>
  <si>
    <t>NOTA FISCAL Nº 28852</t>
  </si>
  <si>
    <t>CL08828</t>
  </si>
  <si>
    <t>Notas Fiscais de Saída - CL08828</t>
  </si>
  <si>
    <t>CL08832</t>
  </si>
  <si>
    <t>NOTA FISCAL Nº 29004</t>
  </si>
  <si>
    <t>NOTA FISCAL Nº 28247</t>
  </si>
  <si>
    <t>Variação cambial atualização 04.2022</t>
  </si>
  <si>
    <t>NOTA FISCAL Nº 28491</t>
  </si>
  <si>
    <t>NOTA FISCAL Nº 28527</t>
  </si>
  <si>
    <t>NOTA FISCAL Nº 28591</t>
  </si>
  <si>
    <t>NOTA FISCAL Nº 28596</t>
  </si>
  <si>
    <t>NOTA FISCAL Nº 28632</t>
  </si>
  <si>
    <t>NOTA FISCAL Nº 28693</t>
  </si>
  <si>
    <t>NOTA FISCAL Nº 26485</t>
  </si>
  <si>
    <t>NOTA FISCAL Nº 27135</t>
  </si>
  <si>
    <t>NOTA FISCAL Nº 27137</t>
  </si>
  <si>
    <t>CL09315</t>
  </si>
  <si>
    <t>PRUDENCIO ADVOGADOS</t>
  </si>
  <si>
    <t>Acordo Antonio Gonçalves Mendes</t>
  </si>
  <si>
    <t>NOTA FISCAL Nº 27516</t>
  </si>
  <si>
    <t>CL09030</t>
  </si>
  <si>
    <t>9A AGRONEG COM E REPRES LTDA</t>
  </si>
  <si>
    <t>NOTA FISCAL Nº 27592</t>
  </si>
  <si>
    <t>NOTA FISCAL Nº 27625</t>
  </si>
  <si>
    <t>NOTA FISCAL Nº 27813</t>
  </si>
  <si>
    <t>NOTA FISCAL Nº 27901</t>
  </si>
  <si>
    <t>NOTA FISCAL Nº 28030</t>
  </si>
  <si>
    <t>NOTA FISCAL Nº 28075</t>
  </si>
  <si>
    <t>NOTA FISCAL Nº 28213</t>
  </si>
  <si>
    <t>NOTA FISCAL Nº 28357</t>
  </si>
  <si>
    <t>NOTA FISCAL Nº 28402</t>
  </si>
  <si>
    <t>Notas Fiscais de Saída - CL09123</t>
  </si>
  <si>
    <t>NOTA FISCAL Nº 28639</t>
  </si>
  <si>
    <t>NOTA FISCAL Nº 26966</t>
  </si>
  <si>
    <t>NOTA FISCAL Nº 27378</t>
  </si>
  <si>
    <t>NOTA FISCAL Nº 27630</t>
  </si>
  <si>
    <t>NOTA FISCAL Nº 27664</t>
  </si>
  <si>
    <t>NOTA FISCAL Nº 27718</t>
  </si>
  <si>
    <t>NOTA FISCAL Nº 28107</t>
  </si>
  <si>
    <t>NOTA FISCAL Nº 28526</t>
  </si>
  <si>
    <t>Notas Fiscais de Saída - CL09013</t>
  </si>
  <si>
    <t>Notas Fiscais de Saída - CL09030</t>
  </si>
  <si>
    <t>NOTA FISCAL Nº 28578</t>
  </si>
  <si>
    <t>CL09311</t>
  </si>
  <si>
    <t>AGRO GUARDA MOR COMERCIO E REPRESENTACAO LTDA</t>
  </si>
  <si>
    <t>Notas Fiscais de Saída - CL09311</t>
  </si>
  <si>
    <t>NOTA FISCAL Nº 28802</t>
  </si>
  <si>
    <t>CL08651</t>
  </si>
  <si>
    <t>BRENNTAG QUIMICA BRASIL LTDA</t>
  </si>
  <si>
    <t>NOTA FISCAL Nº 25934</t>
  </si>
  <si>
    <t>CL01685</t>
  </si>
  <si>
    <t>NOTA FISCAL Nº 25970</t>
  </si>
  <si>
    <t>NOTA FISCAL Nº 26394</t>
  </si>
  <si>
    <t>NOTA FISCAL Nº 27460</t>
  </si>
  <si>
    <t>NOTA FISCAL Nº 27588</t>
  </si>
  <si>
    <t>NOTA FISCAL Nº 27689</t>
  </si>
  <si>
    <t>NOTA FISCAL Nº 27709</t>
  </si>
  <si>
    <t>NOTA FISCAL Nº 27766</t>
  </si>
  <si>
    <t>NOTA FISCAL Nº 27898</t>
  </si>
  <si>
    <t>NOTA FISCAL Nº 27910</t>
  </si>
  <si>
    <t>NOTA FISCAL Nº 27926</t>
  </si>
  <si>
    <t>NOTA FISCAL Nº 28132</t>
  </si>
  <si>
    <t>NOTA FISCAL Nº 28149</t>
  </si>
  <si>
    <t>NOTA FISCAL Nº 28318</t>
  </si>
  <si>
    <t>NOTA FISCAL Nº 28338</t>
  </si>
  <si>
    <t>NOTA FISCAL Nº 28406</t>
  </si>
  <si>
    <t>Notas Fiscais de Saída - CL01217</t>
  </si>
  <si>
    <t>NOTA FISCAL Nº 28519</t>
  </si>
  <si>
    <t>NOTA FISCAL Nº 28923</t>
  </si>
  <si>
    <t>NOTA FISCAL Nº 26353</t>
  </si>
  <si>
    <t>CL09194</t>
  </si>
  <si>
    <t>ANTONIO PEREIRA BARBOSA</t>
  </si>
  <si>
    <t>NOTA FISCAL Nº 26403</t>
  </si>
  <si>
    <t>NOTA FISCAL Nº 26488</t>
  </si>
  <si>
    <t>NOTA FISCAL Nº 27312</t>
  </si>
  <si>
    <t>NOTA FISCAL Nº 27467</t>
  </si>
  <si>
    <t>CL05643</t>
  </si>
  <si>
    <t>CAMPO AGRICOLA AGRONEGOCIO LTDA EPP</t>
  </si>
  <si>
    <t>NOTA FISCAL Nº 27828</t>
  </si>
  <si>
    <t>NOTA FISCAL Nº 27845</t>
  </si>
  <si>
    <t>NOTA FISCAL Nº 27859</t>
  </si>
  <si>
    <t>Notas Fiscais de Saída - CL01010</t>
  </si>
  <si>
    <t>NOTA FISCAL Nº 28013</t>
  </si>
  <si>
    <t>NOTA FISCAL Nº 28014</t>
  </si>
  <si>
    <t>NOTA FISCAL Nº 28159</t>
  </si>
  <si>
    <t>NOTA FISCAL Nº 28172</t>
  </si>
  <si>
    <t>NOTA FISCAL Nº 28430</t>
  </si>
  <si>
    <t>CL09120</t>
  </si>
  <si>
    <t>MAA DAYALU FERTILIZARS &amp; CHEMICALS PVT LTD</t>
  </si>
  <si>
    <t>CL08556</t>
  </si>
  <si>
    <t>SERRA SEED COM DE PROD AGRIC LTDA</t>
  </si>
  <si>
    <t>NOTA FISCAL Nº 28493</t>
  </si>
  <si>
    <t>NOTA FISCAL Nº 28525</t>
  </si>
  <si>
    <t>NOTA FISCAL Nº 28593</t>
  </si>
  <si>
    <t>NOTA FISCAL Nº 28709</t>
  </si>
  <si>
    <t>CL09358</t>
  </si>
  <si>
    <t>M&amp;R AGRONEGOCIOS LTDA</t>
  </si>
  <si>
    <t>NOTA FISCAL Nº 28880</t>
  </si>
  <si>
    <t>CL09129</t>
  </si>
  <si>
    <t>NOTA FISCAL Nº 25548</t>
  </si>
  <si>
    <t>NOTA FISCAL Nº 25941</t>
  </si>
  <si>
    <t>NOTA FISCAL Nº 26473</t>
  </si>
  <si>
    <t>NOTA FISCAL Nº 26558</t>
  </si>
  <si>
    <t>NOTA FISCAL Nº 26621</t>
  </si>
  <si>
    <t>NOTA FISCAL Nº 26965</t>
  </si>
  <si>
    <t>NOTA FISCAL Nº 27085</t>
  </si>
  <si>
    <t>NOTA FISCAL Nº 27500</t>
  </si>
  <si>
    <t>Notas Fiscais de Saída - CL09276</t>
  </si>
  <si>
    <t>NOTA FISCAL Nº 27807</t>
  </si>
  <si>
    <t>NOTA FISCAL Nº 28242</t>
  </si>
  <si>
    <t>CL09328</t>
  </si>
  <si>
    <t>MUNARA AGRO TECHNOLOGIES Pvt. Ltd</t>
  </si>
  <si>
    <t>NOTA FISCAL Nº 28382</t>
  </si>
  <si>
    <t>Notas Fiscais de Saída - CL08666</t>
  </si>
  <si>
    <t>NOTA FISCAL Nº 28509</t>
  </si>
  <si>
    <t>NOTA FISCAL Nº 28711</t>
  </si>
  <si>
    <t>Notas Fiscais de Saída - CL06154</t>
  </si>
  <si>
    <t>NOTA FISCAL Nº 28856</t>
  </si>
  <si>
    <t>NOTA FISCAL Nº 28943</t>
  </si>
  <si>
    <t>NOTA FISCAL Nº 25414</t>
  </si>
  <si>
    <t>NOTA FISCAL Nº 27019</t>
  </si>
  <si>
    <t>NOTA FISCAL Nº 27145</t>
  </si>
  <si>
    <t>CL08899</t>
  </si>
  <si>
    <t>SABOTO &amp; SABOTO LTDA</t>
  </si>
  <si>
    <t>NOTA FISCAL Nº 27245</t>
  </si>
  <si>
    <t>NOTA FISCAL Nº 27431</t>
  </si>
  <si>
    <t>NOTA FISCAL Nº 27463</t>
  </si>
  <si>
    <t>CL09272</t>
  </si>
  <si>
    <t>RODRIGO FOGAS BATISTA</t>
  </si>
  <si>
    <t>NOTA FISCAL Nº 27642</t>
  </si>
  <si>
    <t>NOTA FISCAL Nº 27751</t>
  </si>
  <si>
    <t>CL09173</t>
  </si>
  <si>
    <t>MANEJO INSUMOS AGRICOLAS LTDA</t>
  </si>
  <si>
    <t>NOTA FISCAL Nº 27823</t>
  </si>
  <si>
    <t>NOTA FISCAL Nº 28093</t>
  </si>
  <si>
    <t>NOTA FISCAL Nº 28118</t>
  </si>
  <si>
    <t>NOTA FISCAL Nº 28231</t>
  </si>
  <si>
    <t>NOTA FISCAL Nº 28411</t>
  </si>
  <si>
    <t>NOTA FISCAL Nº 28419</t>
  </si>
  <si>
    <t>NOTA FISCAL Nº 28520</t>
  </si>
  <si>
    <t>Notas Fiscais de Saída - CL01398</t>
  </si>
  <si>
    <t>NOTA FISCAL Nº 28874</t>
  </si>
  <si>
    <t>NOTA FISCAL Nº 25076</t>
  </si>
  <si>
    <t>NOTA FISCAL Nº 27155</t>
  </si>
  <si>
    <t>NOTA FISCAL Nº 27475</t>
  </si>
  <si>
    <t>NOTA FISCAL Nº 27782</t>
  </si>
  <si>
    <t>NOTA FISCAL Nº 27939</t>
  </si>
  <si>
    <t>NOTA FISCAL Nº 27941</t>
  </si>
  <si>
    <t>NOTA FISCAL Nº 28023</t>
  </si>
  <si>
    <t>NOTA FISCAL Nº 28099</t>
  </si>
  <si>
    <t>NOTA FISCAL Nº 28113</t>
  </si>
  <si>
    <t>NOTA FISCAL Nº 28351</t>
  </si>
  <si>
    <t>NOTA FISCAL Nº 28353</t>
  </si>
  <si>
    <t>NOTA FISCAL Nº 28751</t>
  </si>
  <si>
    <t>NOTA FISCAL Nº 26434</t>
  </si>
  <si>
    <t>NOTA FISCAL Nº 27632</t>
  </si>
  <si>
    <t>NOTA FISCAL Nº 27772</t>
  </si>
  <si>
    <t>NOTA FISCAL Nº 28245</t>
  </si>
  <si>
    <t>NOTA FISCAL Nº 28560</t>
  </si>
  <si>
    <t>NOTA FISCAL Nº 28574</t>
  </si>
  <si>
    <t>NOTA FISCAL Nº 28653</t>
  </si>
  <si>
    <t>NOTA FISCAL Nº 28742</t>
  </si>
  <si>
    <t>NOTA FISCAL Nº 28818</t>
  </si>
  <si>
    <t>CL01102</t>
  </si>
  <si>
    <t>NOTA FISCAL Nº 28884</t>
  </si>
  <si>
    <t>NOTA FISCAL Nº 27867</t>
  </si>
  <si>
    <t>NOTA FISCAL Nº 28063</t>
  </si>
  <si>
    <t>NOTA FISCAL Nº 28112</t>
  </si>
  <si>
    <t>NOTA FISCAL Nº 28131</t>
  </si>
  <si>
    <t>NOTA FISCAL Nº 28290</t>
  </si>
  <si>
    <t>NOTA FISCAL Nº 28373</t>
  </si>
  <si>
    <t>NOTA FISCAL Nº 28390</t>
  </si>
  <si>
    <t>NOTA FISCAL Nº 28392</t>
  </si>
  <si>
    <t>NOTA FISCAL Nº 28516</t>
  </si>
  <si>
    <t>NOTA FISCAL Nº 28518</t>
  </si>
  <si>
    <t>Notas Fiscais de Saída - CL09224</t>
  </si>
  <si>
    <t>Notas Fiscais de Saída - CL08193</t>
  </si>
  <si>
    <t>NOTA FISCAL Nº 26655</t>
  </si>
  <si>
    <t>NOTA FISCAL Nº 27101</t>
  </si>
  <si>
    <t>NOTA FISCAL Nº 27112</t>
  </si>
  <si>
    <t>NOTA FISCAL Nº 27272</t>
  </si>
  <si>
    <t>NOTA FISCAL Nº 27505</t>
  </si>
  <si>
    <t>Notas Fiscais de Saída - CL09094</t>
  </si>
  <si>
    <t>NOTA FISCAL Nº 28191</t>
  </si>
  <si>
    <t>NOTA FISCAL Nº 28489</t>
  </si>
  <si>
    <t>CL08982</t>
  </si>
  <si>
    <t>INOVAGRI COM DE PRODS AGRIC LTDA</t>
  </si>
  <si>
    <t>NOTA FISCAL Nº 28623</t>
  </si>
  <si>
    <t>NOTA FISCAL Nº 28736</t>
  </si>
  <si>
    <t>NOTA FISCAL Nº 28981</t>
  </si>
  <si>
    <t>NOTA FISCAL Nº 26625</t>
  </si>
  <si>
    <t>NOTA FISCAL Nº 28408</t>
  </si>
  <si>
    <t>NOTA FISCAL Nº 28661</t>
  </si>
  <si>
    <t>Notas Fiscais de Saída - CL08571</t>
  </si>
  <si>
    <t>NOTA FISCAL Nº 27517</t>
  </si>
  <si>
    <t>NOTA FISCAL Nº 27717</t>
  </si>
  <si>
    <t>NOTA FISCAL Nº 27752</t>
  </si>
  <si>
    <t>NOTA FISCAL Nº 27806</t>
  </si>
  <si>
    <t>NOTA FISCAL Nº 27825</t>
  </si>
  <si>
    <t>NOTA FISCAL Nº 27936</t>
  </si>
  <si>
    <t>NOTA FISCAL Nº 28120</t>
  </si>
  <si>
    <t>NOTA FISCAL Nº 28263</t>
  </si>
  <si>
    <t>NOTA FISCAL Nº 28264</t>
  </si>
  <si>
    <t>NOTA FISCAL Nº 28302</t>
  </si>
  <si>
    <t>NOTA FISCAL Nº 28383</t>
  </si>
  <si>
    <t>NOTA FISCAL Nº 28871</t>
  </si>
  <si>
    <t>NOTA FISCAL Nº 28924</t>
  </si>
  <si>
    <t>NOTA FISCAL Nº 28977</t>
  </si>
  <si>
    <t>CL08615</t>
  </si>
  <si>
    <t>CARLOS ANDRE COVRE E OUTRO</t>
  </si>
  <si>
    <t>Notas Fiscais de Saída - CL08615</t>
  </si>
  <si>
    <t>CL08562</t>
  </si>
  <si>
    <t>AGROPEC VERDE MINAS LTDA</t>
  </si>
  <si>
    <t>Notas Fiscais de Saída - CL08562</t>
  </si>
  <si>
    <t>NOTA FISCAL Nº 26849</t>
  </si>
  <si>
    <t>NOTA FISCAL Nº 26975</t>
  </si>
  <si>
    <t>NOTA FISCAL Nº 27124</t>
  </si>
  <si>
    <t>NOTA FISCAL Nº 27289</t>
  </si>
  <si>
    <t>NOTA FISCAL Nº 27368</t>
  </si>
  <si>
    <t>NOTA FISCAL Nº 27818</t>
  </si>
  <si>
    <t>NOTA FISCAL Nº 27912</t>
  </si>
  <si>
    <t>NOTA FISCAL Nº 27914</t>
  </si>
  <si>
    <t>NOTA FISCAL Nº 28062</t>
  </si>
  <si>
    <t>NOTA FISCAL Nº 28147</t>
  </si>
  <si>
    <t>NOTA FISCAL Nº 28164</t>
  </si>
  <si>
    <t>NOTA FISCAL Nº 28218</t>
  </si>
  <si>
    <t>CL08641</t>
  </si>
  <si>
    <t>SARTI E SILVA COM DE PROD AGRIC LTDA</t>
  </si>
  <si>
    <t>NOTA FISCAL Nº 28257</t>
  </si>
  <si>
    <t>NOTA FISCAL Nº 28271</t>
  </si>
  <si>
    <t>NOTA FISCAL Nº 28456</t>
  </si>
  <si>
    <t>NOTA FISCAL Nº 28477</t>
  </si>
  <si>
    <t>NOTA FISCAL Nº 27283</t>
  </si>
  <si>
    <t>NOTA FISCAL Nº 27332</t>
  </si>
  <si>
    <t>CL09221</t>
  </si>
  <si>
    <t>MARCOS RUELA DA SILVA E CIA LTDA</t>
  </si>
  <si>
    <t>NOTA FISCAL Nº 27341</t>
  </si>
  <si>
    <t>NOTA FISCAL Nº 27367</t>
  </si>
  <si>
    <t>NOTA FISCAL Nº 27779</t>
  </si>
  <si>
    <t>NOTA FISCAL Nº 27872</t>
  </si>
  <si>
    <t>NOTA FISCAL Nº 28160</t>
  </si>
  <si>
    <t>NOTA FISCAL Nº 28259</t>
  </si>
  <si>
    <t>NOTA FISCAL Nº 28370</t>
  </si>
  <si>
    <t>Notas Fiscais de Saída - CL09137</t>
  </si>
  <si>
    <t>NOTA FISCAL Nº 25883</t>
  </si>
  <si>
    <t>NOTA FISCAL Nº 26141</t>
  </si>
  <si>
    <t>NOTA FISCAL Nº 27469</t>
  </si>
  <si>
    <t>NOTA FISCAL Nº 27503</t>
  </si>
  <si>
    <t>NOTA FISCAL Nº 27613</t>
  </si>
  <si>
    <t>NOTA FISCAL Nº 27755</t>
  </si>
  <si>
    <t>NOTA FISCAL Nº 27875</t>
  </si>
  <si>
    <t>NOTA FISCAL Nº 28016</t>
  </si>
  <si>
    <t>NOTA FISCAL Nº 28140</t>
  </si>
  <si>
    <t>NOTA FISCAL Nº 28174</t>
  </si>
  <si>
    <t>NOTA FISCAL Nº 28225</t>
  </si>
  <si>
    <t>NOTA FISCAL Nº 28929</t>
  </si>
  <si>
    <t>NOTA FISCAL Nº 28830</t>
  </si>
  <si>
    <t>NOTA FISCAL Nº 28861</t>
  </si>
  <si>
    <t>NOTA FISCAL Nº 28953</t>
  </si>
  <si>
    <t>CL08079</t>
  </si>
  <si>
    <t>YUCA COMERCIO AGROPECUARIO LTDA</t>
  </si>
  <si>
    <t>NOTA FISCAL Nº 26931</t>
  </si>
  <si>
    <t>NOTA FISCAL Nº 27330</t>
  </si>
  <si>
    <t>NOTA FISCAL Nº 27649</t>
  </si>
  <si>
    <t>NOTA FISCAL Nº 27683</t>
  </si>
  <si>
    <t>NOTA FISCAL Nº 28056</t>
  </si>
  <si>
    <t>NOTA FISCAL Nº 28284</t>
  </si>
  <si>
    <t>NOTA FISCAL Nº 28363</t>
  </si>
  <si>
    <t>NOTA FISCAL Nº 28836</t>
  </si>
  <si>
    <t>NOTA FISCAL Nº 28870</t>
  </si>
  <si>
    <t>NOTA FISCAL Nº 28942</t>
  </si>
  <si>
    <t>NOTA FISCAL Nº 26363</t>
  </si>
  <si>
    <t>NOTA FISCAL Nº 27173</t>
  </si>
  <si>
    <t>NOTA FISCAL Nº 27657</t>
  </si>
  <si>
    <t>NOTA FISCAL Nº 27746</t>
  </si>
  <si>
    <t>NOTA FISCAL Nº 27784</t>
  </si>
  <si>
    <t>NOTA FISCAL Nº 28374</t>
  </si>
  <si>
    <t>NOTA FISCAL Nº 28500</t>
  </si>
  <si>
    <t>CL08555</t>
  </si>
  <si>
    <t>RURAL ROSARIO LTDA</t>
  </si>
  <si>
    <t>Notas Fiscais de Saída - CL08555</t>
  </si>
  <si>
    <t>NOTA FISCAL Nº 28773</t>
  </si>
  <si>
    <t>NOTA FISCAL Nº 28915</t>
  </si>
  <si>
    <t>NOTA FISCAL Nº 27248</t>
  </si>
  <si>
    <t>NOTA FISCAL Nº 27264</t>
  </si>
  <si>
    <t>NOTA FISCAL Nº 27873</t>
  </si>
  <si>
    <t>NOTA FISCAL Nº 28109</t>
  </si>
  <si>
    <t>NOTA FISCAL Nº 28224</t>
  </si>
  <si>
    <t>NOTA FISCAL Nº 28227</t>
  </si>
  <si>
    <t>CL09375</t>
  </si>
  <si>
    <t>ROBERTO ISAO SATO</t>
  </si>
  <si>
    <t>NOTA FISCAL Nº 28991</t>
  </si>
  <si>
    <t>CL08886</t>
  </si>
  <si>
    <t>LUCIANA SCHUCHARDT</t>
  </si>
  <si>
    <t>Notas Fiscais de Saída - CL08886</t>
  </si>
  <si>
    <t>CL09283</t>
  </si>
  <si>
    <t>OTAVIO HENRIQUE FERNANDES BELLI</t>
  </si>
  <si>
    <t>NOTA FISCAL Nº 26714</t>
  </si>
  <si>
    <t>NOTA FISCAL Nº 26973</t>
  </si>
  <si>
    <t>CL09027</t>
  </si>
  <si>
    <t>NOTA FISCAL Nº 27027</t>
  </si>
  <si>
    <t>NOTA FISCAL Nº 27696</t>
  </si>
  <si>
    <t>NOTA FISCAL Nº 27698</t>
  </si>
  <si>
    <t>NOTA FISCAL Nº 28077</t>
  </si>
  <si>
    <t>CL08531</t>
  </si>
  <si>
    <t>NOTA FISCAL Nº 28355</t>
  </si>
  <si>
    <t>Notas Fiscais de Saída - CL08556</t>
  </si>
  <si>
    <t>CL09341</t>
  </si>
  <si>
    <t>PAULO CESAR DE ALMEIDA</t>
  </si>
  <si>
    <t>Notas Fiscais de Saída - CL09341</t>
  </si>
  <si>
    <t>NOTA FISCAL Nº 28729</t>
  </si>
  <si>
    <t>CL08542</t>
  </si>
  <si>
    <t>NOTA FISCAL Nº 28882</t>
  </si>
  <si>
    <t>NOTA FISCAL Nº 26976</t>
  </si>
  <si>
    <t>NOTA FISCAL Nº 27288</t>
  </si>
  <si>
    <t>NOTA FISCAL Nº 27369</t>
  </si>
  <si>
    <t>NOTA FISCAL Nº 28100</t>
  </si>
  <si>
    <t>CL08637</t>
  </si>
  <si>
    <t>CAROLINA SOIL DO BRASIL LTDA</t>
  </si>
  <si>
    <t>NOTA FISCAL Nº 28791</t>
  </si>
  <si>
    <t>NOTA FISCAL Nº 29001</t>
  </si>
  <si>
    <t>CL09244</t>
  </si>
  <si>
    <t>EVOLUCAO AGRIC CAFE LTDA</t>
  </si>
  <si>
    <t>NOTA FISCAL Nº 26316</t>
  </si>
  <si>
    <t>NOTA FISCAL Nº 27521</t>
  </si>
  <si>
    <t>NOTA FISCAL Nº 27699</t>
  </si>
  <si>
    <t>NOTA FISCAL Nº 27856</t>
  </si>
  <si>
    <t>NOTA FISCAL Nº 27902</t>
  </si>
  <si>
    <t>NOTA FISCAL Nº 28204</t>
  </si>
  <si>
    <t>CL09331</t>
  </si>
  <si>
    <t>NOTA FISCAL Nº 28329</t>
  </si>
  <si>
    <t>NOTA FISCAL Nº 28431</t>
  </si>
  <si>
    <t>CL08913</t>
  </si>
  <si>
    <t>VALE AGRIC AGROPEC LTDA</t>
  </si>
  <si>
    <t>Notas Fiscais de Saída - CL08913</t>
  </si>
  <si>
    <t>CL01223</t>
  </si>
  <si>
    <t>FUTURAGRO DISTRIB DE INS AGRIC LTDA</t>
  </si>
  <si>
    <t>NOTA FISCAL Nº 28690</t>
  </si>
  <si>
    <t>NOTA FISCAL Nº 28758</t>
  </si>
  <si>
    <t>NOTA FISCAL Nº 28771</t>
  </si>
  <si>
    <t>NOTA FISCAL Nº 28978</t>
  </si>
  <si>
    <t>NOTA FISCAL Nº 26463</t>
  </si>
  <si>
    <t>NOTA FISCAL Nº 26624</t>
  </si>
  <si>
    <t>NOTA FISCAL Nº 26793</t>
  </si>
  <si>
    <t>NOTA FISCAL Nº 27364</t>
  </si>
  <si>
    <t>NOTA FISCAL Nº 28145</t>
  </si>
  <si>
    <t>NOTA FISCAL Nº 28602</t>
  </si>
  <si>
    <t>CL08029</t>
  </si>
  <si>
    <t>ALIANCA PRODS AGROPEC LTDA</t>
  </si>
  <si>
    <t>Notas Fiscais de Saída - CL08029</t>
  </si>
  <si>
    <t>NOTA FISCAL Nº 28985</t>
  </si>
  <si>
    <t>NOTA FISCAL Nº 28999</t>
  </si>
  <si>
    <t>NOTA FISCAL Nº 25843</t>
  </si>
  <si>
    <t>CL09226</t>
  </si>
  <si>
    <t>AGROPEC GOIANO COM DE FERTILIZANTES LTDA</t>
  </si>
  <si>
    <t>NOTA FISCAL Nº 26315</t>
  </si>
  <si>
    <t>NOTA FISCAL Nº 26475</t>
  </si>
  <si>
    <t>CL09290</t>
  </si>
  <si>
    <t>REIS COMERCIO E REPRESENTACOES LTDA</t>
  </si>
  <si>
    <t>NOTA FISCAL Nº 27362</t>
  </si>
  <si>
    <t>MATHEUS MACEDO</t>
  </si>
  <si>
    <t>NOTA FISCAL Nº 27716</t>
  </si>
  <si>
    <t>NOTA FISCAL Nº 27844</t>
  </si>
  <si>
    <t>NOTA FISCAL Nº 27874</t>
  </si>
  <si>
    <t>NOTA FISCAL Nº 27919</t>
  </si>
  <si>
    <t>CL09327</t>
  </si>
  <si>
    <t>RONAK TRADING CO.</t>
  </si>
  <si>
    <t>NOTA FISCAL Nº 28108</t>
  </si>
  <si>
    <t>NOTA FISCAL Nº 28384</t>
  </si>
  <si>
    <t>CL09344</t>
  </si>
  <si>
    <t>MARINHO COMERCIO DE PRODUTOS AGROPECUARIOS E PROJETOS LTDA</t>
  </si>
  <si>
    <t>NOTA FISCAL Nº 28401</t>
  </si>
  <si>
    <t>NOTA FISCAL Nº 26455</t>
  </si>
  <si>
    <t>Royalties sobre venda de produtos 04.2022</t>
  </si>
  <si>
    <t>Variação cambial atualização 06.2022</t>
  </si>
  <si>
    <t>NOTA FISCAL Nº 28945</t>
  </si>
  <si>
    <t>NOTA FISCAL Nº 27353</t>
  </si>
  <si>
    <t>NOTA FISCAL Nº 27494</t>
  </si>
  <si>
    <t>NOTA FISCAL Nº 27849</t>
  </si>
  <si>
    <t>NOTA FISCAL Nº 27883</t>
  </si>
  <si>
    <t>CL08789</t>
  </si>
  <si>
    <t>AGUETONI AGRIC LTDA</t>
  </si>
  <si>
    <t>NOTA FISCAL Nº 27991</t>
  </si>
  <si>
    <t>NOTA FISCAL Nº 28027</t>
  </si>
  <si>
    <t>NOTA FISCAL Nº 28166</t>
  </si>
  <si>
    <t>NOTA FISCAL Nº 28215</t>
  </si>
  <si>
    <t>NOTA FISCAL Nº 28550</t>
  </si>
  <si>
    <t>NOTA FISCAL Nº 28641</t>
  </si>
  <si>
    <t>NOTA FISCAL Nº 28698</t>
  </si>
  <si>
    <t>NOTA FISCAL Nº 28987</t>
  </si>
  <si>
    <t>NOTA FISCAL Nº 25736</t>
  </si>
  <si>
    <t>NOTA FISCAL Nº 26007</t>
  </si>
  <si>
    <t>NOTA FISCAL Nº 26699</t>
  </si>
  <si>
    <t>NOTA FISCAL Nº 28783</t>
  </si>
  <si>
    <t>NOTA FISCAL Nº 28946</t>
  </si>
  <si>
    <t>NOTA FISCAL Nº 26188</t>
  </si>
  <si>
    <t>NOTA FISCAL Nº 27305</t>
  </si>
  <si>
    <t>NOTA FISCAL Nº 27445</t>
  </si>
  <si>
    <t>CL09169</t>
  </si>
  <si>
    <t>LUCIO FLAVIO LUTZ CABRAL</t>
  </si>
  <si>
    <t>NOTA FISCAL Nº 27744</t>
  </si>
  <si>
    <t>NOTA FISCAL Nº 28234</t>
  </si>
  <si>
    <t>NOTA FISCAL Nº 28273</t>
  </si>
  <si>
    <t>Notas Fiscais de Saída - CL08531</t>
  </si>
  <si>
    <t>NOTA FISCAL Nº 28393</t>
  </si>
  <si>
    <t>NOTA FISCAL Nº 28793</t>
  </si>
  <si>
    <t>NOTA FISCAL Nº 27333</t>
  </si>
  <si>
    <t>NOTA FISCAL Nº 27366</t>
  </si>
  <si>
    <t>NOTA FISCAL Nº 27398</t>
  </si>
  <si>
    <t>NOTA FISCAL Nº 27594</t>
  </si>
  <si>
    <t>NOTA FISCAL Nº 27805</t>
  </si>
  <si>
    <t>NOTA FISCAL Nº 29008</t>
  </si>
  <si>
    <t>NOTA FISCAL Nº 25830</t>
  </si>
  <si>
    <t>NOTA FISCAL Nº 27495</t>
  </si>
  <si>
    <t>NOTA FISCAL Nº 27710</t>
  </si>
  <si>
    <t>NOTA FISCAL Nº 27911</t>
  </si>
  <si>
    <t>NOTA FISCAL Nº 28270</t>
  </si>
  <si>
    <t>NOTA FISCAL Nº 28309</t>
  </si>
  <si>
    <t>CL09165</t>
  </si>
  <si>
    <t>MATIAS OTAVIANO FERREIRA</t>
  </si>
  <si>
    <t>NOTA FISCAL Nº 28455</t>
  </si>
  <si>
    <t>NOTA FISCAL Nº 28499</t>
  </si>
  <si>
    <t>NOTA FISCAL Nº 28750</t>
  </si>
  <si>
    <t>NOTA FISCAL Nº 28984</t>
  </si>
  <si>
    <t>CL09119</t>
  </si>
  <si>
    <t>SWARAJ Plant Nutrition Pvt Ltd.</t>
  </si>
  <si>
    <t>NOTA FISCAL Nº 28986</t>
  </si>
  <si>
    <t>NOTA FISCAL Nº 27526</t>
  </si>
  <si>
    <t>NOTA FISCAL Nº 27789</t>
  </si>
  <si>
    <t>NOTA FISCAL Nº 28153</t>
  </si>
  <si>
    <t>NOTA FISCAL Nº 28148</t>
  </si>
  <si>
    <t>NOTA FISCAL Nº 28167</t>
  </si>
  <si>
    <t>NOTA FISCAL Nº 28319</t>
  </si>
  <si>
    <t>NOTA FISCAL Nº 28439</t>
  </si>
  <si>
    <t>NOTA FISCAL Nº 28476</t>
  </si>
  <si>
    <t>CL09317</t>
  </si>
  <si>
    <t>CLUBE DO CAMPO COMERCIO E REPRESENTACAO AGRICOLA LTDA</t>
  </si>
  <si>
    <t>NOTA FISCAL Nº 28551</t>
  </si>
  <si>
    <t>NOTA FISCAL Nº 28564</t>
  </si>
  <si>
    <t>NOTA FISCAL Nº 28768</t>
  </si>
  <si>
    <t>NOTA FISCAL Nº 28790</t>
  </si>
  <si>
    <t>CL08614</t>
  </si>
  <si>
    <t>CARLOS ANDRE</t>
  </si>
  <si>
    <t>Notas Fiscais de Saída - CL08614</t>
  </si>
  <si>
    <t>NOTA FISCAL Nº 28895</t>
  </si>
  <si>
    <t>NOTA FISCAL Nº 28930</t>
  </si>
  <si>
    <t>NOTA FISCAL Nº 26236</t>
  </si>
  <si>
    <t>NOTA FISCAL Nº 28630</t>
  </si>
  <si>
    <t>CL01393</t>
  </si>
  <si>
    <t>QUALICICLO AGRIC LTDA</t>
  </si>
  <si>
    <t>Notas Fiscais de Saída - CL01393</t>
  </si>
  <si>
    <t>NOTA FISCAL Nº 28654</t>
  </si>
  <si>
    <t>NOTA FISCAL Nº 26099</t>
  </si>
  <si>
    <t>NOTA FISCAL Nº 27331</t>
  </si>
  <si>
    <t>NOTA FISCAL Nº 27527</t>
  </si>
  <si>
    <t>NOTA FISCAL Nº 27637</t>
  </si>
  <si>
    <t>NOTA FISCAL Nº 27768</t>
  </si>
  <si>
    <t>NOTA FISCAL Nº 27838</t>
  </si>
  <si>
    <t>NOTA FISCAL Nº 27870</t>
  </si>
  <si>
    <t>NOTA FISCAL Nº 28001</t>
  </si>
  <si>
    <t>Notas Fiscais de Saída - CL08789</t>
  </si>
  <si>
    <t>NOTA FISCAL Nº 28250</t>
  </si>
  <si>
    <t>NOTA FISCAL Nº 28369</t>
  </si>
  <si>
    <t>CL08227</t>
  </si>
  <si>
    <t>B&amp;R BRASIL IMPORT E COM DE FERR FERT E UTIL LTDA</t>
  </si>
  <si>
    <t>Notas Fiscais de Saída - CL08227</t>
  </si>
  <si>
    <t>NOTA FISCAL Nº 28688</t>
  </si>
  <si>
    <t>NOTA FISCAL Nº 26971</t>
  </si>
  <si>
    <t>NOTA FISCAL Nº 27070</t>
  </si>
  <si>
    <t>NOTA FISCAL Nº 27659</t>
  </si>
  <si>
    <t>NOTA FISCAL Nº 27731</t>
  </si>
  <si>
    <t>NOTA FISCAL Nº 27778</t>
  </si>
  <si>
    <t>NOTA FISCAL Nº 27846</t>
  </si>
  <si>
    <t>NOTA FISCAL Nº 27871</t>
  </si>
  <si>
    <t>NOTA FISCAL Nº 28178</t>
  </si>
  <si>
    <t>NOTA FISCAL Nº 28321</t>
  </si>
  <si>
    <t>NOTA FISCAL Nº 28323</t>
  </si>
  <si>
    <t>CL02802</t>
  </si>
  <si>
    <t>SOLAGRI MAQUINAS E PRODUTOS AGRICOLAS LTDA</t>
  </si>
  <si>
    <t>Notas Fiscais de Saída - CL02802</t>
  </si>
  <si>
    <t>Notas Fiscais de Saída - CL09172</t>
  </si>
  <si>
    <t>NOTA FISCAL Nº 28658</t>
  </si>
  <si>
    <t>NOTA FISCAL Nº 28779</t>
  </si>
  <si>
    <t>NOTA FISCAL Nº 28825</t>
  </si>
  <si>
    <t>CL08847</t>
  </si>
  <si>
    <t>SAVIO MARTINS DA COSTA GARCIA EPP'</t>
  </si>
  <si>
    <t>Notas Fiscais de Saída - CL08847</t>
  </si>
  <si>
    <t>Notas Fiscais de Saída - CL01223</t>
  </si>
  <si>
    <t>CL01192</t>
  </si>
  <si>
    <t>COASUL COOPERATIVA AGROINDUSTRIAL</t>
  </si>
  <si>
    <t>NOTA FISCAL Nº 28995</t>
  </si>
  <si>
    <t>CRISTIANE CONTERNO DIPP</t>
  </si>
  <si>
    <t>NOTA FISCAL Nº 26848</t>
  </si>
  <si>
    <t>NOTA FISCAL Nº 28168</t>
  </si>
  <si>
    <t>NOTA FISCAL Nº 28466</t>
  </si>
  <si>
    <t>NOTA FISCAL Nº 28473</t>
  </si>
  <si>
    <t>Notas Fiscais de Saída - CL09237</t>
  </si>
  <si>
    <t>NOTA FISCAL Nº 28513</t>
  </si>
  <si>
    <t>NOTA FISCAL Nº 28537</t>
  </si>
  <si>
    <t>NOTA FISCAL Nº 28763</t>
  </si>
  <si>
    <t>Notas Fiscais de Saída - CL08552</t>
  </si>
  <si>
    <t>NOTA FISCAL Nº 28916</t>
  </si>
  <si>
    <t>CL09028</t>
  </si>
  <si>
    <t>AGROPEC C &amp; S LTDA</t>
  </si>
  <si>
    <t>Notas Fiscais de Saída - CL09028</t>
  </si>
  <si>
    <t>NOTA FISCAL Nº 26623</t>
  </si>
  <si>
    <t>NOTA FISCAL Nº 27324</t>
  </si>
  <si>
    <t>NOTA FISCAL Nº 27417</t>
  </si>
  <si>
    <t>NOTA FISCAL Nº 27498</t>
  </si>
  <si>
    <t>CL06115</t>
  </si>
  <si>
    <t>NOTA FISCAL Nº 28504</t>
  </si>
  <si>
    <t>NOTA FISCAL Nº 28570</t>
  </si>
  <si>
    <t>NOTA FISCAL Nº 28787</t>
  </si>
  <si>
    <t>NOTA FISCAL Nº 28959</t>
  </si>
  <si>
    <t>CL08634</t>
  </si>
  <si>
    <t>AGIFERTIL AGRO COML LTDA</t>
  </si>
  <si>
    <t>Notas Fiscais de Saída - CL08634</t>
  </si>
  <si>
    <t>Notas Fiscais de Saída - CL09244</t>
  </si>
  <si>
    <t>NOTA FISCAL Nº 29000</t>
  </si>
  <si>
    <t>NOTA FISCAL Nº 27487</t>
  </si>
  <si>
    <t>NOTA FISCAL Nº 27583</t>
  </si>
  <si>
    <t>NOTA FISCAL Nº 27922</t>
  </si>
  <si>
    <t>NOTA FISCAL Nº 28162</t>
  </si>
  <si>
    <t>NOTA FISCAL Nº 28324</t>
  </si>
  <si>
    <t>NOTA FISCAL Nº 28412</t>
  </si>
  <si>
    <t>NOTA FISCAL Nº 28450</t>
  </si>
  <si>
    <t>NOTA FISCAL Nº 27571</t>
  </si>
  <si>
    <t>NOTA FISCAL Nº 27609</t>
  </si>
  <si>
    <t>NOTA FISCAL Nº 28202</t>
  </si>
  <si>
    <t>CL08920</t>
  </si>
  <si>
    <t>JOSE ZITO DE OLIVEIRA</t>
  </si>
  <si>
    <t>NOTA FISCAL Nº 28267</t>
  </si>
  <si>
    <t>NOTA FISCAL Nº 28356</t>
  </si>
  <si>
    <t>NOTA FISCAL Nº 28440</t>
  </si>
  <si>
    <t>NOTA FISCAL Nº 28746</t>
  </si>
  <si>
    <t>NOTA FISCAL Nº 28816</t>
  </si>
  <si>
    <t>NOTA FISCAL Nº 28964</t>
  </si>
  <si>
    <t>NOTA FISCAL Nº 26659</t>
  </si>
  <si>
    <t>NOTA FISCAL Nº 27274</t>
  </si>
  <si>
    <t>NOTA FISCAL Nº 27300</t>
  </si>
  <si>
    <t>NOTA FISCAL Nº 27464</t>
  </si>
  <si>
    <t>NOTA FISCAL Nº 27573</t>
  </si>
  <si>
    <t>NOTA FISCAL Nº 27697</t>
  </si>
  <si>
    <t>Notas Fiscais de Saída - CL08907</t>
  </si>
  <si>
    <t>NOTA FISCAL Nº 27665</t>
  </si>
  <si>
    <t>NOTA FISCAL Nº 27666</t>
  </si>
  <si>
    <t>NOTA FISCAL Nº 28055</t>
  </si>
  <si>
    <t>NOTA FISCAL Nº 28173</t>
  </si>
  <si>
    <t>NOTA FISCAL Nº 28359</t>
  </si>
  <si>
    <t>NOTA FISCAL Nº 28524</t>
  </si>
  <si>
    <t>NOTA FISCAL Nº 28927</t>
  </si>
  <si>
    <t>NOTA FISCAL Nº 25684</t>
  </si>
  <si>
    <t>NOTA FISCAL Nº 26792</t>
  </si>
  <si>
    <t>NOTA FISCAL Nº 27100</t>
  </si>
  <si>
    <t>NOTA FISCAL Nº 27260</t>
  </si>
  <si>
    <t>NOTA FISCAL Nº 27456</t>
  </si>
  <si>
    <t>NOTA FISCAL Nº 27488</t>
  </si>
  <si>
    <t>NOTA FISCAL Nº 27742</t>
  </si>
  <si>
    <t>NOTA FISCAL Nº 26941</t>
  </si>
  <si>
    <t>NOTA FISCAL Nº 27257</t>
  </si>
  <si>
    <t>NOTA FISCAL Nº 27570</t>
  </si>
  <si>
    <t>NOTA FISCAL Nº 27624</t>
  </si>
  <si>
    <t>NOTA FISCAL Nº 27675</t>
  </si>
  <si>
    <t>NOTA FISCAL Nº 27865</t>
  </si>
  <si>
    <t>NOTA FISCAL Nº 27881</t>
  </si>
  <si>
    <t>NOTA FISCAL Nº 28463</t>
  </si>
  <si>
    <t>NOTA FISCAL Nº 28534</t>
  </si>
  <si>
    <t>NOTA FISCAL Nº 28618</t>
  </si>
  <si>
    <t>NOTA FISCAL Nº 28792</t>
  </si>
  <si>
    <t>NOTA FISCAL Nº 28860</t>
  </si>
  <si>
    <t>NOTA FISCAL Nº 26186</t>
  </si>
  <si>
    <t>NOTA FISCAL Nº 26484</t>
  </si>
  <si>
    <t>NOTA FISCAL Nº 26732</t>
  </si>
  <si>
    <t>NOTA FISCAL Nº 27000</t>
  </si>
  <si>
    <t>NOTA FISCAL Nº 27298</t>
  </si>
  <si>
    <t>NOTA FISCAL Nº 27309</t>
  </si>
  <si>
    <t>NOTA FISCAL Nº 27593</t>
  </si>
  <si>
    <t>CL08597</t>
  </si>
  <si>
    <t>AGRIC CARANDA COM REPRES LTDA</t>
  </si>
  <si>
    <t>NOTA FISCAL Nº 27863</t>
  </si>
  <si>
    <t>NOTA FISCAL Nº 27899</t>
  </si>
  <si>
    <t>NOTA FISCAL Nº 28002</t>
  </si>
  <si>
    <t>NOTA FISCAL Nº 28136</t>
  </si>
  <si>
    <t>CL08660</t>
  </si>
  <si>
    <t>4JA COML AGRIC LTDA</t>
  </si>
  <si>
    <t>NOTA FISCAL Nº 27715</t>
  </si>
  <si>
    <t>NOTA FISCAL Nº 28287</t>
  </si>
  <si>
    <t>NOTA FISCAL Nº 28404</t>
  </si>
  <si>
    <t>NOTA FISCAL Nº 28435</t>
  </si>
  <si>
    <t>NOTA FISCAL Nº 28608</t>
  </si>
  <si>
    <t>NOTA FISCAL Nº 28851</t>
  </si>
  <si>
    <t>NOTA FISCAL Nº 28931</t>
  </si>
  <si>
    <t>NOTA FISCAL Nº 25874</t>
  </si>
  <si>
    <t>NOTA FISCAL Nº 27429</t>
  </si>
  <si>
    <t>NOTA FISCAL Nº 27508</t>
  </si>
  <si>
    <t>NOTA FISCAL Nº 27529</t>
  </si>
  <si>
    <t>NOTA FISCAL Nº 27654</t>
  </si>
  <si>
    <t>NOTA FISCAL Nº 27743</t>
  </si>
  <si>
    <t>NOTA FISCAL Nº 27897</t>
  </si>
  <si>
    <t>NOTA FISCAL Nº 27990</t>
  </si>
  <si>
    <t>NOTA FISCAL Nº 26456</t>
  </si>
  <si>
    <t>CL08626</t>
  </si>
  <si>
    <t>RIO BRANCO COM E REPRES LTDA</t>
  </si>
  <si>
    <t>NOTA FISCAL Nº 27254</t>
  </si>
  <si>
    <t>NOTA FISCAL Nº 27600</t>
  </si>
  <si>
    <t>NOTA FISCAL Nº 27617</t>
  </si>
  <si>
    <t>NOTA FISCAL Nº 27750</t>
  </si>
  <si>
    <t>NOTA FISCAL Nº 27824</t>
  </si>
  <si>
    <t>NOTA FISCAL Nº 28119</t>
  </si>
  <si>
    <t>NOTA FISCAL Nº 28146</t>
  </si>
  <si>
    <t>NOTA FISCAL Nº 28230</t>
  </si>
  <si>
    <t>CL09312</t>
  </si>
  <si>
    <t>IMPERIO AGROTECH LTDA</t>
  </si>
  <si>
    <t>NOTA FISCAL Nº 28738</t>
  </si>
  <si>
    <t>Notas Fiscais de Saída - CL08829</t>
  </si>
  <si>
    <t>NOTA FISCAL Nº 26215</t>
  </si>
  <si>
    <t>NOTA FISCAL Nº 26282</t>
  </si>
  <si>
    <t>NOTA FISCAL Nº 26951</t>
  </si>
  <si>
    <t>NOTA FISCAL Nº 27063</t>
  </si>
  <si>
    <t>NOTA FISCAL Nº 27380</t>
  </si>
  <si>
    <t>NOTA FISCAL Nº 27520</t>
  </si>
  <si>
    <t>NOTA FISCAL Nº 27535</t>
  </si>
  <si>
    <t>NOTA FISCAL Nº 28010</t>
  </si>
  <si>
    <t>NOTA FISCAL Nº 28394</t>
  </si>
  <si>
    <t>NOTA FISCAL Nº 28552</t>
  </si>
  <si>
    <t>CL07663</t>
  </si>
  <si>
    <t>SC TECNOLOGIA AGRIC LTDA</t>
  </si>
  <si>
    <t>NOTA FISCAL Nº 28598</t>
  </si>
  <si>
    <t>NOTA FISCAL Nº 26632</t>
  </si>
  <si>
    <t>NOTA FISCAL Nº 27337</t>
  </si>
  <si>
    <t>NOTA FISCAL Nº 27356</t>
  </si>
  <si>
    <t>Notas Fiscais de Saída - CL09173</t>
  </si>
  <si>
    <t>NOTA FISCAL Nº 27723</t>
  </si>
  <si>
    <t>NOTA FISCAL Nº 27839</t>
  </si>
  <si>
    <t>NOTA FISCAL Nº 28135</t>
  </si>
  <si>
    <t>NOTA FISCAL Nº 28389</t>
  </si>
  <si>
    <t>NOTA FISCAL Nº 28442</t>
  </si>
  <si>
    <t>NOTA FISCAL Nº 28448</t>
  </si>
  <si>
    <t>NOTA FISCAL Nº 26706</t>
  </si>
  <si>
    <t>NOTA FISCAL Nº 27259</t>
  </si>
  <si>
    <t>NOTA FISCAL Nº 27476</t>
  </si>
  <si>
    <t>NOTA FISCAL Nº 27726</t>
  </si>
  <si>
    <t>NOTA FISCAL Nº 28567</t>
  </si>
  <si>
    <t>NOTA FISCAL Nº 28774</t>
  </si>
  <si>
    <t>NOTA FISCAL Nº 27268</t>
  </si>
  <si>
    <t>NOTA FISCAL Nº 27339</t>
  </si>
  <si>
    <t>Notas Fiscais de Saída - CL08660</t>
  </si>
  <si>
    <t>NOTA FISCAL Nº 27694</t>
  </si>
  <si>
    <t>NOTA FISCAL Nº 27706</t>
  </si>
  <si>
    <t>CL08820</t>
  </si>
  <si>
    <t>EDILSON JOSE GIACHINI</t>
  </si>
  <si>
    <t>NOTA FISCAL Nº 27720</t>
  </si>
  <si>
    <t>NOTA FISCAL Nº 27741</t>
  </si>
  <si>
    <t>Notas Fiscais de Saída - CL08898</t>
  </si>
  <si>
    <t>NOTA FISCAL Nº 28130</t>
  </si>
  <si>
    <t>NOTA FISCAL Nº 28144</t>
  </si>
  <si>
    <t>NOTA FISCAL Nº 28298</t>
  </si>
  <si>
    <t>NOTA FISCAL Nº 28405</t>
  </si>
  <si>
    <t>NOTA FISCAL Nº 28434</t>
  </si>
  <si>
    <t>NOTA FISCAL Nº 28528</t>
  </si>
  <si>
    <t>NOTA FISCAL Nº 28657</t>
  </si>
  <si>
    <t>NOTA FISCAL Nº 25890</t>
  </si>
  <si>
    <t>NOTA FISCAL Nº 26614</t>
  </si>
  <si>
    <t>NOTA FISCAL Nº 27028</t>
  </si>
  <si>
    <t>CL08901</t>
  </si>
  <si>
    <t>TIBAGI REPRES COM LTDA</t>
  </si>
  <si>
    <t>NOTA FISCAL Nº 27363</t>
  </si>
  <si>
    <t>NOTA FISCAL Nº 27645</t>
  </si>
  <si>
    <t>NOTA FISCAL Nº 28232</t>
  </si>
  <si>
    <t>Notas Fiscais de Saída - CL09331</t>
  </si>
  <si>
    <t>NOTA FISCAL Nº 28581</t>
  </si>
  <si>
    <t>NOTA FISCAL Nº 28972</t>
  </si>
  <si>
    <t>NOTA FISCAL Nº 25963</t>
  </si>
  <si>
    <t>NOTA FISCAL Nº 26823</t>
  </si>
  <si>
    <t>NOTA FISCAL Nº 26873</t>
  </si>
  <si>
    <t>NOTA FISCAL Nº 27468</t>
  </si>
  <si>
    <t>NOTA FISCAL Nº 27519</t>
  </si>
  <si>
    <t>NOTA FISCAL Nº 27876</t>
  </si>
  <si>
    <t>NOTA FISCAL Nº 27951</t>
  </si>
  <si>
    <t>CL08177</t>
  </si>
  <si>
    <t>P.C. BERNARDINO SANTOS - EPP</t>
  </si>
  <si>
    <t>NOTA FISCAL Nº 28052</t>
  </si>
  <si>
    <t>NOTA FISCAL Nº 27651</t>
  </si>
  <si>
    <t>NOTA FISCAL Nº 27767</t>
  </si>
  <si>
    <t>NOTA FISCAL Nº 27861</t>
  </si>
  <si>
    <t>NOTA FISCAL Nº 28183</t>
  </si>
  <si>
    <t>NOTA FISCAL Nº 28286</t>
  </si>
  <si>
    <t>NOTA FISCAL Nº 28414</t>
  </si>
  <si>
    <t>NOTA FISCAL Nº 28523</t>
  </si>
  <si>
    <t>NOTA FISCAL Nº 28659</t>
  </si>
  <si>
    <t>NOTA FISCAL Nº 28788</t>
  </si>
  <si>
    <t>NOTA FISCAL Nº 28873</t>
  </si>
  <si>
    <t>NOTA FISCAL Nº 28913</t>
  </si>
  <si>
    <t>CL08765</t>
  </si>
  <si>
    <t>SEIKO NODA E OUTROS</t>
  </si>
  <si>
    <t>NOTA FISCAL Nº 28989</t>
  </si>
  <si>
    <t>NOTA FISCAL Nº 27297</t>
  </si>
  <si>
    <t>NOTA FISCAL Nº 27359</t>
  </si>
  <si>
    <t>NOTA FISCAL Nº 27775</t>
  </si>
  <si>
    <t>NOTA FISCAL Nº 27935</t>
  </si>
  <si>
    <t>NOTA FISCAL Nº 27952</t>
  </si>
  <si>
    <t>NOTA FISCAL Nº 27966</t>
  </si>
  <si>
    <t>NOTA FISCAL Nº 27967</t>
  </si>
  <si>
    <t>NOTA FISCAL Nº 28003</t>
  </si>
  <si>
    <t>NOTA FISCAL Nº 28026</t>
  </si>
  <si>
    <t>NOTA FISCAL Nº 28165</t>
  </si>
  <si>
    <t>NOTA FISCAL Nº 28352</t>
  </si>
  <si>
    <t>NOTA FISCAL Nº 28501</t>
  </si>
  <si>
    <t>NOTA FISCAL Nº 28601</t>
  </si>
  <si>
    <t>CL09259</t>
  </si>
  <si>
    <t>NATURALIS FERTILIZANTES E COMPOSTOS ORGANICOS LTDA</t>
  </si>
  <si>
    <t>Notas Fiscais de Saída - CL09259</t>
  </si>
  <si>
    <t>NOTA FISCAL Nº 28719</t>
  </si>
  <si>
    <t>CL02936</t>
  </si>
  <si>
    <t>COOPERATIVA AGRICOLA SUL BRASIL MARILIA</t>
  </si>
  <si>
    <t>Notas Fiscais de Saída - CL02936</t>
  </si>
  <si>
    <t>PAULO MATOS DE SOUSA JUNIOR</t>
  </si>
  <si>
    <t>NOTA FISCAL Nº 25503</t>
  </si>
  <si>
    <t>NOTA FISCAL Nº 27399</t>
  </si>
  <si>
    <t>Notas Fiscais de Saída - CL09027</t>
  </si>
  <si>
    <t>NOTA FISCAL Nº 27634</t>
  </si>
  <si>
    <t>NOTA FISCAL Nº 27848</t>
  </si>
  <si>
    <t>NOTA FISCAL Nº 28636</t>
  </si>
  <si>
    <t>Notas Fiscais de Saída - CL09326</t>
  </si>
  <si>
    <t>NOTA FISCAL Nº 27681</t>
  </si>
  <si>
    <t>NOTA FISCAL Nº 27756</t>
  </si>
  <si>
    <t>NOTA FISCAL Nº 27857</t>
  </si>
  <si>
    <t>NOTA FISCAL Nº 27903</t>
  </si>
  <si>
    <t>NOTA FISCAL Nº 27937</t>
  </si>
  <si>
    <t>NOTA FISCAL Nº 28073</t>
  </si>
  <si>
    <t>NOTA FISCAL Nº 28092</t>
  </si>
  <si>
    <t>NOTA FISCAL Nº 28381</t>
  </si>
  <si>
    <t>NOTA FISCAL Nº 28428</t>
  </si>
  <si>
    <t>NOTA FISCAL Nº 28432</t>
  </si>
  <si>
    <t>CL09267</t>
  </si>
  <si>
    <t>LA VITA COM ATACADISTA LTDA</t>
  </si>
  <si>
    <t>NOTA FISCAL Nº 28649</t>
  </si>
  <si>
    <t>NOTA FISCAL Nº 28889</t>
  </si>
  <si>
    <t>NOTA FISCAL Nº 28911</t>
  </si>
  <si>
    <t>NOTA FISCAL Nº 26778</t>
  </si>
  <si>
    <t>NOTA FISCAL Nº 26952</t>
  </si>
  <si>
    <t>NOTA FISCAL Nº 27499</t>
  </si>
  <si>
    <t>NOTA FISCAL Nº 27572</t>
  </si>
  <si>
    <t>NOTA FISCAL Nº 27574</t>
  </si>
  <si>
    <t>NOTA FISCAL Nº 27714</t>
  </si>
  <si>
    <t>NOTA FISCAL Nº 27855</t>
  </si>
  <si>
    <t>NOTA FISCAL Nº 28300</t>
  </si>
  <si>
    <t>NOTA FISCAL Nº 28471</t>
  </si>
  <si>
    <t>NOTA FISCAL Nº 28770</t>
  </si>
  <si>
    <t>NOTA FISCAL Nº 28801</t>
  </si>
  <si>
    <t>NOTA FISCAL Nº 28928</t>
  </si>
  <si>
    <t>NOTA FISCAL Nº 26202</t>
  </si>
  <si>
    <t>NOTA FISCAL Nº 26660</t>
  </si>
  <si>
    <t>NOTA FISCAL Nº 26733</t>
  </si>
  <si>
    <t>NOTA FISCAL Nº 27051</t>
  </si>
  <si>
    <t>NOTA FISCAL Nº 27497</t>
  </si>
  <si>
    <t>NOTA FISCAL Nº 27610</t>
  </si>
  <si>
    <t>CL09018</t>
  </si>
  <si>
    <t>IPE AGRONEGOCIOS LTDA</t>
  </si>
  <si>
    <t>NOTA FISCAL Nº 27712</t>
  </si>
  <si>
    <t>NOTA FISCAL Nº 27749</t>
  </si>
  <si>
    <t>NOTA FISCAL Nº 27759</t>
  </si>
  <si>
    <t>NOTA FISCAL Nº 27915</t>
  </si>
  <si>
    <t>NOTA FISCAL Nº 28184</t>
  </si>
  <si>
    <t>NOTA FISCAL Nº 28348</t>
  </si>
  <si>
    <t>NOTA FISCAL Nº 28529</t>
  </si>
  <si>
    <t>NOTA FISCAL Nº 28645</t>
  </si>
  <si>
    <t>Royalties sobre venda de produtos 06.2022</t>
  </si>
  <si>
    <t>NOTA FISCAL Nº 26489</t>
  </si>
  <si>
    <t>NOTA FISCAL Nº 26822</t>
  </si>
  <si>
    <t>NOTA FISCAL Nº 27084</t>
  </si>
  <si>
    <t>NOTA FISCAL Nº 27611</t>
  </si>
  <si>
    <t>NOTA FISCAL Nº 28154</t>
  </si>
  <si>
    <t>NOTA FISCAL Nº 28155</t>
  </si>
  <si>
    <t>NOTA FISCAL Nº 28346</t>
  </si>
  <si>
    <t>NOTA FISCAL Nº 28798</t>
  </si>
  <si>
    <t>NOTA FISCAL Nº 27250</t>
  </si>
  <si>
    <t>NOTA FISCAL Nº 27466</t>
  </si>
  <si>
    <t>NOTA FISCAL Nº 27644</t>
  </si>
  <si>
    <t>NOTA FISCAL Nº 27650</t>
  </si>
  <si>
    <t>NOTA FISCAL Nº 28737</t>
  </si>
  <si>
    <t>NOTA FISCAL Nº 28503</t>
  </si>
  <si>
    <t>NOTA FISCAL Nº 28803</t>
  </si>
  <si>
    <t>NOTA FISCAL Nº 26021</t>
  </si>
  <si>
    <t>NOTA FISCAL Nº 26962</t>
  </si>
  <si>
    <t>NOTA FISCAL Nº 27314</t>
  </si>
  <si>
    <t>NOTA FISCAL Nº 27885</t>
  </si>
  <si>
    <t>NOTA FISCAL Nº 27989</t>
  </si>
  <si>
    <t>NOTA FISCAL Nº 28103</t>
  </si>
  <si>
    <t>NOTA FISCAL Nº 28193</t>
  </si>
  <si>
    <t>NOTA FISCAL Nº 28307</t>
  </si>
  <si>
    <t>NOTA FISCAL Nº 28358</t>
  </si>
  <si>
    <t>NOTA FISCAL Nº 28436</t>
  </si>
  <si>
    <t>NOTA FISCAL Nº 28530</t>
  </si>
  <si>
    <t>NOTA FISCAL Nº 28547</t>
  </si>
  <si>
    <t>NOTA FISCAL Nº 28600</t>
  </si>
  <si>
    <t>NOTA FISCAL Nº 28772</t>
  </si>
  <si>
    <t>NOTA FISCAL Nº 26472</t>
  </si>
  <si>
    <t>NOTA FISCAL Nº 26538</t>
  </si>
  <si>
    <t>NOTA FISCAL Nº 28893</t>
  </si>
  <si>
    <t>NOTA FISCAL Nº 27978</t>
  </si>
  <si>
    <t>NOTA FISCAL Nº 28018</t>
  </si>
  <si>
    <t>NOTA FISCAL Nº 28388</t>
  </si>
  <si>
    <t>NOTA FISCAL Nº 28767</t>
  </si>
  <si>
    <t>NOTA FISCAL Nº 28941</t>
  </si>
  <si>
    <t>NOTA FISCAL Nº 29002</t>
  </si>
  <si>
    <t>Notas Fiscais de Saída - CL09344</t>
  </si>
  <si>
    <t>NOTA FISCAL Nº 28610</t>
  </si>
  <si>
    <t>NOTA FISCAL Nº 28670</t>
  </si>
  <si>
    <t>NOTA FISCAL Nº 28757</t>
  </si>
  <si>
    <t>NOTA FISCAL Nº 28885</t>
  </si>
  <si>
    <t>NOTA FISCAL Nº 26978</t>
  </si>
  <si>
    <t>NOTA FISCAL Nº 27255</t>
  </si>
  <si>
    <t>NOTA FISCAL Nº 27504</t>
  </si>
  <si>
    <t>NOTA FISCAL Nº 27853</t>
  </si>
  <si>
    <t>NOTA FISCAL Nº 27862</t>
  </si>
  <si>
    <t>NOTA FISCAL Nº 27894</t>
  </si>
  <si>
    <t>NOTA FISCAL Nº 28011</t>
  </si>
  <si>
    <t>NOTA FISCAL Nº 28096</t>
  </si>
  <si>
    <t>CL08650</t>
  </si>
  <si>
    <t>CALLEGARI &amp; GOI LTDA ME</t>
  </si>
  <si>
    <t>NOTA FISCAL Nº 28260</t>
  </si>
  <si>
    <t>NOTA FISCAL Nº 28299</t>
  </si>
  <si>
    <t>NOTA FISCAL Nº 28490</t>
  </si>
  <si>
    <t>NOTA FISCAL Nº 28667</t>
  </si>
  <si>
    <t>NOTA FISCAL Nº 28806</t>
  </si>
  <si>
    <t>NOTA FISCAL Nº 28842</t>
  </si>
  <si>
    <t>NOTA FISCAL Nº 27879</t>
  </si>
  <si>
    <t>NOTA FISCAL Nº 28019</t>
  </si>
  <si>
    <t>NOTA FISCAL Nº 28354</t>
  </si>
  <si>
    <t>NOTA FISCAL Nº 28396</t>
  </si>
  <si>
    <t>NOTA FISCAL Nº 28536</t>
  </si>
  <si>
    <t>NOTA FISCAL Nº 28607</t>
  </si>
  <si>
    <t>NOTA FISCAL Nº 28628</t>
  </si>
  <si>
    <t>NOTA FISCAL Nº 28781</t>
  </si>
  <si>
    <t>NOTA FISCAL Nº 28940</t>
  </si>
  <si>
    <t>NOTA FISCAL Nº 28994</t>
  </si>
  <si>
    <t>NOTA FISCAL Nº 28963</t>
  </si>
  <si>
    <t>NOTA FISCAL Nº 28980</t>
  </si>
  <si>
    <t>NOTA FISCAL Nº 28637</t>
  </si>
  <si>
    <t>NOTA FISCAL Nº 28834</t>
  </si>
  <si>
    <t>NOTA FISCAL Nº 27652</t>
  </si>
  <si>
    <t>NOTA FISCAL Nº 27719</t>
  </si>
  <si>
    <t>NOTA FISCAL Nº 27917</t>
  </si>
  <si>
    <t>NOTA FISCAL Nº 28161</t>
  </si>
  <si>
    <t>NOTA FISCAL Nº 28413</t>
  </si>
  <si>
    <t>NOTA FISCAL Nº 28522</t>
  </si>
  <si>
    <t>NOTA FISCAL Nº 28597</t>
  </si>
  <si>
    <t>NOTA FISCAL Nº 28665</t>
  </si>
  <si>
    <t>NOTA FISCAL Nº 28303</t>
  </si>
  <si>
    <t>NOTA FISCAL Nº 28558</t>
  </si>
  <si>
    <t>NOTA FISCAL Nº 28655</t>
  </si>
  <si>
    <t>NOTA FISCAL Nº 26237</t>
  </si>
  <si>
    <t>NOTA FISCAL Nº 27284</t>
  </si>
  <si>
    <t>NOTA FISCAL Nº 27433</t>
  </si>
  <si>
    <t>NOTA FISCAL Nº 27540</t>
  </si>
  <si>
    <t>NOTA FISCAL Nº 27886</t>
  </si>
  <si>
    <t>NOTA FISCAL Nº 27892</t>
  </si>
  <si>
    <t>Notas Fiscais de Saída - CL01252</t>
  </si>
  <si>
    <t>NOTA FISCAL Nº 28223</t>
  </si>
  <si>
    <t>NOTA FISCAL Nº 28308</t>
  </si>
  <si>
    <t>NOTA FISCAL Nº 28344</t>
  </si>
  <si>
    <t>Notas Fiscais de Saída - CL08748</t>
  </si>
  <si>
    <t>NOTA FISCAL Nº 28745</t>
  </si>
  <si>
    <t>NOTA FISCAL Nº 28797</t>
  </si>
  <si>
    <t>Rótulos de Linha</t>
  </si>
  <si>
    <t>Soma de Valor R$</t>
  </si>
  <si>
    <t>Total Geral</t>
  </si>
  <si>
    <t>STATUS DA COBRANÇA</t>
  </si>
  <si>
    <t>NEGOCIAÇÃO</t>
  </si>
  <si>
    <t>PROVIDENCIA</t>
  </si>
  <si>
    <t>Total em aberto</t>
  </si>
  <si>
    <t>Taxa de Inadimplencia</t>
  </si>
  <si>
    <t>FAZER ENCONTRO DE CONTAS</t>
  </si>
  <si>
    <t>ENVIAR ENCONTRO DE CONTAS AO CLIENTE</t>
  </si>
  <si>
    <t>LCM</t>
  </si>
  <si>
    <t>PDD</t>
  </si>
  <si>
    <t>NF</t>
  </si>
  <si>
    <t>Doc SAP</t>
  </si>
  <si>
    <t>Parcela</t>
  </si>
  <si>
    <t>Vencimento Parcela</t>
  </si>
  <si>
    <t>Total Prestação</t>
  </si>
  <si>
    <t>Valor Pago Data Atual</t>
  </si>
  <si>
    <t>Saldo a Pagar</t>
  </si>
  <si>
    <t>Observações</t>
  </si>
  <si>
    <t>Sim</t>
  </si>
  <si>
    <t>CL08844</t>
  </si>
  <si>
    <t>EDIMAR JOSE VENDRUSCOLO</t>
  </si>
  <si>
    <t>20.09.2017</t>
  </si>
  <si>
    <t>30.04.2018</t>
  </si>
  <si>
    <t>Faturamento e entrega Imediata.  Agenciamento de 10% do valor total do Pedido para o Canal distribuidor Continental de Sorriso. Valor do agenciamento =  R$ 27.999,80 Baseado em Pedidos de venda 13209. Baseado em Entrega de mercadoria 8191.</t>
  </si>
  <si>
    <t>12.12.2017</t>
  </si>
  <si>
    <t>Agenciamento de 10 % para o Canal Distribuidor Continental de Sorriso.  Valor total do Agenciamento R$ 12.677,00 Baseado em Pedidos de venda 13653. Baseado em Entrega de mercadoria 8958.</t>
  </si>
  <si>
    <t>13.10.2017</t>
  </si>
  <si>
    <t>Faturamento e entrega Imediata.  Agenciamento de 10% do valor total do Pedido para o Canal distribuidor Continental de Sorriso. Valor do agenciamento =  R$ 27.999,80 Baseado em Pedidos de venda 13209. Baseado em Entrega de mercadoria 8378.</t>
  </si>
  <si>
    <t>21.12.2017</t>
  </si>
  <si>
    <t>Agenciamento de 10 % para o Canal Distribuidor Continental de Sorriso.  Valor total do Agenciamento R$ 12.677,00 Baseado em Pedidos de venda 13653. Baseado em Entrega de mercadoria 9015.</t>
  </si>
  <si>
    <t>CL08825</t>
  </si>
  <si>
    <t>JARBAS DOS SANTOS CASSOL EPP</t>
  </si>
  <si>
    <t>16.08.2018</t>
  </si>
  <si>
    <t>31.08.2018</t>
  </si>
  <si>
    <t>FATURAMENTO E ENTREGA IMEDIATA  VENCIMENTO EM 15 DIAS Baseado em Pedidos de venda 14484. Baseado em Entrega de mercadoria 10099.</t>
  </si>
  <si>
    <t>FATURAMENTO E ENTREGA IMEDIATA  VENCIMENTO EM 15 DIAS Baseado em Pedidos de venda 14484. Baseado em Entrega de mercadoria 10085.</t>
  </si>
  <si>
    <t>14.12.2018</t>
  </si>
  <si>
    <t>FATURAMENTO E ENTREGA IMEDIATA Baseado em Pedidos de venda 14486. Baseado em Entrega de mercadoria 10083.</t>
  </si>
  <si>
    <t>CL08804</t>
  </si>
  <si>
    <t>MORAES &amp; BAGAIOLO COM REPRES DE PROD AGRIC LTDA</t>
  </si>
  <si>
    <t>28.06.2018</t>
  </si>
  <si>
    <t>24.01.2019</t>
  </si>
  <si>
    <t>FATURAMENTO E ENTREGA IMEDIATA. PEDIDO COMPLEMENTAR AO PEDIDO 14296, VENCIMENTO 210 DIAS. Baseado em Pedidos de venda 14353. Baseado em Entrega de mercadoria 9899.</t>
  </si>
  <si>
    <t>14.03.2019</t>
  </si>
  <si>
    <t>FATURAMENTO E ENTREGA IMEDIATA Baseado em Pedidos de venda 14485. Baseado em Entrega de mercadoria 10100.</t>
  </si>
  <si>
    <t>FATURAMENTO E ENTREGA IMEDIATA Baseado em Pedidos de venda 14487. Baseado em Entrega de mercadoria 10084.</t>
  </si>
  <si>
    <t>17.08.2018</t>
  </si>
  <si>
    <t>15.03.2019</t>
  </si>
  <si>
    <t>FATURAMENTO E ENTREGA IMEDIATA Baseado em Pedidos de venda 14485. Baseado em Entrega de mercadoria 10127.</t>
  </si>
  <si>
    <t>20.08.2018</t>
  </si>
  <si>
    <t>18.03.2019</t>
  </si>
  <si>
    <t>FATURAMENTO E ENTREGA IMEDIATA Baseado em Pedidos de venda 14565. Baseado em Entrega de mercadoria 10145.</t>
  </si>
  <si>
    <t>21.08.2018</t>
  </si>
  <si>
    <t>19.03.2019</t>
  </si>
  <si>
    <t>FATURAMENTO E ENTREGA IMEDIATA. PEDIDO COMPLEMENTAR AO PEDIDO 14296, VENCIMENTO 210 DIAS. Baseado em Pedidos de venda 14353. Baseado em Entrega de mercadoria 10165.</t>
  </si>
  <si>
    <t>12.09.2018</t>
  </si>
  <si>
    <t>31.05.2019</t>
  </si>
  <si>
    <t>FATURAR EM 10.09.18 E ENTREGA A PARTIR DO FATURAMENTO. VENCIMENTO 31.05.2019. PEDIDO COMPLEMENTAR AO 14266. Baseado em Pedidos de venda 14584. Baseado em Entrega de mercadoria 10328.</t>
  </si>
  <si>
    <t>FATURAR EM 10.09.18 E ENTREGA A PARTIR DO FATURAMENTO. VENCIMENTO 31.05.2019 Baseado em Pedidos de venda 14266. Baseado em Entrega de mercadoria 10327.</t>
  </si>
  <si>
    <t>04.10.2018</t>
  </si>
  <si>
    <t>FATURAMENTO E ENTREGA IMEDIATA. VENCIMENTO 31.05.2019. CLIENTE TEM URGÊNCIA NO PEDIDO. Baseado em Pedidos de venda 14722. Baseado em Entrega de mercadoria 10552.</t>
  </si>
  <si>
    <t>FATURAR EM 05.10.2018 E ENTREGA A PARTIR DO FATURAMENTO. VENCIMENTO 31.05.2018 Baseado em Pedidos de venda 14267. Baseado em Entrega de mercadoria 10553.</t>
  </si>
  <si>
    <t>14.09.2018</t>
  </si>
  <si>
    <t>VENDA DE PRODUTOS CONSIGNADOS. VENCIMENTO 30.07.2018. Baseado em Pedidos de venda 13679. Baseado em Entrega de mercadoria 10363.</t>
  </si>
  <si>
    <t>faturar e entregar imediatamento 4000 litros de basfoliar soja, 4000 litros faturar em 05.12.18. vencimento 31.05.19 Baseado em Pedidos de venda 14772. Baseado em Entrega de mercadoria 10554.</t>
  </si>
  <si>
    <t>19.10.2018</t>
  </si>
  <si>
    <t>FATURAR EM 10.09.18 E ENTREGA A PARTIR DO FATURAMENTO. VENCIMENTO 31.05.2019 Baseado em Pedidos de venda 14266. Baseado em Entrega de mercadoria 10693.</t>
  </si>
  <si>
    <t>FATURAMENTO E ENTREGA IMEDIATA. VENCIMENTO 31.05.2019. CLIENTE TEM URGÊNCIA NO PEDIDO. Baseado em Pedidos de venda 14722. Baseado em Entrega de mercadoria 10694.</t>
  </si>
  <si>
    <t>CL08806</t>
  </si>
  <si>
    <t>FATURAMENTO E ENTREGA IMEDIATA. VENCIMENTO 31.05.2018. Baseado em Pedidos de venda 14855. Baseado em Entrega de mercadoria 10695.</t>
  </si>
  <si>
    <t>CL09051</t>
  </si>
  <si>
    <t>CDA AGRIC CENTRO DISTR AGRO COML LTDA</t>
  </si>
  <si>
    <t>17.12.2019</t>
  </si>
  <si>
    <t>15.05.2020</t>
  </si>
  <si>
    <t>FATURAR 90 -120 -150 DIAS RESERVAR 10 % FOB PGUA Baseado em Pedidos de venda 16603. Baseado em Entrega de mercadoria 13170. Confissão de dívida.</t>
  </si>
  <si>
    <t>24.01.2020</t>
  </si>
  <si>
    <t>23.05.2020</t>
  </si>
  <si>
    <t>consignação - cfm Contrato faturar 90 - 120 - 150 dias reservar 10 %  FOB PGUA Baseado em Pedidos de venda 16604. Baseado em Entrega de mercadoria 13374. Confissão de dívida.</t>
  </si>
  <si>
    <t>CL09045</t>
  </si>
  <si>
    <t>BELLA BAHIA AGRIC LTDA</t>
  </si>
  <si>
    <t>16.09.2019</t>
  </si>
  <si>
    <t>30.05.2020</t>
  </si>
  <si>
    <t>Incluso 4,9% de icms,pedido complementar ,com as mesmas condições comerciais do PEDIDO 15979-BELLABAHIA. Baseado em Pedidos de venda 16089. Baseado em Entrega de mercadoria 12448.</t>
  </si>
  <si>
    <t>CL09077</t>
  </si>
  <si>
    <t>TOMAZ BARTH COSTAMILAN</t>
  </si>
  <si>
    <t>05.11.2019</t>
  </si>
  <si>
    <t>Produto para utilização no soja. Agenciamento de 20% para BR Comércio. Baseado em Pedidos de venda 16382. Baseado em Entrega de mercadoria 12844.</t>
  </si>
  <si>
    <t>CL09132</t>
  </si>
  <si>
    <t>ARI GOBBI</t>
  </si>
  <si>
    <t>01.06.2020</t>
  </si>
  <si>
    <t>Garantias BR Comércio</t>
  </si>
  <si>
    <t>CL09133</t>
  </si>
  <si>
    <t>MATEUS EDUARDO GONCALVES VIANA</t>
  </si>
  <si>
    <t>22.06.2020</t>
  </si>
  <si>
    <t>CL09021</t>
  </si>
  <si>
    <t>WILLIAM PAINK ME</t>
  </si>
  <si>
    <t>25.09.2020</t>
  </si>
  <si>
    <t>23.01.2021</t>
  </si>
  <si>
    <t>Produtos serão retirados em Cerquilho (SP) pelo cliente no dia 01.10.2020 conforme combinado com cliente. Baseado em Pedidos de venda 17778. Baseado em Entrega de mercadoria 14918.</t>
  </si>
  <si>
    <t>CL09011</t>
  </si>
  <si>
    <t>POLO AGRIC EIRELI</t>
  </si>
  <si>
    <t>29.10.2020</t>
  </si>
  <si>
    <t>30.04.2021</t>
  </si>
  <si>
    <t>INCLUSO 4,9% DE ICMS , COM VENCIMENTO PARA 30.04.2021. Baseado em Pedidos de venda 17934. Baseado em Entrega de mercadoria 15245.</t>
  </si>
  <si>
    <t>02.12.2020</t>
  </si>
  <si>
    <t>30.05.2021</t>
  </si>
  <si>
    <t>INCLUSO 4,9% DE ICMS, COM VENCIMENTO PARA 30.05.2021 Baseado em Pedidos de venda 18304. Baseado em Entrega de mercadoria 15495.</t>
  </si>
  <si>
    <t>19.11.2020</t>
  </si>
  <si>
    <t>INCLUSO4,9% DE ICMS, COM VENCIMENTO PARA 30.05.2021 Baseado em Pedidos de venda 18223. Baseado em Entrega de mercadoria 15388.</t>
  </si>
  <si>
    <t>INCLUSO 4,9% DE ICMS,VENCIMENTO PARA 30.05.2021. Baseado em Pedidos de venda 17940. Baseado em Entrega de mercadoria 15250.</t>
  </si>
  <si>
    <t>INCLUSO 4,9% DE ICMS,VENCIMENTO PARA 30.05.2021. Baseado em Pedidos de venda 17940. Baseado em Entrega de mercadoria 15397.</t>
  </si>
  <si>
    <t>05.11.2020</t>
  </si>
  <si>
    <t>INCLUSO 4,9% DE ICMS,COM VENCIMENTO PARA 30.05.2021 Baseado em Pedidos de venda 18160. Baseado em Entrega de mercadoria 15281.</t>
  </si>
  <si>
    <t>27.11.2020</t>
  </si>
  <si>
    <t>Incluso 4,9% de icms , com vencimento para 30.05.2021. Baseado em Pedidos de venda 18250. Baseado em Entrega de mercadoria 15477.</t>
  </si>
  <si>
    <t>INCLUSO 4,9% DE ICMS, COM VENCIMENTO PARA 30.05.2021 Baseado em Pedidos de venda 17939. Baseado em Entrega de mercadoria 15252.</t>
  </si>
  <si>
    <t>INCLUSO 4,9% DE ICMS,VENCIMENTO PARA 30.05.2021. Baseado em Pedidos de venda 17940. Baseado em Entrega de mercadoria 15280.</t>
  </si>
  <si>
    <t>INCLUSO 4,9% DE ICMS,VENCIMENTO PARA 30.05.2021. Baseado em Pedidos de venda 17940. Baseado em Entrega de mercadoria 15493.</t>
  </si>
  <si>
    <t>INCLUSO 4,9% DE ICMS, COM VENCIMENTO PARA 30.05.2021 Baseado em Pedidos de venda 18297. Baseado em Entrega de mercadoria 15494.</t>
  </si>
  <si>
    <t>INCLUSO 4,9% DE ICMS,VENCIMENTO PARA 30.05.2021. Baseado em Pedidos de venda 17940. Baseado em Entrega de mercadoria 15387.</t>
  </si>
  <si>
    <t>CL09218</t>
  </si>
  <si>
    <t>AGROTORQUE COM DE PRODS AGROPEC EIRELI</t>
  </si>
  <si>
    <t>17.05.2021</t>
  </si>
  <si>
    <t>15.07.2021</t>
  </si>
  <si>
    <t>FATRAMENTO VIA PORTO. SERÁ AGENDADO O MESMO VENCIMENTO 15.07 Baseado em Pedidos de venda 19111. Baseado em Entrega de mercadoria 16741.</t>
  </si>
  <si>
    <t>CL09240</t>
  </si>
  <si>
    <t>MOTOR-TEC COM DE PRODS DESCARTAVEIS LTDA</t>
  </si>
  <si>
    <t>07.07.2021</t>
  </si>
  <si>
    <t>06.08.2021</t>
  </si>
  <si>
    <t>FATURAMENTO VIA PORTO Baseado em Pedidos de venda 19334. Baseado em Entrega de mercadoria 17001.</t>
  </si>
  <si>
    <t>13.05.2021</t>
  </si>
  <si>
    <t>15.08.2021</t>
  </si>
  <si>
    <t>PAGAMENTO EM 15.08.2021 Baseado em Pedidos de venda 19070. Baseado em Entrega de mercadoria 16727.</t>
  </si>
  <si>
    <t>FATURAMENTO VIA PORTO. PRAZO DE PAGAMENTO 15.08.2021 Baseado em Pedidos de venda 19087. Baseado em Entrega de mercadoria 16728.</t>
  </si>
  <si>
    <t>Soma de Saldo a Pagar</t>
  </si>
  <si>
    <t>GARANTIAS</t>
  </si>
  <si>
    <t>STATUS</t>
  </si>
  <si>
    <t>CPR endossada por BR Comércio para Compo.</t>
  </si>
  <si>
    <t>ACORDO FECHADO: 30/06/2022 – R$ 358.341,08
30/04/2023 – R$ 358.341,08
20/07/2023 – R$ 358.341,08</t>
  </si>
  <si>
    <t>Imóvel transferido para Compo.</t>
  </si>
  <si>
    <t>Aguardando citação. Entramos em contato com o oficial de justiça, ele informou que está com outros mandados para cumprir antes, mas que deve ser cumprido nos próximos dias.</t>
  </si>
  <si>
    <t>NÃO POSSUI GARANTIA</t>
  </si>
  <si>
    <t>Descobrimos que a empresa não está mais ativa, estamos procurando o sócio para citação. Indicamos o endereço do sócio (Sr. Fabio) para citação, aguardando expedição do mandado. Mandado ainda não foi expedido, em 20/04/2022. Conseguimos citar o sócio por WhatsApp - designada audiência para o dia 21 de novembro de 2022 às 09:10.</t>
  </si>
  <si>
    <t>NÃO POSSUI documentado.
Enviada a fiança em 24/05/2018.</t>
  </si>
  <si>
    <t xml:space="preserve">O processo foi distribuído na comarca de Itaúba/MT. Depois, descobrimos que o Sr. Edimar mudou para Sinop/MT, e conseguimos a citação nesta cidade ele está no prazo para defesa. Importante registrar que o Sr. Edimar, ele tem vários processos que tramitam em seu desfavor, por isso vive fugindo das citações. Mesmo citado, o devedor não apresentou defesa, providenciamos o cálculo atualizado do débito e pedimos a penhora na conta bancária, processo aguarda decisão do juiz. Processo ainda aguarda decisão do juiz acerca do pedido de penhora, tentamos contato com a vara para pedir urgência, em 20/04/2022. No dia 15/06/2022 protocolamos petição pedindo o bloqueio na conta do devedor, processo está com o juiz para análise. </t>
  </si>
  <si>
    <t>NÃO POSSUI documentado. Enviada a fiança em 15/08/2018 e confissão de dívida em 24/04/2019.</t>
  </si>
  <si>
    <t>Processo aguarda a citação do devedor em Uruguaiana no RS, aguardando juntada do mandado pelo oficial de justiça. Entramos em contato com o oficial de justiça, ele disse que está com mandados em atrasado devido à pandemia, informou que irá cumprir nos próximos dias.</t>
  </si>
  <si>
    <t>Duplicata nº 9272-1 endossada por BR Comércio para Compo.</t>
  </si>
  <si>
    <t>Estamos habilitados na recuperação judicial, o processo ainda está na fase de discussão acerca da liberação de crédito para a COMPO. Não teve nova movimentação.</t>
  </si>
  <si>
    <t>Fiança</t>
  </si>
  <si>
    <t>A primeira tentativa de penhora na conta bancária da empresa e dos sócios-fiadores foi negativa. O oficial de justiça foi até a empresa e constatou que ela está fechada. A empresa e os sócios tem um grande número de processos em que aparecem como devedores, em alguns existe chance de recebimento de crédito, nestes, nós habilitamos a COMPO como credora. No dia 12/11/2021 pedimos ao juiz a pesquisa na Receita Federal para ter acesso sobre a declaração de renda dos sócios. Na receita federal não aparece nenhum bem penhorável. Pedimos a intimação do advogado deles para informar se os seus clientes possuem interesse num acordo amigável, o advogado informou que não. Diante de toda a dificuldade em obter qualquer chance de crédito, pedimos a suspensão da CNH dos sócios, nosso pedido aguarde análise do juiz desde o dia 09/03/2022. Juiz não deferiu o pedido de suspensão da CNH dos devedores, em 24/03/2022. No dia 07/04/2022 protocolamos petição reiterando a juntada da declaração do imposto de renda dos sócios/devedores, precisamos verificar se os sócios declaram bens e renda na Receita Federal, para pedir a penhora. Processo está concluso para análise em 20/04/2022. Decisão deferindo nosso pedido em 12/05/2022. No dia 06/06/2022 juntamos o pagamento das custas para realização da pesquisa em nome dos sócios/devedores na Receita Federal, para ter acesso ao imposto de renda. Aguardando juntada dos extratos (imposto de renda).</t>
  </si>
  <si>
    <t>POSSUI HIPOTECA.</t>
  </si>
  <si>
    <t>Processo na fase de citação do devedor em Caracol no PI. Foi expedida carta precatória para Luis Eduardo Magalhães/BA - aguardando cumprimento.</t>
  </si>
  <si>
    <t>NÃO POSSUI GARANTIA.</t>
  </si>
  <si>
    <t>O Sr. Tomaz depositou o valor em juízo, a BR e a RED, além da Compo também estão habilitadas. Recentemente, em novembro de 2021, indicamos no processo todas as provas demonstrando que o crédito é da COMPO. Não teve nova movimentação.</t>
  </si>
  <si>
    <t>No dia 24/03/2022 ocorreu a audiência de conciliação, o devedor (William) não compareceu, pedimos a revelia e a designação da audiência de instrução. Processo está concluso com o Juiz para análise e despacho.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</si>
</sst>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4" formatCode="_-&quot;R$&quot;\ * #,##0.00_-;\-&quot;R$&quot;\ * #,##0.00_-;_-&quot;R$&quot;\ * &quot;-&quot;??_-;_-@_-"/>
  </numFmts>
  <fonts count="3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9" tint="0.59999389629810485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4" tint="0.79998168889431442"/>
        <bgColor theme="4" tint="0.79998168889431442"/>
      </patternFill>
    </fill>
    <fill>
      <patternFill patternType="solid">
        <fgColor rgb="FFFFFF00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3">
    <xf numFmtId="0" fontId="0" fillId="0" borderId="0"/>
    <xf numFmtId="44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30">
    <xf numFmtId="0" fontId="0" fillId="0" borderId="0" xfId="0"/>
    <xf numFmtId="0" fontId="0" fillId="2" borderId="1" xfId="0" applyFill="1" applyBorder="1"/>
    <xf numFmtId="0" fontId="0" fillId="0" borderId="1" xfId="0" applyBorder="1"/>
    <xf numFmtId="14" fontId="0" fillId="0" borderId="1" xfId="0" applyNumberFormat="1" applyBorder="1"/>
    <xf numFmtId="4" fontId="0" fillId="0" borderId="1" xfId="0" applyNumberFormat="1" applyBorder="1"/>
    <xf numFmtId="0" fontId="0" fillId="3" borderId="1" xfId="0" applyFill="1" applyBorder="1"/>
    <xf numFmtId="0" fontId="2" fillId="4" borderId="1" xfId="0" applyFont="1" applyFill="1" applyBorder="1" applyAlignment="1">
      <alignment wrapText="1"/>
    </xf>
    <xf numFmtId="0" fontId="0" fillId="0" borderId="1" xfId="0" pivotButton="1" applyBorder="1" applyAlignment="1">
      <alignment wrapText="1"/>
    </xf>
    <xf numFmtId="0" fontId="0" fillId="0" borderId="1" xfId="0" applyBorder="1" applyAlignment="1">
      <alignment wrapText="1"/>
    </xf>
    <xf numFmtId="0" fontId="0" fillId="0" borderId="0" xfId="0" applyBorder="1"/>
    <xf numFmtId="0" fontId="0" fillId="0" borderId="1" xfId="0" applyBorder="1" applyAlignment="1">
      <alignment horizontal="left" wrapText="1"/>
    </xf>
    <xf numFmtId="44" fontId="0" fillId="0" borderId="1" xfId="1" applyFont="1" applyBorder="1" applyAlignment="1">
      <alignment wrapText="1"/>
    </xf>
    <xf numFmtId="0" fontId="0" fillId="0" borderId="0" xfId="0" applyBorder="1" applyAlignment="1">
      <alignment wrapText="1"/>
    </xf>
    <xf numFmtId="0" fontId="2" fillId="0" borderId="1" xfId="0" applyFont="1" applyBorder="1" applyAlignment="1">
      <alignment horizontal="left" wrapText="1"/>
    </xf>
    <xf numFmtId="44" fontId="2" fillId="0" borderId="2" xfId="1" applyFont="1" applyBorder="1" applyAlignment="1">
      <alignment wrapText="1"/>
    </xf>
    <xf numFmtId="0" fontId="2" fillId="0" borderId="1" xfId="0" applyFont="1" applyBorder="1"/>
    <xf numFmtId="44" fontId="2" fillId="0" borderId="1" xfId="1" applyFont="1" applyBorder="1"/>
    <xf numFmtId="10" fontId="2" fillId="0" borderId="1" xfId="2" applyNumberFormat="1" applyFont="1" applyBorder="1"/>
    <xf numFmtId="14" fontId="0" fillId="0" borderId="1" xfId="0" applyNumberFormat="1" applyBorder="1" applyAlignment="1">
      <alignment wrapText="1"/>
    </xf>
    <xf numFmtId="4" fontId="0" fillId="0" borderId="1" xfId="0" applyNumberFormat="1" applyBorder="1" applyAlignment="1">
      <alignment wrapText="1"/>
    </xf>
    <xf numFmtId="44" fontId="0" fillId="0" borderId="1" xfId="0" applyNumberFormat="1" applyBorder="1" applyAlignment="1">
      <alignment wrapText="1"/>
    </xf>
    <xf numFmtId="0" fontId="0" fillId="0" borderId="3" xfId="0" applyBorder="1" applyAlignment="1">
      <alignment horizontal="left"/>
    </xf>
    <xf numFmtId="44" fontId="0" fillId="0" borderId="3" xfId="0" applyNumberFormat="1" applyBorder="1"/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NumberFormat="1"/>
    <xf numFmtId="14" fontId="0" fillId="0" borderId="0" xfId="0" applyNumberFormat="1" applyAlignment="1">
      <alignment horizontal="left" indent="1"/>
    </xf>
    <xf numFmtId="44" fontId="0" fillId="0" borderId="0" xfId="0" applyNumberFormat="1"/>
    <xf numFmtId="44" fontId="0" fillId="5" borderId="0" xfId="0" applyNumberFormat="1" applyFill="1"/>
    <xf numFmtId="0" fontId="0" fillId="0" borderId="0" xfId="0" applyFill="1"/>
  </cellXfs>
  <cellStyles count="3">
    <cellStyle name="Moeda" xfId="1" builtinId="4"/>
    <cellStyle name="Normal" xfId="0" builtinId="0"/>
    <cellStyle name="Percentagem" xfId="2" builtinId="5"/>
  </cellStyles>
  <dxfs count="113">
    <dxf>
      <font>
        <b/>
      </font>
    </dxf>
    <dxf>
      <font>
        <b/>
      </font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wrapText="1"/>
    </dxf>
    <dxf>
      <alignment wrapText="1"/>
    </dxf>
    <dxf>
      <alignment wrapText="1"/>
    </dxf>
    <dxf>
      <alignment wrapText="1"/>
    </dxf>
    <dxf>
      <border>
        <right style="thin">
          <color indexed="64"/>
        </right>
        <bottom style="thin">
          <color indexed="64"/>
        </bottom>
      </border>
    </dxf>
    <dxf>
      <border>
        <right style="thin">
          <color indexed="64"/>
        </right>
        <bottom style="thin">
          <color indexed="64"/>
        </bottom>
      </border>
    </dxf>
    <dxf>
      <border>
        <right style="thin">
          <color indexed="64"/>
        </right>
        <bottom style="thin">
          <color indexed="64"/>
        </bottom>
      </border>
    </dxf>
    <dxf>
      <border>
        <right style="thin">
          <color indexed="64"/>
        </right>
        <bottom style="thin">
          <color indexed="64"/>
        </bottom>
      </border>
    </dxf>
    <dxf>
      <numFmt numFmtId="34" formatCode="_-&quot;R$&quot;\ * #,##0.00_-;\-&quot;R$&quot;\ * #,##0.00_-;_-&quot;R$&quot;\ * &quot;-&quot;??_-;_-@_-"/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 patternType="solid">
          <bgColor rgb="FFFFFF00"/>
        </patternFill>
      </fill>
    </dxf>
    <dxf>
      <numFmt numFmtId="34" formatCode="_-&quot;R$&quot;\ * #,##0.00_-;\-&quot;R$&quot;\ * #,##0.00_-;_-&quot;R$&quot;\ * &quot;-&quot;??_-;_-@_-"/>
    </dxf>
    <dxf>
      <numFmt numFmtId="34" formatCode="_-&quot;R$&quot;\ * #,##0.00_-;\-&quot;R$&quot;\ * #,##0.00_-;_-&quot;R$&quot;\ * &quot;-&quot;??_-;_-@_-"/>
    </dxf>
    <dxf>
      <numFmt numFmtId="34" formatCode="_-&quot;R$&quot;\ * #,##0.00_-;\-&quot;R$&quot;\ * #,##0.00_-;_-&quot;R$&quot;\ * &quot;-&quot;??_-;_-@_-"/>
    </dxf>
    <dxf>
      <numFmt numFmtId="34" formatCode="_-&quot;R$&quot;\ * #,##0.00_-;\-&quot;R$&quot;\ * #,##0.00_-;_-&quot;R$&quot;\ * &quot;-&quot;??_-;_-@_-"/>
    </dxf>
    <dxf>
      <numFmt numFmtId="34" formatCode="_-&quot;R$&quot;\ * #,##0.00_-;\-&quot;R$&quot;\ * #,##0.00_-;_-&quot;R$&quot;\ * &quot;-&quot;??_-;_-@_-"/>
    </dxf>
    <dxf>
      <numFmt numFmtId="34" formatCode="_-&quot;R$&quot;\ * #,##0.00_-;\-&quot;R$&quot;\ * #,##0.00_-;_-&quot;R$&quot;\ * &quot;-&quot;??_-;_-@_-"/>
    </dxf>
    <dxf>
      <numFmt numFmtId="34" formatCode="_-&quot;R$&quot;\ * #,##0.00_-;\-&quot;R$&quot;\ * #,##0.00_-;_-&quot;R$&quot;\ * &quot;-&quot;??_-;_-@_-"/>
    </dxf>
    <dxf>
      <numFmt numFmtId="34" formatCode="_-&quot;R$&quot;\ * #,##0.00_-;\-&quot;R$&quot;\ * #,##0.00_-;_-&quot;R$&quot;\ * &quot;-&quot;??_-;_-@_-"/>
    </dxf>
    <dxf>
      <numFmt numFmtId="34" formatCode="_-&quot;R$&quot;\ * #,##0.00_-;\-&quot;R$&quot;\ * #,##0.00_-;_-&quot;R$&quot;\ * &quot;-&quot;??_-;_-@_-"/>
    </dxf>
    <dxf>
      <numFmt numFmtId="34" formatCode="_-&quot;R$&quot;\ * #,##0.00_-;\-&quot;R$&quot;\ * #,##0.00_-;_-&quot;R$&quot;\ * &quot;-&quot;??_-;_-@_-"/>
    </dxf>
    <dxf>
      <numFmt numFmtId="34" formatCode="_-&quot;R$&quot;\ * #,##0.00_-;\-&quot;R$&quot;\ * #,##0.00_-;_-&quot;R$&quot;\ * &quot;-&quot;??_-;_-@_-"/>
    </dxf>
    <dxf>
      <numFmt numFmtId="34" formatCode="_-&quot;R$&quot;\ * #,##0.00_-;\-&quot;R$&quot;\ * #,##0.00_-;_-&quot;R$&quot;\ * &quot;-&quot;??_-;_-@_-"/>
    </dxf>
    <dxf>
      <numFmt numFmtId="34" formatCode="_-&quot;R$&quot;\ * #,##0.00_-;\-&quot;R$&quot;\ * #,##0.00_-;_-&quot;R$&quot;\ * &quot;-&quot;??_-;_-@_-"/>
    </dxf>
    <dxf>
      <numFmt numFmtId="34" formatCode="_-&quot;R$&quot;\ * #,##0.00_-;\-&quot;R$&quot;\ * #,##0.00_-;_-&quot;R$&quot;\ * &quot;-&quot;??_-;_-@_-"/>
    </dxf>
    <dxf>
      <numFmt numFmtId="34" formatCode="_-&quot;R$&quot;\ * #,##0.00_-;\-&quot;R$&quot;\ * #,##0.00_-;_-&quot;R$&quot;\ * &quot;-&quot;??_-;_-@_-"/>
    </dxf>
    <dxf>
      <numFmt numFmtId="34" formatCode="_-&quot;R$&quot;\ * #,##0.00_-;\-&quot;R$&quot;\ * #,##0.00_-;_-&quot;R$&quot;\ * &quot;-&quot;??_-;_-@_-"/>
    </dxf>
    <dxf>
      <numFmt numFmtId="34" formatCode="_-&quot;R$&quot;\ * #,##0.00_-;\-&quot;R$&quot;\ * #,##0.00_-;_-&quot;R$&quot;\ * &quot;-&quot;??_-;_-@_-"/>
    </dxf>
    <dxf>
      <numFmt numFmtId="34" formatCode="_-&quot;R$&quot;\ * #,##0.00_-;\-&quot;R$&quot;\ * #,##0.00_-;_-&quot;R$&quot;\ * &quot;-&quot;??_-;_-@_-"/>
    </dxf>
    <dxf>
      <numFmt numFmtId="34" formatCode="_-&quot;R$&quot;\ * #,##0.00_-;\-&quot;R$&quot;\ * #,##0.00_-;_-&quot;R$&quot;\ * &quot;-&quot;??_-;_-@_-"/>
    </dxf>
    <dxf>
      <numFmt numFmtId="34" formatCode="_-&quot;R$&quot;\ * #,##0.00_-;\-&quot;R$&quot;\ * #,##0.00_-;_-&quot;R$&quot;\ * &quot;-&quot;??_-;_-@_-"/>
    </dxf>
    <dxf>
      <numFmt numFmtId="34" formatCode="_-&quot;R$&quot;\ * #,##0.00_-;\-&quot;R$&quot;\ * #,##0.00_-;_-&quot;R$&quot;\ * &quot;-&quot;??_-;_-@_-"/>
    </dxf>
    <dxf>
      <numFmt numFmtId="34" formatCode="_-&quot;R$&quot;\ * #,##0.00_-;\-&quot;R$&quot;\ * #,##0.00_-;_-&quot;R$&quot;\ * &quot;-&quot;??_-;_-@_-"/>
    </dxf>
    <dxf>
      <numFmt numFmtId="34" formatCode="_-&quot;R$&quot;\ * #,##0.00_-;\-&quot;R$&quot;\ * #,##0.00_-;_-&quot;R$&quot;\ * &quot;-&quot;??_-;_-@_-"/>
    </dxf>
    <dxf>
      <numFmt numFmtId="34" formatCode="_-&quot;R$&quot;\ * #,##0.00_-;\-&quot;R$&quot;\ * #,##0.00_-;_-&quot;R$&quot;\ * &quot;-&quot;??_-;_-@_-"/>
    </dxf>
    <dxf>
      <numFmt numFmtId="34" formatCode="_-&quot;R$&quot;\ * #,##0.00_-;\-&quot;R$&quot;\ * #,##0.00_-;_-&quot;R$&quot;\ * &quot;-&quot;??_-;_-@_-"/>
    </dxf>
    <dxf>
      <numFmt numFmtId="34" formatCode="_-&quot;R$&quot;\ * #,##0.00_-;\-&quot;R$&quot;\ * #,##0.00_-;_-&quot;R$&quot;\ * &quot;-&quot;??_-;_-@_-"/>
    </dxf>
    <dxf>
      <numFmt numFmtId="34" formatCode="_-&quot;R$&quot;\ * #,##0.00_-;\-&quot;R$&quot;\ * #,##0.00_-;_-&quot;R$&quot;\ * &quot;-&quot;??_-;_-@_-"/>
    </dxf>
    <dxf>
      <numFmt numFmtId="34" formatCode="_-&quot;R$&quot;\ * #,##0.00_-;\-&quot;R$&quot;\ * #,##0.00_-;_-&quot;R$&quot;\ * &quot;-&quot;??_-;_-@_-"/>
    </dxf>
    <dxf>
      <numFmt numFmtId="34" formatCode="_-&quot;R$&quot;\ * #,##0.00_-;\-&quot;R$&quot;\ * #,##0.00_-;_-&quot;R$&quot;\ * &quot;-&quot;??_-;_-@_-"/>
    </dxf>
    <dxf>
      <numFmt numFmtId="34" formatCode="_-&quot;R$&quot;\ * #,##0.00_-;\-&quot;R$&quot;\ * #,##0.00_-;_-&quot;R$&quot;\ * &quot;-&quot;??_-;_-@_-"/>
    </dxf>
    <dxf>
      <numFmt numFmtId="34" formatCode="_-&quot;R$&quot;\ * #,##0.00_-;\-&quot;R$&quot;\ * #,##0.00_-;_-&quot;R$&quot;\ * &quot;-&quot;??_-;_-@_-"/>
    </dxf>
    <dxf>
      <numFmt numFmtId="34" formatCode="_-&quot;R$&quot;\ * #,##0.00_-;\-&quot;R$&quot;\ * #,##0.00_-;_-&quot;R$&quot;\ * &quot;-&quot;??_-;_-@_-"/>
    </dxf>
    <dxf>
      <numFmt numFmtId="34" formatCode="_-&quot;R$&quot;\ * #,##0.00_-;\-&quot;R$&quot;\ * #,##0.00_-;_-&quot;R$&quot;\ * &quot;-&quot;??_-;_-@_-"/>
    </dxf>
    <dxf>
      <numFmt numFmtId="34" formatCode="_-&quot;R$&quot;\ * #,##0.00_-;\-&quot;R$&quot;\ * #,##0.00_-;_-&quot;R$&quot;\ * &quot;-&quot;??_-;_-@_-"/>
    </dxf>
    <dxf>
      <numFmt numFmtId="34" formatCode="_-&quot;R$&quot;\ * #,##0.00_-;\-&quot;R$&quot;\ * #,##0.00_-;_-&quot;R$&quot;\ * &quot;-&quot;??_-;_-@_-"/>
    </dxf>
    <dxf>
      <numFmt numFmtId="34" formatCode="_-&quot;R$&quot;\ * #,##0.00_-;\-&quot;R$&quot;\ * #,##0.00_-;_-&quot;R$&quot;\ * &quot;-&quot;??_-;_-@_-"/>
    </dxf>
    <dxf>
      <numFmt numFmtId="34" formatCode="_-&quot;R$&quot;\ * #,##0.00_-;\-&quot;R$&quot;\ * #,##0.00_-;_-&quot;R$&quot;\ * &quot;-&quot;??_-;_-@_-"/>
    </dxf>
    <dxf>
      <numFmt numFmtId="34" formatCode="_-&quot;R$&quot;\ * #,##0.00_-;\-&quot;R$&quot;\ * #,##0.00_-;_-&quot;R$&quot;\ * &quot;-&quot;??_-;_-@_-"/>
    </dxf>
    <dxf>
      <numFmt numFmtId="34" formatCode="_-&quot;R$&quot;\ * #,##0.00_-;\-&quot;R$&quot;\ * #,##0.00_-;_-&quot;R$&quot;\ * &quot;-&quot;??_-;_-@_-"/>
    </dxf>
    <dxf>
      <numFmt numFmtId="34" formatCode="_-&quot;R$&quot;\ * #,##0.00_-;\-&quot;R$&quot;\ * #,##0.00_-;_-&quot;R$&quot;\ * &quot;-&quot;??_-;_-@_-"/>
    </dxf>
    <dxf>
      <numFmt numFmtId="34" formatCode="_-&quot;R$&quot;\ * #,##0.00_-;\-&quot;R$&quot;\ * #,##0.00_-;_-&quot;R$&quot;\ * &quot;-&quot;??_-;_-@_-"/>
    </dxf>
    <dxf>
      <numFmt numFmtId="34" formatCode="_-&quot;R$&quot;\ * #,##0.00_-;\-&quot;R$&quot;\ * #,##0.00_-;_-&quot;R$&quot;\ * &quot;-&quot;??_-;_-@_-"/>
    </dxf>
    <dxf>
      <numFmt numFmtId="34" formatCode="_-&quot;R$&quot;\ * #,##0.00_-;\-&quot;R$&quot;\ * #,##0.00_-;_-&quot;R$&quot;\ * &quot;-&quot;??_-;_-@_-"/>
    </dxf>
    <dxf>
      <numFmt numFmtId="34" formatCode="_-&quot;R$&quot;\ * #,##0.00_-;\-&quot;R$&quot;\ * #,##0.00_-;_-&quot;R$&quot;\ * &quot;-&quot;??_-;_-@_-"/>
    </dxf>
    <dxf>
      <numFmt numFmtId="34" formatCode="_-&quot;R$&quot;\ * #,##0.00_-;\-&quot;R$&quot;\ * #,##0.00_-;_-&quot;R$&quot;\ * &quot;-&quot;??_-;_-@_-"/>
    </dxf>
    <dxf>
      <numFmt numFmtId="34" formatCode="_-&quot;R$&quot;\ * #,##0.00_-;\-&quot;R$&quot;\ * #,##0.00_-;_-&quot;R$&quot;\ * &quot;-&quot;??_-;_-@_-"/>
    </dxf>
    <dxf>
      <numFmt numFmtId="34" formatCode="_-&quot;R$&quot;\ * #,##0.00_-;\-&quot;R$&quot;\ * #,##0.00_-;_-&quot;R$&quot;\ * &quot;-&quot;??_-;_-@_-"/>
    </dxf>
    <dxf>
      <numFmt numFmtId="34" formatCode="_-&quot;R$&quot;\ * #,##0.00_-;\-&quot;R$&quot;\ * #,##0.00_-;_-&quot;R$&quot;\ * &quot;-&quot;??_-;_-@_-"/>
    </dxf>
    <dxf>
      <numFmt numFmtId="34" formatCode="_-&quot;R$&quot;\ * #,##0.00_-;\-&quot;R$&quot;\ * #,##0.00_-;_-&quot;R$&quot;\ * &quot;-&quot;??_-;_-@_-"/>
    </dxf>
    <dxf>
      <numFmt numFmtId="34" formatCode="_-&quot;R$&quot;\ * #,##0.00_-;\-&quot;R$&quot;\ * #,##0.00_-;_-&quot;R$&quot;\ * &quot;-&quot;??_-;_-@_-"/>
    </dxf>
    <dxf>
      <numFmt numFmtId="34" formatCode="_-&quot;R$&quot;\ * #,##0.00_-;\-&quot;R$&quot;\ * #,##0.00_-;_-&quot;R$&quot;\ * &quot;-&quot;??_-;_-@_-"/>
    </dxf>
    <dxf>
      <numFmt numFmtId="34" formatCode="_-&quot;R$&quot;\ * #,##0.00_-;\-&quot;R$&quot;\ * #,##0.00_-;_-&quot;R$&quot;\ * &quot;-&quot;??_-;_-@_-"/>
    </dxf>
    <dxf>
      <numFmt numFmtId="34" formatCode="_-&quot;R$&quot;\ * #,##0.00_-;\-&quot;R$&quot;\ * #,##0.00_-;_-&quot;R$&quot;\ * &quot;-&quot;??_-;_-@_-"/>
    </dxf>
    <dxf>
      <numFmt numFmtId="34" formatCode="_-&quot;R$&quot;\ * #,##0.00_-;\-&quot;R$&quot;\ * #,##0.00_-;_-&quot;R$&quot;\ * &quot;-&quot;??_-;_-@_-"/>
    </dxf>
    <dxf>
      <numFmt numFmtId="34" formatCode="_-&quot;R$&quot;\ * #,##0.00_-;\-&quot;R$&quot;\ * #,##0.00_-;_-&quot;R$&quot;\ * &quot;-&quot;??_-;_-@_-"/>
    </dxf>
    <dxf>
      <numFmt numFmtId="34" formatCode="_-&quot;R$&quot;\ * #,##0.00_-;\-&quot;R$&quot;\ * #,##0.00_-;_-&quot;R$&quot;\ * &quot;-&quot;??_-;_-@_-"/>
    </dxf>
    <dxf>
      <numFmt numFmtId="34" formatCode="_-&quot;R$&quot;\ * #,##0.00_-;\-&quot;R$&quot;\ * #,##0.00_-;_-&quot;R$&quot;\ * &quot;-&quot;??_-;_-@_-"/>
    </dxf>
    <dxf>
      <numFmt numFmtId="34" formatCode="_-&quot;R$&quot;\ * #,##0.00_-;\-&quot;R$&quot;\ * #,##0.00_-;_-&quot;R$&quot;\ * &quot;-&quot;??_-;_-@_-"/>
    </dxf>
    <dxf>
      <numFmt numFmtId="34" formatCode="_-&quot;R$&quot;\ * #,##0.00_-;\-&quot;R$&quot;\ * #,##0.00_-;_-&quot;R$&quot;\ * &quot;-&quot;??_-;_-@_-"/>
    </dxf>
    <dxf>
      <numFmt numFmtId="34" formatCode="_-&quot;R$&quot;\ * #,##0.00_-;\-&quot;R$&quot;\ * #,##0.00_-;_-&quot;R$&quot;\ * &quot;-&quot;??_-;_-@_-"/>
    </dxf>
    <dxf>
      <numFmt numFmtId="34" formatCode="_-&quot;R$&quot;\ * #,##0.00_-;\-&quot;R$&quot;\ * #,##0.00_-;_-&quot;R$&quot;\ * &quot;-&quot;??_-;_-@_-"/>
    </dxf>
    <dxf>
      <numFmt numFmtId="34" formatCode="_-&quot;R$&quot;\ * #,##0.00_-;\-&quot;R$&quot;\ * #,##0.00_-;_-&quot;R$&quot;\ * &quot;-&quot;??_-;_-@_-"/>
    </dxf>
    <dxf>
      <numFmt numFmtId="34" formatCode="_-&quot;R$&quot;\ * #,##0.00_-;\-&quot;R$&quot;\ * #,##0.00_-;_-&quot;R$&quot;\ * &quot;-&quot;??_-;_-@_-"/>
    </dxf>
    <dxf>
      <numFmt numFmtId="34" formatCode="_-&quot;R$&quot;\ * #,##0.00_-;\-&quot;R$&quot;\ * #,##0.00_-;_-&quot;R$&quot;\ * &quot;-&quot;??_-;_-@_-"/>
    </dxf>
    <dxf>
      <numFmt numFmtId="34" formatCode="_-&quot;R$&quot;\ * #,##0.00_-;\-&quot;R$&quot;\ * #,##0.00_-;_-&quot;R$&quot;\ * &quot;-&quot;??_-;_-@_-"/>
    </dxf>
    <dxf>
      <numFmt numFmtId="34" formatCode="_-&quot;R$&quot;\ * #,##0.00_-;\-&quot;R$&quot;\ * #,##0.00_-;_-&quot;R$&quot;\ * &quot;-&quot;??_-;_-@_-"/>
    </dxf>
    <dxf>
      <numFmt numFmtId="34" formatCode="_-&quot;R$&quot;\ * #,##0.00_-;\-&quot;R$&quot;\ * #,##0.00_-;_-&quot;R$&quot;\ * &quot;-&quot;??_-;_-@_-"/>
    </dxf>
    <dxf>
      <numFmt numFmtId="34" formatCode="_-&quot;R$&quot;\ * #,##0.00_-;\-&quot;R$&quot;\ * #,##0.00_-;_-&quot;R$&quot;\ * &quot;-&quot;??_-;_-@_-"/>
    </dxf>
    <dxf>
      <numFmt numFmtId="34" formatCode="_-&quot;R$&quot;\ * #,##0.00_-;\-&quot;R$&quot;\ * #,##0.00_-;_-&quot;R$&quot;\ * &quot;-&quot;??_-;_-@_-"/>
    </dxf>
    <dxf>
      <numFmt numFmtId="34" formatCode="_-&quot;R$&quot;\ * #,##0.00_-;\-&quot;R$&quot;\ * #,##0.00_-;_-&quot;R$&quot;\ * &quot;-&quot;??_-;_-@_-"/>
    </dxf>
    <dxf>
      <numFmt numFmtId="34" formatCode="_-&quot;R$&quot;\ * #,##0.00_-;\-&quot;R$&quot;\ * #,##0.00_-;_-&quot;R$&quot;\ * &quot;-&quot;??_-;_-@_-"/>
    </dxf>
    <dxf>
      <numFmt numFmtId="34" formatCode="_-&quot;R$&quot;\ * #,##0.00_-;\-&quot;R$&quot;\ * #,##0.00_-;_-&quot;R$&quot;\ * &quot;-&quot;??_-;_-@_-"/>
    </dxf>
    <dxf>
      <numFmt numFmtId="34" formatCode="_-&quot;R$&quot;\ * #,##0.00_-;\-&quot;R$&quot;\ * #,##0.00_-;_-&quot;R$&quot;\ * &quot;-&quot;??_-;_-@_-"/>
    </dxf>
    <dxf>
      <numFmt numFmtId="34" formatCode="_-&quot;R$&quot;\ * #,##0.00_-;\-&quot;R$&quot;\ * #,##0.00_-;_-&quot;R$&quot;\ * &quot;-&quot;??_-;_-@_-"/>
    </dxf>
    <dxf>
      <numFmt numFmtId="34" formatCode="_-&quot;R$&quot;\ * #,##0.00_-;\-&quot;R$&quot;\ * #,##0.00_-;_-&quot;R$&quot;\ * &quot;-&quot;??_-;_-@_-"/>
    </dxf>
    <dxf>
      <numFmt numFmtId="34" formatCode="_-&quot;R$&quot;\ * #,##0.00_-;\-&quot;R$&quot;\ * #,##0.00_-;_-&quot;R$&quot;\ * &quot;-&quot;??_-;_-@_-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pivotCacheDefinition" Target="pivotCache/pivotCacheDefinition1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externalLink" Target="externalLinks/externalLink1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pivotCacheDefinition" Target="pivotCache/pivotCacheDefinition3.xml"/><Relationship Id="rId4" Type="http://schemas.openxmlformats.org/officeDocument/2006/relationships/worksheet" Target="worksheets/sheet4.xml"/><Relationship Id="rId9" Type="http://schemas.openxmlformats.org/officeDocument/2006/relationships/pivotCacheDefinition" Target="pivotCache/pivotCacheDefinition2.xml"/><Relationship Id="rId14" Type="http://schemas.openxmlformats.org/officeDocument/2006/relationships/calcChain" Target="calcChain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L:\Expert\FINANCEIRO\INADIMPLENCIA\2022\JULHO%202022\CONTROLE%20DE%20INADIMPLENCIA%2018072022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OTAL EM ABERTO"/>
      <sheetName val="TOTAL INADIMPLENTES"/>
      <sheetName val="ANALISE DE INADIMPLENCIA"/>
    </sheetNames>
    <sheetDataSet>
      <sheetData sheetId="0"/>
      <sheetData sheetId="1"/>
      <sheetData sheetId="2">
        <row r="4">
          <cell r="A4" t="str">
            <v>COASUL COOPERATIVA AGROINDUSTRIAL</v>
          </cell>
          <cell r="B4">
            <v>7361.73</v>
          </cell>
          <cell r="C4" t="str">
            <v>AGUARDANDO RETORNO DO CLIENTE</v>
          </cell>
          <cell r="D4" t="str">
            <v>-</v>
          </cell>
          <cell r="E4" t="str">
            <v xml:space="preserve">Cobrar retorno do cliente </v>
          </cell>
        </row>
        <row r="5">
          <cell r="A5" t="str">
            <v>INDEPENDENCIA AGRICOLA LTDA</v>
          </cell>
          <cell r="B5">
            <v>1030277.08</v>
          </cell>
          <cell r="C5" t="str">
            <v>AGUARDANDO CADASTRO NO DETRAN MS PARA ALIENAÇÃO DOS VEÍCULOS E AGUARDANDO ASSINATURA DA CESSÃO DE CRÉDITO</v>
          </cell>
          <cell r="D5" t="str">
            <v>PROGRAMADO PAGAMENTO DE 223 MIL PARA 29/07/2022 E 800 MIL PARA 30/08/2022</v>
          </cell>
          <cell r="E5" t="str">
            <v xml:space="preserve">Cobrar retorno do cliente </v>
          </cell>
        </row>
        <row r="6">
          <cell r="A6" t="str">
            <v>L F DE FREITAS ME</v>
          </cell>
          <cell r="B6">
            <v>151866.12999999998</v>
          </cell>
          <cell r="C6" t="str">
            <v>CLIENTE FICOU DE TRANSFERIR 80 MIL, PORÉM ESTE VALOR DEPENDE DE ANTECIPAÇÃO DE VENDAS DE CLIENTE DELE</v>
          </cell>
          <cell r="D6" t="str">
            <v xml:space="preserve">CLIENTE NEGATIVADO </v>
          </cell>
          <cell r="E6" t="str">
            <v>AGUARDANDO PAGAMENTO</v>
          </cell>
        </row>
        <row r="7">
          <cell r="A7" t="str">
            <v>MANEJO INSUMOS AGRICOLAS LTDA</v>
          </cell>
          <cell r="B7">
            <v>77377.2</v>
          </cell>
          <cell r="C7" t="str">
            <v>AGUARDANDO NOVA PREVISÃO DE PAGAMENTO</v>
          </cell>
          <cell r="D7" t="str">
            <v>-</v>
          </cell>
          <cell r="E7" t="str">
            <v>AGUARDANDO PAGAMENTO</v>
          </cell>
        </row>
        <row r="8">
          <cell r="A8" t="str">
            <v>OTAVIO HENRIQUE FERNANDES BELLI</v>
          </cell>
          <cell r="B8">
            <v>1118432</v>
          </cell>
          <cell r="C8" t="str">
            <v>EXPECTATIVA DE 266 MIL PARA 25/07, 399 MIL PARA 01/08 e 399 mil para 29/07/2022</v>
          </cell>
          <cell r="D8" t="str">
            <v>-</v>
          </cell>
          <cell r="E8" t="str">
            <v>ACOMPANHAR COM O CLIENTE A ENTREGA DA COLHEITA</v>
          </cell>
        </row>
        <row r="9">
          <cell r="A9" t="str">
            <v>TERRA VERDE COM E REPRES DE PRODS AGRIC LTDA</v>
          </cell>
          <cell r="B9">
            <v>64909.8</v>
          </cell>
          <cell r="C9" t="str">
            <v>RENEGOCIAÇÃO DE ESTOQUE</v>
          </cell>
          <cell r="D9" t="str">
            <v>-</v>
          </cell>
          <cell r="E9" t="str">
            <v>PAGAMENTO NO VENCIMENTO DE 30/10</v>
          </cell>
        </row>
      </sheetData>
    </sheetDataSet>
  </externalBook>
</externalLink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_rels/pivotCacheDefinition2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L:\Expert\FINANCEIRO\INADIMPLENCIA\2022\JULHO%202022\CONTROLE%20DE%20INADIMPLENCIA%2001072022.xlsx" TargetMode="External"/><Relationship Id="rId1" Type="http://schemas.openxmlformats.org/officeDocument/2006/relationships/pivotCacheRecords" Target="pivotCacheRecords2.xml"/></Relationships>
</file>

<file path=xl/pivotCache/_rels/pivotCacheDefinition3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3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financeiro.brazil" refreshedDate="44761.359342476855" createdVersion="8" refreshedVersion="8" minRefreshableVersion="3" recordCount="27" xr:uid="{4AB050FA-DA66-43F6-A5E8-9D3515CDF995}">
  <cacheSource type="worksheet">
    <worksheetSource ref="A1:J28" sheet="TOTAL INADIMPLENTES"/>
  </cacheSource>
  <cacheFields count="10">
    <cacheField name="Codigo PN" numFmtId="0">
      <sharedItems/>
    </cacheField>
    <cacheField name="Razao Social" numFmtId="0">
      <sharedItems count="6">
        <s v="L F DE FREITAS ME"/>
        <s v="INDEPENDENCIA AGRICOLA LTDA"/>
        <s v="OTAVIO HENRIQUE FERNANDES BELLI"/>
        <s v="TERRA VERDE COM E REPRES DE PRODS AGRIC LTDA"/>
        <s v="MANEJO INSUMOS AGRICOLAS LTDA"/>
        <s v="COASUL COOPERATIVA AGROINDUSTRIAL"/>
      </sharedItems>
    </cacheField>
    <cacheField name="No.Docto." numFmtId="0">
      <sharedItems containsSemiMixedTypes="0" containsString="0" containsNumber="1" containsInteger="1" minValue="16173" maxValue="19928"/>
    </cacheField>
    <cacheField name="No. NF" numFmtId="0">
      <sharedItems containsSemiMixedTypes="0" containsString="0" containsNumber="1" containsInteger="1" minValue="25076" maxValue="28995"/>
    </cacheField>
    <cacheField name="Emissão" numFmtId="14">
      <sharedItems containsSemiMixedTypes="0" containsNonDate="0" containsDate="1" containsString="0" minDate="2021-06-22T00:00:00" maxDate="2022-07-15T00:00:00"/>
    </cacheField>
    <cacheField name="Vencimento" numFmtId="14">
      <sharedItems containsSemiMixedTypes="0" containsNonDate="0" containsDate="1" containsString="0" minDate="2022-04-18T00:00:00" maxDate="2022-07-15T00:00:00"/>
    </cacheField>
    <cacheField name="Valor R$" numFmtId="4">
      <sharedItems containsSemiMixedTypes="0" containsString="0" containsNumber="1" minValue="1237.33" maxValue="332640"/>
    </cacheField>
    <cacheField name="Dias Atraso" numFmtId="0">
      <sharedItems containsSemiMixedTypes="0" containsString="0" containsNumber="1" containsInteger="1" minValue="4" maxValue="91"/>
    </cacheField>
    <cacheField name="Observacoes" numFmtId="0">
      <sharedItems/>
    </cacheField>
    <cacheField name="Vendedor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Vanelli, Romeu" refreshedDate="44743.65361296296" createdVersion="8" refreshedVersion="8" minRefreshableVersion="3" recordCount="31" xr:uid="{CCDEA376-71DF-48B6-A767-B42920D4FAD0}">
  <cacheSource type="worksheet">
    <worksheetSource ref="A1:N32" sheet="CLIENTES PDD" r:id="rId2"/>
  </cacheSource>
  <cacheFields count="14">
    <cacheField name="LCM" numFmtId="0">
      <sharedItems containsSemiMixedTypes="0" containsString="0" containsNumber="1" containsInteger="1" minValue="84804" maxValue="150014"/>
    </cacheField>
    <cacheField name="PDD" numFmtId="0">
      <sharedItems/>
    </cacheField>
    <cacheField name="NF" numFmtId="0">
      <sharedItems containsSemiMixedTypes="0" containsString="0" containsNumber="1" containsInteger="1" minValue="14587" maxValue="142011"/>
    </cacheField>
    <cacheField name="Doc SAP" numFmtId="0">
      <sharedItems containsSemiMixedTypes="0" containsString="0" containsNumber="1" containsInteger="1" minValue="7183" maxValue="142011"/>
    </cacheField>
    <cacheField name="Parcela" numFmtId="0">
      <sharedItems containsSemiMixedTypes="0" containsString="0" containsNumber="1" containsInteger="1" minValue="1" maxValue="3"/>
    </cacheField>
    <cacheField name="Codigo PN" numFmtId="0">
      <sharedItems/>
    </cacheField>
    <cacheField name="Razao Social" numFmtId="0">
      <sharedItems count="10">
        <s v="EDIMAR JOSE VENDRUSCOLO"/>
        <s v="JARBAS DOS SANTOS CASSOL EPP"/>
        <s v="MORAES &amp; BAGAIOLO COM REPRES DE PROD AGRIC LTDA"/>
        <s v="CDA AGRIC CENTRO DISTR AGRO COML LTDA"/>
        <s v="BELLA BAHIA AGRIC LTDA"/>
        <s v="TOMAZ BARTH COSTAMILAN"/>
        <s v="ARI GOBBI"/>
        <s v="MATEUS EDUARDO GONCALVES VIANA"/>
        <s v="WILLIAM PAINK ME"/>
        <s v="POLO AGRIC EIRELI"/>
      </sharedItems>
    </cacheField>
    <cacheField name="Emissão" numFmtId="14">
      <sharedItems/>
    </cacheField>
    <cacheField name="Vencimento" numFmtId="14">
      <sharedItems/>
    </cacheField>
    <cacheField name="Vencimento Parcela" numFmtId="14">
      <sharedItems/>
    </cacheField>
    <cacheField name="Total Prestação" numFmtId="0">
      <sharedItems containsSemiMixedTypes="0" containsString="0" containsNumber="1" minValue="215.1" maxValue="546000"/>
    </cacheField>
    <cacheField name="Valor Pago Data Atual" numFmtId="0">
      <sharedItems containsSemiMixedTypes="0" containsString="0" containsNumber="1" minValue="0" maxValue="124016.8"/>
    </cacheField>
    <cacheField name="Saldo a Pagar" numFmtId="0">
      <sharedItems containsSemiMixedTypes="0" containsString="0" containsNumber="1" minValue="215.1" maxValue="546000"/>
    </cacheField>
    <cacheField name="Observações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3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Vanelli, Romeu" refreshedDate="44761.474588310186" createdVersion="8" refreshedVersion="8" minRefreshableVersion="3" recordCount="130" xr:uid="{B76555B9-1BC8-4BD1-8766-0A1ABAEB4C94}">
  <cacheSource type="worksheet">
    <worksheetSource ref="A1:G131" sheet="VENCIMENTOS JULHO 2022"/>
  </cacheSource>
  <cacheFields count="7">
    <cacheField name="Codigo PN" numFmtId="0">
      <sharedItems/>
    </cacheField>
    <cacheField name="Razao Social" numFmtId="0">
      <sharedItems count="38">
        <s v="APOIO DISTRIBUIDORA AGRICOLA LTDA"/>
        <s v="L F DE FREITAS ME"/>
        <s v="APOIO RURAL AGROPECUARIA LTDA"/>
        <s v="VITAGRICOLA LTDA"/>
        <s v="CLAUDIANA DE ALMEIDA RODRIGUES IMP E EXP DE FERT EIRELI"/>
        <s v="YUCA COMERCIO AGROPECUARIO LTDA"/>
        <s v="REDUZINO E CRUZ COML LTDA"/>
        <s v="MOGIANA NEGOCIOS AGROPEC LTDA"/>
        <s v="SOLOTEK IND DE ADUBOS E FERT S/A"/>
        <s v="P.C. BERNARDINO SANTOS - EPP"/>
        <s v="KELENYA RODRIGUES DOS SANTOS"/>
        <s v="SEG AGRIC DISTR AGRO COML LTDA"/>
        <s v="PLANT QUALITY INSUMOS AGRIC LTDA ME"/>
        <s v="CAMPO AGRICOLA AGRONEGOCIO LTDA EPP"/>
        <s v="AGRO ALTA COM DE INS AGRIC LTDA ME"/>
        <s v="MANEJO INSUMOS AGRICOLAS LTDA"/>
        <s v="CARLOS ANDRE COVRE E OUTRO"/>
        <s v="CARLOS ANDRE"/>
        <s v="CARLOS ROBERTO DA SILVA"/>
        <s v="SARTI E SILVA COM DE PROD AGRIC LTDA"/>
        <s v="JOSE ZITO DE OLIVEIRA"/>
        <s v="AGROSOIL COM E REPRES PROD AGRIC LTDA ME"/>
        <s v="ALEXANDRE SATIRO DOS SANTOS"/>
        <s v="AGRO COML AGROMANIA LTDA"/>
        <s v="SERRA SEED COM DE PROD AGRIC LTDA"/>
        <s v="RONAK TRADING CO."/>
        <s v="B&amp;R BRASIL IMPORT E COM DE FERR FERT E UTIL LTDA"/>
        <s v="FUTURAGRO DISTRIB DE INS AGRIC LTDA"/>
        <s v="ALIANCA PRODS AGROPEC LTDA"/>
        <s v="NICE HYBRID SEEDS COMPANY"/>
        <s v="SAVIO MARTINS DA COSTA GARCIA EPP'"/>
        <s v="AGROFITO I LTDA ME"/>
        <s v="G R AGRICOLA LTDA EPP"/>
        <s v="GARANTIA AGRONEGOCIOS LTDA"/>
        <s v="ANTONIO PEREIRA BARBOSA"/>
        <s v="RURAL ROSARIO LTDA"/>
        <s v="EVOLUCAO AGRIC CAFE LTDA"/>
        <s v="9A AGRONEG COM E REPRES LTDA"/>
      </sharedItems>
    </cacheField>
    <cacheField name="No.Docto." numFmtId="0">
      <sharedItems containsString="0" containsBlank="1" containsNumber="1" containsInteger="1" minValue="16889" maxValue="19828"/>
    </cacheField>
    <cacheField name="No. NF" numFmtId="0">
      <sharedItems containsSemiMixedTypes="0" containsString="0" containsNumber="1" containsInteger="1" minValue="25874" maxValue="188607"/>
    </cacheField>
    <cacheField name="Emissão" numFmtId="14">
      <sharedItems containsSemiMixedTypes="0" containsNonDate="0" containsDate="1" containsString="0" minDate="2021-09-20T00:00:00" maxDate="2022-06-28T00:00:00"/>
    </cacheField>
    <cacheField name="Vencimento" numFmtId="14">
      <sharedItems containsSemiMixedTypes="0" containsNonDate="0" containsDate="1" containsString="0" minDate="2022-07-20T00:00:00" maxDate="2022-08-01T00:00:00" count="12">
        <d v="2022-07-20T00:00:00"/>
        <d v="2022-07-21T00:00:00"/>
        <d v="2022-07-22T00:00:00"/>
        <d v="2022-07-23T00:00:00"/>
        <d v="2022-07-24T00:00:00"/>
        <d v="2022-07-25T00:00:00"/>
        <d v="2022-07-26T00:00:00"/>
        <d v="2022-07-27T00:00:00"/>
        <d v="2022-07-28T00:00:00"/>
        <d v="2022-07-29T00:00:00"/>
        <d v="2022-07-30T00:00:00"/>
        <d v="2022-07-31T00:00:00"/>
      </sharedItems>
    </cacheField>
    <cacheField name="Valor R$" numFmtId="0">
      <sharedItems containsSemiMixedTypes="0" containsString="0" containsNumber="1" minValue="487.5" maxValue="184248.02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27">
  <r>
    <s v="CL09033"/>
    <x v="0"/>
    <n v="17820"/>
    <n v="26823"/>
    <d v="2021-11-19T00:00:00"/>
    <d v="2022-04-18T00:00:00"/>
    <n v="37477.51"/>
    <n v="91"/>
    <s v="NOTA FISCAL Nº 26823"/>
    <s v="LUCAS SOARES FERREIRA"/>
  </r>
  <r>
    <s v="CL08907"/>
    <x v="1"/>
    <n v="16470"/>
    <n v="25414"/>
    <d v="2021-08-06T00:00:00"/>
    <d v="2022-04-30T00:00:00"/>
    <n v="42683.360000000001"/>
    <n v="79"/>
    <s v="NOTA FISCAL Nº 25414"/>
    <s v="CARLOS EDUARDO BERNARDES"/>
  </r>
  <r>
    <s v="CL09283"/>
    <x v="2"/>
    <n v="17720"/>
    <n v="26714"/>
    <d v="2021-11-10T00:00:00"/>
    <d v="2022-04-30T00:00:00"/>
    <n v="178500"/>
    <n v="79"/>
    <s v="NOTA FISCAL Nº 26714"/>
    <s v="MARCOS ROBERTO PEREIRA"/>
  </r>
  <r>
    <s v="CL08907"/>
    <x v="1"/>
    <n v="17088"/>
    <n v="26099"/>
    <d v="2021-10-01T00:00:00"/>
    <d v="2022-04-30T00:00:00"/>
    <n v="196452"/>
    <n v="79"/>
    <s v="NOTA FISCAL Nº 26099"/>
    <s v="CARLOS EDUARDO BERNARDES"/>
  </r>
  <r>
    <s v="CL08907"/>
    <x v="1"/>
    <n v="18056"/>
    <n v="27070"/>
    <d v="2021-12-13T00:00:00"/>
    <d v="2022-04-30T00:00:00"/>
    <n v="203701.12"/>
    <n v="79"/>
    <s v="NOTA FISCAL Nº 27070"/>
    <s v="CARLOS EDUARDO BERNARDES"/>
  </r>
  <r>
    <s v="CL09283"/>
    <x v="2"/>
    <n v="17189"/>
    <n v="26186"/>
    <d v="2021-10-07T00:00:00"/>
    <d v="2022-04-30T00:00:00"/>
    <n v="250292"/>
    <n v="79"/>
    <s v="NOTA FISCAL Nº 26186"/>
    <s v="MARCOS ROBERTO PEREIRA"/>
  </r>
  <r>
    <s v="CL08907"/>
    <x v="1"/>
    <n v="16905"/>
    <n v="25890"/>
    <d v="2021-09-21T00:00:00"/>
    <d v="2022-04-30T00:00:00"/>
    <n v="92448"/>
    <n v="79"/>
    <s v="NOTA FISCAL Nº 25890"/>
    <s v="CARLOS EDUARDO BERNARDES"/>
  </r>
  <r>
    <s v="CL09283"/>
    <x v="2"/>
    <n v="17612"/>
    <n v="26614"/>
    <d v="2021-11-04T00:00:00"/>
    <d v="2022-04-30T00:00:00"/>
    <n v="178500"/>
    <n v="79"/>
    <s v="NOTA FISCAL Nº 26614"/>
    <s v="MARCOS ROBERTO PEREIRA"/>
  </r>
  <r>
    <s v="CL08907"/>
    <x v="1"/>
    <n v="16966"/>
    <n v="25963"/>
    <d v="2021-09-23T00:00:00"/>
    <d v="2022-04-30T00:00:00"/>
    <n v="102642.6"/>
    <n v="79"/>
    <s v="NOTA FISCAL Nº 25963"/>
    <s v="CARLOS EDUARDO BERNARDES"/>
  </r>
  <r>
    <s v="CL09283"/>
    <x v="2"/>
    <n v="17204"/>
    <n v="26202"/>
    <d v="2021-10-08T00:00:00"/>
    <d v="2022-04-30T00:00:00"/>
    <n v="332640"/>
    <n v="79"/>
    <s v="NOTA FISCAL Nº 26202"/>
    <s v="MARCOS ROBERTO PEREIRA"/>
  </r>
  <r>
    <s v="CL09283"/>
    <x v="2"/>
    <n v="17531"/>
    <n v="26538"/>
    <d v="2021-10-27T00:00:00"/>
    <d v="2022-04-30T00:00:00"/>
    <n v="178500"/>
    <n v="79"/>
    <s v="NOTA FISCAL Nº 26538"/>
    <s v="MARCOS ROBERTO PEREIRA"/>
  </r>
  <r>
    <s v="CL09033"/>
    <x v="0"/>
    <n v="17820"/>
    <n v="26823"/>
    <d v="2021-11-19T00:00:00"/>
    <d v="2022-05-19T00:00:00"/>
    <n v="38220"/>
    <n v="60"/>
    <s v="NOTA FISCAL Nº 26823"/>
    <s v="LUCAS SOARES FERREIRA"/>
  </r>
  <r>
    <s v="CL09033"/>
    <x v="0"/>
    <n v="17819"/>
    <n v="26822"/>
    <d v="2021-11-19T00:00:00"/>
    <d v="2022-05-19T00:00:00"/>
    <n v="43987.26"/>
    <n v="60"/>
    <s v="NOTA FISCAL Nº 26822"/>
    <s v="LUCAS SOARES FERREIRA"/>
  </r>
  <r>
    <s v="CL09033"/>
    <x v="0"/>
    <n v="18508"/>
    <n v="27506"/>
    <d v="2022-01-21T00:00:00"/>
    <d v="2022-05-21T00:00:00"/>
    <n v="8093.8"/>
    <n v="58"/>
    <s v="NOTA FISCAL Nº 27506"/>
    <s v="LUCAS SOARES FERREIRA"/>
  </r>
  <r>
    <s v="CL09033"/>
    <x v="0"/>
    <n v="18507"/>
    <n v="27505"/>
    <d v="2022-01-21T00:00:00"/>
    <d v="2022-05-21T00:00:00"/>
    <n v="1237.33"/>
    <n v="58"/>
    <s v="NOTA FISCAL Nº 27505"/>
    <s v="LUCAS SOARES FERREIRA"/>
  </r>
  <r>
    <s v="CL09033"/>
    <x v="0"/>
    <n v="18506"/>
    <n v="27504"/>
    <d v="2022-01-21T00:00:00"/>
    <d v="2022-05-21T00:00:00"/>
    <n v="2853.33"/>
    <n v="58"/>
    <s v="NOTA FISCAL Nº 27504"/>
    <s v="LUCAS SOARES FERREIRA"/>
  </r>
  <r>
    <s v="CL08907"/>
    <x v="1"/>
    <n v="17349"/>
    <n v="26353"/>
    <d v="2021-10-19T00:00:00"/>
    <d v="2022-05-30T00:00:00"/>
    <n v="199500"/>
    <n v="49"/>
    <s v="NOTA FISCAL Nº 26353"/>
    <s v="CARLOS EDUARDO BERNARDES"/>
  </r>
  <r>
    <s v="CL08753"/>
    <x v="3"/>
    <n v="17432"/>
    <n v="26434"/>
    <d v="2021-10-22T00:00:00"/>
    <d v="2022-05-30T00:00:00"/>
    <n v="64909.8"/>
    <n v="49"/>
    <s v="NOTA FISCAL Nº 26434"/>
    <s v="RAFAEL NERES DE OLIVEIRA"/>
  </r>
  <r>
    <s v="CL08907"/>
    <x v="1"/>
    <n v="17456"/>
    <n v="26463"/>
    <d v="2021-10-25T00:00:00"/>
    <d v="2022-05-30T00:00:00"/>
    <n v="192850"/>
    <n v="49"/>
    <s v="NOTA FISCAL Nº 26463"/>
    <s v="CARLOS EDUARDO BERNARDES"/>
  </r>
  <r>
    <s v="CL09033"/>
    <x v="0"/>
    <n v="18506"/>
    <n v="27504"/>
    <d v="2022-01-21T00:00:00"/>
    <d v="2022-06-05T00:00:00"/>
    <n v="2853.33"/>
    <n v="43"/>
    <s v="NOTA FISCAL Nº 27504"/>
    <s v="LUCAS SOARES FERREIRA"/>
  </r>
  <r>
    <s v="CL09033"/>
    <x v="0"/>
    <n v="17739"/>
    <n v="26732"/>
    <d v="2021-11-11T00:00:00"/>
    <d v="2022-06-09T00:00:00"/>
    <n v="3691.1"/>
    <n v="39"/>
    <s v="NOTA FISCAL Nº 26732"/>
    <s v="LUCAS SOARES FERREIRA"/>
  </r>
  <r>
    <s v="CL09033"/>
    <x v="0"/>
    <n v="17740"/>
    <n v="26733"/>
    <d v="2021-11-11T00:00:00"/>
    <d v="2022-06-09T00:00:00"/>
    <n v="1268"/>
    <n v="39"/>
    <s v="NOTA FISCAL Nº 26733"/>
    <s v="LUCAS SOARES FERREIRA"/>
  </r>
  <r>
    <s v="CL09173"/>
    <x v="4"/>
    <n v="16173"/>
    <n v="25076"/>
    <d v="2021-06-22T00:00:00"/>
    <d v="2022-06-17T00:00:00"/>
    <n v="77377.2"/>
    <n v="31"/>
    <s v="NOTA FISCAL Nº 25076"/>
    <s v="MARCOS ROBERTO PEREIRA"/>
  </r>
  <r>
    <s v="CL09033"/>
    <x v="0"/>
    <n v="18508"/>
    <n v="27506"/>
    <d v="2022-01-21T00:00:00"/>
    <d v="2022-06-20T00:00:00"/>
    <n v="8093.8"/>
    <n v="28"/>
    <s v="NOTA FISCAL Nº 27506"/>
    <s v="LUCAS SOARES FERREIRA"/>
  </r>
  <r>
    <s v="CL09033"/>
    <x v="0"/>
    <n v="18507"/>
    <n v="27505"/>
    <d v="2022-01-21T00:00:00"/>
    <d v="2022-06-20T00:00:00"/>
    <n v="1237.3399999999999"/>
    <n v="28"/>
    <s v="NOTA FISCAL Nº 27505"/>
    <s v="LUCAS SOARES FERREIRA"/>
  </r>
  <r>
    <s v="CL09033"/>
    <x v="0"/>
    <n v="18506"/>
    <n v="27504"/>
    <d v="2022-01-21T00:00:00"/>
    <d v="2022-06-20T00:00:00"/>
    <n v="2853.33"/>
    <n v="28"/>
    <s v="NOTA FISCAL Nº 27504"/>
    <s v="LUCAS SOARES FERREIRA"/>
  </r>
  <r>
    <s v="CL01192"/>
    <x v="5"/>
    <n v="19928"/>
    <n v="28995"/>
    <d v="2022-07-14T00:00:00"/>
    <d v="2022-07-14T00:00:00"/>
    <n v="7361.73"/>
    <n v="4"/>
    <s v="NOTA FISCAL Nº 28995"/>
    <s v="CRISTIANE CONTERNO DIPP"/>
  </r>
</pivotCacheRecords>
</file>

<file path=xl/pivotCache/pivotCacheRecords2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31">
  <r>
    <n v="84804"/>
    <s v="Sim"/>
    <n v="14587"/>
    <n v="7183"/>
    <n v="1"/>
    <s v="CL08844"/>
    <x v="0"/>
    <s v="20.09.2017"/>
    <s v="30.04.2018"/>
    <s v="30.04.2018"/>
    <n v="110438"/>
    <n v="0"/>
    <n v="110438"/>
    <s v="Faturamento e entrega Imediata.  Agenciamento de 10% do valor total do Pedido para o Canal distribuidor Continental de Sorriso. Valor do agenciamento =  R$ 27.999,80 Baseado em Pedidos de venda 13209. Baseado em Entrega de mercadoria 8191."/>
  </r>
  <r>
    <n v="90379"/>
    <s v="Sim"/>
    <n v="15479"/>
    <n v="7926"/>
    <n v="1"/>
    <s v="CL08844"/>
    <x v="0"/>
    <s v="12.12.2017"/>
    <s v="30.04.2018"/>
    <s v="30.04.2018"/>
    <n v="103730"/>
    <n v="0"/>
    <n v="103730"/>
    <s v="Agenciamento de 10 % para o Canal Distribuidor Continental de Sorriso.  Valor total do Agenciamento R$ 12.677,00 Baseado em Pedidos de venda 13653. Baseado em Entrega de mercadoria 8958."/>
  </r>
  <r>
    <n v="86245"/>
    <s v="Sim"/>
    <n v="14789"/>
    <n v="7352"/>
    <n v="1"/>
    <s v="CL08844"/>
    <x v="0"/>
    <s v="13.10.2017"/>
    <s v="30.04.2018"/>
    <s v="30.04.2018"/>
    <n v="169920"/>
    <n v="0"/>
    <n v="169920"/>
    <s v="Faturamento e entrega Imediata.  Agenciamento de 10% do valor total do Pedido para o Canal distribuidor Continental de Sorriso. Valor do agenciamento =  R$ 27.999,80 Baseado em Pedidos de venda 13209. Baseado em Entrega de mercadoria 8378."/>
  </r>
  <r>
    <n v="90824"/>
    <s v="Sim"/>
    <n v="15540"/>
    <n v="7976"/>
    <n v="1"/>
    <s v="CL08844"/>
    <x v="0"/>
    <s v="21.12.2017"/>
    <s v="30.04.2018"/>
    <s v="30.04.2018"/>
    <n v="22950"/>
    <n v="0"/>
    <n v="22950"/>
    <s v="Agenciamento de 10 % para o Canal Distribuidor Continental de Sorriso.  Valor total do Agenciamento R$ 12.677,00 Baseado em Pedidos de venda 13653. Baseado em Entrega de mercadoria 9015."/>
  </r>
  <r>
    <n v="103135"/>
    <s v="Sim"/>
    <n v="16858"/>
    <n v="8973"/>
    <n v="1"/>
    <s v="CL08825"/>
    <x v="1"/>
    <s v="16.08.2018"/>
    <s v="31.08.2018"/>
    <s v="31.08.2018"/>
    <n v="4000"/>
    <n v="0"/>
    <n v="4000"/>
    <s v="FATURAMENTO E ENTREGA IMEDIATA  VENCIMENTO EM 15 DIAS Baseado em Pedidos de venda 14484. Baseado em Entrega de mercadoria 10099."/>
  </r>
  <r>
    <n v="103113"/>
    <s v="Sim"/>
    <n v="16848"/>
    <n v="8964"/>
    <n v="1"/>
    <s v="CL08825"/>
    <x v="1"/>
    <s v="16.08.2018"/>
    <s v="31.08.2018"/>
    <s v="31.08.2018"/>
    <n v="26300"/>
    <n v="0"/>
    <n v="26300"/>
    <s v="FATURAMENTO E ENTREGA IMEDIATA  VENCIMENTO EM 15 DIAS Baseado em Pedidos de venda 14484. Baseado em Entrega de mercadoria 10085."/>
  </r>
  <r>
    <n v="103108"/>
    <s v="Sim"/>
    <n v="16843"/>
    <n v="8959"/>
    <n v="1"/>
    <s v="CL08825"/>
    <x v="1"/>
    <s v="16.08.2018"/>
    <s v="14.12.2018"/>
    <s v="14.12.2018"/>
    <n v="1299.75"/>
    <n v="0"/>
    <n v="1299.75"/>
    <s v="FATURAMENTO E ENTREGA IMEDIATA Baseado em Pedidos de venda 14486. Baseado em Entrega de mercadoria 10083."/>
  </r>
  <r>
    <n v="100671"/>
    <s v="Sim"/>
    <n v="16603"/>
    <n v="8779"/>
    <n v="1"/>
    <s v="CL08804"/>
    <x v="2"/>
    <s v="28.06.2018"/>
    <s v="24.01.2019"/>
    <s v="24.01.2019"/>
    <n v="9323.5"/>
    <n v="4460.45"/>
    <n v="4863.05"/>
    <s v="FATURAMENTO E ENTREGA IMEDIATA. PEDIDO COMPLEMENTAR AO PEDIDO 14296, VENCIMENTO 210 DIAS. Baseado em Pedidos de venda 14353. Baseado em Entrega de mercadoria 9899."/>
  </r>
  <r>
    <n v="103137"/>
    <s v="Sim"/>
    <n v="16859"/>
    <n v="8974"/>
    <n v="1"/>
    <s v="CL08825"/>
    <x v="1"/>
    <s v="16.08.2018"/>
    <s v="14.03.2019"/>
    <s v="14.03.2019"/>
    <n v="47094"/>
    <n v="0"/>
    <n v="47094"/>
    <s v="FATURAMENTO E ENTREGA IMEDIATA Baseado em Pedidos de venda 14485. Baseado em Entrega de mercadoria 10100."/>
  </r>
  <r>
    <n v="103112"/>
    <s v="Sim"/>
    <n v="16847"/>
    <n v="8963"/>
    <n v="1"/>
    <s v="CL08825"/>
    <x v="1"/>
    <s v="16.08.2018"/>
    <s v="14.03.2019"/>
    <s v="14.03.2019"/>
    <n v="4928.6000000000004"/>
    <n v="0"/>
    <n v="4928.6000000000004"/>
    <s v="FATURAMENTO E ENTREGA IMEDIATA Baseado em Pedidos de venda 14487. Baseado em Entrega de mercadoria 10084."/>
  </r>
  <r>
    <n v="103244"/>
    <s v="Sim"/>
    <n v="16889"/>
    <n v="8999"/>
    <n v="1"/>
    <s v="CL08825"/>
    <x v="1"/>
    <s v="17.08.2018"/>
    <s v="15.03.2019"/>
    <s v="15.03.2019"/>
    <n v="9679.5"/>
    <n v="0"/>
    <n v="9679.5"/>
    <s v="FATURAMENTO E ENTREGA IMEDIATA Baseado em Pedidos de venda 14485. Baseado em Entrega de mercadoria 10127."/>
  </r>
  <r>
    <n v="103336"/>
    <s v="Sim"/>
    <n v="16896"/>
    <n v="9004"/>
    <n v="1"/>
    <s v="CL08825"/>
    <x v="1"/>
    <s v="20.08.2018"/>
    <s v="18.03.2019"/>
    <s v="18.03.2019"/>
    <n v="215.1"/>
    <n v="0"/>
    <n v="215.1"/>
    <s v="FATURAMENTO E ENTREGA IMEDIATA Baseado em Pedidos de venda 14565. Baseado em Entrega de mercadoria 10145."/>
  </r>
  <r>
    <n v="103477"/>
    <s v="Sim"/>
    <n v="16936"/>
    <n v="9033"/>
    <n v="1"/>
    <s v="CL08804"/>
    <x v="2"/>
    <s v="21.08.2018"/>
    <s v="19.03.2019"/>
    <s v="19.03.2019"/>
    <n v="1626.88"/>
    <n v="0"/>
    <n v="1626.88"/>
    <s v="FATURAMENTO E ENTREGA IMEDIATA. PEDIDO COMPLEMENTAR AO PEDIDO 14296, VENCIMENTO 210 DIAS. Baseado em Pedidos de venda 14353. Baseado em Entrega de mercadoria 10165."/>
  </r>
  <r>
    <n v="104837"/>
    <s v="Sim"/>
    <n v="17133"/>
    <n v="9173"/>
    <n v="1"/>
    <s v="CL08804"/>
    <x v="2"/>
    <s v="12.09.2018"/>
    <s v="31.05.2019"/>
    <s v="31.05.2019"/>
    <n v="3550"/>
    <n v="568"/>
    <n v="2982"/>
    <s v="FATURAR EM 10.09.18 E ENTREGA A PARTIR DO FATURAMENTO. VENCIMENTO 31.05.2019. PEDIDO COMPLEMENTAR AO 14266. Baseado em Pedidos de venda 14584. Baseado em Entrega de mercadoria 10328."/>
  </r>
  <r>
    <n v="104835"/>
    <s v="Sim"/>
    <n v="17132"/>
    <n v="9172"/>
    <n v="1"/>
    <s v="CL08804"/>
    <x v="2"/>
    <s v="12.09.2018"/>
    <s v="31.05.2019"/>
    <s v="31.05.2019"/>
    <n v="77360"/>
    <n v="31730"/>
    <n v="45630"/>
    <s v="FATURAR EM 10.09.18 E ENTREGA A PARTIR DO FATURAMENTO. VENCIMENTO 31.05.2019 Baseado em Pedidos de venda 14266. Baseado em Entrega de mercadoria 10327."/>
  </r>
  <r>
    <n v="106709"/>
    <s v="Sim"/>
    <n v="17410"/>
    <n v="9408"/>
    <n v="1"/>
    <s v="CL08804"/>
    <x v="2"/>
    <s v="04.10.2018"/>
    <s v="31.05.2019"/>
    <s v="31.05.2019"/>
    <n v="4416"/>
    <n v="0"/>
    <n v="4416"/>
    <s v="FATURAMENTO E ENTREGA IMEDIATA. VENCIMENTO 31.05.2019. CLIENTE TEM URGÊNCIA NO PEDIDO. Baseado em Pedidos de venda 14722. Baseado em Entrega de mercadoria 10552."/>
  </r>
  <r>
    <n v="106710"/>
    <s v="Sim"/>
    <n v="17411"/>
    <n v="9409"/>
    <n v="1"/>
    <s v="CL08804"/>
    <x v="2"/>
    <s v="04.10.2018"/>
    <s v="31.05.2019"/>
    <s v="31.05.2019"/>
    <n v="40000"/>
    <n v="20692.25"/>
    <n v="19307.75"/>
    <s v="FATURAR EM 05.10.2018 E ENTREGA A PARTIR DO FATURAMENTO. VENCIMENTO 31.05.2018 Baseado em Pedidos de venda 14267. Baseado em Entrega de mercadoria 10553."/>
  </r>
  <r>
    <n v="105078"/>
    <s v="Sim"/>
    <n v="17182"/>
    <n v="9218"/>
    <n v="1"/>
    <s v="CL08804"/>
    <x v="2"/>
    <s v="14.09.2018"/>
    <s v="31.05.2019"/>
    <s v="31.05.2019"/>
    <n v="4949.5"/>
    <n v="2865.5"/>
    <n v="2084"/>
    <s v="VENDA DE PRODUTOS CONSIGNADOS. VENCIMENTO 30.07.2018. Baseado em Pedidos de venda 13679. Baseado em Entrega de mercadoria 10363."/>
  </r>
  <r>
    <n v="106711"/>
    <s v="Sim"/>
    <n v="17413"/>
    <n v="9410"/>
    <n v="1"/>
    <s v="CL08804"/>
    <x v="2"/>
    <s v="04.10.2018"/>
    <s v="31.05.2019"/>
    <s v="31.05.2019"/>
    <n v="21200"/>
    <n v="0"/>
    <n v="21200"/>
    <s v="faturar e entregar imediatamento 4000 litros de basfoliar soja, 4000 litros faturar em 05.12.18. vencimento 31.05.19 Baseado em Pedidos de venda 14772. Baseado em Entrega de mercadoria 10554."/>
  </r>
  <r>
    <n v="107610"/>
    <s v="Sim"/>
    <n v="17592"/>
    <n v="9542"/>
    <n v="1"/>
    <s v="CL08804"/>
    <x v="2"/>
    <s v="19.10.2018"/>
    <s v="31.05.2019"/>
    <s v="31.05.2019"/>
    <n v="516"/>
    <n v="0"/>
    <n v="516"/>
    <s v="FATURAR EM 10.09.18 E ENTREGA A PARTIR DO FATURAMENTO. VENCIMENTO 31.05.2019 Baseado em Pedidos de venda 14266. Baseado em Entrega de mercadoria 10693."/>
  </r>
  <r>
    <n v="107611"/>
    <s v="Sim"/>
    <n v="17593"/>
    <n v="9543"/>
    <n v="1"/>
    <s v="CL08804"/>
    <x v="2"/>
    <s v="19.10.2018"/>
    <s v="31.05.2019"/>
    <s v="31.05.2019"/>
    <n v="10770"/>
    <n v="2800.2"/>
    <n v="7969.8"/>
    <s v="FATURAMENTO E ENTREGA IMEDIATA. VENCIMENTO 31.05.2019. CLIENTE TEM URGÊNCIA NO PEDIDO. Baseado em Pedidos de venda 14722. Baseado em Entrega de mercadoria 10694."/>
  </r>
  <r>
    <n v="107612"/>
    <s v="Sim"/>
    <n v="17594"/>
    <n v="9544"/>
    <n v="1"/>
    <s v="CL08806"/>
    <x v="2"/>
    <s v="19.10.2018"/>
    <s v="31.05.2019"/>
    <s v="31.05.2019"/>
    <n v="57360"/>
    <n v="27485"/>
    <n v="29875"/>
    <s v="FATURAMENTO E ENTREGA IMEDIATA. VENCIMENTO 31.05.2018. Baseado em Pedidos de venda 14855. Baseado em Entrega de mercadoria 10695."/>
  </r>
  <r>
    <n v="132596"/>
    <s v="Sim"/>
    <n v="20745"/>
    <n v="12239"/>
    <n v="3"/>
    <s v="CL09051"/>
    <x v="3"/>
    <s v="17.12.2019"/>
    <s v="15.05.2020"/>
    <s v="15.05.2020"/>
    <n v="8304.52"/>
    <n v="5226.29"/>
    <n v="3078.23"/>
    <s v="FATURAR 90 -120 -150 DIAS RESERVAR 10 % FOB PGUA Baseado em Pedidos de venda 16603. Baseado em Entrega de mercadoria 13170. Confissão de dívida."/>
  </r>
  <r>
    <n v="134461"/>
    <s v="Sim"/>
    <n v="20974"/>
    <n v="12438"/>
    <n v="2"/>
    <s v="CL09051"/>
    <x v="3"/>
    <s v="24.01.2020"/>
    <s v="23.05.2020"/>
    <s v="23.05.2020"/>
    <n v="4198.25"/>
    <n v="0"/>
    <n v="4198.25"/>
    <s v="consignação - cfm Contrato faturar 90 - 120 - 150 dias reservar 10 %  FOB PGUA Baseado em Pedidos de venda 16604. Baseado em Entrega de mercadoria 13374. Confissão de dívida."/>
  </r>
  <r>
    <n v="126669"/>
    <s v="Sim"/>
    <n v="19874"/>
    <n v="11486"/>
    <n v="1"/>
    <s v="CL09045"/>
    <x v="4"/>
    <s v="16.09.2019"/>
    <s v="30.05.2020"/>
    <s v="30.05.2020"/>
    <n v="135600"/>
    <n v="19902.91"/>
    <n v="115697.09"/>
    <s v="Incluso 4,9% de icms,pedido complementar ,com as mesmas condições comerciais do PEDIDO 15979-BELLABAHIA. Baseado em Pedidos de venda 16089. Baseado em Entrega de mercadoria 12448."/>
  </r>
  <r>
    <n v="130079"/>
    <s v="Sim"/>
    <n v="20347"/>
    <n v="11897"/>
    <n v="1"/>
    <s v="CL09077"/>
    <x v="5"/>
    <s v="05.11.2019"/>
    <s v="30.05.2020"/>
    <s v="30.05.2020"/>
    <n v="72150"/>
    <n v="0"/>
    <n v="72150"/>
    <s v="Produto para utilização no soja. Agenciamento de 20% para BR Comércio. Baseado em Pedidos de venda 16382. Baseado em Entrega de mercadoria 12844."/>
  </r>
  <r>
    <n v="142011"/>
    <s v="Sim"/>
    <n v="142011"/>
    <n v="142011"/>
    <n v="1"/>
    <s v="CL09132"/>
    <x v="6"/>
    <s v="01.06.2020"/>
    <s v="01.06.2020"/>
    <s v="01.06.2020"/>
    <n v="546000"/>
    <n v="0"/>
    <n v="546000"/>
    <s v="Garantias BR Comércio"/>
  </r>
  <r>
    <n v="142011"/>
    <s v="Sim"/>
    <n v="142011"/>
    <n v="142011"/>
    <n v="1"/>
    <s v="CL09133"/>
    <x v="7"/>
    <s v="01.06.2020"/>
    <s v="01.06.2020"/>
    <s v="01.06.2020"/>
    <n v="285000"/>
    <n v="0"/>
    <n v="285000"/>
    <s v="Garantias BR Comércio"/>
  </r>
  <r>
    <n v="134461"/>
    <s v="Sim"/>
    <n v="20974"/>
    <n v="12438"/>
    <n v="3"/>
    <s v="CL09051"/>
    <x v="3"/>
    <s v="24.01.2020"/>
    <s v="22.06.2020"/>
    <s v="22.06.2020"/>
    <n v="4198.25"/>
    <n v="0"/>
    <n v="4198.25"/>
    <s v="consignação - cfm Contrato faturar 90 - 120 - 150 dias reservar 10 %  FOB PGUA Baseado em Pedidos de venda 16604. Baseado em Entrega de mercadoria 13374. Confissão de dívida."/>
  </r>
  <r>
    <n v="147736"/>
    <s v="Sim"/>
    <n v="22749"/>
    <n v="14014"/>
    <n v="1"/>
    <s v="CL09021"/>
    <x v="8"/>
    <s v="25.09.2020"/>
    <s v="23.01.2021"/>
    <s v="23.01.2021"/>
    <n v="20792.439999999999"/>
    <n v="0"/>
    <n v="20792.439999999999"/>
    <s v="Produtos serão retirados em Cerquilho (SP) pelo cliente no dia 01.10.2020 conforme combinado com cliente. Baseado em Pedidos de venda 17778. Baseado em Entrega de mercadoria 14918."/>
  </r>
  <r>
    <n v="150014"/>
    <s v="Sim"/>
    <n v="23124"/>
    <n v="14369"/>
    <n v="1"/>
    <s v="CL09011"/>
    <x v="9"/>
    <s v="29.10.2020"/>
    <s v="30.04.2021"/>
    <s v="30.04.2021"/>
    <n v="160353.56"/>
    <n v="124016.8"/>
    <n v="36336.76"/>
    <s v="INCLUSO 4,9% DE ICMS , COM VENCIMENTO PARA 30.04.2021. Baseado em Pedidos de venda 17934. Baseado em Entrega de mercadoria 15245."/>
  </r>
</pivotCacheRecords>
</file>

<file path=xl/pivotCache/pivotCacheRecords3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30">
  <r>
    <s v="CL06114"/>
    <x v="0"/>
    <n v="17480"/>
    <n v="26486"/>
    <d v="2021-10-26T00:00:00"/>
    <x v="0"/>
    <n v="39440"/>
  </r>
  <r>
    <s v="CL09033"/>
    <x v="1"/>
    <n v="18508"/>
    <n v="27506"/>
    <d v="2022-01-21T00:00:00"/>
    <x v="0"/>
    <n v="8093.8"/>
  </r>
  <r>
    <s v="CL09276"/>
    <x v="0"/>
    <n v="17214"/>
    <n v="26213"/>
    <d v="2021-10-11T00:00:00"/>
    <x v="0"/>
    <n v="102000"/>
  </r>
  <r>
    <s v="CL06114"/>
    <x v="0"/>
    <n v="17479"/>
    <n v="26485"/>
    <d v="2021-10-26T00:00:00"/>
    <x v="0"/>
    <n v="19785"/>
  </r>
  <r>
    <s v="CL06154"/>
    <x v="2"/>
    <n v="17482"/>
    <n v="26488"/>
    <d v="2021-10-26T00:00:00"/>
    <x v="0"/>
    <n v="102000"/>
  </r>
  <r>
    <s v="CL08571"/>
    <x v="3"/>
    <n v="18502"/>
    <n v="27500"/>
    <d v="2022-01-21T00:00:00"/>
    <x v="0"/>
    <n v="3170"/>
  </r>
  <r>
    <s v="CL08689"/>
    <x v="4"/>
    <n v="18505"/>
    <n v="27503"/>
    <d v="2022-01-21T00:00:00"/>
    <x v="0"/>
    <n v="1600"/>
  </r>
  <r>
    <s v="CL08079"/>
    <x v="5"/>
    <n v="17918"/>
    <n v="26931"/>
    <d v="2021-12-02T00:00:00"/>
    <x v="0"/>
    <n v="34846.68"/>
  </r>
  <r>
    <s v="CL09237"/>
    <x v="6"/>
    <n v="17360"/>
    <n v="26363"/>
    <d v="2021-10-20T00:00:00"/>
    <x v="0"/>
    <n v="9136"/>
  </r>
  <r>
    <s v="CL09276"/>
    <x v="0"/>
    <n v="17447"/>
    <n v="26455"/>
    <d v="2021-10-25T00:00:00"/>
    <x v="0"/>
    <n v="10034.4"/>
  </r>
  <r>
    <s v="CL09123"/>
    <x v="7"/>
    <n v="18496"/>
    <n v="27494"/>
    <d v="2022-01-21T00:00:00"/>
    <x v="0"/>
    <n v="105780"/>
  </r>
  <r>
    <s v="CL06114"/>
    <x v="0"/>
    <n v="17478"/>
    <n v="26484"/>
    <d v="2021-10-26T00:00:00"/>
    <x v="0"/>
    <n v="51408"/>
  </r>
  <r>
    <s v="CL09237"/>
    <x v="6"/>
    <n v="16889"/>
    <n v="25874"/>
    <d v="2021-09-20T00:00:00"/>
    <x v="0"/>
    <n v="20153"/>
  </r>
  <r>
    <s v="CL08689"/>
    <x v="4"/>
    <n v="18510"/>
    <n v="27508"/>
    <d v="2022-01-21T00:00:00"/>
    <x v="0"/>
    <n v="21747.14"/>
  </r>
  <r>
    <s v="CL09276"/>
    <x v="0"/>
    <n v="17448"/>
    <n v="26456"/>
    <d v="2021-10-25T00:00:00"/>
    <x v="0"/>
    <n v="19720"/>
  </r>
  <r>
    <s v="CL09276"/>
    <x v="0"/>
    <n v="17216"/>
    <n v="26215"/>
    <d v="2021-10-11T00:00:00"/>
    <x v="0"/>
    <n v="75704.69"/>
  </r>
  <r>
    <s v="CL06154"/>
    <x v="2"/>
    <n v="18129"/>
    <n v="27143"/>
    <d v="2021-12-17T00:00:00"/>
    <x v="0"/>
    <n v="8604"/>
  </r>
  <r>
    <s v="CL06154"/>
    <x v="2"/>
    <n v="17483"/>
    <n v="26489"/>
    <d v="2021-10-26T00:00:00"/>
    <x v="0"/>
    <n v="20356.04"/>
  </r>
  <r>
    <s v="CL09033"/>
    <x v="1"/>
    <n v="18506"/>
    <n v="27504"/>
    <d v="2022-01-21T00:00:00"/>
    <x v="0"/>
    <n v="2853.36"/>
  </r>
  <r>
    <s v="CL08571"/>
    <x v="3"/>
    <n v="18761"/>
    <n v="27781"/>
    <d v="2022-02-21T00:00:00"/>
    <x v="1"/>
    <n v="4320"/>
  </r>
  <r>
    <s v="CL08571"/>
    <x v="3"/>
    <n v="18763"/>
    <n v="27783"/>
    <d v="2022-02-21T00:00:00"/>
    <x v="1"/>
    <n v="40000"/>
  </r>
  <r>
    <s v="CL08571"/>
    <x v="3"/>
    <n v="18762"/>
    <n v="27782"/>
    <d v="2022-02-21T00:00:00"/>
    <x v="1"/>
    <n v="11237.5"/>
  </r>
  <r>
    <s v="CL08571"/>
    <x v="3"/>
    <n v="18764"/>
    <n v="27784"/>
    <d v="2022-02-21T00:00:00"/>
    <x v="1"/>
    <n v="23466.639999999999"/>
  </r>
  <r>
    <s v="CL08666"/>
    <x v="8"/>
    <n v="17876"/>
    <n v="26879"/>
    <d v="2021-11-23T00:00:00"/>
    <x v="1"/>
    <n v="5580"/>
  </r>
  <r>
    <s v="CL08177"/>
    <x v="9"/>
    <n v="19037"/>
    <n v="28052"/>
    <d v="2022-03-23T00:00:00"/>
    <x v="1"/>
    <n v="29274.06"/>
  </r>
  <r>
    <s v="CL08571"/>
    <x v="3"/>
    <n v="18792"/>
    <n v="27813"/>
    <d v="2022-02-22T00:00:00"/>
    <x v="2"/>
    <n v="54000"/>
  </r>
  <r>
    <s v="CL08689"/>
    <x v="4"/>
    <n v="18652"/>
    <n v="27664"/>
    <d v="2022-02-07T00:00:00"/>
    <x v="2"/>
    <n v="2066.66"/>
  </r>
  <r>
    <s v="CL09276"/>
    <x v="0"/>
    <n v="18787"/>
    <n v="27807"/>
    <d v="2022-02-22T00:00:00"/>
    <x v="2"/>
    <n v="27000"/>
  </r>
  <r>
    <s v="CL09093"/>
    <x v="10"/>
    <n v="18785"/>
    <n v="27805"/>
    <d v="2022-02-22T00:00:00"/>
    <x v="2"/>
    <n v="61215"/>
  </r>
  <r>
    <s v="CL08689"/>
    <x v="4"/>
    <n v="18653"/>
    <n v="27665"/>
    <d v="2022-02-07T00:00:00"/>
    <x v="2"/>
    <n v="8959.99"/>
  </r>
  <r>
    <s v="CL08689"/>
    <x v="4"/>
    <n v="18654"/>
    <n v="27666"/>
    <d v="2022-02-07T00:00:00"/>
    <x v="2"/>
    <n v="21746.92"/>
  </r>
  <r>
    <s v="CL09123"/>
    <x v="7"/>
    <n v="18817"/>
    <n v="27840"/>
    <d v="2022-02-23T00:00:00"/>
    <x v="3"/>
    <n v="12475"/>
  </r>
  <r>
    <s v="CL09137"/>
    <x v="11"/>
    <n v="19051"/>
    <n v="28069"/>
    <d v="2022-03-25T00:00:00"/>
    <x v="3"/>
    <n v="3040"/>
  </r>
  <r>
    <s v="CL08689"/>
    <x v="4"/>
    <n v="19632"/>
    <n v="28702"/>
    <d v="2022-05-24T00:00:00"/>
    <x v="3"/>
    <n v="62400"/>
  </r>
  <r>
    <s v="CL08571"/>
    <x v="3"/>
    <n v="18512"/>
    <n v="27510"/>
    <d v="2022-01-24T00:00:00"/>
    <x v="3"/>
    <n v="23560.560000000001"/>
  </r>
  <r>
    <s v="CL08748"/>
    <x v="12"/>
    <n v="18812"/>
    <n v="27835"/>
    <d v="2022-02-23T00:00:00"/>
    <x v="3"/>
    <n v="2773.33"/>
  </r>
  <r>
    <s v="CL09123"/>
    <x v="7"/>
    <n v="18514"/>
    <n v="27513"/>
    <d v="2022-01-24T00:00:00"/>
    <x v="3"/>
    <n v="29232.5"/>
  </r>
  <r>
    <s v="CL05643"/>
    <x v="13"/>
    <n v="18804"/>
    <n v="27828"/>
    <d v="2022-02-23T00:00:00"/>
    <x v="3"/>
    <n v="141000"/>
  </r>
  <r>
    <s v="CL08834"/>
    <x v="14"/>
    <n v="18822"/>
    <n v="27845"/>
    <d v="2022-02-23T00:00:00"/>
    <x v="3"/>
    <n v="97769.3"/>
  </r>
  <r>
    <s v="CL09173"/>
    <x v="15"/>
    <n v="18801"/>
    <n v="27823"/>
    <d v="2022-02-23T00:00:00"/>
    <x v="3"/>
    <n v="26568.3"/>
  </r>
  <r>
    <s v="CL09173"/>
    <x v="15"/>
    <n v="18803"/>
    <n v="27825"/>
    <d v="2022-02-23T00:00:00"/>
    <x v="3"/>
    <n v="85090.5"/>
  </r>
  <r>
    <s v="CL08615"/>
    <x v="16"/>
    <n v="19812"/>
    <n v="28876"/>
    <d v="2022-06-23T00:00:00"/>
    <x v="3"/>
    <n v="8391"/>
  </r>
  <r>
    <s v="CL08834"/>
    <x v="14"/>
    <n v="18821"/>
    <n v="27844"/>
    <d v="2022-02-23T00:00:00"/>
    <x v="3"/>
    <n v="6939.73"/>
  </r>
  <r>
    <s v="CL08614"/>
    <x v="17"/>
    <n v="19811"/>
    <n v="28875"/>
    <d v="2022-06-23T00:00:00"/>
    <x v="3"/>
    <n v="8391"/>
  </r>
  <r>
    <s v="CL08571"/>
    <x v="3"/>
    <n v="18815"/>
    <n v="27838"/>
    <d v="2022-02-23T00:00:00"/>
    <x v="3"/>
    <n v="54000"/>
  </r>
  <r>
    <s v="CL09173"/>
    <x v="15"/>
    <n v="18802"/>
    <n v="27824"/>
    <d v="2022-02-23T00:00:00"/>
    <x v="3"/>
    <n v="487.5"/>
  </r>
  <r>
    <s v="CL09123"/>
    <x v="7"/>
    <n v="18816"/>
    <n v="27839"/>
    <d v="2022-02-23T00:00:00"/>
    <x v="3"/>
    <n v="74850"/>
  </r>
  <r>
    <s v="CL09029"/>
    <x v="18"/>
    <n v="19349"/>
    <n v="28393"/>
    <d v="2022-04-25T00:00:00"/>
    <x v="4"/>
    <n v="126000"/>
  </r>
  <r>
    <s v="CL08689"/>
    <x v="4"/>
    <n v="18526"/>
    <n v="27527"/>
    <d v="2022-01-25T00:00:00"/>
    <x v="4"/>
    <n v="3360"/>
  </r>
  <r>
    <s v="CL08748"/>
    <x v="12"/>
    <n v="18824"/>
    <n v="27846"/>
    <d v="2022-02-24T00:00:00"/>
    <x v="4"/>
    <n v="559.59"/>
  </r>
  <r>
    <s v="CL08571"/>
    <x v="3"/>
    <n v="18842"/>
    <n v="27862"/>
    <d v="2022-02-24T00:00:00"/>
    <x v="4"/>
    <n v="54000"/>
  </r>
  <r>
    <s v="CL09123"/>
    <x v="7"/>
    <n v="18546"/>
    <n v="27544"/>
    <d v="2022-01-26T00:00:00"/>
    <x v="5"/>
    <n v="99300"/>
  </r>
  <r>
    <s v="CL08834"/>
    <x v="14"/>
    <n v="19365"/>
    <n v="28409"/>
    <d v="2022-04-26T00:00:00"/>
    <x v="5"/>
    <n v="5760"/>
  </r>
  <r>
    <s v="CL09123"/>
    <x v="7"/>
    <n v="18547"/>
    <n v="27545"/>
    <d v="2022-01-26T00:00:00"/>
    <x v="5"/>
    <n v="6900"/>
  </r>
  <r>
    <s v="CL08834"/>
    <x v="14"/>
    <n v="19362"/>
    <n v="28406"/>
    <d v="2022-04-26T00:00:00"/>
    <x v="5"/>
    <n v="2850"/>
  </r>
  <r>
    <s v="CL09276"/>
    <x v="0"/>
    <n v="18538"/>
    <n v="27536"/>
    <d v="2022-01-26T00:00:00"/>
    <x v="5"/>
    <n v="30383.3"/>
  </r>
  <r>
    <s v="CL06154"/>
    <x v="2"/>
    <n v="18540"/>
    <n v="27538"/>
    <d v="2022-01-26T00:00:00"/>
    <x v="5"/>
    <n v="96968.8"/>
  </r>
  <r>
    <s v="CL09276"/>
    <x v="0"/>
    <n v="18543"/>
    <n v="27541"/>
    <d v="2022-01-26T00:00:00"/>
    <x v="5"/>
    <n v="7702.8"/>
  </r>
  <r>
    <s v="CL08641"/>
    <x v="19"/>
    <n v="18853"/>
    <n v="27873"/>
    <d v="2022-02-25T00:00:00"/>
    <x v="5"/>
    <n v="156000"/>
  </r>
  <r>
    <s v="CL08571"/>
    <x v="3"/>
    <n v="18849"/>
    <n v="27870"/>
    <d v="2022-02-25T00:00:00"/>
    <x v="5"/>
    <n v="54000"/>
  </r>
  <r>
    <s v="CL08920"/>
    <x v="20"/>
    <n v="19243"/>
    <n v="28267"/>
    <d v="2022-04-11T00:00:00"/>
    <x v="5"/>
    <n v="27291.79"/>
  </r>
  <r>
    <s v="CL06114"/>
    <x v="0"/>
    <n v="18537"/>
    <n v="27535"/>
    <d v="2022-01-26T00:00:00"/>
    <x v="5"/>
    <n v="56161.599999999999"/>
  </r>
  <r>
    <s v="CL06114"/>
    <x v="0"/>
    <n v="18542"/>
    <n v="27540"/>
    <d v="2022-01-26T00:00:00"/>
    <x v="5"/>
    <n v="12838"/>
  </r>
  <r>
    <s v="CL08586"/>
    <x v="21"/>
    <n v="19396"/>
    <n v="28437"/>
    <d v="2022-04-27T00:00:00"/>
    <x v="6"/>
    <n v="13200"/>
  </r>
  <r>
    <s v="CL09239"/>
    <x v="22"/>
    <n v="19377"/>
    <n v="28420"/>
    <d v="2022-04-27T00:00:00"/>
    <x v="6"/>
    <n v="16800"/>
  </r>
  <r>
    <s v="CL08748"/>
    <x v="12"/>
    <n v="19075"/>
    <n v="28094"/>
    <d v="2022-03-28T00:00:00"/>
    <x v="6"/>
    <n v="8446.66"/>
  </r>
  <r>
    <s v="CL09224"/>
    <x v="23"/>
    <n v="19375"/>
    <n v="28418"/>
    <d v="2022-04-27T00:00:00"/>
    <x v="6"/>
    <n v="5167.49"/>
  </r>
  <r>
    <s v="CL08748"/>
    <x v="12"/>
    <n v="19074"/>
    <n v="28093"/>
    <d v="2022-03-28T00:00:00"/>
    <x v="6"/>
    <n v="11880"/>
  </r>
  <r>
    <s v="CL08556"/>
    <x v="24"/>
    <n v="19376"/>
    <n v="28419"/>
    <d v="2022-04-27T00:00:00"/>
    <x v="6"/>
    <n v="11807.25"/>
  </r>
  <r>
    <s v="CL09327"/>
    <x v="25"/>
    <n v="19089"/>
    <n v="28108"/>
    <d v="2022-03-28T00:00:00"/>
    <x v="6"/>
    <n v="145716.79999999999"/>
  </r>
  <r>
    <s v="CL08586"/>
    <x v="21"/>
    <n v="19399"/>
    <n v="28439"/>
    <d v="2022-04-27T00:00:00"/>
    <x v="6"/>
    <n v="4032"/>
  </r>
  <r>
    <s v="CL08227"/>
    <x v="26"/>
    <n v="19392"/>
    <n v="28433"/>
    <d v="2022-04-27T00:00:00"/>
    <x v="6"/>
    <n v="33572.5"/>
  </r>
  <r>
    <s v="CL08586"/>
    <x v="21"/>
    <n v="19400"/>
    <n v="28440"/>
    <d v="2022-04-27T00:00:00"/>
    <x v="6"/>
    <n v="65586.600000000006"/>
  </r>
  <r>
    <s v="CL01223"/>
    <x v="27"/>
    <n v="19394"/>
    <n v="28435"/>
    <d v="2022-04-27T00:00:00"/>
    <x v="6"/>
    <n v="17350"/>
  </r>
  <r>
    <s v="CL01223"/>
    <x v="27"/>
    <n v="19393"/>
    <n v="28434"/>
    <d v="2022-04-27T00:00:00"/>
    <x v="6"/>
    <n v="5275"/>
  </r>
  <r>
    <s v="CL08556"/>
    <x v="24"/>
    <n v="19370"/>
    <n v="28414"/>
    <d v="2022-04-27T00:00:00"/>
    <x v="6"/>
    <n v="2375"/>
  </r>
  <r>
    <s v="CL08029"/>
    <x v="28"/>
    <n v="19391"/>
    <n v="28432"/>
    <d v="2022-04-27T00:00:00"/>
    <x v="6"/>
    <n v="40600"/>
  </r>
  <r>
    <s v="CL09187"/>
    <x v="29"/>
    <n v="19084"/>
    <n v="28104"/>
    <d v="2022-03-28T00:00:00"/>
    <x v="6"/>
    <n v="145716.79999999999"/>
  </r>
  <r>
    <s v="CL08748"/>
    <x v="12"/>
    <n v="18558"/>
    <n v="27565"/>
    <d v="2022-01-28T00:00:00"/>
    <x v="7"/>
    <n v="2333.34"/>
  </r>
  <r>
    <s v="CL08689"/>
    <x v="4"/>
    <n v="19131"/>
    <n v="28150"/>
    <d v="2022-03-29T00:00:00"/>
    <x v="7"/>
    <n v="18583.48"/>
  </r>
  <r>
    <s v="CL08689"/>
    <x v="4"/>
    <n v="19130"/>
    <n v="28149"/>
    <d v="2022-03-29T00:00:00"/>
    <x v="7"/>
    <n v="21839.42"/>
  </r>
  <r>
    <s v="CL08571"/>
    <x v="3"/>
    <n v="19128"/>
    <n v="28147"/>
    <d v="2022-03-29T00:00:00"/>
    <x v="7"/>
    <n v="16562.919999999998"/>
  </r>
  <r>
    <s v="CL09093"/>
    <x v="10"/>
    <n v="19120"/>
    <n v="28140"/>
    <d v="2022-03-29T00:00:00"/>
    <x v="7"/>
    <n v="11464"/>
  </r>
  <r>
    <s v="CL08571"/>
    <x v="3"/>
    <n v="19126"/>
    <n v="28145"/>
    <d v="2022-03-29T00:00:00"/>
    <x v="7"/>
    <n v="5416.66"/>
  </r>
  <r>
    <s v="CL08689"/>
    <x v="4"/>
    <n v="19136"/>
    <n v="28153"/>
    <d v="2022-03-29T00:00:00"/>
    <x v="7"/>
    <n v="4571.1099999999997"/>
  </r>
  <r>
    <s v="CL08571"/>
    <x v="3"/>
    <n v="19129"/>
    <n v="28148"/>
    <d v="2022-03-29T00:00:00"/>
    <x v="7"/>
    <n v="34349.97"/>
  </r>
  <r>
    <s v="CL08847"/>
    <x v="30"/>
    <n v="19828"/>
    <n v="28894"/>
    <d v="2022-06-27T00:00:00"/>
    <x v="7"/>
    <n v="6493"/>
  </r>
  <r>
    <s v="CL06114"/>
    <x v="0"/>
    <n v="18566"/>
    <n v="27573"/>
    <d v="2022-01-28T00:00:00"/>
    <x v="7"/>
    <n v="37800"/>
  </r>
  <r>
    <s v="CL08571"/>
    <x v="3"/>
    <n v="18563"/>
    <n v="27570"/>
    <d v="2022-01-28T00:00:00"/>
    <x v="7"/>
    <n v="39840"/>
  </r>
  <r>
    <s v="CL08571"/>
    <x v="3"/>
    <n v="19127"/>
    <n v="28146"/>
    <d v="2022-03-29T00:00:00"/>
    <x v="7"/>
    <n v="10833.32"/>
  </r>
  <r>
    <s v="CL08571"/>
    <x v="3"/>
    <n v="19125"/>
    <n v="28144"/>
    <d v="2022-03-29T00:00:00"/>
    <x v="7"/>
    <n v="2599.4"/>
  </r>
  <r>
    <s v="CL06154"/>
    <x v="2"/>
    <n v="18567"/>
    <n v="27574"/>
    <d v="2022-01-28T00:00:00"/>
    <x v="7"/>
    <n v="48000"/>
  </r>
  <r>
    <s v="CL08689"/>
    <x v="4"/>
    <n v="19137"/>
    <n v="28154"/>
    <d v="2022-03-29T00:00:00"/>
    <x v="7"/>
    <n v="16477.759999999998"/>
  </r>
  <r>
    <s v="CL07667"/>
    <x v="31"/>
    <n v="19150"/>
    <n v="28169"/>
    <d v="2022-03-30T00:00:00"/>
    <x v="8"/>
    <n v="13436"/>
  </r>
  <r>
    <s v="CL07667"/>
    <x v="31"/>
    <n v="19148"/>
    <n v="28167"/>
    <d v="2022-03-30T00:00:00"/>
    <x v="8"/>
    <n v="17536.8"/>
  </r>
  <r>
    <s v="CL07667"/>
    <x v="31"/>
    <n v="19149"/>
    <n v="28168"/>
    <d v="2022-03-30T00:00:00"/>
    <x v="8"/>
    <n v="61605.8"/>
  </r>
  <r>
    <s v="CL08747"/>
    <x v="32"/>
    <n v="19151"/>
    <n v="28170"/>
    <d v="2022-03-31T00:00:00"/>
    <x v="9"/>
    <n v="22334.639999999999"/>
  </r>
  <r>
    <s v="CL09237"/>
    <x v="6"/>
    <n v="19685"/>
    <n v="28754"/>
    <d v="2022-05-30T00:00:00"/>
    <x v="9"/>
    <n v="102030"/>
  </r>
  <r>
    <s v="CL09237"/>
    <x v="6"/>
    <n v="19687"/>
    <n v="28755"/>
    <d v="2022-05-30T00:00:00"/>
    <x v="9"/>
    <n v="80550"/>
  </r>
  <r>
    <s v="CL08689"/>
    <x v="4"/>
    <n v="18726"/>
    <n v="27742"/>
    <d v="2022-02-14T00:00:00"/>
    <x v="9"/>
    <n v="18583.48"/>
  </r>
  <r>
    <s v="CL08689"/>
    <x v="4"/>
    <n v="18727"/>
    <n v="27743"/>
    <d v="2022-02-14T00:00:00"/>
    <x v="9"/>
    <n v="17024.43"/>
  </r>
  <r>
    <s v="CL08689"/>
    <x v="4"/>
    <n v="18725"/>
    <n v="27741"/>
    <d v="2022-02-14T00:00:00"/>
    <x v="9"/>
    <n v="3430"/>
  </r>
  <r>
    <s v="CL06114"/>
    <x v="0"/>
    <n v="19176"/>
    <n v="28192"/>
    <d v="2022-04-01T00:00:00"/>
    <x v="10"/>
    <n v="26000"/>
  </r>
  <r>
    <s v="CL08334"/>
    <x v="33"/>
    <n v="18064"/>
    <n v="27078"/>
    <d v="2021-12-13T00:00:00"/>
    <x v="10"/>
    <n v="184248.02"/>
  </r>
  <r>
    <s v="CL09123"/>
    <x v="7"/>
    <n v="18579"/>
    <n v="27588"/>
    <d v="2022-01-31T00:00:00"/>
    <x v="10"/>
    <n v="117000"/>
  </r>
  <r>
    <s v="CL09194"/>
    <x v="34"/>
    <n v="17399"/>
    <n v="26403"/>
    <d v="2021-10-20T00:00:00"/>
    <x v="10"/>
    <n v="94840"/>
  </r>
  <r>
    <s v="CL06154"/>
    <x v="2"/>
    <n v="19180"/>
    <n v="28196"/>
    <d v="2022-04-01T00:00:00"/>
    <x v="10"/>
    <n v="33000"/>
  </r>
  <r>
    <s v="CL08747"/>
    <x v="32"/>
    <n v="19175"/>
    <n v="28191"/>
    <d v="2022-04-01T00:00:00"/>
    <x v="10"/>
    <n v="3425"/>
  </r>
  <r>
    <s v="CL06154"/>
    <x v="2"/>
    <n v="19181"/>
    <n v="28197"/>
    <d v="2022-04-01T00:00:00"/>
    <x v="10"/>
    <n v="81771.199999999997"/>
  </r>
  <r>
    <s v="CL08555"/>
    <x v="35"/>
    <n v="19666"/>
    <n v="28734"/>
    <d v="2022-05-26T00:00:00"/>
    <x v="10"/>
    <n v="76042.63"/>
  </r>
  <r>
    <s v="CL09194"/>
    <x v="34"/>
    <n v="17790"/>
    <n v="26793"/>
    <d v="2021-11-18T00:00:00"/>
    <x v="10"/>
    <n v="85280"/>
  </r>
  <r>
    <s v="CL09276"/>
    <x v="0"/>
    <n v="16999"/>
    <n v="26007"/>
    <d v="2021-09-27T00:00:00"/>
    <x v="10"/>
    <n v="9780"/>
  </r>
  <r>
    <s v="CL09194"/>
    <x v="34"/>
    <n v="17190"/>
    <n v="26188"/>
    <d v="2021-10-08T00:00:00"/>
    <x v="10"/>
    <n v="42032"/>
  </r>
  <r>
    <s v="CL08571"/>
    <x v="3"/>
    <n v="18575"/>
    <n v="27583"/>
    <d v="2022-01-31T00:00:00"/>
    <x v="10"/>
    <n v="54000"/>
  </r>
  <r>
    <s v="CL09194"/>
    <x v="34"/>
    <n v="17869"/>
    <n v="26873"/>
    <d v="2021-11-23T00:00:00"/>
    <x v="10"/>
    <n v="64000"/>
  </r>
  <r>
    <s v="CL09194"/>
    <x v="34"/>
    <n v="18040"/>
    <n v="27051"/>
    <d v="2021-12-09T00:00:00"/>
    <x v="10"/>
    <n v="128560"/>
  </r>
  <r>
    <s v="CL06114"/>
    <x v="0"/>
    <n v="19178"/>
    <n v="28194"/>
    <d v="2022-04-01T00:00:00"/>
    <x v="10"/>
    <n v="156392"/>
  </r>
  <r>
    <s v="CL09123"/>
    <x v="7"/>
    <n v="18875"/>
    <n v="27893"/>
    <d v="2022-03-03T00:00:00"/>
    <x v="11"/>
    <n v="108000"/>
  </r>
  <r>
    <s v="CL08586"/>
    <x v="21"/>
    <n v="19438"/>
    <n v="28491"/>
    <d v="2022-05-02T00:00:00"/>
    <x v="11"/>
    <n v="39713.29"/>
  </r>
  <r>
    <s v="CL09123"/>
    <x v="7"/>
    <n v="18885"/>
    <n v="27901"/>
    <d v="2022-03-03T00:00:00"/>
    <x v="11"/>
    <n v="64800"/>
  </r>
  <r>
    <s v="CL09123"/>
    <x v="7"/>
    <n v="18881"/>
    <n v="27898"/>
    <d v="2022-03-03T00:00:00"/>
    <x v="11"/>
    <n v="32445"/>
  </r>
  <r>
    <s v="CL08556"/>
    <x v="24"/>
    <n v="19440"/>
    <n v="28493"/>
    <d v="2022-05-02T00:00:00"/>
    <x v="11"/>
    <n v="17710"/>
  </r>
  <r>
    <s v="CL08666"/>
    <x v="8"/>
    <m/>
    <n v="188607"/>
    <d v="2022-05-31T00:00:00"/>
    <x v="11"/>
    <n v="104992.8"/>
  </r>
  <r>
    <s v="CL09123"/>
    <x v="7"/>
    <n v="18882"/>
    <n v="27899"/>
    <d v="2022-03-03T00:00:00"/>
    <x v="11"/>
    <n v="13847.49"/>
  </r>
  <r>
    <s v="CL09123"/>
    <x v="7"/>
    <n v="18880"/>
    <n v="27897"/>
    <d v="2022-03-03T00:00:00"/>
    <x v="11"/>
    <n v="13905"/>
  </r>
  <r>
    <s v="CL09276"/>
    <x v="0"/>
    <n v="18591"/>
    <n v="27600"/>
    <d v="2022-02-01T00:00:00"/>
    <x v="11"/>
    <n v="48000"/>
  </r>
  <r>
    <s v="CL09244"/>
    <x v="36"/>
    <n v="18887"/>
    <n v="27903"/>
    <d v="2022-03-03T00:00:00"/>
    <x v="11"/>
    <n v="133500"/>
  </r>
  <r>
    <s v="CL09030"/>
    <x v="37"/>
    <n v="17938"/>
    <n v="26952"/>
    <d v="2021-12-03T00:00:00"/>
    <x v="11"/>
    <n v="8400"/>
  </r>
  <r>
    <s v="CL08571"/>
    <x v="3"/>
    <n v="18876"/>
    <n v="27894"/>
    <d v="2022-03-03T00:00:00"/>
    <x v="11"/>
    <n v="54000"/>
  </r>
  <r>
    <s v="CL09123"/>
    <x v="7"/>
    <n v="18874"/>
    <n v="27892"/>
    <d v="2022-03-03T00:00:00"/>
    <x v="11"/>
    <n v="23312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3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8CC32F88-8D71-4A73-868E-E9A50780BC3A}" name="Tabela Dinâmica3" cacheId="6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>
  <location ref="I1:J113" firstHeaderRow="1" firstDataRow="1" firstDataCol="1"/>
  <pivotFields count="7">
    <pivotField showAll="0"/>
    <pivotField axis="axisRow" showAll="0" sortType="descending">
      <items count="39">
        <item x="37"/>
        <item x="14"/>
        <item x="23"/>
        <item x="31"/>
        <item x="21"/>
        <item x="22"/>
        <item x="28"/>
        <item x="34"/>
        <item x="0"/>
        <item x="2"/>
        <item x="26"/>
        <item x="13"/>
        <item x="17"/>
        <item x="16"/>
        <item x="18"/>
        <item x="4"/>
        <item x="36"/>
        <item x="27"/>
        <item x="32"/>
        <item x="33"/>
        <item x="20"/>
        <item x="10"/>
        <item x="1"/>
        <item x="15"/>
        <item x="7"/>
        <item x="29"/>
        <item x="9"/>
        <item x="12"/>
        <item x="6"/>
        <item x="25"/>
        <item x="35"/>
        <item x="19"/>
        <item x="30"/>
        <item x="11"/>
        <item x="24"/>
        <item x="8"/>
        <item x="3"/>
        <item x="5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/>
    <pivotField showAll="0"/>
    <pivotField numFmtId="14" showAll="0"/>
    <pivotField axis="axisRow" numFmtId="14" showAll="0">
      <items count="13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t="default"/>
      </items>
    </pivotField>
    <pivotField dataField="1" showAll="0"/>
  </pivotFields>
  <rowFields count="2">
    <field x="1"/>
    <field x="5"/>
  </rowFields>
  <rowItems count="112">
    <i>
      <x v="8"/>
    </i>
    <i r="1">
      <x/>
    </i>
    <i r="1">
      <x v="2"/>
    </i>
    <i r="1">
      <x v="5"/>
    </i>
    <i r="1">
      <x v="7"/>
    </i>
    <i r="1">
      <x v="10"/>
    </i>
    <i r="1">
      <x v="11"/>
    </i>
    <i>
      <x v="24"/>
    </i>
    <i r="1">
      <x/>
    </i>
    <i r="1">
      <x v="3"/>
    </i>
    <i r="1">
      <x v="5"/>
    </i>
    <i r="1">
      <x v="10"/>
    </i>
    <i r="1">
      <x v="11"/>
    </i>
    <i>
      <x v="36"/>
    </i>
    <i r="1">
      <x/>
    </i>
    <i r="1">
      <x v="1"/>
    </i>
    <i r="1">
      <x v="2"/>
    </i>
    <i r="1">
      <x v="3"/>
    </i>
    <i r="1">
      <x v="4"/>
    </i>
    <i r="1">
      <x v="5"/>
    </i>
    <i r="1">
      <x v="7"/>
    </i>
    <i r="1">
      <x v="10"/>
    </i>
    <i r="1">
      <x v="11"/>
    </i>
    <i>
      <x v="7"/>
    </i>
    <i r="1">
      <x v="10"/>
    </i>
    <i>
      <x v="9"/>
    </i>
    <i r="1">
      <x/>
    </i>
    <i r="1">
      <x v="5"/>
    </i>
    <i r="1">
      <x v="7"/>
    </i>
    <i r="1">
      <x v="10"/>
    </i>
    <i>
      <x v="15"/>
    </i>
    <i r="1">
      <x/>
    </i>
    <i r="1">
      <x v="2"/>
    </i>
    <i r="1">
      <x v="3"/>
    </i>
    <i r="1">
      <x v="4"/>
    </i>
    <i r="1">
      <x v="7"/>
    </i>
    <i r="1">
      <x v="9"/>
    </i>
    <i>
      <x v="28"/>
    </i>
    <i r="1">
      <x/>
    </i>
    <i r="1">
      <x v="9"/>
    </i>
    <i>
      <x v="19"/>
    </i>
    <i r="1">
      <x v="10"/>
    </i>
    <i>
      <x v="31"/>
    </i>
    <i r="1">
      <x v="5"/>
    </i>
    <i>
      <x v="25"/>
    </i>
    <i r="1">
      <x v="6"/>
    </i>
    <i>
      <x v="29"/>
    </i>
    <i r="1">
      <x v="6"/>
    </i>
    <i>
      <x v="11"/>
    </i>
    <i r="1">
      <x v="3"/>
    </i>
    <i>
      <x v="16"/>
    </i>
    <i r="1">
      <x v="11"/>
    </i>
    <i>
      <x v="14"/>
    </i>
    <i r="1">
      <x v="4"/>
    </i>
    <i>
      <x v="4"/>
    </i>
    <i r="1">
      <x v="6"/>
    </i>
    <i r="1">
      <x v="11"/>
    </i>
    <i>
      <x v="1"/>
    </i>
    <i r="1">
      <x v="3"/>
    </i>
    <i r="1">
      <x v="5"/>
    </i>
    <i>
      <x v="23"/>
    </i>
    <i r="1">
      <x v="3"/>
    </i>
    <i>
      <x v="35"/>
    </i>
    <i r="1">
      <x v="1"/>
    </i>
    <i r="1">
      <x v="11"/>
    </i>
    <i>
      <x v="3"/>
    </i>
    <i r="1">
      <x v="8"/>
    </i>
    <i>
      <x v="30"/>
    </i>
    <i r="1">
      <x v="10"/>
    </i>
    <i>
      <x v="21"/>
    </i>
    <i r="1">
      <x v="2"/>
    </i>
    <i r="1">
      <x v="7"/>
    </i>
    <i>
      <x v="6"/>
    </i>
    <i r="1">
      <x v="6"/>
    </i>
    <i>
      <x v="37"/>
    </i>
    <i r="1">
      <x/>
    </i>
    <i>
      <x v="10"/>
    </i>
    <i r="1">
      <x v="6"/>
    </i>
    <i>
      <x v="34"/>
    </i>
    <i r="1">
      <x v="6"/>
    </i>
    <i r="1">
      <x v="11"/>
    </i>
    <i>
      <x v="26"/>
    </i>
    <i r="1">
      <x v="1"/>
    </i>
    <i>
      <x v="20"/>
    </i>
    <i r="1">
      <x v="5"/>
    </i>
    <i>
      <x v="27"/>
    </i>
    <i r="1">
      <x v="3"/>
    </i>
    <i r="1">
      <x v="4"/>
    </i>
    <i r="1">
      <x v="6"/>
    </i>
    <i r="1">
      <x v="7"/>
    </i>
    <i>
      <x v="18"/>
    </i>
    <i r="1">
      <x v="9"/>
    </i>
    <i r="1">
      <x v="10"/>
    </i>
    <i>
      <x v="17"/>
    </i>
    <i r="1">
      <x v="6"/>
    </i>
    <i>
      <x v="5"/>
    </i>
    <i r="1">
      <x v="6"/>
    </i>
    <i>
      <x v="22"/>
    </i>
    <i r="1">
      <x/>
    </i>
    <i>
      <x/>
    </i>
    <i r="1">
      <x v="11"/>
    </i>
    <i>
      <x v="13"/>
    </i>
    <i r="1">
      <x v="3"/>
    </i>
    <i>
      <x v="12"/>
    </i>
    <i r="1">
      <x v="3"/>
    </i>
    <i>
      <x v="32"/>
    </i>
    <i r="1">
      <x v="7"/>
    </i>
    <i>
      <x v="2"/>
    </i>
    <i r="1">
      <x v="6"/>
    </i>
    <i>
      <x v="33"/>
    </i>
    <i r="1">
      <x v="3"/>
    </i>
    <i t="grand">
      <x/>
    </i>
  </rowItems>
  <colItems count="1">
    <i/>
  </colItems>
  <dataFields count="1">
    <dataField name="Soma de Valor R$" fld="6" baseField="0" baseItem="0"/>
  </dataFields>
  <formats count="85">
    <format dxfId="112">
      <pivotArea collapsedLevelsAreSubtotals="1" fieldPosition="0">
        <references count="1">
          <reference field="1" count="1">
            <x v="8"/>
          </reference>
        </references>
      </pivotArea>
    </format>
    <format dxfId="111">
      <pivotArea collapsedLevelsAreSubtotals="1" fieldPosition="0">
        <references count="2">
          <reference field="1" count="1" selected="0">
            <x v="8"/>
          </reference>
          <reference field="5" count="6">
            <x v="0"/>
            <x v="2"/>
            <x v="5"/>
            <x v="7"/>
            <x v="10"/>
            <x v="11"/>
          </reference>
        </references>
      </pivotArea>
    </format>
    <format dxfId="110">
      <pivotArea collapsedLevelsAreSubtotals="1" fieldPosition="0">
        <references count="1">
          <reference field="1" count="1">
            <x v="24"/>
          </reference>
        </references>
      </pivotArea>
    </format>
    <format dxfId="109">
      <pivotArea collapsedLevelsAreSubtotals="1" fieldPosition="0">
        <references count="2">
          <reference field="1" count="1" selected="0">
            <x v="24"/>
          </reference>
          <reference field="5" count="5">
            <x v="0"/>
            <x v="3"/>
            <x v="5"/>
            <x v="10"/>
            <x v="11"/>
          </reference>
        </references>
      </pivotArea>
    </format>
    <format dxfId="108">
      <pivotArea collapsedLevelsAreSubtotals="1" fieldPosition="0">
        <references count="1">
          <reference field="1" count="1">
            <x v="36"/>
          </reference>
        </references>
      </pivotArea>
    </format>
    <format dxfId="107">
      <pivotArea collapsedLevelsAreSubtotals="1" fieldPosition="0">
        <references count="2">
          <reference field="1" count="1" selected="0">
            <x v="36"/>
          </reference>
          <reference field="5" count="9">
            <x v="0"/>
            <x v="1"/>
            <x v="2"/>
            <x v="3"/>
            <x v="4"/>
            <x v="5"/>
            <x v="7"/>
            <x v="10"/>
            <x v="11"/>
          </reference>
        </references>
      </pivotArea>
    </format>
    <format dxfId="106">
      <pivotArea collapsedLevelsAreSubtotals="1" fieldPosition="0">
        <references count="1">
          <reference field="1" count="1">
            <x v="7"/>
          </reference>
        </references>
      </pivotArea>
    </format>
    <format dxfId="105">
      <pivotArea collapsedLevelsAreSubtotals="1" fieldPosition="0">
        <references count="2">
          <reference field="1" count="1" selected="0">
            <x v="7"/>
          </reference>
          <reference field="5" count="1">
            <x v="10"/>
          </reference>
        </references>
      </pivotArea>
    </format>
    <format dxfId="104">
      <pivotArea collapsedLevelsAreSubtotals="1" fieldPosition="0">
        <references count="1">
          <reference field="1" count="1">
            <x v="9"/>
          </reference>
        </references>
      </pivotArea>
    </format>
    <format dxfId="103">
      <pivotArea collapsedLevelsAreSubtotals="1" fieldPosition="0">
        <references count="2">
          <reference field="1" count="1" selected="0">
            <x v="9"/>
          </reference>
          <reference field="5" count="4">
            <x v="0"/>
            <x v="5"/>
            <x v="7"/>
            <x v="10"/>
          </reference>
        </references>
      </pivotArea>
    </format>
    <format dxfId="102">
      <pivotArea collapsedLevelsAreSubtotals="1" fieldPosition="0">
        <references count="1">
          <reference field="1" count="1">
            <x v="15"/>
          </reference>
        </references>
      </pivotArea>
    </format>
    <format dxfId="101">
      <pivotArea collapsedLevelsAreSubtotals="1" fieldPosition="0">
        <references count="2">
          <reference field="1" count="1" selected="0">
            <x v="15"/>
          </reference>
          <reference field="5" count="6">
            <x v="0"/>
            <x v="2"/>
            <x v="3"/>
            <x v="4"/>
            <x v="7"/>
            <x v="9"/>
          </reference>
        </references>
      </pivotArea>
    </format>
    <format dxfId="100">
      <pivotArea collapsedLevelsAreSubtotals="1" fieldPosition="0">
        <references count="1">
          <reference field="1" count="1">
            <x v="28"/>
          </reference>
        </references>
      </pivotArea>
    </format>
    <format dxfId="99">
      <pivotArea collapsedLevelsAreSubtotals="1" fieldPosition="0">
        <references count="2">
          <reference field="1" count="1" selected="0">
            <x v="28"/>
          </reference>
          <reference field="5" count="2">
            <x v="0"/>
            <x v="9"/>
          </reference>
        </references>
      </pivotArea>
    </format>
    <format dxfId="98">
      <pivotArea collapsedLevelsAreSubtotals="1" fieldPosition="0">
        <references count="1">
          <reference field="1" count="1">
            <x v="19"/>
          </reference>
        </references>
      </pivotArea>
    </format>
    <format dxfId="97">
      <pivotArea collapsedLevelsAreSubtotals="1" fieldPosition="0">
        <references count="2">
          <reference field="1" count="1" selected="0">
            <x v="19"/>
          </reference>
          <reference field="5" count="1">
            <x v="10"/>
          </reference>
        </references>
      </pivotArea>
    </format>
    <format dxfId="96">
      <pivotArea collapsedLevelsAreSubtotals="1" fieldPosition="0">
        <references count="1">
          <reference field="1" count="1">
            <x v="31"/>
          </reference>
        </references>
      </pivotArea>
    </format>
    <format dxfId="95">
      <pivotArea collapsedLevelsAreSubtotals="1" fieldPosition="0">
        <references count="2">
          <reference field="1" count="1" selected="0">
            <x v="31"/>
          </reference>
          <reference field="5" count="1">
            <x v="5"/>
          </reference>
        </references>
      </pivotArea>
    </format>
    <format dxfId="94">
      <pivotArea collapsedLevelsAreSubtotals="1" fieldPosition="0">
        <references count="1">
          <reference field="1" count="1">
            <x v="25"/>
          </reference>
        </references>
      </pivotArea>
    </format>
    <format dxfId="93">
      <pivotArea collapsedLevelsAreSubtotals="1" fieldPosition="0">
        <references count="2">
          <reference field="1" count="1" selected="0">
            <x v="25"/>
          </reference>
          <reference field="5" count="1">
            <x v="6"/>
          </reference>
        </references>
      </pivotArea>
    </format>
    <format dxfId="92">
      <pivotArea collapsedLevelsAreSubtotals="1" fieldPosition="0">
        <references count="1">
          <reference field="1" count="1">
            <x v="29"/>
          </reference>
        </references>
      </pivotArea>
    </format>
    <format dxfId="91">
      <pivotArea collapsedLevelsAreSubtotals="1" fieldPosition="0">
        <references count="2">
          <reference field="1" count="1" selected="0">
            <x v="29"/>
          </reference>
          <reference field="5" count="1">
            <x v="6"/>
          </reference>
        </references>
      </pivotArea>
    </format>
    <format dxfId="90">
      <pivotArea collapsedLevelsAreSubtotals="1" fieldPosition="0">
        <references count="1">
          <reference field="1" count="1">
            <x v="11"/>
          </reference>
        </references>
      </pivotArea>
    </format>
    <format dxfId="89">
      <pivotArea collapsedLevelsAreSubtotals="1" fieldPosition="0">
        <references count="2">
          <reference field="1" count="1" selected="0">
            <x v="11"/>
          </reference>
          <reference field="5" count="1">
            <x v="3"/>
          </reference>
        </references>
      </pivotArea>
    </format>
    <format dxfId="88">
      <pivotArea collapsedLevelsAreSubtotals="1" fieldPosition="0">
        <references count="1">
          <reference field="1" count="1">
            <x v="16"/>
          </reference>
        </references>
      </pivotArea>
    </format>
    <format dxfId="87">
      <pivotArea collapsedLevelsAreSubtotals="1" fieldPosition="0">
        <references count="2">
          <reference field="1" count="1" selected="0">
            <x v="16"/>
          </reference>
          <reference field="5" count="1">
            <x v="11"/>
          </reference>
        </references>
      </pivotArea>
    </format>
    <format dxfId="86">
      <pivotArea collapsedLevelsAreSubtotals="1" fieldPosition="0">
        <references count="1">
          <reference field="1" count="1">
            <x v="14"/>
          </reference>
        </references>
      </pivotArea>
    </format>
    <format dxfId="85">
      <pivotArea collapsedLevelsAreSubtotals="1" fieldPosition="0">
        <references count="2">
          <reference field="1" count="1" selected="0">
            <x v="14"/>
          </reference>
          <reference field="5" count="1">
            <x v="4"/>
          </reference>
        </references>
      </pivotArea>
    </format>
    <format dxfId="84">
      <pivotArea collapsedLevelsAreSubtotals="1" fieldPosition="0">
        <references count="1">
          <reference field="1" count="1">
            <x v="4"/>
          </reference>
        </references>
      </pivotArea>
    </format>
    <format dxfId="83">
      <pivotArea collapsedLevelsAreSubtotals="1" fieldPosition="0">
        <references count="2">
          <reference field="1" count="1" selected="0">
            <x v="4"/>
          </reference>
          <reference field="5" count="2">
            <x v="6"/>
            <x v="11"/>
          </reference>
        </references>
      </pivotArea>
    </format>
    <format dxfId="82">
      <pivotArea collapsedLevelsAreSubtotals="1" fieldPosition="0">
        <references count="1">
          <reference field="1" count="1">
            <x v="1"/>
          </reference>
        </references>
      </pivotArea>
    </format>
    <format dxfId="81">
      <pivotArea collapsedLevelsAreSubtotals="1" fieldPosition="0">
        <references count="2">
          <reference field="1" count="1" selected="0">
            <x v="1"/>
          </reference>
          <reference field="5" count="2">
            <x v="3"/>
            <x v="5"/>
          </reference>
        </references>
      </pivotArea>
    </format>
    <format dxfId="80">
      <pivotArea collapsedLevelsAreSubtotals="1" fieldPosition="0">
        <references count="1">
          <reference field="1" count="1">
            <x v="23"/>
          </reference>
        </references>
      </pivotArea>
    </format>
    <format dxfId="79">
      <pivotArea collapsedLevelsAreSubtotals="1" fieldPosition="0">
        <references count="2">
          <reference field="1" count="1" selected="0">
            <x v="23"/>
          </reference>
          <reference field="5" count="1">
            <x v="3"/>
          </reference>
        </references>
      </pivotArea>
    </format>
    <format dxfId="78">
      <pivotArea collapsedLevelsAreSubtotals="1" fieldPosition="0">
        <references count="1">
          <reference field="1" count="1">
            <x v="35"/>
          </reference>
        </references>
      </pivotArea>
    </format>
    <format dxfId="77">
      <pivotArea collapsedLevelsAreSubtotals="1" fieldPosition="0">
        <references count="2">
          <reference field="1" count="1" selected="0">
            <x v="35"/>
          </reference>
          <reference field="5" count="2">
            <x v="1"/>
            <x v="11"/>
          </reference>
        </references>
      </pivotArea>
    </format>
    <format dxfId="76">
      <pivotArea collapsedLevelsAreSubtotals="1" fieldPosition="0">
        <references count="1">
          <reference field="1" count="1">
            <x v="3"/>
          </reference>
        </references>
      </pivotArea>
    </format>
    <format dxfId="75">
      <pivotArea collapsedLevelsAreSubtotals="1" fieldPosition="0">
        <references count="2">
          <reference field="1" count="1" selected="0">
            <x v="3"/>
          </reference>
          <reference field="5" count="1">
            <x v="8"/>
          </reference>
        </references>
      </pivotArea>
    </format>
    <format dxfId="74">
      <pivotArea collapsedLevelsAreSubtotals="1" fieldPosition="0">
        <references count="1">
          <reference field="1" count="1">
            <x v="30"/>
          </reference>
        </references>
      </pivotArea>
    </format>
    <format dxfId="73">
      <pivotArea collapsedLevelsAreSubtotals="1" fieldPosition="0">
        <references count="2">
          <reference field="1" count="1" selected="0">
            <x v="30"/>
          </reference>
          <reference field="5" count="1">
            <x v="10"/>
          </reference>
        </references>
      </pivotArea>
    </format>
    <format dxfId="72">
      <pivotArea collapsedLevelsAreSubtotals="1" fieldPosition="0">
        <references count="1">
          <reference field="1" count="1">
            <x v="21"/>
          </reference>
        </references>
      </pivotArea>
    </format>
    <format dxfId="71">
      <pivotArea collapsedLevelsAreSubtotals="1" fieldPosition="0">
        <references count="2">
          <reference field="1" count="1" selected="0">
            <x v="21"/>
          </reference>
          <reference field="5" count="2">
            <x v="2"/>
            <x v="7"/>
          </reference>
        </references>
      </pivotArea>
    </format>
    <format dxfId="70">
      <pivotArea collapsedLevelsAreSubtotals="1" fieldPosition="0">
        <references count="1">
          <reference field="1" count="1">
            <x v="6"/>
          </reference>
        </references>
      </pivotArea>
    </format>
    <format dxfId="69">
      <pivotArea collapsedLevelsAreSubtotals="1" fieldPosition="0">
        <references count="2">
          <reference field="1" count="1" selected="0">
            <x v="6"/>
          </reference>
          <reference field="5" count="1">
            <x v="6"/>
          </reference>
        </references>
      </pivotArea>
    </format>
    <format dxfId="68">
      <pivotArea collapsedLevelsAreSubtotals="1" fieldPosition="0">
        <references count="1">
          <reference field="1" count="1">
            <x v="37"/>
          </reference>
        </references>
      </pivotArea>
    </format>
    <format dxfId="67">
      <pivotArea collapsedLevelsAreSubtotals="1" fieldPosition="0">
        <references count="2">
          <reference field="1" count="1" selected="0">
            <x v="37"/>
          </reference>
          <reference field="5" count="1">
            <x v="0"/>
          </reference>
        </references>
      </pivotArea>
    </format>
    <format dxfId="66">
      <pivotArea collapsedLevelsAreSubtotals="1" fieldPosition="0">
        <references count="1">
          <reference field="1" count="1">
            <x v="10"/>
          </reference>
        </references>
      </pivotArea>
    </format>
    <format dxfId="65">
      <pivotArea collapsedLevelsAreSubtotals="1" fieldPosition="0">
        <references count="2">
          <reference field="1" count="1" selected="0">
            <x v="10"/>
          </reference>
          <reference field="5" count="1">
            <x v="6"/>
          </reference>
        </references>
      </pivotArea>
    </format>
    <format dxfId="64">
      <pivotArea collapsedLevelsAreSubtotals="1" fieldPosition="0">
        <references count="1">
          <reference field="1" count="1">
            <x v="34"/>
          </reference>
        </references>
      </pivotArea>
    </format>
    <format dxfId="63">
      <pivotArea collapsedLevelsAreSubtotals="1" fieldPosition="0">
        <references count="2">
          <reference field="1" count="1" selected="0">
            <x v="34"/>
          </reference>
          <reference field="5" count="2">
            <x v="6"/>
            <x v="11"/>
          </reference>
        </references>
      </pivotArea>
    </format>
    <format dxfId="62">
      <pivotArea collapsedLevelsAreSubtotals="1" fieldPosition="0">
        <references count="1">
          <reference field="1" count="1">
            <x v="26"/>
          </reference>
        </references>
      </pivotArea>
    </format>
    <format dxfId="61">
      <pivotArea collapsedLevelsAreSubtotals="1" fieldPosition="0">
        <references count="2">
          <reference field="1" count="1" selected="0">
            <x v="26"/>
          </reference>
          <reference field="5" count="1">
            <x v="1"/>
          </reference>
        </references>
      </pivotArea>
    </format>
    <format dxfId="60">
      <pivotArea collapsedLevelsAreSubtotals="1" fieldPosition="0">
        <references count="1">
          <reference field="1" count="1">
            <x v="20"/>
          </reference>
        </references>
      </pivotArea>
    </format>
    <format dxfId="59">
      <pivotArea collapsedLevelsAreSubtotals="1" fieldPosition="0">
        <references count="2">
          <reference field="1" count="1" selected="0">
            <x v="20"/>
          </reference>
          <reference field="5" count="1">
            <x v="5"/>
          </reference>
        </references>
      </pivotArea>
    </format>
    <format dxfId="58">
      <pivotArea collapsedLevelsAreSubtotals="1" fieldPosition="0">
        <references count="1">
          <reference field="1" count="1">
            <x v="27"/>
          </reference>
        </references>
      </pivotArea>
    </format>
    <format dxfId="57">
      <pivotArea collapsedLevelsAreSubtotals="1" fieldPosition="0">
        <references count="2">
          <reference field="1" count="1" selected="0">
            <x v="27"/>
          </reference>
          <reference field="5" count="4">
            <x v="3"/>
            <x v="4"/>
            <x v="6"/>
            <x v="7"/>
          </reference>
        </references>
      </pivotArea>
    </format>
    <format dxfId="56">
      <pivotArea collapsedLevelsAreSubtotals="1" fieldPosition="0">
        <references count="1">
          <reference field="1" count="1">
            <x v="18"/>
          </reference>
        </references>
      </pivotArea>
    </format>
    <format dxfId="55">
      <pivotArea collapsedLevelsAreSubtotals="1" fieldPosition="0">
        <references count="2">
          <reference field="1" count="1" selected="0">
            <x v="18"/>
          </reference>
          <reference field="5" count="2">
            <x v="9"/>
            <x v="10"/>
          </reference>
        </references>
      </pivotArea>
    </format>
    <format dxfId="54">
      <pivotArea collapsedLevelsAreSubtotals="1" fieldPosition="0">
        <references count="1">
          <reference field="1" count="1">
            <x v="17"/>
          </reference>
        </references>
      </pivotArea>
    </format>
    <format dxfId="53">
      <pivotArea collapsedLevelsAreSubtotals="1" fieldPosition="0">
        <references count="2">
          <reference field="1" count="1" selected="0">
            <x v="17"/>
          </reference>
          <reference field="5" count="1">
            <x v="6"/>
          </reference>
        </references>
      </pivotArea>
    </format>
    <format dxfId="52">
      <pivotArea collapsedLevelsAreSubtotals="1" fieldPosition="0">
        <references count="1">
          <reference field="1" count="1">
            <x v="5"/>
          </reference>
        </references>
      </pivotArea>
    </format>
    <format dxfId="51">
      <pivotArea collapsedLevelsAreSubtotals="1" fieldPosition="0">
        <references count="2">
          <reference field="1" count="1" selected="0">
            <x v="5"/>
          </reference>
          <reference field="5" count="1">
            <x v="6"/>
          </reference>
        </references>
      </pivotArea>
    </format>
    <format dxfId="50">
      <pivotArea collapsedLevelsAreSubtotals="1" fieldPosition="0">
        <references count="1">
          <reference field="1" count="1">
            <x v="22"/>
          </reference>
        </references>
      </pivotArea>
    </format>
    <format dxfId="49">
      <pivotArea collapsedLevelsAreSubtotals="1" fieldPosition="0">
        <references count="2">
          <reference field="1" count="1" selected="0">
            <x v="22"/>
          </reference>
          <reference field="5" count="1">
            <x v="0"/>
          </reference>
        </references>
      </pivotArea>
    </format>
    <format dxfId="48">
      <pivotArea collapsedLevelsAreSubtotals="1" fieldPosition="0">
        <references count="1">
          <reference field="1" count="1">
            <x v="0"/>
          </reference>
        </references>
      </pivotArea>
    </format>
    <format dxfId="47">
      <pivotArea collapsedLevelsAreSubtotals="1" fieldPosition="0">
        <references count="2">
          <reference field="1" count="1" selected="0">
            <x v="0"/>
          </reference>
          <reference field="5" count="1">
            <x v="11"/>
          </reference>
        </references>
      </pivotArea>
    </format>
    <format dxfId="46">
      <pivotArea collapsedLevelsAreSubtotals="1" fieldPosition="0">
        <references count="1">
          <reference field="1" count="1">
            <x v="13"/>
          </reference>
        </references>
      </pivotArea>
    </format>
    <format dxfId="45">
      <pivotArea collapsedLevelsAreSubtotals="1" fieldPosition="0">
        <references count="2">
          <reference field="1" count="1" selected="0">
            <x v="13"/>
          </reference>
          <reference field="5" count="1">
            <x v="3"/>
          </reference>
        </references>
      </pivotArea>
    </format>
    <format dxfId="44">
      <pivotArea collapsedLevelsAreSubtotals="1" fieldPosition="0">
        <references count="1">
          <reference field="1" count="1">
            <x v="12"/>
          </reference>
        </references>
      </pivotArea>
    </format>
    <format dxfId="43">
      <pivotArea collapsedLevelsAreSubtotals="1" fieldPosition="0">
        <references count="2">
          <reference field="1" count="1" selected="0">
            <x v="12"/>
          </reference>
          <reference field="5" count="1">
            <x v="3"/>
          </reference>
        </references>
      </pivotArea>
    </format>
    <format dxfId="42">
      <pivotArea collapsedLevelsAreSubtotals="1" fieldPosition="0">
        <references count="1">
          <reference field="1" count="1">
            <x v="32"/>
          </reference>
        </references>
      </pivotArea>
    </format>
    <format dxfId="41">
      <pivotArea collapsedLevelsAreSubtotals="1" fieldPosition="0">
        <references count="2">
          <reference field="1" count="1" selected="0">
            <x v="32"/>
          </reference>
          <reference field="5" count="1">
            <x v="7"/>
          </reference>
        </references>
      </pivotArea>
    </format>
    <format dxfId="40">
      <pivotArea collapsedLevelsAreSubtotals="1" fieldPosition="0">
        <references count="1">
          <reference field="1" count="1">
            <x v="2"/>
          </reference>
        </references>
      </pivotArea>
    </format>
    <format dxfId="39">
      <pivotArea collapsedLevelsAreSubtotals="1" fieldPosition="0">
        <references count="2">
          <reference field="1" count="1" selected="0">
            <x v="2"/>
          </reference>
          <reference field="5" count="1">
            <x v="6"/>
          </reference>
        </references>
      </pivotArea>
    </format>
    <format dxfId="38">
      <pivotArea collapsedLevelsAreSubtotals="1" fieldPosition="0">
        <references count="1">
          <reference field="1" count="1">
            <x v="33"/>
          </reference>
        </references>
      </pivotArea>
    </format>
    <format dxfId="37">
      <pivotArea collapsedLevelsAreSubtotals="1" fieldPosition="0">
        <references count="2">
          <reference field="1" count="1" selected="0">
            <x v="33"/>
          </reference>
          <reference field="5" count="1">
            <x v="3"/>
          </reference>
        </references>
      </pivotArea>
    </format>
    <format dxfId="36">
      <pivotArea collapsedLevelsAreSubtotals="1" fieldPosition="0">
        <references count="1">
          <reference field="1" count="1">
            <x v="7"/>
          </reference>
        </references>
      </pivotArea>
    </format>
    <format dxfId="35">
      <pivotArea collapsedLevelsAreSubtotals="1" fieldPosition="0">
        <references count="1">
          <reference field="1" count="1">
            <x v="7"/>
          </reference>
        </references>
      </pivotArea>
    </format>
    <format dxfId="34">
      <pivotArea collapsedLevelsAreSubtotals="1" fieldPosition="0">
        <references count="1">
          <reference field="1" count="1">
            <x v="31"/>
          </reference>
        </references>
      </pivotArea>
    </format>
    <format dxfId="33">
      <pivotArea collapsedLevelsAreSubtotals="1" fieldPosition="0">
        <references count="1">
          <reference field="1" count="1">
            <x v="25"/>
          </reference>
        </references>
      </pivotArea>
    </format>
    <format dxfId="32">
      <pivotArea collapsedLevelsAreSubtotals="1" fieldPosition="0">
        <references count="1">
          <reference field="1" count="1">
            <x v="29"/>
          </reference>
        </references>
      </pivotArea>
    </format>
    <format dxfId="31">
      <pivotArea collapsedLevelsAreSubtotals="1" fieldPosition="0">
        <references count="1">
          <reference field="1" count="1">
            <x v="4"/>
          </reference>
        </references>
      </pivotArea>
    </format>
    <format dxfId="30">
      <pivotArea collapsedLevelsAreSubtotals="1" fieldPosition="0">
        <references count="1">
          <reference field="1" count="1">
            <x v="23"/>
          </reference>
        </references>
      </pivotArea>
    </format>
    <format dxfId="29">
      <pivotArea collapsedLevelsAreSubtotals="1" fieldPosition="0">
        <references count="1">
          <reference field="1" count="1">
            <x v="21"/>
          </reference>
        </references>
      </pivotArea>
    </format>
    <format dxfId="28">
      <pivotArea collapsedLevelsAreSubtotals="1" fieldPosition="0">
        <references count="1">
          <reference field="1" count="1">
            <x v="20"/>
          </reference>
        </references>
      </pivotArea>
    </format>
  </formats>
  <pivotTableStyleInfo name="PivotStyleLight14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63EABFBC-AB5B-4C2C-AB68-DFA8A1CF53C5}" name="Tabela Dinâmica6" cacheId="5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>
  <location ref="A3:B14" firstHeaderRow="1" firstDataRow="1" firstDataCol="1"/>
  <pivotFields count="14">
    <pivotField showAll="0"/>
    <pivotField showAll="0"/>
    <pivotField showAll="0"/>
    <pivotField showAll="0"/>
    <pivotField showAll="0"/>
    <pivotField showAll="0"/>
    <pivotField axis="axisRow" showAll="0">
      <items count="11">
        <item x="6"/>
        <item x="4"/>
        <item x="3"/>
        <item x="0"/>
        <item x="1"/>
        <item x="7"/>
        <item x="2"/>
        <item x="9"/>
        <item x="5"/>
        <item x="8"/>
        <item t="default"/>
      </items>
    </pivotField>
    <pivotField showAll="0"/>
    <pivotField showAll="0"/>
    <pivotField showAll="0"/>
    <pivotField showAll="0"/>
    <pivotField showAll="0"/>
    <pivotField dataField="1" showAll="0"/>
    <pivotField showAll="0"/>
  </pivotFields>
  <rowFields count="1">
    <field x="6"/>
  </rowFields>
  <rowItems count="11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 t="grand">
      <x/>
    </i>
  </rowItems>
  <colItems count="1">
    <i/>
  </colItems>
  <dataFields count="1">
    <dataField name="Soma de Saldo a Pagar" fld="12" baseField="0" baseItem="0" numFmtId="44"/>
  </dataFields>
  <formats count="15">
    <format dxfId="27">
      <pivotArea type="all" dataOnly="0" outline="0" fieldPosition="0"/>
    </format>
    <format dxfId="26">
      <pivotArea outline="0" collapsedLevelsAreSubtotals="1" fieldPosition="0"/>
    </format>
    <format dxfId="25">
      <pivotArea field="6" type="button" dataOnly="0" labelOnly="1" outline="0" axis="axisRow" fieldPosition="0"/>
    </format>
    <format dxfId="24">
      <pivotArea dataOnly="0" labelOnly="1" fieldPosition="0">
        <references count="1">
          <reference field="6" count="0"/>
        </references>
      </pivotArea>
    </format>
    <format dxfId="23">
      <pivotArea dataOnly="0" labelOnly="1" grandRow="1" outline="0" fieldPosition="0"/>
    </format>
    <format dxfId="22">
      <pivotArea dataOnly="0" labelOnly="1" outline="0" axis="axisValues" fieldPosition="0"/>
    </format>
    <format dxfId="21">
      <pivotArea outline="0" collapsedLevelsAreSubtotals="1" fieldPosition="0"/>
    </format>
    <format dxfId="20">
      <pivotArea collapsedLevelsAreSubtotals="1" fieldPosition="0">
        <references count="1">
          <reference field="6" count="0"/>
        </references>
      </pivotArea>
    </format>
    <format dxfId="19">
      <pivotArea field="6" type="button" dataOnly="0" labelOnly="1" outline="0" axis="axisRow" fieldPosition="0"/>
    </format>
    <format dxfId="18">
      <pivotArea dataOnly="0" labelOnly="1" fieldPosition="0">
        <references count="1">
          <reference field="6" count="0"/>
        </references>
      </pivotArea>
    </format>
    <format dxfId="17">
      <pivotArea dataOnly="0" labelOnly="1" outline="0" axis="axisValues" fieldPosition="0"/>
    </format>
    <format dxfId="16">
      <pivotArea collapsedLevelsAreSubtotals="1" fieldPosition="0">
        <references count="1">
          <reference field="6" count="0"/>
        </references>
      </pivotArea>
    </format>
    <format dxfId="15">
      <pivotArea field="6" type="button" dataOnly="0" labelOnly="1" outline="0" axis="axisRow" fieldPosition="0"/>
    </format>
    <format dxfId="14">
      <pivotArea dataOnly="0" labelOnly="1" fieldPosition="0">
        <references count="1">
          <reference field="6" count="0"/>
        </references>
      </pivotArea>
    </format>
    <format dxfId="13">
      <pivotArea dataOnly="0" labelOnly="1" outline="0" axis="axisValues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91915AAF-5F8A-49AB-BDE0-27EA2256C35B}" name="Tabela Dinâmica7" cacheId="4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>
  <location ref="A3:B10" firstHeaderRow="1" firstDataRow="1" firstDataCol="1"/>
  <pivotFields count="10">
    <pivotField showAll="0"/>
    <pivotField axis="axisRow" showAll="0">
      <items count="7">
        <item x="5"/>
        <item x="1"/>
        <item x="0"/>
        <item x="4"/>
        <item x="2"/>
        <item x="3"/>
        <item t="default"/>
      </items>
    </pivotField>
    <pivotField showAll="0"/>
    <pivotField showAll="0"/>
    <pivotField numFmtId="14" showAll="0"/>
    <pivotField numFmtId="14" showAll="0"/>
    <pivotField dataField="1" numFmtId="4" showAll="0"/>
    <pivotField showAll="0"/>
    <pivotField showAll="0"/>
    <pivotField showAll="0"/>
  </pivotFields>
  <rowFields count="1">
    <field x="1"/>
  </rowFields>
  <rowItems count="7">
    <i>
      <x/>
    </i>
    <i>
      <x v="1"/>
    </i>
    <i>
      <x v="2"/>
    </i>
    <i>
      <x v="3"/>
    </i>
    <i>
      <x v="4"/>
    </i>
    <i>
      <x v="5"/>
    </i>
    <i t="grand">
      <x/>
    </i>
  </rowItems>
  <colItems count="1">
    <i/>
  </colItems>
  <dataFields count="1">
    <dataField name="Soma de Valor R$" fld="6" baseField="0" baseItem="0"/>
  </dataFields>
  <formats count="13">
    <format dxfId="12">
      <pivotArea type="all" dataOnly="0" outline="0" fieldPosition="0"/>
    </format>
    <format dxfId="11">
      <pivotArea outline="0" collapsedLevelsAreSubtotals="1" fieldPosition="0"/>
    </format>
    <format dxfId="10">
      <pivotArea field="1" type="button" dataOnly="0" labelOnly="1" outline="0" axis="axisRow" fieldPosition="0"/>
    </format>
    <format dxfId="9">
      <pivotArea dataOnly="0" labelOnly="1" fieldPosition="0">
        <references count="1">
          <reference field="1" count="0"/>
        </references>
      </pivotArea>
    </format>
    <format dxfId="8">
      <pivotArea dataOnly="0" labelOnly="1" grandRow="1" outline="0" fieldPosition="0"/>
    </format>
    <format dxfId="7">
      <pivotArea dataOnly="0" labelOnly="1" outline="0" axis="axisValues" fieldPosition="0"/>
    </format>
    <format dxfId="6">
      <pivotArea field="1" type="button" dataOnly="0" labelOnly="1" outline="0" axis="axisRow" fieldPosition="0"/>
    </format>
    <format dxfId="5">
      <pivotArea dataOnly="0" labelOnly="1" outline="0" axis="axisValues" fieldPosition="0"/>
    </format>
    <format dxfId="4">
      <pivotArea outline="0" collapsedLevelsAreSubtotals="1" fieldPosition="0"/>
    </format>
    <format dxfId="3">
      <pivotArea dataOnly="0" labelOnly="1" fieldPosition="0">
        <references count="1">
          <reference field="1" count="0"/>
        </references>
      </pivotArea>
    </format>
    <format dxfId="2">
      <pivotArea dataOnly="0" labelOnly="1" grandRow="1" outline="0" fieldPosition="0"/>
    </format>
    <format dxfId="1">
      <pivotArea grandRow="1" outline="0" collapsedLevelsAreSubtotals="1" fieldPosition="0"/>
    </format>
    <format dxfId="0">
      <pivotArea dataOnly="0" labelOnly="1" grandRow="1" outline="0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2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F837845-A97D-4A76-8450-078D9CB241B9}">
  <sheetPr>
    <tabColor theme="2" tint="-9.9978637043366805E-2"/>
  </sheetPr>
  <dimension ref="A1:J1323"/>
  <sheetViews>
    <sheetView showGridLines="0" tabSelected="1" workbookViewId="0">
      <selection activeCell="B13" sqref="B13"/>
    </sheetView>
  </sheetViews>
  <sheetFormatPr defaultRowHeight="14.4" x14ac:dyDescent="0.3"/>
  <cols>
    <col min="1" max="1" width="10.109375" bestFit="1" customWidth="1"/>
    <col min="2" max="2" width="65.6640625" bestFit="1" customWidth="1"/>
    <col min="3" max="3" width="9.88671875" bestFit="1" customWidth="1"/>
    <col min="4" max="4" width="7" bestFit="1" customWidth="1"/>
    <col min="5" max="5" width="10.6640625" bestFit="1" customWidth="1"/>
    <col min="6" max="6" width="11.88671875" bestFit="1" customWidth="1"/>
    <col min="7" max="7" width="10.109375" bestFit="1" customWidth="1"/>
    <col min="8" max="8" width="10.88671875" bestFit="1" customWidth="1"/>
    <col min="9" max="9" width="39.5546875" bestFit="1" customWidth="1"/>
    <col min="10" max="10" width="30.6640625" bestFit="1" customWidth="1"/>
  </cols>
  <sheetData>
    <row r="1" spans="1:10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 x14ac:dyDescent="0.3">
      <c r="A2" s="2" t="s">
        <v>196</v>
      </c>
      <c r="B2" s="2" t="s">
        <v>197</v>
      </c>
      <c r="C2" s="2">
        <v>17820</v>
      </c>
      <c r="D2" s="2">
        <v>26823</v>
      </c>
      <c r="E2" s="3">
        <v>44519</v>
      </c>
      <c r="F2" s="3">
        <v>44669</v>
      </c>
      <c r="G2" s="4">
        <v>37477.51</v>
      </c>
      <c r="H2" s="2">
        <v>91</v>
      </c>
      <c r="I2" s="2" t="s">
        <v>968</v>
      </c>
      <c r="J2" s="2" t="s">
        <v>40</v>
      </c>
    </row>
    <row r="3" spans="1:10" x14ac:dyDescent="0.3">
      <c r="A3" s="2" t="s">
        <v>225</v>
      </c>
      <c r="B3" s="2" t="s">
        <v>226</v>
      </c>
      <c r="C3" s="2">
        <v>16470</v>
      </c>
      <c r="D3" s="2">
        <v>25414</v>
      </c>
      <c r="E3" s="3">
        <v>44414</v>
      </c>
      <c r="F3" s="3">
        <v>44681</v>
      </c>
      <c r="G3" s="4">
        <v>42683.360000000001</v>
      </c>
      <c r="H3" s="2">
        <v>79</v>
      </c>
      <c r="I3" s="2" t="s">
        <v>414</v>
      </c>
      <c r="J3" s="2" t="s">
        <v>61</v>
      </c>
    </row>
    <row r="4" spans="1:10" x14ac:dyDescent="0.3">
      <c r="A4" s="2" t="s">
        <v>590</v>
      </c>
      <c r="B4" s="2" t="s">
        <v>591</v>
      </c>
      <c r="C4" s="2">
        <v>17720</v>
      </c>
      <c r="D4" s="2">
        <v>26714</v>
      </c>
      <c r="E4" s="3">
        <v>44510</v>
      </c>
      <c r="F4" s="3">
        <v>44681</v>
      </c>
      <c r="G4" s="4">
        <v>178500</v>
      </c>
      <c r="H4" s="2">
        <v>79</v>
      </c>
      <c r="I4" s="2" t="s">
        <v>592</v>
      </c>
      <c r="J4" s="2" t="s">
        <v>28</v>
      </c>
    </row>
    <row r="5" spans="1:10" x14ac:dyDescent="0.3">
      <c r="A5" s="2" t="s">
        <v>225</v>
      </c>
      <c r="B5" s="2" t="s">
        <v>226</v>
      </c>
      <c r="C5" s="2">
        <v>17088</v>
      </c>
      <c r="D5" s="2">
        <v>26099</v>
      </c>
      <c r="E5" s="3">
        <v>44470</v>
      </c>
      <c r="F5" s="3">
        <v>44681</v>
      </c>
      <c r="G5" s="4">
        <v>196452</v>
      </c>
      <c r="H5" s="2">
        <v>79</v>
      </c>
      <c r="I5" s="2" t="s">
        <v>747</v>
      </c>
      <c r="J5" s="2" t="s">
        <v>61</v>
      </c>
    </row>
    <row r="6" spans="1:10" x14ac:dyDescent="0.3">
      <c r="A6" s="2" t="s">
        <v>225</v>
      </c>
      <c r="B6" s="2" t="s">
        <v>226</v>
      </c>
      <c r="C6" s="2">
        <v>18056</v>
      </c>
      <c r="D6" s="2">
        <v>27070</v>
      </c>
      <c r="E6" s="3">
        <v>44543</v>
      </c>
      <c r="F6" s="3">
        <v>44681</v>
      </c>
      <c r="G6" s="4">
        <v>203701.12</v>
      </c>
      <c r="H6" s="2">
        <v>79</v>
      </c>
      <c r="I6" s="2" t="s">
        <v>763</v>
      </c>
      <c r="J6" s="2" t="s">
        <v>61</v>
      </c>
    </row>
    <row r="7" spans="1:10" x14ac:dyDescent="0.3">
      <c r="A7" s="2" t="s">
        <v>590</v>
      </c>
      <c r="B7" s="2" t="s">
        <v>591</v>
      </c>
      <c r="C7" s="2">
        <v>17189</v>
      </c>
      <c r="D7" s="2">
        <v>26186</v>
      </c>
      <c r="E7" s="3">
        <v>44476</v>
      </c>
      <c r="F7" s="3">
        <v>44681</v>
      </c>
      <c r="G7" s="4">
        <v>250292</v>
      </c>
      <c r="H7" s="2">
        <v>79</v>
      </c>
      <c r="I7" s="2" t="s">
        <v>865</v>
      </c>
      <c r="J7" s="2" t="s">
        <v>28</v>
      </c>
    </row>
    <row r="8" spans="1:10" x14ac:dyDescent="0.3">
      <c r="A8" s="2" t="s">
        <v>225</v>
      </c>
      <c r="B8" s="2" t="s">
        <v>226</v>
      </c>
      <c r="C8" s="2">
        <v>16905</v>
      </c>
      <c r="D8" s="2">
        <v>25890</v>
      </c>
      <c r="E8" s="3">
        <v>44460</v>
      </c>
      <c r="F8" s="3">
        <v>44681</v>
      </c>
      <c r="G8" s="4">
        <v>92448</v>
      </c>
      <c r="H8" s="2">
        <v>79</v>
      </c>
      <c r="I8" s="2" t="s">
        <v>956</v>
      </c>
      <c r="J8" s="2" t="s">
        <v>61</v>
      </c>
    </row>
    <row r="9" spans="1:10" x14ac:dyDescent="0.3">
      <c r="A9" s="2" t="s">
        <v>590</v>
      </c>
      <c r="B9" s="2" t="s">
        <v>591</v>
      </c>
      <c r="C9" s="2">
        <v>17612</v>
      </c>
      <c r="D9" s="2">
        <v>26614</v>
      </c>
      <c r="E9" s="3">
        <v>44504</v>
      </c>
      <c r="F9" s="3">
        <v>44681</v>
      </c>
      <c r="G9" s="4">
        <v>178500</v>
      </c>
      <c r="H9" s="2">
        <v>79</v>
      </c>
      <c r="I9" s="2" t="s">
        <v>957</v>
      </c>
      <c r="J9" s="2" t="s">
        <v>28</v>
      </c>
    </row>
    <row r="10" spans="1:10" x14ac:dyDescent="0.3">
      <c r="A10" s="2" t="s">
        <v>225</v>
      </c>
      <c r="B10" s="2" t="s">
        <v>226</v>
      </c>
      <c r="C10" s="2">
        <v>16966</v>
      </c>
      <c r="D10" s="2">
        <v>25963</v>
      </c>
      <c r="E10" s="3">
        <v>44462</v>
      </c>
      <c r="F10" s="3">
        <v>44681</v>
      </c>
      <c r="G10" s="4">
        <v>102642.6</v>
      </c>
      <c r="H10" s="2">
        <v>79</v>
      </c>
      <c r="I10" s="2" t="s">
        <v>967</v>
      </c>
      <c r="J10" s="2" t="s">
        <v>61</v>
      </c>
    </row>
    <row r="11" spans="1:10" x14ac:dyDescent="0.3">
      <c r="A11" s="2" t="s">
        <v>590</v>
      </c>
      <c r="B11" s="2" t="s">
        <v>591</v>
      </c>
      <c r="C11" s="2">
        <v>17204</v>
      </c>
      <c r="D11" s="2">
        <v>26202</v>
      </c>
      <c r="E11" s="3">
        <v>44477</v>
      </c>
      <c r="F11" s="3">
        <v>44681</v>
      </c>
      <c r="G11" s="4">
        <v>332640</v>
      </c>
      <c r="H11" s="2">
        <v>79</v>
      </c>
      <c r="I11" s="2" t="s">
        <v>1046</v>
      </c>
      <c r="J11" s="2" t="s">
        <v>28</v>
      </c>
    </row>
    <row r="12" spans="1:10" x14ac:dyDescent="0.3">
      <c r="A12" s="2" t="s">
        <v>590</v>
      </c>
      <c r="B12" s="2" t="s">
        <v>591</v>
      </c>
      <c r="C12" s="2">
        <v>17531</v>
      </c>
      <c r="D12" s="2">
        <v>26538</v>
      </c>
      <c r="E12" s="3">
        <v>44496</v>
      </c>
      <c r="F12" s="3">
        <v>44681</v>
      </c>
      <c r="G12" s="4">
        <v>178500</v>
      </c>
      <c r="H12" s="2">
        <v>79</v>
      </c>
      <c r="I12" s="2" t="s">
        <v>1093</v>
      </c>
      <c r="J12" s="2" t="s">
        <v>28</v>
      </c>
    </row>
    <row r="13" spans="1:10" x14ac:dyDescent="0.3">
      <c r="A13" s="2" t="s">
        <v>196</v>
      </c>
      <c r="B13" s="2" t="s">
        <v>197</v>
      </c>
      <c r="C13" s="2">
        <v>17820</v>
      </c>
      <c r="D13" s="2">
        <v>26823</v>
      </c>
      <c r="E13" s="3">
        <v>44519</v>
      </c>
      <c r="F13" s="3">
        <v>44700</v>
      </c>
      <c r="G13" s="4">
        <v>38220</v>
      </c>
      <c r="H13" s="2">
        <v>60</v>
      </c>
      <c r="I13" s="2" t="s">
        <v>968</v>
      </c>
      <c r="J13" s="2" t="s">
        <v>40</v>
      </c>
    </row>
    <row r="14" spans="1:10" x14ac:dyDescent="0.3">
      <c r="A14" s="2" t="s">
        <v>196</v>
      </c>
      <c r="B14" s="2" t="s">
        <v>197</v>
      </c>
      <c r="C14" s="2">
        <v>17819</v>
      </c>
      <c r="D14" s="2">
        <v>26822</v>
      </c>
      <c r="E14" s="3">
        <v>44519</v>
      </c>
      <c r="F14" s="3">
        <v>44700</v>
      </c>
      <c r="G14" s="4">
        <v>43987.26</v>
      </c>
      <c r="H14" s="2">
        <v>60</v>
      </c>
      <c r="I14" s="2" t="s">
        <v>1064</v>
      </c>
      <c r="J14" s="2" t="s">
        <v>40</v>
      </c>
    </row>
    <row r="15" spans="1:10" x14ac:dyDescent="0.3">
      <c r="A15" s="2" t="s">
        <v>196</v>
      </c>
      <c r="B15" s="2" t="s">
        <v>197</v>
      </c>
      <c r="C15" s="2">
        <v>18508</v>
      </c>
      <c r="D15" s="2">
        <v>27506</v>
      </c>
      <c r="E15" s="3">
        <v>44582</v>
      </c>
      <c r="F15" s="3">
        <v>44702</v>
      </c>
      <c r="G15" s="4">
        <v>8093.8</v>
      </c>
      <c r="H15" s="2">
        <v>58</v>
      </c>
      <c r="I15" s="2" t="s">
        <v>198</v>
      </c>
      <c r="J15" s="2" t="s">
        <v>40</v>
      </c>
    </row>
    <row r="16" spans="1:10" x14ac:dyDescent="0.3">
      <c r="A16" s="2" t="s">
        <v>196</v>
      </c>
      <c r="B16" s="2" t="s">
        <v>197</v>
      </c>
      <c r="C16" s="2">
        <v>18507</v>
      </c>
      <c r="D16" s="2">
        <v>27505</v>
      </c>
      <c r="E16" s="3">
        <v>44582</v>
      </c>
      <c r="F16" s="3">
        <v>44702</v>
      </c>
      <c r="G16" s="4">
        <v>1237.33</v>
      </c>
      <c r="H16" s="2">
        <v>58</v>
      </c>
      <c r="I16" s="2" t="s">
        <v>476</v>
      </c>
      <c r="J16" s="2" t="s">
        <v>40</v>
      </c>
    </row>
    <row r="17" spans="1:10" x14ac:dyDescent="0.3">
      <c r="A17" s="2" t="s">
        <v>196</v>
      </c>
      <c r="B17" s="2" t="s">
        <v>197</v>
      </c>
      <c r="C17" s="2">
        <v>18506</v>
      </c>
      <c r="D17" s="2">
        <v>27504</v>
      </c>
      <c r="E17" s="3">
        <v>44582</v>
      </c>
      <c r="F17" s="3">
        <v>44702</v>
      </c>
      <c r="G17" s="4">
        <v>2853.33</v>
      </c>
      <c r="H17" s="2">
        <v>58</v>
      </c>
      <c r="I17" s="2" t="s">
        <v>1108</v>
      </c>
      <c r="J17" s="2" t="s">
        <v>40</v>
      </c>
    </row>
    <row r="18" spans="1:10" x14ac:dyDescent="0.3">
      <c r="A18" s="2" t="s">
        <v>225</v>
      </c>
      <c r="B18" s="2" t="s">
        <v>226</v>
      </c>
      <c r="C18" s="2">
        <v>17349</v>
      </c>
      <c r="D18" s="2">
        <v>26353</v>
      </c>
      <c r="E18" s="3">
        <v>44488</v>
      </c>
      <c r="F18" s="3">
        <v>44711</v>
      </c>
      <c r="G18" s="4">
        <v>199500</v>
      </c>
      <c r="H18" s="2">
        <v>49</v>
      </c>
      <c r="I18" s="2" t="s">
        <v>364</v>
      </c>
      <c r="J18" s="2" t="s">
        <v>61</v>
      </c>
    </row>
    <row r="19" spans="1:10" x14ac:dyDescent="0.3">
      <c r="A19" s="2" t="s">
        <v>279</v>
      </c>
      <c r="B19" s="2" t="s">
        <v>280</v>
      </c>
      <c r="C19" s="2">
        <v>17432</v>
      </c>
      <c r="D19" s="2">
        <v>26434</v>
      </c>
      <c r="E19" s="3">
        <v>44491</v>
      </c>
      <c r="F19" s="3">
        <v>44711</v>
      </c>
      <c r="G19" s="4">
        <v>64909.8</v>
      </c>
      <c r="H19" s="2">
        <v>49</v>
      </c>
      <c r="I19" s="2" t="s">
        <v>449</v>
      </c>
      <c r="J19" s="2" t="s">
        <v>13</v>
      </c>
    </row>
    <row r="20" spans="1:10" x14ac:dyDescent="0.3">
      <c r="A20" s="2" t="s">
        <v>225</v>
      </c>
      <c r="B20" s="2" t="s">
        <v>226</v>
      </c>
      <c r="C20" s="2">
        <v>17456</v>
      </c>
      <c r="D20" s="2">
        <v>26463</v>
      </c>
      <c r="E20" s="3">
        <v>44494</v>
      </c>
      <c r="F20" s="3">
        <v>44711</v>
      </c>
      <c r="G20" s="4">
        <v>192850</v>
      </c>
      <c r="H20" s="2">
        <v>49</v>
      </c>
      <c r="I20" s="2" t="s">
        <v>636</v>
      </c>
      <c r="J20" s="2" t="s">
        <v>61</v>
      </c>
    </row>
    <row r="21" spans="1:10" x14ac:dyDescent="0.3">
      <c r="A21" s="2" t="s">
        <v>196</v>
      </c>
      <c r="B21" s="2" t="s">
        <v>197</v>
      </c>
      <c r="C21" s="2">
        <v>18506</v>
      </c>
      <c r="D21" s="2">
        <v>27504</v>
      </c>
      <c r="E21" s="3">
        <v>44582</v>
      </c>
      <c r="F21" s="3">
        <v>44717</v>
      </c>
      <c r="G21" s="4">
        <v>2853.33</v>
      </c>
      <c r="H21" s="2">
        <v>43</v>
      </c>
      <c r="I21" s="2" t="s">
        <v>1108</v>
      </c>
      <c r="J21" s="2" t="s">
        <v>40</v>
      </c>
    </row>
    <row r="22" spans="1:10" x14ac:dyDescent="0.3">
      <c r="A22" s="2" t="s">
        <v>196</v>
      </c>
      <c r="B22" s="2" t="s">
        <v>197</v>
      </c>
      <c r="C22" s="2">
        <v>17739</v>
      </c>
      <c r="D22" s="2">
        <v>26732</v>
      </c>
      <c r="E22" s="3">
        <v>44511</v>
      </c>
      <c r="F22" s="3">
        <v>44721</v>
      </c>
      <c r="G22" s="4">
        <v>3691.1</v>
      </c>
      <c r="H22" s="2">
        <v>39</v>
      </c>
      <c r="I22" s="2" t="s">
        <v>867</v>
      </c>
      <c r="J22" s="2" t="s">
        <v>40</v>
      </c>
    </row>
    <row r="23" spans="1:10" x14ac:dyDescent="0.3">
      <c r="A23" s="2" t="s">
        <v>196</v>
      </c>
      <c r="B23" s="2" t="s">
        <v>197</v>
      </c>
      <c r="C23" s="2">
        <v>17740</v>
      </c>
      <c r="D23" s="2">
        <v>26733</v>
      </c>
      <c r="E23" s="3">
        <v>44511</v>
      </c>
      <c r="F23" s="3">
        <v>44721</v>
      </c>
      <c r="G23" s="4">
        <v>1268</v>
      </c>
      <c r="H23" s="2">
        <v>39</v>
      </c>
      <c r="I23" s="2" t="s">
        <v>1048</v>
      </c>
      <c r="J23" s="2" t="s">
        <v>40</v>
      </c>
    </row>
    <row r="24" spans="1:10" x14ac:dyDescent="0.3">
      <c r="A24" s="2" t="s">
        <v>426</v>
      </c>
      <c r="B24" s="2" t="s">
        <v>427</v>
      </c>
      <c r="C24" s="2">
        <v>16173</v>
      </c>
      <c r="D24" s="2">
        <v>25076</v>
      </c>
      <c r="E24" s="3">
        <v>44369</v>
      </c>
      <c r="F24" s="3">
        <v>44729</v>
      </c>
      <c r="G24" s="4">
        <v>77377.2</v>
      </c>
      <c r="H24" s="2">
        <v>31</v>
      </c>
      <c r="I24" s="2" t="s">
        <v>437</v>
      </c>
      <c r="J24" s="2" t="s">
        <v>28</v>
      </c>
    </row>
    <row r="25" spans="1:10" x14ac:dyDescent="0.3">
      <c r="A25" s="2" t="s">
        <v>196</v>
      </c>
      <c r="B25" s="2" t="s">
        <v>197</v>
      </c>
      <c r="C25" s="2">
        <v>18508</v>
      </c>
      <c r="D25" s="2">
        <v>27506</v>
      </c>
      <c r="E25" s="3">
        <v>44582</v>
      </c>
      <c r="F25" s="3">
        <v>44732</v>
      </c>
      <c r="G25" s="4">
        <v>8093.8</v>
      </c>
      <c r="H25" s="2">
        <v>28</v>
      </c>
      <c r="I25" s="2" t="s">
        <v>198</v>
      </c>
      <c r="J25" s="2" t="s">
        <v>40</v>
      </c>
    </row>
    <row r="26" spans="1:10" x14ac:dyDescent="0.3">
      <c r="A26" s="2" t="s">
        <v>196</v>
      </c>
      <c r="B26" s="2" t="s">
        <v>197</v>
      </c>
      <c r="C26" s="2">
        <v>18507</v>
      </c>
      <c r="D26" s="2">
        <v>27505</v>
      </c>
      <c r="E26" s="3">
        <v>44582</v>
      </c>
      <c r="F26" s="3">
        <v>44732</v>
      </c>
      <c r="G26" s="4">
        <v>1237.3399999999999</v>
      </c>
      <c r="H26" s="2">
        <v>28</v>
      </c>
      <c r="I26" s="2" t="s">
        <v>476</v>
      </c>
      <c r="J26" s="2" t="s">
        <v>40</v>
      </c>
    </row>
    <row r="27" spans="1:10" x14ac:dyDescent="0.3">
      <c r="A27" s="2" t="s">
        <v>196</v>
      </c>
      <c r="B27" s="2" t="s">
        <v>197</v>
      </c>
      <c r="C27" s="2">
        <v>18506</v>
      </c>
      <c r="D27" s="2">
        <v>27504</v>
      </c>
      <c r="E27" s="3">
        <v>44582</v>
      </c>
      <c r="F27" s="3">
        <v>44732</v>
      </c>
      <c r="G27" s="4">
        <v>2853.33</v>
      </c>
      <c r="H27" s="2">
        <v>28</v>
      </c>
      <c r="I27" s="2" t="s">
        <v>1108</v>
      </c>
      <c r="J27" s="2" t="s">
        <v>40</v>
      </c>
    </row>
    <row r="28" spans="1:10" x14ac:dyDescent="0.3">
      <c r="A28" s="2" t="s">
        <v>783</v>
      </c>
      <c r="B28" s="2" t="s">
        <v>784</v>
      </c>
      <c r="C28" s="2">
        <v>19928</v>
      </c>
      <c r="D28" s="2">
        <v>28995</v>
      </c>
      <c r="E28" s="3">
        <v>44756</v>
      </c>
      <c r="F28" s="3">
        <v>44756</v>
      </c>
      <c r="G28" s="4">
        <v>7361.73</v>
      </c>
      <c r="H28" s="2">
        <v>4</v>
      </c>
      <c r="I28" s="2" t="s">
        <v>785</v>
      </c>
      <c r="J28" s="2" t="s">
        <v>786</v>
      </c>
    </row>
    <row r="29" spans="1:10" x14ac:dyDescent="0.3">
      <c r="A29" s="2" t="s">
        <v>85</v>
      </c>
      <c r="B29" s="2" t="s">
        <v>83</v>
      </c>
      <c r="C29" s="2">
        <v>17480</v>
      </c>
      <c r="D29" s="2">
        <v>26486</v>
      </c>
      <c r="E29" s="3">
        <v>44495</v>
      </c>
      <c r="F29" s="3">
        <v>44762</v>
      </c>
      <c r="G29" s="4">
        <v>39440</v>
      </c>
      <c r="H29" s="2">
        <v>0</v>
      </c>
      <c r="I29" s="2" t="s">
        <v>128</v>
      </c>
      <c r="J29" s="2" t="s">
        <v>40</v>
      </c>
    </row>
    <row r="30" spans="1:10" x14ac:dyDescent="0.3">
      <c r="A30" s="2" t="s">
        <v>196</v>
      </c>
      <c r="B30" s="2" t="s">
        <v>197</v>
      </c>
      <c r="C30" s="2">
        <v>18508</v>
      </c>
      <c r="D30" s="2">
        <v>27506</v>
      </c>
      <c r="E30" s="3">
        <v>44582</v>
      </c>
      <c r="F30" s="3">
        <v>44762</v>
      </c>
      <c r="G30" s="4">
        <v>8093.8</v>
      </c>
      <c r="H30" s="2">
        <v>0</v>
      </c>
      <c r="I30" s="2" t="s">
        <v>198</v>
      </c>
      <c r="J30" s="2" t="s">
        <v>40</v>
      </c>
    </row>
    <row r="31" spans="1:10" x14ac:dyDescent="0.3">
      <c r="A31" s="2" t="s">
        <v>82</v>
      </c>
      <c r="B31" s="2" t="s">
        <v>83</v>
      </c>
      <c r="C31" s="2">
        <v>17214</v>
      </c>
      <c r="D31" s="2">
        <v>26213</v>
      </c>
      <c r="E31" s="3">
        <v>44480</v>
      </c>
      <c r="F31" s="3">
        <v>44762</v>
      </c>
      <c r="G31" s="4">
        <v>102000</v>
      </c>
      <c r="H31" s="2">
        <v>0</v>
      </c>
      <c r="I31" s="2" t="s">
        <v>218</v>
      </c>
      <c r="J31" s="2" t="s">
        <v>40</v>
      </c>
    </row>
    <row r="32" spans="1:10" x14ac:dyDescent="0.3">
      <c r="A32" s="2" t="s">
        <v>85</v>
      </c>
      <c r="B32" s="2" t="s">
        <v>83</v>
      </c>
      <c r="C32" s="2">
        <v>17479</v>
      </c>
      <c r="D32" s="2">
        <v>26485</v>
      </c>
      <c r="E32" s="3">
        <v>44495</v>
      </c>
      <c r="F32" s="3">
        <v>44762</v>
      </c>
      <c r="G32" s="4">
        <v>19785</v>
      </c>
      <c r="H32" s="2">
        <v>0</v>
      </c>
      <c r="I32" s="2" t="s">
        <v>308</v>
      </c>
      <c r="J32" s="2" t="s">
        <v>40</v>
      </c>
    </row>
    <row r="33" spans="1:10" x14ac:dyDescent="0.3">
      <c r="A33" s="2" t="s">
        <v>68</v>
      </c>
      <c r="B33" s="2" t="s">
        <v>69</v>
      </c>
      <c r="C33" s="2">
        <v>17482</v>
      </c>
      <c r="D33" s="2">
        <v>26488</v>
      </c>
      <c r="E33" s="3">
        <v>44495</v>
      </c>
      <c r="F33" s="3">
        <v>44762</v>
      </c>
      <c r="G33" s="4">
        <v>102000</v>
      </c>
      <c r="H33" s="2">
        <v>0</v>
      </c>
      <c r="I33" s="2" t="s">
        <v>368</v>
      </c>
      <c r="J33" s="2" t="s">
        <v>40</v>
      </c>
    </row>
    <row r="34" spans="1:10" x14ac:dyDescent="0.3">
      <c r="A34" s="2" t="s">
        <v>48</v>
      </c>
      <c r="B34" s="2" t="s">
        <v>49</v>
      </c>
      <c r="C34" s="2">
        <v>18502</v>
      </c>
      <c r="D34" s="2">
        <v>27500</v>
      </c>
      <c r="E34" s="3">
        <v>44582</v>
      </c>
      <c r="F34" s="3">
        <v>44762</v>
      </c>
      <c r="G34" s="4">
        <v>3170</v>
      </c>
      <c r="H34" s="2">
        <v>0</v>
      </c>
      <c r="I34" s="2" t="s">
        <v>401</v>
      </c>
      <c r="J34" s="2" t="s">
        <v>40</v>
      </c>
    </row>
    <row r="35" spans="1:10" x14ac:dyDescent="0.3">
      <c r="A35" s="2" t="s">
        <v>53</v>
      </c>
      <c r="B35" s="2" t="s">
        <v>54</v>
      </c>
      <c r="C35" s="2">
        <v>18505</v>
      </c>
      <c r="D35" s="2">
        <v>27503</v>
      </c>
      <c r="E35" s="3">
        <v>44582</v>
      </c>
      <c r="F35" s="3">
        <v>44762</v>
      </c>
      <c r="G35" s="4">
        <v>1600</v>
      </c>
      <c r="H35" s="2">
        <v>0</v>
      </c>
      <c r="I35" s="2" t="s">
        <v>542</v>
      </c>
      <c r="J35" s="2" t="s">
        <v>56</v>
      </c>
    </row>
    <row r="36" spans="1:10" x14ac:dyDescent="0.3">
      <c r="A36" s="2" t="s">
        <v>554</v>
      </c>
      <c r="B36" s="2" t="s">
        <v>555</v>
      </c>
      <c r="C36" s="2">
        <v>17918</v>
      </c>
      <c r="D36" s="2">
        <v>26931</v>
      </c>
      <c r="E36" s="3">
        <v>44532</v>
      </c>
      <c r="F36" s="3">
        <v>44762</v>
      </c>
      <c r="G36" s="4">
        <v>34846.68</v>
      </c>
      <c r="H36" s="2">
        <v>0</v>
      </c>
      <c r="I36" s="2" t="s">
        <v>556</v>
      </c>
      <c r="J36" s="2" t="s">
        <v>40</v>
      </c>
    </row>
    <row r="37" spans="1:10" x14ac:dyDescent="0.3">
      <c r="A37" s="2" t="s">
        <v>37</v>
      </c>
      <c r="B37" s="2" t="s">
        <v>38</v>
      </c>
      <c r="C37" s="2">
        <v>17360</v>
      </c>
      <c r="D37" s="2">
        <v>26363</v>
      </c>
      <c r="E37" s="3">
        <v>44489</v>
      </c>
      <c r="F37" s="3">
        <v>44762</v>
      </c>
      <c r="G37" s="4">
        <v>9136</v>
      </c>
      <c r="H37" s="2">
        <v>0</v>
      </c>
      <c r="I37" s="2" t="s">
        <v>566</v>
      </c>
      <c r="J37" s="2" t="s">
        <v>40</v>
      </c>
    </row>
    <row r="38" spans="1:10" x14ac:dyDescent="0.3">
      <c r="A38" s="2" t="s">
        <v>82</v>
      </c>
      <c r="B38" s="2" t="s">
        <v>83</v>
      </c>
      <c r="C38" s="2">
        <v>17447</v>
      </c>
      <c r="D38" s="2">
        <v>26455</v>
      </c>
      <c r="E38" s="3">
        <v>44494</v>
      </c>
      <c r="F38" s="3">
        <v>44762</v>
      </c>
      <c r="G38" s="4">
        <v>10034.4</v>
      </c>
      <c r="H38" s="2">
        <v>0</v>
      </c>
      <c r="I38" s="2" t="s">
        <v>667</v>
      </c>
      <c r="J38" s="2" t="s">
        <v>40</v>
      </c>
    </row>
    <row r="39" spans="1:10" x14ac:dyDescent="0.3">
      <c r="A39" s="2" t="s">
        <v>25</v>
      </c>
      <c r="B39" s="2" t="s">
        <v>26</v>
      </c>
      <c r="C39" s="2">
        <v>18496</v>
      </c>
      <c r="D39" s="2">
        <v>27494</v>
      </c>
      <c r="E39" s="3">
        <v>44582</v>
      </c>
      <c r="F39" s="3">
        <v>44762</v>
      </c>
      <c r="G39" s="4">
        <v>105780</v>
      </c>
      <c r="H39" s="2">
        <v>0</v>
      </c>
      <c r="I39" s="2" t="s">
        <v>672</v>
      </c>
      <c r="J39" s="2" t="s">
        <v>28</v>
      </c>
    </row>
    <row r="40" spans="1:10" x14ac:dyDescent="0.3">
      <c r="A40" s="2" t="s">
        <v>85</v>
      </c>
      <c r="B40" s="2" t="s">
        <v>83</v>
      </c>
      <c r="C40" s="2">
        <v>17478</v>
      </c>
      <c r="D40" s="2">
        <v>26484</v>
      </c>
      <c r="E40" s="3">
        <v>44495</v>
      </c>
      <c r="F40" s="3">
        <v>44762</v>
      </c>
      <c r="G40" s="4">
        <v>51408</v>
      </c>
      <c r="H40" s="2">
        <v>0</v>
      </c>
      <c r="I40" s="2" t="s">
        <v>866</v>
      </c>
      <c r="J40" s="2" t="s">
        <v>40</v>
      </c>
    </row>
    <row r="41" spans="1:10" x14ac:dyDescent="0.3">
      <c r="A41" s="2" t="s">
        <v>37</v>
      </c>
      <c r="B41" s="2" t="s">
        <v>38</v>
      </c>
      <c r="C41" s="2">
        <v>16889</v>
      </c>
      <c r="D41" s="2">
        <v>25874</v>
      </c>
      <c r="E41" s="3">
        <v>44459</v>
      </c>
      <c r="F41" s="3">
        <v>44762</v>
      </c>
      <c r="G41" s="4">
        <v>20153</v>
      </c>
      <c r="H41" s="2">
        <v>0</v>
      </c>
      <c r="I41" s="2" t="s">
        <v>887</v>
      </c>
      <c r="J41" s="2" t="s">
        <v>40</v>
      </c>
    </row>
    <row r="42" spans="1:10" x14ac:dyDescent="0.3">
      <c r="A42" s="2" t="s">
        <v>53</v>
      </c>
      <c r="B42" s="2" t="s">
        <v>54</v>
      </c>
      <c r="C42" s="2">
        <v>18510</v>
      </c>
      <c r="D42" s="2">
        <v>27508</v>
      </c>
      <c r="E42" s="3">
        <v>44582</v>
      </c>
      <c r="F42" s="3">
        <v>44762</v>
      </c>
      <c r="G42" s="4">
        <v>21747.14</v>
      </c>
      <c r="H42" s="2">
        <v>0</v>
      </c>
      <c r="I42" s="2" t="s">
        <v>889</v>
      </c>
      <c r="J42" s="2" t="s">
        <v>56</v>
      </c>
    </row>
    <row r="43" spans="1:10" x14ac:dyDescent="0.3">
      <c r="A43" s="2" t="s">
        <v>82</v>
      </c>
      <c r="B43" s="2" t="s">
        <v>83</v>
      </c>
      <c r="C43" s="2">
        <v>17448</v>
      </c>
      <c r="D43" s="2">
        <v>26456</v>
      </c>
      <c r="E43" s="3">
        <v>44494</v>
      </c>
      <c r="F43" s="3">
        <v>44762</v>
      </c>
      <c r="G43" s="4">
        <v>19720</v>
      </c>
      <c r="H43" s="2">
        <v>0</v>
      </c>
      <c r="I43" s="2" t="s">
        <v>895</v>
      </c>
      <c r="J43" s="2" t="s">
        <v>40</v>
      </c>
    </row>
    <row r="44" spans="1:10" x14ac:dyDescent="0.3">
      <c r="A44" s="2" t="s">
        <v>82</v>
      </c>
      <c r="B44" s="2" t="s">
        <v>83</v>
      </c>
      <c r="C44" s="2">
        <v>17216</v>
      </c>
      <c r="D44" s="2">
        <v>26215</v>
      </c>
      <c r="E44" s="3">
        <v>44480</v>
      </c>
      <c r="F44" s="3">
        <v>44762</v>
      </c>
      <c r="G44" s="4">
        <v>75704.69</v>
      </c>
      <c r="H44" s="2">
        <v>0</v>
      </c>
      <c r="I44" s="2" t="s">
        <v>910</v>
      </c>
      <c r="J44" s="2" t="s">
        <v>40</v>
      </c>
    </row>
    <row r="45" spans="1:10" x14ac:dyDescent="0.3">
      <c r="A45" s="2" t="s">
        <v>68</v>
      </c>
      <c r="B45" s="2" t="s">
        <v>69</v>
      </c>
      <c r="C45" s="2">
        <v>18129</v>
      </c>
      <c r="D45" s="2">
        <v>27143</v>
      </c>
      <c r="E45" s="3">
        <v>44547</v>
      </c>
      <c r="F45" s="3">
        <v>44762</v>
      </c>
      <c r="G45" s="4">
        <v>8604</v>
      </c>
      <c r="H45" s="2">
        <v>0</v>
      </c>
      <c r="I45" s="2" t="s">
        <v>411</v>
      </c>
      <c r="J45" s="2" t="s">
        <v>40</v>
      </c>
    </row>
    <row r="46" spans="1:10" x14ac:dyDescent="0.3">
      <c r="A46" s="2" t="s">
        <v>68</v>
      </c>
      <c r="B46" s="2" t="s">
        <v>69</v>
      </c>
      <c r="C46" s="2">
        <v>17483</v>
      </c>
      <c r="D46" s="2">
        <v>26489</v>
      </c>
      <c r="E46" s="3">
        <v>44495</v>
      </c>
      <c r="F46" s="3">
        <v>44762</v>
      </c>
      <c r="G46" s="4">
        <v>20356.04</v>
      </c>
      <c r="H46" s="2">
        <v>0</v>
      </c>
      <c r="I46" s="2" t="s">
        <v>1063</v>
      </c>
      <c r="J46" s="2" t="s">
        <v>40</v>
      </c>
    </row>
    <row r="47" spans="1:10" x14ac:dyDescent="0.3">
      <c r="A47" s="2" t="s">
        <v>196</v>
      </c>
      <c r="B47" s="2" t="s">
        <v>197</v>
      </c>
      <c r="C47" s="2">
        <v>18506</v>
      </c>
      <c r="D47" s="2">
        <v>27504</v>
      </c>
      <c r="E47" s="3">
        <v>44582</v>
      </c>
      <c r="F47" s="3">
        <v>44762</v>
      </c>
      <c r="G47" s="4">
        <v>2853.36</v>
      </c>
      <c r="H47" s="2">
        <v>0</v>
      </c>
      <c r="I47" s="2" t="s">
        <v>1108</v>
      </c>
      <c r="J47" s="2" t="s">
        <v>40</v>
      </c>
    </row>
    <row r="48" spans="1:10" x14ac:dyDescent="0.3">
      <c r="A48" s="2" t="s">
        <v>48</v>
      </c>
      <c r="B48" s="2" t="s">
        <v>49</v>
      </c>
      <c r="C48" s="2">
        <v>18761</v>
      </c>
      <c r="D48" s="2">
        <v>27781</v>
      </c>
      <c r="E48" s="3">
        <v>44613</v>
      </c>
      <c r="F48" s="3">
        <v>44763</v>
      </c>
      <c r="G48" s="4">
        <v>4320</v>
      </c>
      <c r="H48" s="2">
        <v>0</v>
      </c>
      <c r="I48" s="2" t="s">
        <v>71</v>
      </c>
      <c r="J48" s="2" t="s">
        <v>40</v>
      </c>
    </row>
    <row r="49" spans="1:10" x14ac:dyDescent="0.3">
      <c r="A49" s="2" t="s">
        <v>48</v>
      </c>
      <c r="B49" s="2" t="s">
        <v>49</v>
      </c>
      <c r="C49" s="2">
        <v>18763</v>
      </c>
      <c r="D49" s="2">
        <v>27783</v>
      </c>
      <c r="E49" s="3">
        <v>44613</v>
      </c>
      <c r="F49" s="3">
        <v>44763</v>
      </c>
      <c r="G49" s="4">
        <v>40000</v>
      </c>
      <c r="H49" s="2">
        <v>0</v>
      </c>
      <c r="I49" s="2" t="s">
        <v>169</v>
      </c>
      <c r="J49" s="2" t="s">
        <v>40</v>
      </c>
    </row>
    <row r="50" spans="1:10" x14ac:dyDescent="0.3">
      <c r="A50" s="2" t="s">
        <v>48</v>
      </c>
      <c r="B50" s="2" t="s">
        <v>49</v>
      </c>
      <c r="C50" s="2">
        <v>18762</v>
      </c>
      <c r="D50" s="2">
        <v>27782</v>
      </c>
      <c r="E50" s="3">
        <v>44613</v>
      </c>
      <c r="F50" s="3">
        <v>44763</v>
      </c>
      <c r="G50" s="4">
        <v>11237.5</v>
      </c>
      <c r="H50" s="2">
        <v>0</v>
      </c>
      <c r="I50" s="2" t="s">
        <v>440</v>
      </c>
      <c r="J50" s="2" t="s">
        <v>40</v>
      </c>
    </row>
    <row r="51" spans="1:10" x14ac:dyDescent="0.3">
      <c r="A51" s="2" t="s">
        <v>48</v>
      </c>
      <c r="B51" s="2" t="s">
        <v>49</v>
      </c>
      <c r="C51" s="2">
        <v>18764</v>
      </c>
      <c r="D51" s="2">
        <v>27784</v>
      </c>
      <c r="E51" s="3">
        <v>44613</v>
      </c>
      <c r="F51" s="3">
        <v>44763</v>
      </c>
      <c r="G51" s="4">
        <v>23466.639999999999</v>
      </c>
      <c r="H51" s="2">
        <v>0</v>
      </c>
      <c r="I51" s="2" t="s">
        <v>570</v>
      </c>
      <c r="J51" s="2" t="s">
        <v>40</v>
      </c>
    </row>
    <row r="52" spans="1:10" x14ac:dyDescent="0.3">
      <c r="A52" s="2" t="s">
        <v>78</v>
      </c>
      <c r="B52" s="2" t="s">
        <v>79</v>
      </c>
      <c r="C52" s="2">
        <v>17876</v>
      </c>
      <c r="D52" s="2">
        <v>26879</v>
      </c>
      <c r="E52" s="3">
        <v>44523</v>
      </c>
      <c r="F52" s="3">
        <v>44763</v>
      </c>
      <c r="G52" s="4">
        <v>5580</v>
      </c>
      <c r="H52" s="2">
        <v>0</v>
      </c>
      <c r="I52" s="2" t="s">
        <v>408</v>
      </c>
      <c r="J52" s="2" t="s">
        <v>81</v>
      </c>
    </row>
    <row r="53" spans="1:10" x14ac:dyDescent="0.3">
      <c r="A53" s="2" t="s">
        <v>974</v>
      </c>
      <c r="B53" s="2" t="s">
        <v>975</v>
      </c>
      <c r="C53" s="2">
        <v>19037</v>
      </c>
      <c r="D53" s="2">
        <v>28052</v>
      </c>
      <c r="E53" s="3">
        <v>44643</v>
      </c>
      <c r="F53" s="3">
        <v>44763</v>
      </c>
      <c r="G53" s="4">
        <v>29274.06</v>
      </c>
      <c r="H53" s="2">
        <v>0</v>
      </c>
      <c r="I53" s="2" t="s">
        <v>976</v>
      </c>
      <c r="J53" s="2" t="s">
        <v>56</v>
      </c>
    </row>
    <row r="54" spans="1:10" x14ac:dyDescent="0.3">
      <c r="A54" s="2" t="s">
        <v>48</v>
      </c>
      <c r="B54" s="2" t="s">
        <v>49</v>
      </c>
      <c r="C54" s="2">
        <v>18792</v>
      </c>
      <c r="D54" s="2">
        <v>27813</v>
      </c>
      <c r="E54" s="3">
        <v>44614</v>
      </c>
      <c r="F54" s="3">
        <v>44764</v>
      </c>
      <c r="G54" s="4">
        <v>54000</v>
      </c>
      <c r="H54" s="2">
        <v>0</v>
      </c>
      <c r="I54" s="2" t="s">
        <v>319</v>
      </c>
      <c r="J54" s="2" t="s">
        <v>40</v>
      </c>
    </row>
    <row r="55" spans="1:10" x14ac:dyDescent="0.3">
      <c r="A55" s="2" t="s">
        <v>53</v>
      </c>
      <c r="B55" s="2" t="s">
        <v>54</v>
      </c>
      <c r="C55" s="2">
        <v>18652</v>
      </c>
      <c r="D55" s="2">
        <v>27664</v>
      </c>
      <c r="E55" s="3">
        <v>44599</v>
      </c>
      <c r="F55" s="3">
        <v>44764</v>
      </c>
      <c r="G55" s="4">
        <v>2066.66</v>
      </c>
      <c r="H55" s="2">
        <v>0</v>
      </c>
      <c r="I55" s="2" t="s">
        <v>331</v>
      </c>
      <c r="J55" s="2" t="s">
        <v>56</v>
      </c>
    </row>
    <row r="56" spans="1:10" x14ac:dyDescent="0.3">
      <c r="A56" s="2" t="s">
        <v>82</v>
      </c>
      <c r="B56" s="2" t="s">
        <v>83</v>
      </c>
      <c r="C56" s="2">
        <v>18787</v>
      </c>
      <c r="D56" s="2">
        <v>27807</v>
      </c>
      <c r="E56" s="3">
        <v>44614</v>
      </c>
      <c r="F56" s="3">
        <v>44764</v>
      </c>
      <c r="G56" s="4">
        <v>27000</v>
      </c>
      <c r="H56" s="2">
        <v>0</v>
      </c>
      <c r="I56" s="2" t="s">
        <v>403</v>
      </c>
      <c r="J56" s="2" t="s">
        <v>40</v>
      </c>
    </row>
    <row r="57" spans="1:10" x14ac:dyDescent="0.3">
      <c r="A57" s="2" t="s">
        <v>187</v>
      </c>
      <c r="B57" s="2" t="s">
        <v>188</v>
      </c>
      <c r="C57" s="2">
        <v>18785</v>
      </c>
      <c r="D57" s="2">
        <v>27805</v>
      </c>
      <c r="E57" s="3">
        <v>44614</v>
      </c>
      <c r="F57" s="3">
        <v>44764</v>
      </c>
      <c r="G57" s="4">
        <v>61215</v>
      </c>
      <c r="H57" s="2">
        <v>0</v>
      </c>
      <c r="I57" s="2" t="s">
        <v>705</v>
      </c>
      <c r="J57" s="2" t="s">
        <v>40</v>
      </c>
    </row>
    <row r="58" spans="1:10" x14ac:dyDescent="0.3">
      <c r="A58" s="2" t="s">
        <v>53</v>
      </c>
      <c r="B58" s="2" t="s">
        <v>54</v>
      </c>
      <c r="C58" s="2">
        <v>18653</v>
      </c>
      <c r="D58" s="2">
        <v>27665</v>
      </c>
      <c r="E58" s="3">
        <v>44599</v>
      </c>
      <c r="F58" s="3">
        <v>44764</v>
      </c>
      <c r="G58" s="4">
        <v>8959.99</v>
      </c>
      <c r="H58" s="2">
        <v>0</v>
      </c>
      <c r="I58" s="2" t="s">
        <v>839</v>
      </c>
      <c r="J58" s="2" t="s">
        <v>56</v>
      </c>
    </row>
    <row r="59" spans="1:10" x14ac:dyDescent="0.3">
      <c r="A59" s="2" t="s">
        <v>53</v>
      </c>
      <c r="B59" s="2" t="s">
        <v>54</v>
      </c>
      <c r="C59" s="2">
        <v>18654</v>
      </c>
      <c r="D59" s="2">
        <v>27666</v>
      </c>
      <c r="E59" s="3">
        <v>44599</v>
      </c>
      <c r="F59" s="3">
        <v>44764</v>
      </c>
      <c r="G59" s="4">
        <v>21746.92</v>
      </c>
      <c r="H59" s="2">
        <v>0</v>
      </c>
      <c r="I59" s="2" t="s">
        <v>840</v>
      </c>
      <c r="J59" s="2" t="s">
        <v>56</v>
      </c>
    </row>
    <row r="60" spans="1:10" x14ac:dyDescent="0.3">
      <c r="A60" s="2" t="s">
        <v>25</v>
      </c>
      <c r="B60" s="2" t="s">
        <v>26</v>
      </c>
      <c r="C60" s="2">
        <v>18817</v>
      </c>
      <c r="D60" s="2">
        <v>27840</v>
      </c>
      <c r="E60" s="3">
        <v>44615</v>
      </c>
      <c r="F60" s="3">
        <v>44765</v>
      </c>
      <c r="G60" s="4">
        <v>12475</v>
      </c>
      <c r="H60" s="2">
        <v>0</v>
      </c>
      <c r="I60" s="2" t="s">
        <v>27</v>
      </c>
      <c r="J60" s="2" t="s">
        <v>28</v>
      </c>
    </row>
    <row r="61" spans="1:10" x14ac:dyDescent="0.3">
      <c r="A61" s="2" t="s">
        <v>29</v>
      </c>
      <c r="B61" s="2" t="s">
        <v>30</v>
      </c>
      <c r="C61" s="2">
        <v>19051</v>
      </c>
      <c r="D61" s="2">
        <v>28069</v>
      </c>
      <c r="E61" s="3">
        <v>44645</v>
      </c>
      <c r="F61" s="3">
        <v>44765</v>
      </c>
      <c r="G61" s="4">
        <v>3040</v>
      </c>
      <c r="H61" s="2">
        <v>0</v>
      </c>
      <c r="I61" s="2" t="s">
        <v>31</v>
      </c>
      <c r="J61" s="2" t="s">
        <v>32</v>
      </c>
    </row>
    <row r="62" spans="1:10" x14ac:dyDescent="0.3">
      <c r="A62" s="2" t="s">
        <v>53</v>
      </c>
      <c r="B62" s="2" t="s">
        <v>54</v>
      </c>
      <c r="C62" s="2">
        <v>19632</v>
      </c>
      <c r="D62" s="2">
        <v>28702</v>
      </c>
      <c r="E62" s="3">
        <v>44705</v>
      </c>
      <c r="F62" s="3">
        <v>44765</v>
      </c>
      <c r="G62" s="4">
        <v>62400</v>
      </c>
      <c r="H62" s="2">
        <v>0</v>
      </c>
      <c r="I62" s="2" t="s">
        <v>124</v>
      </c>
      <c r="J62" s="2" t="s">
        <v>56</v>
      </c>
    </row>
    <row r="63" spans="1:10" x14ac:dyDescent="0.3">
      <c r="A63" s="2" t="s">
        <v>48</v>
      </c>
      <c r="B63" s="2" t="s">
        <v>49</v>
      </c>
      <c r="C63" s="2">
        <v>18512</v>
      </c>
      <c r="D63" s="2">
        <v>27510</v>
      </c>
      <c r="E63" s="3">
        <v>44585</v>
      </c>
      <c r="F63" s="3">
        <v>44765</v>
      </c>
      <c r="G63" s="4">
        <v>23560.560000000001</v>
      </c>
      <c r="H63" s="2">
        <v>0</v>
      </c>
      <c r="I63" s="2" t="s">
        <v>167</v>
      </c>
      <c r="J63" s="2" t="s">
        <v>40</v>
      </c>
    </row>
    <row r="64" spans="1:10" x14ac:dyDescent="0.3">
      <c r="A64" s="2" t="s">
        <v>21</v>
      </c>
      <c r="B64" s="2" t="s">
        <v>22</v>
      </c>
      <c r="C64" s="2">
        <v>18812</v>
      </c>
      <c r="D64" s="2">
        <v>27835</v>
      </c>
      <c r="E64" s="3">
        <v>44615</v>
      </c>
      <c r="F64" s="3">
        <v>44765</v>
      </c>
      <c r="G64" s="4">
        <v>2773.33</v>
      </c>
      <c r="H64" s="2">
        <v>0</v>
      </c>
      <c r="I64" s="2" t="s">
        <v>176</v>
      </c>
      <c r="J64" s="2" t="s">
        <v>24</v>
      </c>
    </row>
    <row r="65" spans="1:10" x14ac:dyDescent="0.3">
      <c r="A65" s="2" t="s">
        <v>25</v>
      </c>
      <c r="B65" s="2" t="s">
        <v>26</v>
      </c>
      <c r="C65" s="2">
        <v>18514</v>
      </c>
      <c r="D65" s="2">
        <v>27513</v>
      </c>
      <c r="E65" s="3">
        <v>44585</v>
      </c>
      <c r="F65" s="3">
        <v>44765</v>
      </c>
      <c r="G65" s="4">
        <v>29232.5</v>
      </c>
      <c r="H65" s="2">
        <v>0</v>
      </c>
      <c r="I65" s="2" t="s">
        <v>252</v>
      </c>
      <c r="J65" s="2" t="s">
        <v>28</v>
      </c>
    </row>
    <row r="66" spans="1:10" x14ac:dyDescent="0.3">
      <c r="A66" s="2" t="s">
        <v>371</v>
      </c>
      <c r="B66" s="2" t="s">
        <v>372</v>
      </c>
      <c r="C66" s="2">
        <v>18804</v>
      </c>
      <c r="D66" s="2">
        <v>27828</v>
      </c>
      <c r="E66" s="3">
        <v>44615</v>
      </c>
      <c r="F66" s="3">
        <v>44765</v>
      </c>
      <c r="G66" s="4">
        <v>141000</v>
      </c>
      <c r="H66" s="2">
        <v>0</v>
      </c>
      <c r="I66" s="2" t="s">
        <v>373</v>
      </c>
      <c r="J66" s="2" t="s">
        <v>36</v>
      </c>
    </row>
    <row r="67" spans="1:10" x14ac:dyDescent="0.3">
      <c r="A67" s="2" t="s">
        <v>73</v>
      </c>
      <c r="B67" s="2" t="s">
        <v>74</v>
      </c>
      <c r="C67" s="2">
        <v>18822</v>
      </c>
      <c r="D67" s="2">
        <v>27845</v>
      </c>
      <c r="E67" s="3">
        <v>44615</v>
      </c>
      <c r="F67" s="3">
        <v>44765</v>
      </c>
      <c r="G67" s="4">
        <v>97769.3</v>
      </c>
      <c r="H67" s="2">
        <v>0</v>
      </c>
      <c r="I67" s="2" t="s">
        <v>374</v>
      </c>
      <c r="J67" s="2" t="s">
        <v>28</v>
      </c>
    </row>
    <row r="68" spans="1:10" x14ac:dyDescent="0.3">
      <c r="A68" s="2" t="s">
        <v>426</v>
      </c>
      <c r="B68" s="2" t="s">
        <v>427</v>
      </c>
      <c r="C68" s="2">
        <v>18801</v>
      </c>
      <c r="D68" s="2">
        <v>27823</v>
      </c>
      <c r="E68" s="3">
        <v>44615</v>
      </c>
      <c r="F68" s="3">
        <v>44765</v>
      </c>
      <c r="G68" s="4">
        <v>26568.3</v>
      </c>
      <c r="H68" s="2">
        <v>0</v>
      </c>
      <c r="I68" s="2" t="s">
        <v>428</v>
      </c>
      <c r="J68" s="2" t="s">
        <v>28</v>
      </c>
    </row>
    <row r="69" spans="1:10" x14ac:dyDescent="0.3">
      <c r="A69" s="2" t="s">
        <v>426</v>
      </c>
      <c r="B69" s="2" t="s">
        <v>427</v>
      </c>
      <c r="C69" s="2">
        <v>18803</v>
      </c>
      <c r="D69" s="2">
        <v>27825</v>
      </c>
      <c r="E69" s="3">
        <v>44615</v>
      </c>
      <c r="F69" s="3">
        <v>44765</v>
      </c>
      <c r="G69" s="4">
        <v>85090.5</v>
      </c>
      <c r="H69" s="2">
        <v>0</v>
      </c>
      <c r="I69" s="2" t="s">
        <v>493</v>
      </c>
      <c r="J69" s="2" t="s">
        <v>28</v>
      </c>
    </row>
    <row r="70" spans="1:10" x14ac:dyDescent="0.3">
      <c r="A70" s="2" t="s">
        <v>503</v>
      </c>
      <c r="B70" s="2" t="s">
        <v>504</v>
      </c>
      <c r="C70" s="2">
        <v>19812</v>
      </c>
      <c r="D70" s="2">
        <v>28876</v>
      </c>
      <c r="E70" s="3">
        <v>44735</v>
      </c>
      <c r="F70" s="3">
        <v>44765</v>
      </c>
      <c r="G70" s="4">
        <v>8391</v>
      </c>
      <c r="H70" s="2">
        <v>0</v>
      </c>
      <c r="I70" s="2" t="s">
        <v>505</v>
      </c>
      <c r="J70" s="2" t="s">
        <v>40</v>
      </c>
    </row>
    <row r="71" spans="1:10" x14ac:dyDescent="0.3">
      <c r="A71" s="2" t="s">
        <v>73</v>
      </c>
      <c r="B71" s="2" t="s">
        <v>74</v>
      </c>
      <c r="C71" s="2">
        <v>18821</v>
      </c>
      <c r="D71" s="2">
        <v>27844</v>
      </c>
      <c r="E71" s="3">
        <v>44615</v>
      </c>
      <c r="F71" s="3">
        <v>44765</v>
      </c>
      <c r="G71" s="4">
        <v>6939.73</v>
      </c>
      <c r="H71" s="2">
        <v>0</v>
      </c>
      <c r="I71" s="2" t="s">
        <v>657</v>
      </c>
      <c r="J71" s="2" t="s">
        <v>28</v>
      </c>
    </row>
    <row r="72" spans="1:10" x14ac:dyDescent="0.3">
      <c r="A72" s="2" t="s">
        <v>736</v>
      </c>
      <c r="B72" s="2" t="s">
        <v>737</v>
      </c>
      <c r="C72" s="2">
        <v>19811</v>
      </c>
      <c r="D72" s="2">
        <v>28875</v>
      </c>
      <c r="E72" s="3">
        <v>44735</v>
      </c>
      <c r="F72" s="3">
        <v>44765</v>
      </c>
      <c r="G72" s="4">
        <v>8391</v>
      </c>
      <c r="H72" s="2">
        <v>0</v>
      </c>
      <c r="I72" s="2" t="s">
        <v>738</v>
      </c>
      <c r="J72" s="2" t="s">
        <v>40</v>
      </c>
    </row>
    <row r="73" spans="1:10" x14ac:dyDescent="0.3">
      <c r="A73" s="2" t="s">
        <v>48</v>
      </c>
      <c r="B73" s="2" t="s">
        <v>49</v>
      </c>
      <c r="C73" s="2">
        <v>18815</v>
      </c>
      <c r="D73" s="2">
        <v>27838</v>
      </c>
      <c r="E73" s="3">
        <v>44615</v>
      </c>
      <c r="F73" s="3">
        <v>44765</v>
      </c>
      <c r="G73" s="4">
        <v>54000</v>
      </c>
      <c r="H73" s="2">
        <v>0</v>
      </c>
      <c r="I73" s="2" t="s">
        <v>752</v>
      </c>
      <c r="J73" s="2" t="s">
        <v>40</v>
      </c>
    </row>
    <row r="74" spans="1:10" x14ac:dyDescent="0.3">
      <c r="A74" s="2" t="s">
        <v>426</v>
      </c>
      <c r="B74" s="2" t="s">
        <v>427</v>
      </c>
      <c r="C74" s="2">
        <v>18802</v>
      </c>
      <c r="D74" s="2">
        <v>27824</v>
      </c>
      <c r="E74" s="3">
        <v>44615</v>
      </c>
      <c r="F74" s="3">
        <v>44765</v>
      </c>
      <c r="G74" s="2">
        <v>487.5</v>
      </c>
      <c r="H74" s="2">
        <v>0</v>
      </c>
      <c r="I74" s="2" t="s">
        <v>902</v>
      </c>
      <c r="J74" s="2" t="s">
        <v>28</v>
      </c>
    </row>
    <row r="75" spans="1:10" x14ac:dyDescent="0.3">
      <c r="A75" s="2" t="s">
        <v>25</v>
      </c>
      <c r="B75" s="2" t="s">
        <v>26</v>
      </c>
      <c r="C75" s="2">
        <v>18816</v>
      </c>
      <c r="D75" s="2">
        <v>27839</v>
      </c>
      <c r="E75" s="3">
        <v>44615</v>
      </c>
      <c r="F75" s="3">
        <v>44765</v>
      </c>
      <c r="G75" s="4">
        <v>74850</v>
      </c>
      <c r="H75" s="2">
        <v>0</v>
      </c>
      <c r="I75" s="2" t="s">
        <v>928</v>
      </c>
      <c r="J75" s="2" t="s">
        <v>28</v>
      </c>
    </row>
    <row r="76" spans="1:10" x14ac:dyDescent="0.3">
      <c r="A76" s="2" t="s">
        <v>179</v>
      </c>
      <c r="B76" s="2" t="s">
        <v>180</v>
      </c>
      <c r="C76" s="2">
        <v>19349</v>
      </c>
      <c r="D76" s="2">
        <v>28393</v>
      </c>
      <c r="E76" s="3">
        <v>44676</v>
      </c>
      <c r="F76" s="3">
        <v>44766</v>
      </c>
      <c r="G76" s="4">
        <v>126000</v>
      </c>
      <c r="H76" s="2">
        <v>0</v>
      </c>
      <c r="I76" s="2" t="s">
        <v>699</v>
      </c>
      <c r="J76" s="2" t="s">
        <v>40</v>
      </c>
    </row>
    <row r="77" spans="1:10" x14ac:dyDescent="0.3">
      <c r="A77" s="2" t="s">
        <v>53</v>
      </c>
      <c r="B77" s="2" t="s">
        <v>54</v>
      </c>
      <c r="C77" s="2">
        <v>18526</v>
      </c>
      <c r="D77" s="2">
        <v>27527</v>
      </c>
      <c r="E77" s="3">
        <v>44586</v>
      </c>
      <c r="F77" s="3">
        <v>44766</v>
      </c>
      <c r="G77" s="4">
        <v>3360</v>
      </c>
      <c r="H77" s="2">
        <v>0</v>
      </c>
      <c r="I77" s="2" t="s">
        <v>749</v>
      </c>
      <c r="J77" s="2" t="s">
        <v>56</v>
      </c>
    </row>
    <row r="78" spans="1:10" x14ac:dyDescent="0.3">
      <c r="A78" s="2" t="s">
        <v>21</v>
      </c>
      <c r="B78" s="2" t="s">
        <v>22</v>
      </c>
      <c r="C78" s="2">
        <v>18824</v>
      </c>
      <c r="D78" s="2">
        <v>27846</v>
      </c>
      <c r="E78" s="3">
        <v>44616</v>
      </c>
      <c r="F78" s="3">
        <v>44766</v>
      </c>
      <c r="G78" s="2">
        <v>559.59</v>
      </c>
      <c r="H78" s="2">
        <v>0</v>
      </c>
      <c r="I78" s="2" t="s">
        <v>767</v>
      </c>
      <c r="J78" s="2" t="s">
        <v>24</v>
      </c>
    </row>
    <row r="79" spans="1:10" x14ac:dyDescent="0.3">
      <c r="A79" s="2" t="s">
        <v>48</v>
      </c>
      <c r="B79" s="2" t="s">
        <v>49</v>
      </c>
      <c r="C79" s="2">
        <v>18842</v>
      </c>
      <c r="D79" s="2">
        <v>27862</v>
      </c>
      <c r="E79" s="3">
        <v>44616</v>
      </c>
      <c r="F79" s="3">
        <v>44766</v>
      </c>
      <c r="G79" s="4">
        <v>54000</v>
      </c>
      <c r="H79" s="2">
        <v>0</v>
      </c>
      <c r="I79" s="2" t="s">
        <v>1110</v>
      </c>
      <c r="J79" s="2" t="s">
        <v>40</v>
      </c>
    </row>
    <row r="80" spans="1:10" x14ac:dyDescent="0.3">
      <c r="A80" s="2" t="s">
        <v>25</v>
      </c>
      <c r="B80" s="2" t="s">
        <v>26</v>
      </c>
      <c r="C80" s="2">
        <v>18546</v>
      </c>
      <c r="D80" s="2">
        <v>27544</v>
      </c>
      <c r="E80" s="3">
        <v>44587</v>
      </c>
      <c r="F80" s="3">
        <v>44767</v>
      </c>
      <c r="G80" s="4">
        <v>99300</v>
      </c>
      <c r="H80" s="2">
        <v>0</v>
      </c>
      <c r="I80" s="2" t="s">
        <v>168</v>
      </c>
      <c r="J80" s="2" t="s">
        <v>28</v>
      </c>
    </row>
    <row r="81" spans="1:10" x14ac:dyDescent="0.3">
      <c r="A81" s="2" t="s">
        <v>73</v>
      </c>
      <c r="B81" s="2" t="s">
        <v>74</v>
      </c>
      <c r="C81" s="2">
        <v>19365</v>
      </c>
      <c r="D81" s="2">
        <v>28409</v>
      </c>
      <c r="E81" s="3">
        <v>44677</v>
      </c>
      <c r="F81" s="3">
        <v>44767</v>
      </c>
      <c r="G81" s="4">
        <v>5760</v>
      </c>
      <c r="H81" s="2">
        <v>0</v>
      </c>
      <c r="I81" s="2" t="s">
        <v>184</v>
      </c>
      <c r="J81" s="2" t="s">
        <v>28</v>
      </c>
    </row>
    <row r="82" spans="1:10" x14ac:dyDescent="0.3">
      <c r="A82" s="2" t="s">
        <v>25</v>
      </c>
      <c r="B82" s="2" t="s">
        <v>26</v>
      </c>
      <c r="C82" s="2">
        <v>18547</v>
      </c>
      <c r="D82" s="2">
        <v>27545</v>
      </c>
      <c r="E82" s="3">
        <v>44587</v>
      </c>
      <c r="F82" s="3">
        <v>44767</v>
      </c>
      <c r="G82" s="4">
        <v>6900</v>
      </c>
      <c r="H82" s="2">
        <v>0</v>
      </c>
      <c r="I82" s="2" t="s">
        <v>284</v>
      </c>
      <c r="J82" s="2" t="s">
        <v>28</v>
      </c>
    </row>
    <row r="83" spans="1:10" x14ac:dyDescent="0.3">
      <c r="A83" s="2" t="s">
        <v>73</v>
      </c>
      <c r="B83" s="2" t="s">
        <v>74</v>
      </c>
      <c r="C83" s="2">
        <v>19362</v>
      </c>
      <c r="D83" s="2">
        <v>28406</v>
      </c>
      <c r="E83" s="3">
        <v>44677</v>
      </c>
      <c r="F83" s="3">
        <v>44767</v>
      </c>
      <c r="G83" s="4">
        <v>2850</v>
      </c>
      <c r="H83" s="2">
        <v>0</v>
      </c>
      <c r="I83" s="2" t="s">
        <v>360</v>
      </c>
      <c r="J83" s="2" t="s">
        <v>28</v>
      </c>
    </row>
    <row r="84" spans="1:10" x14ac:dyDescent="0.3">
      <c r="A84" s="2" t="s">
        <v>82</v>
      </c>
      <c r="B84" s="2" t="s">
        <v>83</v>
      </c>
      <c r="C84" s="2">
        <v>18538</v>
      </c>
      <c r="D84" s="2">
        <v>27536</v>
      </c>
      <c r="E84" s="3">
        <v>44587</v>
      </c>
      <c r="F84" s="3">
        <v>44767</v>
      </c>
      <c r="G84" s="4">
        <v>30383.3</v>
      </c>
      <c r="H84" s="2">
        <v>0</v>
      </c>
      <c r="I84" s="2" t="s">
        <v>402</v>
      </c>
      <c r="J84" s="2" t="s">
        <v>40</v>
      </c>
    </row>
    <row r="85" spans="1:10" x14ac:dyDescent="0.3">
      <c r="A85" s="2" t="s">
        <v>68</v>
      </c>
      <c r="B85" s="2" t="s">
        <v>69</v>
      </c>
      <c r="C85" s="2">
        <v>18540</v>
      </c>
      <c r="D85" s="2">
        <v>27538</v>
      </c>
      <c r="E85" s="3">
        <v>44587</v>
      </c>
      <c r="F85" s="3">
        <v>44767</v>
      </c>
      <c r="G85" s="4">
        <v>96968.8</v>
      </c>
      <c r="H85" s="2">
        <v>0</v>
      </c>
      <c r="I85" s="2" t="s">
        <v>411</v>
      </c>
      <c r="J85" s="2" t="s">
        <v>40</v>
      </c>
    </row>
    <row r="86" spans="1:10" x14ac:dyDescent="0.3">
      <c r="A86" s="2" t="s">
        <v>82</v>
      </c>
      <c r="B86" s="2" t="s">
        <v>83</v>
      </c>
      <c r="C86" s="2">
        <v>18543</v>
      </c>
      <c r="D86" s="2">
        <v>27541</v>
      </c>
      <c r="E86" s="3">
        <v>44587</v>
      </c>
      <c r="F86" s="3">
        <v>44767</v>
      </c>
      <c r="G86" s="4">
        <v>7702.8</v>
      </c>
      <c r="H86" s="2">
        <v>0</v>
      </c>
      <c r="I86" s="2" t="s">
        <v>402</v>
      </c>
      <c r="J86" s="2" t="s">
        <v>40</v>
      </c>
    </row>
    <row r="87" spans="1:10" x14ac:dyDescent="0.3">
      <c r="A87" s="2" t="s">
        <v>521</v>
      </c>
      <c r="B87" s="2" t="s">
        <v>522</v>
      </c>
      <c r="C87" s="2">
        <v>18853</v>
      </c>
      <c r="D87" s="2">
        <v>27873</v>
      </c>
      <c r="E87" s="3">
        <v>44617</v>
      </c>
      <c r="F87" s="3">
        <v>44767</v>
      </c>
      <c r="G87" s="4">
        <v>156000</v>
      </c>
      <c r="H87" s="2">
        <v>0</v>
      </c>
      <c r="I87" s="2" t="s">
        <v>580</v>
      </c>
      <c r="J87" s="2" t="s">
        <v>28</v>
      </c>
    </row>
    <row r="88" spans="1:10" x14ac:dyDescent="0.3">
      <c r="A88" s="2" t="s">
        <v>48</v>
      </c>
      <c r="B88" s="2" t="s">
        <v>49</v>
      </c>
      <c r="C88" s="2">
        <v>18849</v>
      </c>
      <c r="D88" s="2">
        <v>27870</v>
      </c>
      <c r="E88" s="3">
        <v>44617</v>
      </c>
      <c r="F88" s="3">
        <v>44767</v>
      </c>
      <c r="G88" s="4">
        <v>54000</v>
      </c>
      <c r="H88" s="2">
        <v>0</v>
      </c>
      <c r="I88" s="2" t="s">
        <v>753</v>
      </c>
      <c r="J88" s="2" t="s">
        <v>40</v>
      </c>
    </row>
    <row r="89" spans="1:10" x14ac:dyDescent="0.3">
      <c r="A89" s="2" t="s">
        <v>824</v>
      </c>
      <c r="B89" s="2" t="s">
        <v>825</v>
      </c>
      <c r="C89" s="2">
        <v>19243</v>
      </c>
      <c r="D89" s="2">
        <v>28267</v>
      </c>
      <c r="E89" s="3">
        <v>44662</v>
      </c>
      <c r="F89" s="3">
        <v>44767</v>
      </c>
      <c r="G89" s="4">
        <v>27291.79</v>
      </c>
      <c r="H89" s="2">
        <v>0</v>
      </c>
      <c r="I89" s="2" t="s">
        <v>826</v>
      </c>
      <c r="J89" s="2" t="s">
        <v>36</v>
      </c>
    </row>
    <row r="90" spans="1:10" x14ac:dyDescent="0.3">
      <c r="A90" s="2" t="s">
        <v>85</v>
      </c>
      <c r="B90" s="2" t="s">
        <v>83</v>
      </c>
      <c r="C90" s="2">
        <v>18537</v>
      </c>
      <c r="D90" s="2">
        <v>27535</v>
      </c>
      <c r="E90" s="3">
        <v>44587</v>
      </c>
      <c r="F90" s="3">
        <v>44767</v>
      </c>
      <c r="G90" s="4">
        <v>56161.599999999999</v>
      </c>
      <c r="H90" s="2">
        <v>0</v>
      </c>
      <c r="I90" s="2" t="s">
        <v>916</v>
      </c>
      <c r="J90" s="2" t="s">
        <v>40</v>
      </c>
    </row>
    <row r="91" spans="1:10" x14ac:dyDescent="0.3">
      <c r="A91" s="2" t="s">
        <v>85</v>
      </c>
      <c r="B91" s="2" t="s">
        <v>83</v>
      </c>
      <c r="C91" s="2">
        <v>18542</v>
      </c>
      <c r="D91" s="2">
        <v>27540</v>
      </c>
      <c r="E91" s="3">
        <v>44587</v>
      </c>
      <c r="F91" s="3">
        <v>44767</v>
      </c>
      <c r="G91" s="4">
        <v>12838</v>
      </c>
      <c r="H91" s="2">
        <v>0</v>
      </c>
      <c r="I91" s="2" t="s">
        <v>1150</v>
      </c>
      <c r="J91" s="2" t="s">
        <v>40</v>
      </c>
    </row>
    <row r="92" spans="1:10" x14ac:dyDescent="0.3">
      <c r="A92" s="2" t="s">
        <v>114</v>
      </c>
      <c r="B92" s="2" t="s">
        <v>115</v>
      </c>
      <c r="C92" s="2">
        <v>19396</v>
      </c>
      <c r="D92" s="2">
        <v>28437</v>
      </c>
      <c r="E92" s="3">
        <v>44678</v>
      </c>
      <c r="F92" s="3">
        <v>44768</v>
      </c>
      <c r="G92" s="4">
        <v>13200</v>
      </c>
      <c r="H92" s="2">
        <v>0</v>
      </c>
      <c r="I92" s="2" t="s">
        <v>116</v>
      </c>
      <c r="J92" s="2" t="s">
        <v>28</v>
      </c>
    </row>
    <row r="93" spans="1:10" x14ac:dyDescent="0.3">
      <c r="A93" s="2" t="s">
        <v>154</v>
      </c>
      <c r="B93" s="2" t="s">
        <v>155</v>
      </c>
      <c r="C93" s="2">
        <v>19377</v>
      </c>
      <c r="D93" s="2">
        <v>28420</v>
      </c>
      <c r="E93" s="3">
        <v>44678</v>
      </c>
      <c r="F93" s="3">
        <v>44768</v>
      </c>
      <c r="G93" s="4">
        <v>16800</v>
      </c>
      <c r="H93" s="2">
        <v>0</v>
      </c>
      <c r="I93" s="2" t="s">
        <v>156</v>
      </c>
      <c r="J93" s="2" t="s">
        <v>157</v>
      </c>
    </row>
    <row r="94" spans="1:10" x14ac:dyDescent="0.3">
      <c r="A94" s="2" t="s">
        <v>21</v>
      </c>
      <c r="B94" s="2" t="s">
        <v>22</v>
      </c>
      <c r="C94" s="2">
        <v>19075</v>
      </c>
      <c r="D94" s="2">
        <v>28094</v>
      </c>
      <c r="E94" s="3">
        <v>44648</v>
      </c>
      <c r="F94" s="3">
        <v>44768</v>
      </c>
      <c r="G94" s="4">
        <v>8446.66</v>
      </c>
      <c r="H94" s="2">
        <v>0</v>
      </c>
      <c r="I94" s="2" t="s">
        <v>233</v>
      </c>
      <c r="J94" s="2" t="s">
        <v>24</v>
      </c>
    </row>
    <row r="95" spans="1:10" x14ac:dyDescent="0.3">
      <c r="A95" s="2" t="s">
        <v>237</v>
      </c>
      <c r="B95" s="2" t="s">
        <v>238</v>
      </c>
      <c r="C95" s="2">
        <v>19375</v>
      </c>
      <c r="D95" s="2">
        <v>28418</v>
      </c>
      <c r="E95" s="3">
        <v>44678</v>
      </c>
      <c r="F95" s="3">
        <v>44768</v>
      </c>
      <c r="G95" s="4">
        <v>5167.49</v>
      </c>
      <c r="H95" s="2">
        <v>0</v>
      </c>
      <c r="I95" s="2" t="s">
        <v>239</v>
      </c>
      <c r="J95" s="2" t="s">
        <v>157</v>
      </c>
    </row>
    <row r="96" spans="1:10" x14ac:dyDescent="0.3">
      <c r="A96" s="2" t="s">
        <v>21</v>
      </c>
      <c r="B96" s="2" t="s">
        <v>22</v>
      </c>
      <c r="C96" s="2">
        <v>19074</v>
      </c>
      <c r="D96" s="2">
        <v>28093</v>
      </c>
      <c r="E96" s="3">
        <v>44648</v>
      </c>
      <c r="F96" s="3">
        <v>44768</v>
      </c>
      <c r="G96" s="4">
        <v>11880</v>
      </c>
      <c r="H96" s="2">
        <v>0</v>
      </c>
      <c r="I96" s="2" t="s">
        <v>429</v>
      </c>
      <c r="J96" s="2" t="s">
        <v>24</v>
      </c>
    </row>
    <row r="97" spans="1:10" x14ac:dyDescent="0.3">
      <c r="A97" s="2" t="s">
        <v>384</v>
      </c>
      <c r="B97" s="2" t="s">
        <v>385</v>
      </c>
      <c r="C97" s="2">
        <v>19376</v>
      </c>
      <c r="D97" s="2">
        <v>28419</v>
      </c>
      <c r="E97" s="3">
        <v>44678</v>
      </c>
      <c r="F97" s="3">
        <v>44768</v>
      </c>
      <c r="G97" s="4">
        <v>11807.25</v>
      </c>
      <c r="H97" s="2">
        <v>0</v>
      </c>
      <c r="I97" s="2" t="s">
        <v>433</v>
      </c>
      <c r="J97" s="2" t="s">
        <v>173</v>
      </c>
    </row>
    <row r="98" spans="1:10" x14ac:dyDescent="0.3">
      <c r="A98" s="2" t="s">
        <v>660</v>
      </c>
      <c r="B98" s="2" t="s">
        <v>661</v>
      </c>
      <c r="C98" s="2">
        <v>19089</v>
      </c>
      <c r="D98" s="2">
        <v>28108</v>
      </c>
      <c r="E98" s="3">
        <v>44648</v>
      </c>
      <c r="F98" s="3">
        <v>44768</v>
      </c>
      <c r="G98" s="4">
        <v>145716.79999999999</v>
      </c>
      <c r="H98" s="2">
        <v>0</v>
      </c>
      <c r="I98" s="2" t="s">
        <v>662</v>
      </c>
      <c r="J98" s="2" t="s">
        <v>112</v>
      </c>
    </row>
    <row r="99" spans="1:10" x14ac:dyDescent="0.3">
      <c r="A99" s="2" t="s">
        <v>114</v>
      </c>
      <c r="B99" s="2" t="s">
        <v>115</v>
      </c>
      <c r="C99" s="2">
        <v>19399</v>
      </c>
      <c r="D99" s="2">
        <v>28439</v>
      </c>
      <c r="E99" s="3">
        <v>44678</v>
      </c>
      <c r="F99" s="3">
        <v>44768</v>
      </c>
      <c r="G99" s="4">
        <v>4032</v>
      </c>
      <c r="H99" s="2">
        <v>0</v>
      </c>
      <c r="I99" s="2" t="s">
        <v>728</v>
      </c>
      <c r="J99" s="2" t="s">
        <v>28</v>
      </c>
    </row>
    <row r="100" spans="1:10" x14ac:dyDescent="0.3">
      <c r="A100" s="2" t="s">
        <v>758</v>
      </c>
      <c r="B100" s="2" t="s">
        <v>759</v>
      </c>
      <c r="C100" s="2">
        <v>19392</v>
      </c>
      <c r="D100" s="2">
        <v>28433</v>
      </c>
      <c r="E100" s="3">
        <v>44678</v>
      </c>
      <c r="F100" s="3">
        <v>44768</v>
      </c>
      <c r="G100" s="4">
        <v>33572.5</v>
      </c>
      <c r="H100" s="2">
        <v>0</v>
      </c>
      <c r="I100" s="2" t="s">
        <v>760</v>
      </c>
      <c r="J100" s="2" t="s">
        <v>32</v>
      </c>
    </row>
    <row r="101" spans="1:10" x14ac:dyDescent="0.3">
      <c r="A101" s="2" t="s">
        <v>114</v>
      </c>
      <c r="B101" s="2" t="s">
        <v>115</v>
      </c>
      <c r="C101" s="2">
        <v>19400</v>
      </c>
      <c r="D101" s="2">
        <v>28440</v>
      </c>
      <c r="E101" s="3">
        <v>44678</v>
      </c>
      <c r="F101" s="3">
        <v>44768</v>
      </c>
      <c r="G101" s="4">
        <v>65586.600000000006</v>
      </c>
      <c r="H101" s="2">
        <v>0</v>
      </c>
      <c r="I101" s="2" t="s">
        <v>828</v>
      </c>
      <c r="J101" s="2" t="s">
        <v>28</v>
      </c>
    </row>
    <row r="102" spans="1:10" x14ac:dyDescent="0.3">
      <c r="A102" s="2" t="s">
        <v>630</v>
      </c>
      <c r="B102" s="2" t="s">
        <v>631</v>
      </c>
      <c r="C102" s="2">
        <v>19394</v>
      </c>
      <c r="D102" s="2">
        <v>28435</v>
      </c>
      <c r="E102" s="3">
        <v>44678</v>
      </c>
      <c r="F102" s="3">
        <v>44768</v>
      </c>
      <c r="G102" s="4">
        <v>17350</v>
      </c>
      <c r="H102" s="2">
        <v>0</v>
      </c>
      <c r="I102" s="2" t="s">
        <v>883</v>
      </c>
      <c r="J102" s="2" t="s">
        <v>32</v>
      </c>
    </row>
    <row r="103" spans="1:10" x14ac:dyDescent="0.3">
      <c r="A103" s="2" t="s">
        <v>630</v>
      </c>
      <c r="B103" s="2" t="s">
        <v>631</v>
      </c>
      <c r="C103" s="2">
        <v>19393</v>
      </c>
      <c r="D103" s="2">
        <v>28434</v>
      </c>
      <c r="E103" s="3">
        <v>44678</v>
      </c>
      <c r="F103" s="3">
        <v>44768</v>
      </c>
      <c r="G103" s="4">
        <v>5275</v>
      </c>
      <c r="H103" s="2">
        <v>0</v>
      </c>
      <c r="I103" s="2" t="s">
        <v>953</v>
      </c>
      <c r="J103" s="2" t="s">
        <v>32</v>
      </c>
    </row>
    <row r="104" spans="1:10" x14ac:dyDescent="0.3">
      <c r="A104" s="2" t="s">
        <v>384</v>
      </c>
      <c r="B104" s="2" t="s">
        <v>385</v>
      </c>
      <c r="C104" s="2">
        <v>19370</v>
      </c>
      <c r="D104" s="2">
        <v>28414</v>
      </c>
      <c r="E104" s="3">
        <v>44678</v>
      </c>
      <c r="F104" s="3">
        <v>44768</v>
      </c>
      <c r="G104" s="4">
        <v>2375</v>
      </c>
      <c r="H104" s="2">
        <v>0</v>
      </c>
      <c r="I104" s="2" t="s">
        <v>982</v>
      </c>
      <c r="J104" s="2" t="s">
        <v>173</v>
      </c>
    </row>
    <row r="105" spans="1:10" x14ac:dyDescent="0.3">
      <c r="A105" s="2" t="s">
        <v>642</v>
      </c>
      <c r="B105" s="2" t="s">
        <v>643</v>
      </c>
      <c r="C105" s="2">
        <v>19391</v>
      </c>
      <c r="D105" s="2">
        <v>28432</v>
      </c>
      <c r="E105" s="3">
        <v>44678</v>
      </c>
      <c r="F105" s="3">
        <v>44768</v>
      </c>
      <c r="G105" s="4">
        <v>40600</v>
      </c>
      <c r="H105" s="2">
        <v>0</v>
      </c>
      <c r="I105" s="2" t="s">
        <v>1028</v>
      </c>
      <c r="J105" s="2" t="s">
        <v>157</v>
      </c>
    </row>
    <row r="106" spans="1:10" x14ac:dyDescent="0.3">
      <c r="A106" s="2" t="s">
        <v>110</v>
      </c>
      <c r="B106" s="2" t="s">
        <v>111</v>
      </c>
      <c r="C106" s="2">
        <v>19084</v>
      </c>
      <c r="D106" s="2">
        <v>28104</v>
      </c>
      <c r="E106" s="3">
        <v>44648</v>
      </c>
      <c r="F106" s="3">
        <v>44768</v>
      </c>
      <c r="G106" s="4">
        <v>145716.79999999999</v>
      </c>
      <c r="H106" s="2">
        <v>0</v>
      </c>
      <c r="I106" s="2" t="s">
        <v>1083</v>
      </c>
      <c r="J106" s="2" t="s">
        <v>112</v>
      </c>
    </row>
    <row r="107" spans="1:10" x14ac:dyDescent="0.3">
      <c r="A107" s="2" t="s">
        <v>21</v>
      </c>
      <c r="B107" s="2" t="s">
        <v>22</v>
      </c>
      <c r="C107" s="2">
        <v>18558</v>
      </c>
      <c r="D107" s="2">
        <v>27565</v>
      </c>
      <c r="E107" s="3">
        <v>44589</v>
      </c>
      <c r="F107" s="3">
        <v>44769</v>
      </c>
      <c r="G107" s="4">
        <v>2333.34</v>
      </c>
      <c r="H107" s="2">
        <v>0</v>
      </c>
      <c r="I107" s="2" t="s">
        <v>23</v>
      </c>
      <c r="J107" s="2" t="s">
        <v>24</v>
      </c>
    </row>
    <row r="108" spans="1:10" x14ac:dyDescent="0.3">
      <c r="A108" s="2" t="s">
        <v>53</v>
      </c>
      <c r="B108" s="2" t="s">
        <v>54</v>
      </c>
      <c r="C108" s="2">
        <v>19131</v>
      </c>
      <c r="D108" s="2">
        <v>28150</v>
      </c>
      <c r="E108" s="3">
        <v>44649</v>
      </c>
      <c r="F108" s="3">
        <v>44769</v>
      </c>
      <c r="G108" s="4">
        <v>18583.48</v>
      </c>
      <c r="H108" s="2">
        <v>0</v>
      </c>
      <c r="I108" s="2" t="s">
        <v>77</v>
      </c>
      <c r="J108" s="2" t="s">
        <v>56</v>
      </c>
    </row>
    <row r="109" spans="1:10" x14ac:dyDescent="0.3">
      <c r="A109" s="2" t="s">
        <v>53</v>
      </c>
      <c r="B109" s="2" t="s">
        <v>54</v>
      </c>
      <c r="C109" s="2">
        <v>19130</v>
      </c>
      <c r="D109" s="2">
        <v>28149</v>
      </c>
      <c r="E109" s="3">
        <v>44649</v>
      </c>
      <c r="F109" s="3">
        <v>44769</v>
      </c>
      <c r="G109" s="4">
        <v>21839.42</v>
      </c>
      <c r="H109" s="2">
        <v>0</v>
      </c>
      <c r="I109" s="2" t="s">
        <v>357</v>
      </c>
      <c r="J109" s="2" t="s">
        <v>56</v>
      </c>
    </row>
    <row r="110" spans="1:10" x14ac:dyDescent="0.3">
      <c r="A110" s="2" t="s">
        <v>48</v>
      </c>
      <c r="B110" s="2" t="s">
        <v>49</v>
      </c>
      <c r="C110" s="2">
        <v>19128</v>
      </c>
      <c r="D110" s="2">
        <v>28147</v>
      </c>
      <c r="E110" s="3">
        <v>44649</v>
      </c>
      <c r="F110" s="3">
        <v>44769</v>
      </c>
      <c r="G110" s="4">
        <v>16562.919999999998</v>
      </c>
      <c r="H110" s="2">
        <v>0</v>
      </c>
      <c r="I110" s="2" t="s">
        <v>518</v>
      </c>
      <c r="J110" s="2" t="s">
        <v>40</v>
      </c>
    </row>
    <row r="111" spans="1:10" x14ac:dyDescent="0.3">
      <c r="A111" s="2" t="s">
        <v>187</v>
      </c>
      <c r="B111" s="2" t="s">
        <v>188</v>
      </c>
      <c r="C111" s="2">
        <v>19120</v>
      </c>
      <c r="D111" s="2">
        <v>28140</v>
      </c>
      <c r="E111" s="3">
        <v>44649</v>
      </c>
      <c r="F111" s="3">
        <v>44769</v>
      </c>
      <c r="G111" s="4">
        <v>11464</v>
      </c>
      <c r="H111" s="2">
        <v>0</v>
      </c>
      <c r="I111" s="2" t="s">
        <v>547</v>
      </c>
      <c r="J111" s="2" t="s">
        <v>40</v>
      </c>
    </row>
    <row r="112" spans="1:10" x14ac:dyDescent="0.3">
      <c r="A112" s="2" t="s">
        <v>48</v>
      </c>
      <c r="B112" s="2" t="s">
        <v>49</v>
      </c>
      <c r="C112" s="2">
        <v>19126</v>
      </c>
      <c r="D112" s="2">
        <v>28145</v>
      </c>
      <c r="E112" s="3">
        <v>44649</v>
      </c>
      <c r="F112" s="3">
        <v>44769</v>
      </c>
      <c r="G112" s="4">
        <v>5416.66</v>
      </c>
      <c r="H112" s="2">
        <v>0</v>
      </c>
      <c r="I112" s="2" t="s">
        <v>640</v>
      </c>
      <c r="J112" s="2" t="s">
        <v>40</v>
      </c>
    </row>
    <row r="113" spans="1:10" x14ac:dyDescent="0.3">
      <c r="A113" s="2" t="s">
        <v>53</v>
      </c>
      <c r="B113" s="2" t="s">
        <v>54</v>
      </c>
      <c r="C113" s="2">
        <v>19136</v>
      </c>
      <c r="D113" s="2">
        <v>28153</v>
      </c>
      <c r="E113" s="3">
        <v>44649</v>
      </c>
      <c r="F113" s="3">
        <v>44769</v>
      </c>
      <c r="G113" s="4">
        <v>4571.1099999999997</v>
      </c>
      <c r="H113" s="2">
        <v>0</v>
      </c>
      <c r="I113" s="2" t="s">
        <v>724</v>
      </c>
      <c r="J113" s="2" t="s">
        <v>56</v>
      </c>
    </row>
    <row r="114" spans="1:10" x14ac:dyDescent="0.3">
      <c r="A114" s="2" t="s">
        <v>48</v>
      </c>
      <c r="B114" s="2" t="s">
        <v>49</v>
      </c>
      <c r="C114" s="2">
        <v>19129</v>
      </c>
      <c r="D114" s="2">
        <v>28148</v>
      </c>
      <c r="E114" s="3">
        <v>44649</v>
      </c>
      <c r="F114" s="3">
        <v>44769</v>
      </c>
      <c r="G114" s="4">
        <v>34349.97</v>
      </c>
      <c r="H114" s="2">
        <v>0</v>
      </c>
      <c r="I114" s="2" t="s">
        <v>725</v>
      </c>
      <c r="J114" s="2" t="s">
        <v>40</v>
      </c>
    </row>
    <row r="115" spans="1:10" x14ac:dyDescent="0.3">
      <c r="A115" s="2" t="s">
        <v>779</v>
      </c>
      <c r="B115" s="2" t="s">
        <v>780</v>
      </c>
      <c r="C115" s="2">
        <v>19828</v>
      </c>
      <c r="D115" s="2">
        <v>28894</v>
      </c>
      <c r="E115" s="3">
        <v>44739</v>
      </c>
      <c r="F115" s="3">
        <v>44769</v>
      </c>
      <c r="G115" s="4">
        <v>6493</v>
      </c>
      <c r="H115" s="2">
        <v>0</v>
      </c>
      <c r="I115" s="2" t="s">
        <v>781</v>
      </c>
      <c r="J115" s="2" t="s">
        <v>36</v>
      </c>
    </row>
    <row r="116" spans="1:10" x14ac:dyDescent="0.3">
      <c r="A116" s="2" t="s">
        <v>85</v>
      </c>
      <c r="B116" s="2" t="s">
        <v>83</v>
      </c>
      <c r="C116" s="2">
        <v>18566</v>
      </c>
      <c r="D116" s="2">
        <v>27573</v>
      </c>
      <c r="E116" s="3">
        <v>44589</v>
      </c>
      <c r="F116" s="3">
        <v>44769</v>
      </c>
      <c r="G116" s="4">
        <v>37800</v>
      </c>
      <c r="H116" s="2">
        <v>0</v>
      </c>
      <c r="I116" s="2" t="s">
        <v>836</v>
      </c>
      <c r="J116" s="2" t="s">
        <v>40</v>
      </c>
    </row>
    <row r="117" spans="1:10" x14ac:dyDescent="0.3">
      <c r="A117" s="2" t="s">
        <v>48</v>
      </c>
      <c r="B117" s="2" t="s">
        <v>49</v>
      </c>
      <c r="C117" s="2">
        <v>18563</v>
      </c>
      <c r="D117" s="2">
        <v>27570</v>
      </c>
      <c r="E117" s="3">
        <v>44589</v>
      </c>
      <c r="F117" s="3">
        <v>44769</v>
      </c>
      <c r="G117" s="4">
        <v>39840</v>
      </c>
      <c r="H117" s="2">
        <v>0</v>
      </c>
      <c r="I117" s="2" t="s">
        <v>855</v>
      </c>
      <c r="J117" s="2" t="s">
        <v>40</v>
      </c>
    </row>
    <row r="118" spans="1:10" x14ac:dyDescent="0.3">
      <c r="A118" s="2" t="s">
        <v>48</v>
      </c>
      <c r="B118" s="2" t="s">
        <v>49</v>
      </c>
      <c r="C118" s="2">
        <v>19127</v>
      </c>
      <c r="D118" s="2">
        <v>28146</v>
      </c>
      <c r="E118" s="3">
        <v>44649</v>
      </c>
      <c r="F118" s="3">
        <v>44769</v>
      </c>
      <c r="G118" s="4">
        <v>10833.32</v>
      </c>
      <c r="H118" s="2">
        <v>0</v>
      </c>
      <c r="I118" s="2" t="s">
        <v>904</v>
      </c>
      <c r="J118" s="2" t="s">
        <v>40</v>
      </c>
    </row>
    <row r="119" spans="1:10" x14ac:dyDescent="0.3">
      <c r="A119" s="2" t="s">
        <v>48</v>
      </c>
      <c r="B119" s="2" t="s">
        <v>49</v>
      </c>
      <c r="C119" s="2">
        <v>19125</v>
      </c>
      <c r="D119" s="2">
        <v>28144</v>
      </c>
      <c r="E119" s="3">
        <v>44649</v>
      </c>
      <c r="F119" s="3">
        <v>44769</v>
      </c>
      <c r="G119" s="4">
        <v>2599.4</v>
      </c>
      <c r="H119" s="2">
        <v>0</v>
      </c>
      <c r="I119" s="2" t="s">
        <v>950</v>
      </c>
      <c r="J119" s="2" t="s">
        <v>40</v>
      </c>
    </row>
    <row r="120" spans="1:10" x14ac:dyDescent="0.3">
      <c r="A120" s="2" t="s">
        <v>68</v>
      </c>
      <c r="B120" s="2" t="s">
        <v>69</v>
      </c>
      <c r="C120" s="2">
        <v>18567</v>
      </c>
      <c r="D120" s="2">
        <v>27574</v>
      </c>
      <c r="E120" s="3">
        <v>44589</v>
      </c>
      <c r="F120" s="3">
        <v>44769</v>
      </c>
      <c r="G120" s="4">
        <v>48000</v>
      </c>
      <c r="H120" s="2">
        <v>0</v>
      </c>
      <c r="I120" s="2" t="s">
        <v>1038</v>
      </c>
      <c r="J120" s="2" t="s">
        <v>40</v>
      </c>
    </row>
    <row r="121" spans="1:10" x14ac:dyDescent="0.3">
      <c r="A121" s="2" t="s">
        <v>53</v>
      </c>
      <c r="B121" s="2" t="s">
        <v>54</v>
      </c>
      <c r="C121" s="2">
        <v>19137</v>
      </c>
      <c r="D121" s="2">
        <v>28154</v>
      </c>
      <c r="E121" s="3">
        <v>44649</v>
      </c>
      <c r="F121" s="3">
        <v>44769</v>
      </c>
      <c r="G121" s="4">
        <v>16477.759999999998</v>
      </c>
      <c r="H121" s="2">
        <v>0</v>
      </c>
      <c r="I121" s="2" t="s">
        <v>1067</v>
      </c>
      <c r="J121" s="2" t="s">
        <v>56</v>
      </c>
    </row>
    <row r="122" spans="1:10" x14ac:dyDescent="0.3">
      <c r="A122" s="2" t="s">
        <v>234</v>
      </c>
      <c r="B122" s="2" t="s">
        <v>235</v>
      </c>
      <c r="C122" s="2">
        <v>19150</v>
      </c>
      <c r="D122" s="2">
        <v>28169</v>
      </c>
      <c r="E122" s="3">
        <v>44650</v>
      </c>
      <c r="F122" s="3">
        <v>44770</v>
      </c>
      <c r="G122" s="4">
        <v>13436</v>
      </c>
      <c r="H122" s="2">
        <v>0</v>
      </c>
      <c r="I122" s="2" t="s">
        <v>236</v>
      </c>
      <c r="J122" s="2" t="s">
        <v>56</v>
      </c>
    </row>
    <row r="123" spans="1:10" x14ac:dyDescent="0.3">
      <c r="A123" s="2" t="s">
        <v>234</v>
      </c>
      <c r="B123" s="2" t="s">
        <v>235</v>
      </c>
      <c r="C123" s="2">
        <v>19148</v>
      </c>
      <c r="D123" s="2">
        <v>28167</v>
      </c>
      <c r="E123" s="3">
        <v>44650</v>
      </c>
      <c r="F123" s="3">
        <v>44770</v>
      </c>
      <c r="G123" s="4">
        <v>17536.8</v>
      </c>
      <c r="H123" s="2">
        <v>0</v>
      </c>
      <c r="I123" s="2" t="s">
        <v>726</v>
      </c>
      <c r="J123" s="2" t="s">
        <v>56</v>
      </c>
    </row>
    <row r="124" spans="1:10" x14ac:dyDescent="0.3">
      <c r="A124" s="2" t="s">
        <v>234</v>
      </c>
      <c r="B124" s="2" t="s">
        <v>235</v>
      </c>
      <c r="C124" s="2">
        <v>19149</v>
      </c>
      <c r="D124" s="2">
        <v>28168</v>
      </c>
      <c r="E124" s="3">
        <v>44650</v>
      </c>
      <c r="F124" s="3">
        <v>44770</v>
      </c>
      <c r="G124" s="4">
        <v>61605.8</v>
      </c>
      <c r="H124" s="2">
        <v>0</v>
      </c>
      <c r="I124" s="2" t="s">
        <v>788</v>
      </c>
      <c r="J124" s="2" t="s">
        <v>56</v>
      </c>
    </row>
    <row r="125" spans="1:10" x14ac:dyDescent="0.3">
      <c r="A125" s="2" t="s">
        <v>33</v>
      </c>
      <c r="B125" s="2" t="s">
        <v>34</v>
      </c>
      <c r="C125" s="2">
        <v>19151</v>
      </c>
      <c r="D125" s="2">
        <v>28170</v>
      </c>
      <c r="E125" s="3">
        <v>44651</v>
      </c>
      <c r="F125" s="3">
        <v>44771</v>
      </c>
      <c r="G125" s="4">
        <v>22334.639999999999</v>
      </c>
      <c r="H125" s="2">
        <v>0</v>
      </c>
      <c r="I125" s="2" t="s">
        <v>35</v>
      </c>
      <c r="J125" s="2" t="s">
        <v>36</v>
      </c>
    </row>
    <row r="126" spans="1:10" x14ac:dyDescent="0.3">
      <c r="A126" s="2" t="s">
        <v>37</v>
      </c>
      <c r="B126" s="2" t="s">
        <v>38</v>
      </c>
      <c r="C126" s="2">
        <v>19685</v>
      </c>
      <c r="D126" s="2">
        <v>28754</v>
      </c>
      <c r="E126" s="3">
        <v>44711</v>
      </c>
      <c r="F126" s="3">
        <v>44771</v>
      </c>
      <c r="G126" s="4">
        <v>102030</v>
      </c>
      <c r="H126" s="2">
        <v>0</v>
      </c>
      <c r="I126" s="2" t="s">
        <v>51</v>
      </c>
      <c r="J126" s="2" t="s">
        <v>40</v>
      </c>
    </row>
    <row r="127" spans="1:10" x14ac:dyDescent="0.3">
      <c r="A127" s="2" t="s">
        <v>37</v>
      </c>
      <c r="B127" s="2" t="s">
        <v>38</v>
      </c>
      <c r="C127" s="2">
        <v>19687</v>
      </c>
      <c r="D127" s="2">
        <v>28755</v>
      </c>
      <c r="E127" s="3">
        <v>44711</v>
      </c>
      <c r="F127" s="3">
        <v>44771</v>
      </c>
      <c r="G127" s="4">
        <v>80550</v>
      </c>
      <c r="H127" s="2">
        <v>0</v>
      </c>
      <c r="I127" s="2" t="s">
        <v>52</v>
      </c>
      <c r="J127" s="2" t="s">
        <v>40</v>
      </c>
    </row>
    <row r="128" spans="1:10" x14ac:dyDescent="0.3">
      <c r="A128" s="2" t="s">
        <v>53</v>
      </c>
      <c r="B128" s="2" t="s">
        <v>54</v>
      </c>
      <c r="C128" s="2">
        <v>18726</v>
      </c>
      <c r="D128" s="2">
        <v>27742</v>
      </c>
      <c r="E128" s="3">
        <v>44606</v>
      </c>
      <c r="F128" s="3">
        <v>44771</v>
      </c>
      <c r="G128" s="4">
        <v>18583.48</v>
      </c>
      <c r="H128" s="2">
        <v>0</v>
      </c>
      <c r="I128" s="2" t="s">
        <v>852</v>
      </c>
      <c r="J128" s="2" t="s">
        <v>56</v>
      </c>
    </row>
    <row r="129" spans="1:10" x14ac:dyDescent="0.3">
      <c r="A129" s="2" t="s">
        <v>53</v>
      </c>
      <c r="B129" s="2" t="s">
        <v>54</v>
      </c>
      <c r="C129" s="2">
        <v>18727</v>
      </c>
      <c r="D129" s="2">
        <v>27743</v>
      </c>
      <c r="E129" s="3">
        <v>44606</v>
      </c>
      <c r="F129" s="3">
        <v>44771</v>
      </c>
      <c r="G129" s="4">
        <v>17024.43</v>
      </c>
      <c r="H129" s="2">
        <v>0</v>
      </c>
      <c r="I129" s="2" t="s">
        <v>892</v>
      </c>
      <c r="J129" s="2" t="s">
        <v>56</v>
      </c>
    </row>
    <row r="130" spans="1:10" x14ac:dyDescent="0.3">
      <c r="A130" s="2" t="s">
        <v>53</v>
      </c>
      <c r="B130" s="2" t="s">
        <v>54</v>
      </c>
      <c r="C130" s="2">
        <v>18725</v>
      </c>
      <c r="D130" s="2">
        <v>27741</v>
      </c>
      <c r="E130" s="3">
        <v>44606</v>
      </c>
      <c r="F130" s="3">
        <v>44771</v>
      </c>
      <c r="G130" s="4">
        <v>3430</v>
      </c>
      <c r="H130" s="2">
        <v>0</v>
      </c>
      <c r="I130" s="2" t="s">
        <v>947</v>
      </c>
      <c r="J130" s="2" t="s">
        <v>56</v>
      </c>
    </row>
    <row r="131" spans="1:10" x14ac:dyDescent="0.3">
      <c r="A131" s="2" t="s">
        <v>85</v>
      </c>
      <c r="B131" s="2" t="s">
        <v>83</v>
      </c>
      <c r="C131" s="2">
        <v>19176</v>
      </c>
      <c r="D131" s="2">
        <v>28192</v>
      </c>
      <c r="E131" s="3">
        <v>44652</v>
      </c>
      <c r="F131" s="3">
        <v>44772</v>
      </c>
      <c r="G131" s="4">
        <v>26000</v>
      </c>
      <c r="H131" s="2">
        <v>0</v>
      </c>
      <c r="I131" s="2" t="s">
        <v>207</v>
      </c>
      <c r="J131" s="2" t="s">
        <v>40</v>
      </c>
    </row>
    <row r="132" spans="1:10" x14ac:dyDescent="0.3">
      <c r="A132" s="2" t="s">
        <v>248</v>
      </c>
      <c r="B132" s="2" t="s">
        <v>249</v>
      </c>
      <c r="C132" s="2">
        <v>18064</v>
      </c>
      <c r="D132" s="2">
        <v>27078</v>
      </c>
      <c r="E132" s="3">
        <v>44543</v>
      </c>
      <c r="F132" s="3">
        <v>44772</v>
      </c>
      <c r="G132" s="4">
        <v>184248.02</v>
      </c>
      <c r="H132" s="2">
        <v>0</v>
      </c>
      <c r="I132" s="2" t="s">
        <v>250</v>
      </c>
      <c r="J132" s="2" t="s">
        <v>164</v>
      </c>
    </row>
    <row r="133" spans="1:10" x14ac:dyDescent="0.3">
      <c r="A133" s="2" t="s">
        <v>25</v>
      </c>
      <c r="B133" s="2" t="s">
        <v>26</v>
      </c>
      <c r="C133" s="2">
        <v>18579</v>
      </c>
      <c r="D133" s="2">
        <v>27588</v>
      </c>
      <c r="E133" s="3">
        <v>44592</v>
      </c>
      <c r="F133" s="3">
        <v>44772</v>
      </c>
      <c r="G133" s="4">
        <v>117000</v>
      </c>
      <c r="H133" s="2">
        <v>0</v>
      </c>
      <c r="I133" s="2" t="s">
        <v>349</v>
      </c>
      <c r="J133" s="2" t="s">
        <v>28</v>
      </c>
    </row>
    <row r="134" spans="1:10" x14ac:dyDescent="0.3">
      <c r="A134" s="2" t="s">
        <v>365</v>
      </c>
      <c r="B134" s="2" t="s">
        <v>366</v>
      </c>
      <c r="C134" s="2">
        <v>17399</v>
      </c>
      <c r="D134" s="2">
        <v>26403</v>
      </c>
      <c r="E134" s="3">
        <v>44489</v>
      </c>
      <c r="F134" s="3">
        <v>44772</v>
      </c>
      <c r="G134" s="4">
        <v>94840</v>
      </c>
      <c r="H134" s="2">
        <v>0</v>
      </c>
      <c r="I134" s="2" t="s">
        <v>367</v>
      </c>
      <c r="J134" s="2" t="s">
        <v>132</v>
      </c>
    </row>
    <row r="135" spans="1:10" x14ac:dyDescent="0.3">
      <c r="A135" s="2" t="s">
        <v>68</v>
      </c>
      <c r="B135" s="2" t="s">
        <v>69</v>
      </c>
      <c r="C135" s="2">
        <v>19180</v>
      </c>
      <c r="D135" s="2">
        <v>28196</v>
      </c>
      <c r="E135" s="3">
        <v>44652</v>
      </c>
      <c r="F135" s="3">
        <v>44772</v>
      </c>
      <c r="G135" s="4">
        <v>33000</v>
      </c>
      <c r="H135" s="2">
        <v>0</v>
      </c>
      <c r="I135" s="2" t="s">
        <v>411</v>
      </c>
      <c r="J135" s="2" t="s">
        <v>40</v>
      </c>
    </row>
    <row r="136" spans="1:10" x14ac:dyDescent="0.3">
      <c r="A136" s="2" t="s">
        <v>33</v>
      </c>
      <c r="B136" s="2" t="s">
        <v>34</v>
      </c>
      <c r="C136" s="2">
        <v>19175</v>
      </c>
      <c r="D136" s="2">
        <v>28191</v>
      </c>
      <c r="E136" s="3">
        <v>44652</v>
      </c>
      <c r="F136" s="3">
        <v>44772</v>
      </c>
      <c r="G136" s="4">
        <v>3425</v>
      </c>
      <c r="H136" s="2">
        <v>0</v>
      </c>
      <c r="I136" s="2" t="s">
        <v>478</v>
      </c>
      <c r="J136" s="2" t="s">
        <v>36</v>
      </c>
    </row>
    <row r="137" spans="1:10" x14ac:dyDescent="0.3">
      <c r="A137" s="2" t="s">
        <v>68</v>
      </c>
      <c r="B137" s="2" t="s">
        <v>69</v>
      </c>
      <c r="C137" s="2">
        <v>19181</v>
      </c>
      <c r="D137" s="2">
        <v>28197</v>
      </c>
      <c r="E137" s="3">
        <v>44652</v>
      </c>
      <c r="F137" s="3">
        <v>44772</v>
      </c>
      <c r="G137" s="4">
        <v>81771.199999999997</v>
      </c>
      <c r="H137" s="2">
        <v>0</v>
      </c>
      <c r="I137" s="2" t="s">
        <v>411</v>
      </c>
      <c r="J137" s="2" t="s">
        <v>40</v>
      </c>
    </row>
    <row r="138" spans="1:10" x14ac:dyDescent="0.3">
      <c r="A138" s="2" t="s">
        <v>573</v>
      </c>
      <c r="B138" s="2" t="s">
        <v>574</v>
      </c>
      <c r="C138" s="2">
        <v>19666</v>
      </c>
      <c r="D138" s="2">
        <v>28734</v>
      </c>
      <c r="E138" s="3">
        <v>44707</v>
      </c>
      <c r="F138" s="3">
        <v>44772</v>
      </c>
      <c r="G138" s="4">
        <v>76042.63</v>
      </c>
      <c r="H138" s="2">
        <v>0</v>
      </c>
      <c r="I138" s="2" t="s">
        <v>575</v>
      </c>
      <c r="J138" s="2" t="s">
        <v>132</v>
      </c>
    </row>
    <row r="139" spans="1:10" x14ac:dyDescent="0.3">
      <c r="A139" s="2" t="s">
        <v>365</v>
      </c>
      <c r="B139" s="2" t="s">
        <v>366</v>
      </c>
      <c r="C139" s="2">
        <v>17790</v>
      </c>
      <c r="D139" s="2">
        <v>26793</v>
      </c>
      <c r="E139" s="3">
        <v>44518</v>
      </c>
      <c r="F139" s="3">
        <v>44772</v>
      </c>
      <c r="G139" s="4">
        <v>85280</v>
      </c>
      <c r="H139" s="2">
        <v>0</v>
      </c>
      <c r="I139" s="2" t="s">
        <v>638</v>
      </c>
      <c r="J139" s="2" t="s">
        <v>132</v>
      </c>
    </row>
    <row r="140" spans="1:10" x14ac:dyDescent="0.3">
      <c r="A140" s="2" t="s">
        <v>82</v>
      </c>
      <c r="B140" s="2" t="s">
        <v>83</v>
      </c>
      <c r="C140" s="2">
        <v>16999</v>
      </c>
      <c r="D140" s="2">
        <v>26007</v>
      </c>
      <c r="E140" s="3">
        <v>44466</v>
      </c>
      <c r="F140" s="3">
        <v>44772</v>
      </c>
      <c r="G140" s="4">
        <v>9780</v>
      </c>
      <c r="H140" s="2">
        <v>0</v>
      </c>
      <c r="I140" s="2" t="s">
        <v>686</v>
      </c>
      <c r="J140" s="2" t="s">
        <v>40</v>
      </c>
    </row>
    <row r="141" spans="1:10" x14ac:dyDescent="0.3">
      <c r="A141" s="2" t="s">
        <v>365</v>
      </c>
      <c r="B141" s="2" t="s">
        <v>366</v>
      </c>
      <c r="C141" s="2">
        <v>17190</v>
      </c>
      <c r="D141" s="2">
        <v>26188</v>
      </c>
      <c r="E141" s="3">
        <v>44477</v>
      </c>
      <c r="F141" s="3">
        <v>44772</v>
      </c>
      <c r="G141" s="4">
        <v>42032</v>
      </c>
      <c r="H141" s="2">
        <v>0</v>
      </c>
      <c r="I141" s="2" t="s">
        <v>690</v>
      </c>
      <c r="J141" s="2" t="s">
        <v>132</v>
      </c>
    </row>
    <row r="142" spans="1:10" x14ac:dyDescent="0.3">
      <c r="A142" s="2" t="s">
        <v>48</v>
      </c>
      <c r="B142" s="2" t="s">
        <v>49</v>
      </c>
      <c r="C142" s="2">
        <v>18575</v>
      </c>
      <c r="D142" s="2">
        <v>27583</v>
      </c>
      <c r="E142" s="3">
        <v>44592</v>
      </c>
      <c r="F142" s="3">
        <v>44772</v>
      </c>
      <c r="G142" s="4">
        <v>54000</v>
      </c>
      <c r="H142" s="2">
        <v>0</v>
      </c>
      <c r="I142" s="2" t="s">
        <v>815</v>
      </c>
      <c r="J142" s="2" t="s">
        <v>40</v>
      </c>
    </row>
    <row r="143" spans="1:10" x14ac:dyDescent="0.3">
      <c r="A143" s="2" t="s">
        <v>365</v>
      </c>
      <c r="B143" s="2" t="s">
        <v>366</v>
      </c>
      <c r="C143" s="2">
        <v>17869</v>
      </c>
      <c r="D143" s="2">
        <v>26873</v>
      </c>
      <c r="E143" s="3">
        <v>44523</v>
      </c>
      <c r="F143" s="3">
        <v>44772</v>
      </c>
      <c r="G143" s="4">
        <v>64000</v>
      </c>
      <c r="H143" s="2">
        <v>0</v>
      </c>
      <c r="I143" s="2" t="s">
        <v>969</v>
      </c>
      <c r="J143" s="2" t="s">
        <v>132</v>
      </c>
    </row>
    <row r="144" spans="1:10" x14ac:dyDescent="0.3">
      <c r="A144" s="2" t="s">
        <v>365</v>
      </c>
      <c r="B144" s="2" t="s">
        <v>366</v>
      </c>
      <c r="C144" s="2">
        <v>18040</v>
      </c>
      <c r="D144" s="2">
        <v>27051</v>
      </c>
      <c r="E144" s="3">
        <v>44539</v>
      </c>
      <c r="F144" s="3">
        <v>44772</v>
      </c>
      <c r="G144" s="4">
        <v>128560</v>
      </c>
      <c r="H144" s="2">
        <v>0</v>
      </c>
      <c r="I144" s="2" t="s">
        <v>1049</v>
      </c>
      <c r="J144" s="2" t="s">
        <v>132</v>
      </c>
    </row>
    <row r="145" spans="1:10" x14ac:dyDescent="0.3">
      <c r="A145" s="2" t="s">
        <v>85</v>
      </c>
      <c r="B145" s="2" t="s">
        <v>83</v>
      </c>
      <c r="C145" s="2">
        <v>19178</v>
      </c>
      <c r="D145" s="2">
        <v>28194</v>
      </c>
      <c r="E145" s="3">
        <v>44652</v>
      </c>
      <c r="F145" s="3">
        <v>44772</v>
      </c>
      <c r="G145" s="4">
        <v>156392</v>
      </c>
      <c r="H145" s="2">
        <v>0</v>
      </c>
      <c r="I145" s="2" t="s">
        <v>158</v>
      </c>
      <c r="J145" s="2" t="s">
        <v>40</v>
      </c>
    </row>
    <row r="146" spans="1:10" x14ac:dyDescent="0.3">
      <c r="A146" s="2" t="s">
        <v>25</v>
      </c>
      <c r="B146" s="2" t="s">
        <v>26</v>
      </c>
      <c r="C146" s="2">
        <v>18875</v>
      </c>
      <c r="D146" s="2">
        <v>27893</v>
      </c>
      <c r="E146" s="3">
        <v>44623</v>
      </c>
      <c r="F146" s="3">
        <v>44773</v>
      </c>
      <c r="G146" s="4">
        <v>108000</v>
      </c>
      <c r="H146" s="2">
        <v>0</v>
      </c>
      <c r="I146" s="2" t="s">
        <v>229</v>
      </c>
      <c r="J146" s="2" t="s">
        <v>28</v>
      </c>
    </row>
    <row r="147" spans="1:10" x14ac:dyDescent="0.3">
      <c r="A147" s="2" t="s">
        <v>114</v>
      </c>
      <c r="B147" s="2" t="s">
        <v>115</v>
      </c>
      <c r="C147" s="2">
        <v>19438</v>
      </c>
      <c r="D147" s="2">
        <v>28491</v>
      </c>
      <c r="E147" s="3">
        <v>44683</v>
      </c>
      <c r="F147" s="3">
        <v>44773</v>
      </c>
      <c r="G147" s="4">
        <v>39713.29</v>
      </c>
      <c r="H147" s="2">
        <v>0</v>
      </c>
      <c r="I147" s="2" t="s">
        <v>302</v>
      </c>
      <c r="J147" s="2" t="s">
        <v>28</v>
      </c>
    </row>
    <row r="148" spans="1:10" x14ac:dyDescent="0.3">
      <c r="A148" s="2" t="s">
        <v>25</v>
      </c>
      <c r="B148" s="2" t="s">
        <v>26</v>
      </c>
      <c r="C148" s="2">
        <v>18885</v>
      </c>
      <c r="D148" s="2">
        <v>27901</v>
      </c>
      <c r="E148" s="3">
        <v>44623</v>
      </c>
      <c r="F148" s="3">
        <v>44773</v>
      </c>
      <c r="G148" s="4">
        <v>64800</v>
      </c>
      <c r="H148" s="2">
        <v>0</v>
      </c>
      <c r="I148" s="2" t="s">
        <v>320</v>
      </c>
      <c r="J148" s="2" t="s">
        <v>28</v>
      </c>
    </row>
    <row r="149" spans="1:10" x14ac:dyDescent="0.3">
      <c r="A149" s="2" t="s">
        <v>25</v>
      </c>
      <c r="B149" s="2" t="s">
        <v>26</v>
      </c>
      <c r="C149" s="2">
        <v>18881</v>
      </c>
      <c r="D149" s="2">
        <v>27898</v>
      </c>
      <c r="E149" s="3">
        <v>44623</v>
      </c>
      <c r="F149" s="3">
        <v>44773</v>
      </c>
      <c r="G149" s="4">
        <v>32445</v>
      </c>
      <c r="H149" s="2">
        <v>0</v>
      </c>
      <c r="I149" s="2" t="s">
        <v>353</v>
      </c>
      <c r="J149" s="2" t="s">
        <v>28</v>
      </c>
    </row>
    <row r="150" spans="1:10" x14ac:dyDescent="0.3">
      <c r="A150" s="2" t="s">
        <v>384</v>
      </c>
      <c r="B150" s="2" t="s">
        <v>385</v>
      </c>
      <c r="C150" s="2">
        <v>19440</v>
      </c>
      <c r="D150" s="2">
        <v>28493</v>
      </c>
      <c r="E150" s="3">
        <v>44683</v>
      </c>
      <c r="F150" s="3">
        <v>44773</v>
      </c>
      <c r="G150" s="4">
        <v>17710</v>
      </c>
      <c r="H150" s="2">
        <v>0</v>
      </c>
      <c r="I150" s="2" t="s">
        <v>386</v>
      </c>
      <c r="J150" s="2" t="s">
        <v>173</v>
      </c>
    </row>
    <row r="151" spans="1:10" x14ac:dyDescent="0.3">
      <c r="A151" s="2" t="s">
        <v>78</v>
      </c>
      <c r="B151" s="2" t="s">
        <v>79</v>
      </c>
      <c r="C151" s="2"/>
      <c r="D151" s="2">
        <v>188607</v>
      </c>
      <c r="E151" s="3">
        <v>44712</v>
      </c>
      <c r="F151" s="3">
        <v>44773</v>
      </c>
      <c r="G151" s="4">
        <v>104992.8</v>
      </c>
      <c r="H151" s="2">
        <v>0</v>
      </c>
      <c r="I151" s="2" t="s">
        <v>668</v>
      </c>
      <c r="J151" s="2" t="s">
        <v>81</v>
      </c>
    </row>
    <row r="152" spans="1:10" x14ac:dyDescent="0.3">
      <c r="A152" s="2" t="s">
        <v>25</v>
      </c>
      <c r="B152" s="2" t="s">
        <v>26</v>
      </c>
      <c r="C152" s="2">
        <v>18882</v>
      </c>
      <c r="D152" s="2">
        <v>27899</v>
      </c>
      <c r="E152" s="3">
        <v>44623</v>
      </c>
      <c r="F152" s="3">
        <v>44773</v>
      </c>
      <c r="G152" s="4">
        <v>13847.49</v>
      </c>
      <c r="H152" s="2">
        <v>0</v>
      </c>
      <c r="I152" s="2" t="s">
        <v>875</v>
      </c>
      <c r="J152" s="2" t="s">
        <v>28</v>
      </c>
    </row>
    <row r="153" spans="1:10" x14ac:dyDescent="0.3">
      <c r="A153" s="2" t="s">
        <v>25</v>
      </c>
      <c r="B153" s="2" t="s">
        <v>26</v>
      </c>
      <c r="C153" s="2">
        <v>18880</v>
      </c>
      <c r="D153" s="2">
        <v>27897</v>
      </c>
      <c r="E153" s="3">
        <v>44623</v>
      </c>
      <c r="F153" s="3">
        <v>44773</v>
      </c>
      <c r="G153" s="4">
        <v>13905</v>
      </c>
      <c r="H153" s="2">
        <v>0</v>
      </c>
      <c r="I153" s="2" t="s">
        <v>893</v>
      </c>
      <c r="J153" s="2" t="s">
        <v>28</v>
      </c>
    </row>
    <row r="154" spans="1:10" x14ac:dyDescent="0.3">
      <c r="A154" s="2" t="s">
        <v>82</v>
      </c>
      <c r="B154" s="2" t="s">
        <v>83</v>
      </c>
      <c r="C154" s="2">
        <v>18591</v>
      </c>
      <c r="D154" s="2">
        <v>27600</v>
      </c>
      <c r="E154" s="3">
        <v>44593</v>
      </c>
      <c r="F154" s="3">
        <v>44773</v>
      </c>
      <c r="G154" s="4">
        <v>48000</v>
      </c>
      <c r="H154" s="2">
        <v>0</v>
      </c>
      <c r="I154" s="2" t="s">
        <v>899</v>
      </c>
      <c r="J154" s="2" t="s">
        <v>40</v>
      </c>
    </row>
    <row r="155" spans="1:10" x14ac:dyDescent="0.3">
      <c r="A155" s="2" t="s">
        <v>616</v>
      </c>
      <c r="B155" s="2" t="s">
        <v>617</v>
      </c>
      <c r="C155" s="2">
        <v>18887</v>
      </c>
      <c r="D155" s="2">
        <v>27903</v>
      </c>
      <c r="E155" s="3">
        <v>44623</v>
      </c>
      <c r="F155" s="3">
        <v>44773</v>
      </c>
      <c r="G155" s="4">
        <v>133500</v>
      </c>
      <c r="H155" s="2">
        <v>0</v>
      </c>
      <c r="I155" s="2" t="s">
        <v>1022</v>
      </c>
      <c r="J155" s="2" t="s">
        <v>36</v>
      </c>
    </row>
    <row r="156" spans="1:10" x14ac:dyDescent="0.3">
      <c r="A156" s="2" t="s">
        <v>315</v>
      </c>
      <c r="B156" s="2" t="s">
        <v>316</v>
      </c>
      <c r="C156" s="2">
        <v>17938</v>
      </c>
      <c r="D156" s="2">
        <v>26952</v>
      </c>
      <c r="E156" s="3">
        <v>44533</v>
      </c>
      <c r="F156" s="3">
        <v>44773</v>
      </c>
      <c r="G156" s="4">
        <v>8400</v>
      </c>
      <c r="H156" s="2">
        <v>0</v>
      </c>
      <c r="I156" s="2" t="s">
        <v>1035</v>
      </c>
      <c r="J156" s="2" t="s">
        <v>81</v>
      </c>
    </row>
    <row r="157" spans="1:10" x14ac:dyDescent="0.3">
      <c r="A157" s="2" t="s">
        <v>48</v>
      </c>
      <c r="B157" s="2" t="s">
        <v>49</v>
      </c>
      <c r="C157" s="2">
        <v>18876</v>
      </c>
      <c r="D157" s="2">
        <v>27894</v>
      </c>
      <c r="E157" s="3">
        <v>44623</v>
      </c>
      <c r="F157" s="3">
        <v>44773</v>
      </c>
      <c r="G157" s="4">
        <v>54000</v>
      </c>
      <c r="H157" s="2">
        <v>0</v>
      </c>
      <c r="I157" s="2" t="s">
        <v>1111</v>
      </c>
      <c r="J157" s="2" t="s">
        <v>40</v>
      </c>
    </row>
    <row r="158" spans="1:10" x14ac:dyDescent="0.3">
      <c r="A158" s="2" t="s">
        <v>25</v>
      </c>
      <c r="B158" s="2" t="s">
        <v>26</v>
      </c>
      <c r="C158" s="2">
        <v>18874</v>
      </c>
      <c r="D158" s="2">
        <v>27892</v>
      </c>
      <c r="E158" s="3">
        <v>44623</v>
      </c>
      <c r="F158" s="3">
        <v>44773</v>
      </c>
      <c r="G158" s="4">
        <v>23312</v>
      </c>
      <c r="H158" s="2">
        <v>0</v>
      </c>
      <c r="I158" s="2" t="s">
        <v>1152</v>
      </c>
      <c r="J158" s="2" t="s">
        <v>28</v>
      </c>
    </row>
    <row r="159" spans="1:10" x14ac:dyDescent="0.3">
      <c r="A159" s="2" t="s">
        <v>25</v>
      </c>
      <c r="B159" s="2" t="s">
        <v>26</v>
      </c>
      <c r="C159" s="2">
        <v>18914</v>
      </c>
      <c r="D159" s="2">
        <v>27930</v>
      </c>
      <c r="E159" s="3">
        <v>44624</v>
      </c>
      <c r="F159" s="3">
        <v>44774</v>
      </c>
      <c r="G159" s="4">
        <v>13597.75</v>
      </c>
      <c r="H159" s="2">
        <v>0</v>
      </c>
      <c r="I159" s="2" t="s">
        <v>177</v>
      </c>
      <c r="J159" s="2" t="s">
        <v>28</v>
      </c>
    </row>
    <row r="160" spans="1:10" x14ac:dyDescent="0.3">
      <c r="A160" s="2" t="s">
        <v>25</v>
      </c>
      <c r="B160" s="2" t="s">
        <v>26</v>
      </c>
      <c r="C160" s="2">
        <v>18900</v>
      </c>
      <c r="D160" s="2">
        <v>27916</v>
      </c>
      <c r="E160" s="3">
        <v>44624</v>
      </c>
      <c r="F160" s="3">
        <v>44774</v>
      </c>
      <c r="G160" s="4">
        <v>25199.97</v>
      </c>
      <c r="H160" s="2">
        <v>0</v>
      </c>
      <c r="I160" s="2" t="s">
        <v>254</v>
      </c>
      <c r="J160" s="2" t="s">
        <v>28</v>
      </c>
    </row>
    <row r="161" spans="1:10" x14ac:dyDescent="0.3">
      <c r="A161" s="2" t="s">
        <v>25</v>
      </c>
      <c r="B161" s="2" t="s">
        <v>26</v>
      </c>
      <c r="C161" s="2">
        <v>18913</v>
      </c>
      <c r="D161" s="2">
        <v>27929</v>
      </c>
      <c r="E161" s="3">
        <v>44624</v>
      </c>
      <c r="F161" s="3">
        <v>44774</v>
      </c>
      <c r="G161" s="4">
        <v>62375</v>
      </c>
      <c r="H161" s="2">
        <v>0</v>
      </c>
      <c r="I161" s="2" t="s">
        <v>289</v>
      </c>
      <c r="J161" s="2" t="s">
        <v>28</v>
      </c>
    </row>
    <row r="162" spans="1:10" x14ac:dyDescent="0.3">
      <c r="A162" s="2" t="s">
        <v>144</v>
      </c>
      <c r="B162" s="2" t="s">
        <v>145</v>
      </c>
      <c r="C162" s="2">
        <v>18928</v>
      </c>
      <c r="D162" s="2">
        <v>27939</v>
      </c>
      <c r="E162" s="3">
        <v>44624</v>
      </c>
      <c r="F162" s="3">
        <v>44774</v>
      </c>
      <c r="G162" s="4">
        <v>167300.4</v>
      </c>
      <c r="H162" s="2">
        <v>0</v>
      </c>
      <c r="I162" s="2" t="s">
        <v>441</v>
      </c>
      <c r="J162" s="2" t="s">
        <v>147</v>
      </c>
    </row>
    <row r="163" spans="1:10" x14ac:dyDescent="0.3">
      <c r="A163" s="2" t="s">
        <v>25</v>
      </c>
      <c r="B163" s="2" t="s">
        <v>26</v>
      </c>
      <c r="C163" s="2">
        <v>18898</v>
      </c>
      <c r="D163" s="2">
        <v>27914</v>
      </c>
      <c r="E163" s="3">
        <v>44624</v>
      </c>
      <c r="F163" s="3">
        <v>44774</v>
      </c>
      <c r="G163" s="4">
        <v>36157</v>
      </c>
      <c r="H163" s="2">
        <v>0</v>
      </c>
      <c r="I163" s="2" t="s">
        <v>516</v>
      </c>
      <c r="J163" s="2" t="s">
        <v>28</v>
      </c>
    </row>
    <row r="164" spans="1:10" x14ac:dyDescent="0.3">
      <c r="A164" s="2" t="s">
        <v>25</v>
      </c>
      <c r="B164" s="2" t="s">
        <v>26</v>
      </c>
      <c r="C164" s="2">
        <v>18904</v>
      </c>
      <c r="D164" s="2">
        <v>27919</v>
      </c>
      <c r="E164" s="3">
        <v>44624</v>
      </c>
      <c r="F164" s="3">
        <v>44774</v>
      </c>
      <c r="G164" s="4">
        <v>5835</v>
      </c>
      <c r="H164" s="2">
        <v>0</v>
      </c>
      <c r="I164" s="2" t="s">
        <v>659</v>
      </c>
      <c r="J164" s="2" t="s">
        <v>28</v>
      </c>
    </row>
    <row r="165" spans="1:10" x14ac:dyDescent="0.3">
      <c r="A165" s="2" t="s">
        <v>82</v>
      </c>
      <c r="B165" s="2" t="s">
        <v>83</v>
      </c>
      <c r="C165" s="2">
        <v>18600</v>
      </c>
      <c r="D165" s="2">
        <v>27609</v>
      </c>
      <c r="E165" s="3">
        <v>44594</v>
      </c>
      <c r="F165" s="3">
        <v>44774</v>
      </c>
      <c r="G165" s="4">
        <v>48000</v>
      </c>
      <c r="H165" s="2">
        <v>0</v>
      </c>
      <c r="I165" s="2" t="s">
        <v>822</v>
      </c>
      <c r="J165" s="2" t="s">
        <v>40</v>
      </c>
    </row>
    <row r="166" spans="1:10" x14ac:dyDescent="0.3">
      <c r="A166" s="2" t="s">
        <v>48</v>
      </c>
      <c r="B166" s="2" t="s">
        <v>49</v>
      </c>
      <c r="C166" s="2">
        <v>18920</v>
      </c>
      <c r="D166" s="2">
        <v>27935</v>
      </c>
      <c r="E166" s="3">
        <v>44624</v>
      </c>
      <c r="F166" s="3">
        <v>44774</v>
      </c>
      <c r="G166" s="4">
        <v>54000</v>
      </c>
      <c r="H166" s="2">
        <v>0</v>
      </c>
      <c r="I166" s="2" t="s">
        <v>994</v>
      </c>
      <c r="J166" s="2" t="s">
        <v>40</v>
      </c>
    </row>
    <row r="167" spans="1:10" x14ac:dyDescent="0.3">
      <c r="A167" s="2" t="s">
        <v>140</v>
      </c>
      <c r="B167" s="2" t="s">
        <v>141</v>
      </c>
      <c r="C167" s="2">
        <v>19448</v>
      </c>
      <c r="D167" s="2">
        <v>28501</v>
      </c>
      <c r="E167" s="3">
        <v>44684</v>
      </c>
      <c r="F167" s="3">
        <v>44774</v>
      </c>
      <c r="G167" s="4">
        <v>27330</v>
      </c>
      <c r="H167" s="2">
        <v>0</v>
      </c>
      <c r="I167" s="2" t="s">
        <v>1002</v>
      </c>
      <c r="J167" s="2" t="s">
        <v>40</v>
      </c>
    </row>
    <row r="168" spans="1:10" x14ac:dyDescent="0.3">
      <c r="A168" s="2" t="s">
        <v>85</v>
      </c>
      <c r="B168" s="2" t="s">
        <v>83</v>
      </c>
      <c r="C168" s="2">
        <v>18601</v>
      </c>
      <c r="D168" s="2">
        <v>27610</v>
      </c>
      <c r="E168" s="3">
        <v>44594</v>
      </c>
      <c r="F168" s="3">
        <v>44774</v>
      </c>
      <c r="G168" s="4">
        <v>48000</v>
      </c>
      <c r="H168" s="2">
        <v>0</v>
      </c>
      <c r="I168" s="2" t="s">
        <v>1051</v>
      </c>
      <c r="J168" s="2" t="s">
        <v>40</v>
      </c>
    </row>
    <row r="169" spans="1:10" x14ac:dyDescent="0.3">
      <c r="A169" s="2" t="s">
        <v>25</v>
      </c>
      <c r="B169" s="2" t="s">
        <v>26</v>
      </c>
      <c r="C169" s="2">
        <v>18899</v>
      </c>
      <c r="D169" s="2">
        <v>27915</v>
      </c>
      <c r="E169" s="3">
        <v>44624</v>
      </c>
      <c r="F169" s="3">
        <v>44774</v>
      </c>
      <c r="G169" s="4">
        <v>1675</v>
      </c>
      <c r="H169" s="2">
        <v>0</v>
      </c>
      <c r="I169" s="2" t="s">
        <v>1057</v>
      </c>
      <c r="J169" s="2" t="s">
        <v>28</v>
      </c>
    </row>
    <row r="170" spans="1:10" x14ac:dyDescent="0.3">
      <c r="A170" s="2" t="s">
        <v>68</v>
      </c>
      <c r="B170" s="2" t="s">
        <v>69</v>
      </c>
      <c r="C170" s="2">
        <v>18602</v>
      </c>
      <c r="D170" s="2">
        <v>27611</v>
      </c>
      <c r="E170" s="3">
        <v>44594</v>
      </c>
      <c r="F170" s="3">
        <v>44774</v>
      </c>
      <c r="G170" s="4">
        <v>48000</v>
      </c>
      <c r="H170" s="2">
        <v>0</v>
      </c>
      <c r="I170" s="2" t="s">
        <v>1066</v>
      </c>
      <c r="J170" s="2" t="s">
        <v>40</v>
      </c>
    </row>
    <row r="171" spans="1:10" x14ac:dyDescent="0.3">
      <c r="A171" s="2" t="s">
        <v>25</v>
      </c>
      <c r="B171" s="2" t="s">
        <v>26</v>
      </c>
      <c r="C171" s="2">
        <v>18238</v>
      </c>
      <c r="D171" s="2">
        <v>27250</v>
      </c>
      <c r="E171" s="3">
        <v>44564</v>
      </c>
      <c r="F171" s="3">
        <v>44774</v>
      </c>
      <c r="G171" s="4">
        <v>78000.160000000003</v>
      </c>
      <c r="H171" s="2">
        <v>0</v>
      </c>
      <c r="I171" s="2" t="s">
        <v>1071</v>
      </c>
      <c r="J171" s="2" t="s">
        <v>28</v>
      </c>
    </row>
    <row r="172" spans="1:10" x14ac:dyDescent="0.3">
      <c r="A172" s="2" t="s">
        <v>21</v>
      </c>
      <c r="B172" s="2" t="s">
        <v>22</v>
      </c>
      <c r="C172" s="2">
        <v>19483</v>
      </c>
      <c r="D172" s="2">
        <v>28535</v>
      </c>
      <c r="E172" s="3">
        <v>44685</v>
      </c>
      <c r="F172" s="3">
        <v>44775</v>
      </c>
      <c r="G172" s="4">
        <v>61840</v>
      </c>
      <c r="H172" s="2">
        <v>0</v>
      </c>
      <c r="I172" s="2" t="s">
        <v>118</v>
      </c>
      <c r="J172" s="2" t="s">
        <v>24</v>
      </c>
    </row>
    <row r="173" spans="1:10" x14ac:dyDescent="0.3">
      <c r="A173" s="2" t="s">
        <v>21</v>
      </c>
      <c r="B173" s="2" t="s">
        <v>22</v>
      </c>
      <c r="C173" s="2">
        <v>19478</v>
      </c>
      <c r="D173" s="2">
        <v>28531</v>
      </c>
      <c r="E173" s="3">
        <v>44685</v>
      </c>
      <c r="F173" s="3">
        <v>44775</v>
      </c>
      <c r="G173" s="4">
        <v>3917.08</v>
      </c>
      <c r="H173" s="2">
        <v>0</v>
      </c>
      <c r="I173" s="2" t="s">
        <v>214</v>
      </c>
      <c r="J173" s="2" t="s">
        <v>24</v>
      </c>
    </row>
    <row r="174" spans="1:10" x14ac:dyDescent="0.3">
      <c r="A174" s="2" t="s">
        <v>53</v>
      </c>
      <c r="B174" s="2" t="s">
        <v>54</v>
      </c>
      <c r="C174" s="2">
        <v>19474</v>
      </c>
      <c r="D174" s="2">
        <v>28527</v>
      </c>
      <c r="E174" s="3">
        <v>44685</v>
      </c>
      <c r="F174" s="3">
        <v>44775</v>
      </c>
      <c r="G174" s="4">
        <v>18583.48</v>
      </c>
      <c r="H174" s="2">
        <v>0</v>
      </c>
      <c r="I174" s="2" t="s">
        <v>303</v>
      </c>
      <c r="J174" s="2" t="s">
        <v>56</v>
      </c>
    </row>
    <row r="175" spans="1:10" x14ac:dyDescent="0.3">
      <c r="A175" s="2" t="s">
        <v>25</v>
      </c>
      <c r="B175" s="2" t="s">
        <v>26</v>
      </c>
      <c r="C175" s="2">
        <v>18615</v>
      </c>
      <c r="D175" s="2">
        <v>27625</v>
      </c>
      <c r="E175" s="3">
        <v>44595</v>
      </c>
      <c r="F175" s="3">
        <v>44775</v>
      </c>
      <c r="G175" s="4">
        <v>93627</v>
      </c>
      <c r="H175" s="2">
        <v>0</v>
      </c>
      <c r="I175" s="2" t="s">
        <v>318</v>
      </c>
      <c r="J175" s="2" t="s">
        <v>28</v>
      </c>
    </row>
    <row r="176" spans="1:10" x14ac:dyDescent="0.3">
      <c r="A176" s="2" t="s">
        <v>53</v>
      </c>
      <c r="B176" s="2" t="s">
        <v>54</v>
      </c>
      <c r="C176" s="2">
        <v>19473</v>
      </c>
      <c r="D176" s="2">
        <v>28526</v>
      </c>
      <c r="E176" s="3">
        <v>44685</v>
      </c>
      <c r="F176" s="3">
        <v>44775</v>
      </c>
      <c r="G176" s="4">
        <v>15889.54</v>
      </c>
      <c r="H176" s="2">
        <v>0</v>
      </c>
      <c r="I176" s="2" t="s">
        <v>334</v>
      </c>
      <c r="J176" s="2" t="s">
        <v>56</v>
      </c>
    </row>
    <row r="177" spans="1:10" x14ac:dyDescent="0.3">
      <c r="A177" s="2" t="s">
        <v>234</v>
      </c>
      <c r="B177" s="2" t="s">
        <v>235</v>
      </c>
      <c r="C177" s="2">
        <v>19472</v>
      </c>
      <c r="D177" s="2">
        <v>28525</v>
      </c>
      <c r="E177" s="3">
        <v>44685</v>
      </c>
      <c r="F177" s="3">
        <v>44775</v>
      </c>
      <c r="G177" s="4">
        <v>8213.84</v>
      </c>
      <c r="H177" s="2">
        <v>0</v>
      </c>
      <c r="I177" s="2" t="s">
        <v>387</v>
      </c>
      <c r="J177" s="2" t="s">
        <v>56</v>
      </c>
    </row>
    <row r="178" spans="1:10" x14ac:dyDescent="0.3">
      <c r="A178" s="2" t="s">
        <v>248</v>
      </c>
      <c r="B178" s="2" t="s">
        <v>249</v>
      </c>
      <c r="C178" s="2">
        <v>17619</v>
      </c>
      <c r="D178" s="2">
        <v>26621</v>
      </c>
      <c r="E178" s="3">
        <v>44505</v>
      </c>
      <c r="F178" s="3">
        <v>44775</v>
      </c>
      <c r="G178" s="4">
        <v>34470</v>
      </c>
      <c r="H178" s="2">
        <v>0</v>
      </c>
      <c r="I178" s="2" t="s">
        <v>398</v>
      </c>
      <c r="J178" s="2" t="s">
        <v>164</v>
      </c>
    </row>
    <row r="179" spans="1:10" x14ac:dyDescent="0.3">
      <c r="A179" s="2" t="s">
        <v>298</v>
      </c>
      <c r="B179" s="2" t="s">
        <v>79</v>
      </c>
      <c r="C179" s="2">
        <v>19713</v>
      </c>
      <c r="D179" s="2">
        <v>28773</v>
      </c>
      <c r="E179" s="3">
        <v>44715</v>
      </c>
      <c r="F179" s="3">
        <v>44775</v>
      </c>
      <c r="G179" s="4">
        <v>97072.47</v>
      </c>
      <c r="H179" s="2">
        <v>0</v>
      </c>
      <c r="I179" s="2" t="s">
        <v>576</v>
      </c>
      <c r="J179" s="2" t="s">
        <v>81</v>
      </c>
    </row>
    <row r="180" spans="1:10" x14ac:dyDescent="0.3">
      <c r="A180" s="2" t="s">
        <v>772</v>
      </c>
      <c r="B180" s="2" t="s">
        <v>773</v>
      </c>
      <c r="C180" s="2">
        <v>19492</v>
      </c>
      <c r="D180" s="2">
        <v>28544</v>
      </c>
      <c r="E180" s="3">
        <v>44685</v>
      </c>
      <c r="F180" s="3">
        <v>44775</v>
      </c>
      <c r="G180" s="4">
        <v>124180</v>
      </c>
      <c r="H180" s="2">
        <v>0</v>
      </c>
      <c r="I180" s="2" t="s">
        <v>774</v>
      </c>
      <c r="J180" s="2" t="s">
        <v>173</v>
      </c>
    </row>
    <row r="181" spans="1:10" x14ac:dyDescent="0.3">
      <c r="A181" s="2" t="s">
        <v>234</v>
      </c>
      <c r="B181" s="2" t="s">
        <v>235</v>
      </c>
      <c r="C181" s="2">
        <v>19485</v>
      </c>
      <c r="D181" s="2">
        <v>28537</v>
      </c>
      <c r="E181" s="3">
        <v>44685</v>
      </c>
      <c r="F181" s="3">
        <v>44775</v>
      </c>
      <c r="G181" s="4">
        <v>6199.99</v>
      </c>
      <c r="H181" s="2">
        <v>0</v>
      </c>
      <c r="I181" s="2" t="s">
        <v>793</v>
      </c>
      <c r="J181" s="2" t="s">
        <v>56</v>
      </c>
    </row>
    <row r="182" spans="1:10" x14ac:dyDescent="0.3">
      <c r="A182" s="2" t="s">
        <v>248</v>
      </c>
      <c r="B182" s="2" t="s">
        <v>249</v>
      </c>
      <c r="C182" s="2">
        <v>17621</v>
      </c>
      <c r="D182" s="2">
        <v>26623</v>
      </c>
      <c r="E182" s="3">
        <v>44505</v>
      </c>
      <c r="F182" s="3">
        <v>44775</v>
      </c>
      <c r="G182" s="4">
        <v>2226</v>
      </c>
      <c r="H182" s="2">
        <v>0</v>
      </c>
      <c r="I182" s="2" t="s">
        <v>800</v>
      </c>
      <c r="J182" s="2" t="s">
        <v>164</v>
      </c>
    </row>
    <row r="183" spans="1:10" x14ac:dyDescent="0.3">
      <c r="A183" s="2" t="s">
        <v>234</v>
      </c>
      <c r="B183" s="2" t="s">
        <v>235</v>
      </c>
      <c r="C183" s="2">
        <v>19471</v>
      </c>
      <c r="D183" s="2">
        <v>28524</v>
      </c>
      <c r="E183" s="3">
        <v>44685</v>
      </c>
      <c r="F183" s="3">
        <v>44775</v>
      </c>
      <c r="G183" s="4">
        <v>20196</v>
      </c>
      <c r="H183" s="2">
        <v>0</v>
      </c>
      <c r="I183" s="2" t="s">
        <v>844</v>
      </c>
      <c r="J183" s="2" t="s">
        <v>56</v>
      </c>
    </row>
    <row r="184" spans="1:10" x14ac:dyDescent="0.3">
      <c r="A184" s="2" t="s">
        <v>25</v>
      </c>
      <c r="B184" s="2" t="s">
        <v>26</v>
      </c>
      <c r="C184" s="2">
        <v>18614</v>
      </c>
      <c r="D184" s="2">
        <v>27624</v>
      </c>
      <c r="E184" s="3">
        <v>44595</v>
      </c>
      <c r="F184" s="3">
        <v>44775</v>
      </c>
      <c r="G184" s="4">
        <v>28666.639999999999</v>
      </c>
      <c r="H184" s="2">
        <v>0</v>
      </c>
      <c r="I184" s="2" t="s">
        <v>856</v>
      </c>
      <c r="J184" s="2" t="s">
        <v>28</v>
      </c>
    </row>
    <row r="185" spans="1:10" x14ac:dyDescent="0.3">
      <c r="A185" s="2" t="s">
        <v>53</v>
      </c>
      <c r="B185" s="2" t="s">
        <v>54</v>
      </c>
      <c r="C185" s="2">
        <v>19475</v>
      </c>
      <c r="D185" s="2">
        <v>28528</v>
      </c>
      <c r="E185" s="3">
        <v>44685</v>
      </c>
      <c r="F185" s="3">
        <v>44775</v>
      </c>
      <c r="G185" s="4">
        <v>18583.48</v>
      </c>
      <c r="H185" s="2">
        <v>0</v>
      </c>
      <c r="I185" s="2" t="s">
        <v>954</v>
      </c>
      <c r="J185" s="2" t="s">
        <v>56</v>
      </c>
    </row>
    <row r="186" spans="1:10" x14ac:dyDescent="0.3">
      <c r="A186" s="2" t="s">
        <v>21</v>
      </c>
      <c r="B186" s="2" t="s">
        <v>22</v>
      </c>
      <c r="C186" s="2">
        <v>19484</v>
      </c>
      <c r="D186" s="2">
        <v>28536</v>
      </c>
      <c r="E186" s="3">
        <v>44685</v>
      </c>
      <c r="F186" s="3">
        <v>44775</v>
      </c>
      <c r="G186" s="4">
        <v>10280.27</v>
      </c>
      <c r="H186" s="2">
        <v>0</v>
      </c>
      <c r="I186" s="2" t="s">
        <v>1126</v>
      </c>
      <c r="J186" s="2" t="s">
        <v>24</v>
      </c>
    </row>
    <row r="187" spans="1:10" x14ac:dyDescent="0.3">
      <c r="A187" s="2" t="s">
        <v>506</v>
      </c>
      <c r="B187" s="2" t="s">
        <v>507</v>
      </c>
      <c r="C187" s="2">
        <v>19869</v>
      </c>
      <c r="D187" s="2">
        <v>28939</v>
      </c>
      <c r="E187" s="3">
        <v>44746</v>
      </c>
      <c r="F187" s="3">
        <v>44776</v>
      </c>
      <c r="G187" s="4">
        <v>14868</v>
      </c>
      <c r="H187" s="2">
        <v>0</v>
      </c>
      <c r="I187" s="2" t="s">
        <v>508</v>
      </c>
      <c r="J187" s="2" t="s">
        <v>40</v>
      </c>
    </row>
    <row r="188" spans="1:10" x14ac:dyDescent="0.3">
      <c r="A188" s="2" t="s">
        <v>506</v>
      </c>
      <c r="B188" s="2" t="s">
        <v>507</v>
      </c>
      <c r="C188" s="2">
        <v>19868</v>
      </c>
      <c r="D188" s="2">
        <v>28938</v>
      </c>
      <c r="E188" s="3">
        <v>44746</v>
      </c>
      <c r="F188" s="3">
        <v>44776</v>
      </c>
      <c r="G188" s="4">
        <v>5600</v>
      </c>
      <c r="H188" s="2">
        <v>0</v>
      </c>
      <c r="I188" s="2" t="s">
        <v>508</v>
      </c>
      <c r="J188" s="2" t="s">
        <v>40</v>
      </c>
    </row>
    <row r="189" spans="1:10" x14ac:dyDescent="0.3">
      <c r="A189" s="2" t="s">
        <v>25</v>
      </c>
      <c r="B189" s="2" t="s">
        <v>26</v>
      </c>
      <c r="C189" s="2">
        <v>18626</v>
      </c>
      <c r="D189" s="2">
        <v>27637</v>
      </c>
      <c r="E189" s="3">
        <v>44596</v>
      </c>
      <c r="F189" s="3">
        <v>44776</v>
      </c>
      <c r="G189" s="4">
        <v>40915</v>
      </c>
      <c r="H189" s="2">
        <v>0</v>
      </c>
      <c r="I189" s="2" t="s">
        <v>750</v>
      </c>
      <c r="J189" s="2" t="s">
        <v>28</v>
      </c>
    </row>
    <row r="190" spans="1:10" x14ac:dyDescent="0.3">
      <c r="A190" s="2" t="s">
        <v>48</v>
      </c>
      <c r="B190" s="2" t="s">
        <v>49</v>
      </c>
      <c r="C190" s="2">
        <v>18288</v>
      </c>
      <c r="D190" s="2">
        <v>27297</v>
      </c>
      <c r="E190" s="3">
        <v>44566</v>
      </c>
      <c r="F190" s="3">
        <v>44776</v>
      </c>
      <c r="G190" s="4">
        <v>38212.5</v>
      </c>
      <c r="H190" s="2">
        <v>0</v>
      </c>
      <c r="I190" s="2" t="s">
        <v>991</v>
      </c>
      <c r="J190" s="2" t="s">
        <v>40</v>
      </c>
    </row>
    <row r="191" spans="1:10" x14ac:dyDescent="0.3">
      <c r="A191" s="2" t="s">
        <v>315</v>
      </c>
      <c r="B191" s="2" t="s">
        <v>316</v>
      </c>
      <c r="C191" s="2">
        <v>17963</v>
      </c>
      <c r="D191" s="2">
        <v>26978</v>
      </c>
      <c r="E191" s="3">
        <v>44536</v>
      </c>
      <c r="F191" s="3">
        <v>44776</v>
      </c>
      <c r="G191" s="4">
        <v>25500</v>
      </c>
      <c r="H191" s="2">
        <v>0</v>
      </c>
      <c r="I191" s="2" t="s">
        <v>1106</v>
      </c>
      <c r="J191" s="2" t="s">
        <v>81</v>
      </c>
    </row>
    <row r="192" spans="1:10" x14ac:dyDescent="0.3">
      <c r="A192" s="2" t="s">
        <v>119</v>
      </c>
      <c r="B192" s="2" t="s">
        <v>120</v>
      </c>
      <c r="C192" s="2">
        <v>19513</v>
      </c>
      <c r="D192" s="2">
        <v>28566</v>
      </c>
      <c r="E192" s="3">
        <v>44687</v>
      </c>
      <c r="F192" s="3">
        <v>44777</v>
      </c>
      <c r="G192" s="4">
        <v>19600</v>
      </c>
      <c r="H192" s="2">
        <v>0</v>
      </c>
      <c r="I192" s="2" t="s">
        <v>121</v>
      </c>
      <c r="J192" s="2" t="s">
        <v>36</v>
      </c>
    </row>
    <row r="193" spans="1:10" x14ac:dyDescent="0.3">
      <c r="A193" s="2" t="s">
        <v>119</v>
      </c>
      <c r="B193" s="2" t="s">
        <v>120</v>
      </c>
      <c r="C193" s="2">
        <v>19515</v>
      </c>
      <c r="D193" s="2">
        <v>28568</v>
      </c>
      <c r="E193" s="3">
        <v>44687</v>
      </c>
      <c r="F193" s="3">
        <v>44777</v>
      </c>
      <c r="G193" s="4">
        <v>8310</v>
      </c>
      <c r="H193" s="2">
        <v>0</v>
      </c>
      <c r="I193" s="2" t="s">
        <v>122</v>
      </c>
      <c r="J193" s="2" t="s">
        <v>36</v>
      </c>
    </row>
    <row r="194" spans="1:10" x14ac:dyDescent="0.3">
      <c r="A194" s="2" t="s">
        <v>82</v>
      </c>
      <c r="B194" s="2" t="s">
        <v>83</v>
      </c>
      <c r="C194" s="2">
        <v>19216</v>
      </c>
      <c r="D194" s="2">
        <v>28237</v>
      </c>
      <c r="E194" s="3">
        <v>44657</v>
      </c>
      <c r="F194" s="3">
        <v>44777</v>
      </c>
      <c r="G194" s="4">
        <v>40000</v>
      </c>
      <c r="H194" s="2">
        <v>0</v>
      </c>
      <c r="I194" s="2" t="s">
        <v>148</v>
      </c>
      <c r="J194" s="2" t="s">
        <v>40</v>
      </c>
    </row>
    <row r="195" spans="1:10" x14ac:dyDescent="0.3">
      <c r="A195" s="2" t="s">
        <v>25</v>
      </c>
      <c r="B195" s="2" t="s">
        <v>26</v>
      </c>
      <c r="C195" s="2">
        <v>18932</v>
      </c>
      <c r="D195" s="2">
        <v>27945</v>
      </c>
      <c r="E195" s="3">
        <v>44627</v>
      </c>
      <c r="F195" s="3">
        <v>44777</v>
      </c>
      <c r="G195" s="4">
        <v>61252.25</v>
      </c>
      <c r="H195" s="2">
        <v>0</v>
      </c>
      <c r="I195" s="2" t="s">
        <v>230</v>
      </c>
      <c r="J195" s="2" t="s">
        <v>28</v>
      </c>
    </row>
    <row r="196" spans="1:10" x14ac:dyDescent="0.3">
      <c r="A196" s="2" t="s">
        <v>602</v>
      </c>
      <c r="B196" s="2" t="s">
        <v>603</v>
      </c>
      <c r="C196" s="2">
        <v>19519</v>
      </c>
      <c r="D196" s="2">
        <v>28572</v>
      </c>
      <c r="E196" s="3">
        <v>44687</v>
      </c>
      <c r="F196" s="3">
        <v>44777</v>
      </c>
      <c r="G196" s="4">
        <v>41148.6</v>
      </c>
      <c r="H196" s="2">
        <v>0</v>
      </c>
      <c r="I196" s="2" t="s">
        <v>604</v>
      </c>
      <c r="J196" s="2" t="s">
        <v>164</v>
      </c>
    </row>
    <row r="197" spans="1:10" x14ac:dyDescent="0.3">
      <c r="A197" s="2" t="s">
        <v>48</v>
      </c>
      <c r="B197" s="2" t="s">
        <v>49</v>
      </c>
      <c r="C197" s="2">
        <v>19213</v>
      </c>
      <c r="D197" s="2">
        <v>28234</v>
      </c>
      <c r="E197" s="3">
        <v>44657</v>
      </c>
      <c r="F197" s="3">
        <v>44777</v>
      </c>
      <c r="G197" s="4">
        <v>34349.97</v>
      </c>
      <c r="H197" s="2">
        <v>0</v>
      </c>
      <c r="I197" s="2" t="s">
        <v>696</v>
      </c>
      <c r="J197" s="2" t="s">
        <v>40</v>
      </c>
    </row>
    <row r="198" spans="1:10" x14ac:dyDescent="0.3">
      <c r="A198" s="2" t="s">
        <v>248</v>
      </c>
      <c r="B198" s="2" t="s">
        <v>249</v>
      </c>
      <c r="C198" s="2">
        <v>19511</v>
      </c>
      <c r="D198" s="2">
        <v>28564</v>
      </c>
      <c r="E198" s="3">
        <v>44687</v>
      </c>
      <c r="F198" s="3">
        <v>44777</v>
      </c>
      <c r="G198" s="4">
        <v>2900.1</v>
      </c>
      <c r="H198" s="2">
        <v>0</v>
      </c>
      <c r="I198" s="2" t="s">
        <v>733</v>
      </c>
      <c r="J198" s="2" t="s">
        <v>164</v>
      </c>
    </row>
    <row r="199" spans="1:10" x14ac:dyDescent="0.3">
      <c r="A199" s="2" t="s">
        <v>25</v>
      </c>
      <c r="B199" s="2" t="s">
        <v>26</v>
      </c>
      <c r="C199" s="2">
        <v>18310</v>
      </c>
      <c r="D199" s="2">
        <v>27319</v>
      </c>
      <c r="E199" s="3">
        <v>44568</v>
      </c>
      <c r="F199" s="3">
        <v>44778</v>
      </c>
      <c r="G199" s="4">
        <v>9333.36</v>
      </c>
      <c r="H199" s="2">
        <v>0</v>
      </c>
      <c r="I199" s="2" t="s">
        <v>57</v>
      </c>
      <c r="J199" s="2" t="s">
        <v>28</v>
      </c>
    </row>
    <row r="200" spans="1:10" x14ac:dyDescent="0.3">
      <c r="A200" s="2" t="s">
        <v>25</v>
      </c>
      <c r="B200" s="2" t="s">
        <v>26</v>
      </c>
      <c r="C200" s="2">
        <v>18313</v>
      </c>
      <c r="D200" s="2">
        <v>27323</v>
      </c>
      <c r="E200" s="3">
        <v>44568</v>
      </c>
      <c r="F200" s="3">
        <v>44778</v>
      </c>
      <c r="G200" s="4">
        <v>1273.3399999999999</v>
      </c>
      <c r="H200" s="2">
        <v>0</v>
      </c>
      <c r="I200" s="2" t="s">
        <v>282</v>
      </c>
      <c r="J200" s="2" t="s">
        <v>28</v>
      </c>
    </row>
    <row r="201" spans="1:10" x14ac:dyDescent="0.3">
      <c r="A201" s="2" t="s">
        <v>25</v>
      </c>
      <c r="B201" s="2" t="s">
        <v>26</v>
      </c>
      <c r="C201" s="2">
        <v>18314</v>
      </c>
      <c r="D201" s="2">
        <v>27324</v>
      </c>
      <c r="E201" s="3">
        <v>44568</v>
      </c>
      <c r="F201" s="3">
        <v>44778</v>
      </c>
      <c r="G201" s="4">
        <v>37533.4</v>
      </c>
      <c r="H201" s="2">
        <v>0</v>
      </c>
      <c r="I201" s="2" t="s">
        <v>801</v>
      </c>
      <c r="J201" s="2" t="s">
        <v>28</v>
      </c>
    </row>
    <row r="202" spans="1:10" x14ac:dyDescent="0.3">
      <c r="A202" s="2" t="s">
        <v>25</v>
      </c>
      <c r="B202" s="2" t="s">
        <v>26</v>
      </c>
      <c r="C202" s="2">
        <v>18661</v>
      </c>
      <c r="D202" s="2">
        <v>27673</v>
      </c>
      <c r="E202" s="3">
        <v>44599</v>
      </c>
      <c r="F202" s="3">
        <v>44779</v>
      </c>
      <c r="G202" s="4">
        <v>105000</v>
      </c>
      <c r="H202" s="2">
        <v>0</v>
      </c>
      <c r="I202" s="2" t="s">
        <v>67</v>
      </c>
      <c r="J202" s="2" t="s">
        <v>28</v>
      </c>
    </row>
    <row r="203" spans="1:10" x14ac:dyDescent="0.3">
      <c r="A203" s="2" t="s">
        <v>53</v>
      </c>
      <c r="B203" s="2" t="s">
        <v>54</v>
      </c>
      <c r="C203" s="2">
        <v>18652</v>
      </c>
      <c r="D203" s="2">
        <v>27664</v>
      </c>
      <c r="E203" s="3">
        <v>44599</v>
      </c>
      <c r="F203" s="3">
        <v>44779</v>
      </c>
      <c r="G203" s="4">
        <v>2066.7199999999998</v>
      </c>
      <c r="H203" s="2">
        <v>0</v>
      </c>
      <c r="I203" s="2" t="s">
        <v>331</v>
      </c>
      <c r="J203" s="2" t="s">
        <v>56</v>
      </c>
    </row>
    <row r="204" spans="1:10" x14ac:dyDescent="0.3">
      <c r="A204" s="2" t="s">
        <v>612</v>
      </c>
      <c r="B204" s="2" t="s">
        <v>613</v>
      </c>
      <c r="C204" s="2">
        <v>19730</v>
      </c>
      <c r="D204" s="2">
        <v>28791</v>
      </c>
      <c r="E204" s="3">
        <v>44719</v>
      </c>
      <c r="F204" s="3">
        <v>44779</v>
      </c>
      <c r="G204" s="4">
        <v>40500</v>
      </c>
      <c r="H204" s="2">
        <v>0</v>
      </c>
      <c r="I204" s="2" t="s">
        <v>614</v>
      </c>
      <c r="J204" s="2" t="s">
        <v>24</v>
      </c>
    </row>
    <row r="205" spans="1:10" x14ac:dyDescent="0.3">
      <c r="A205" s="2" t="s">
        <v>612</v>
      </c>
      <c r="B205" s="2" t="s">
        <v>613</v>
      </c>
      <c r="C205" s="2">
        <v>19729</v>
      </c>
      <c r="D205" s="2">
        <v>28790</v>
      </c>
      <c r="E205" s="3">
        <v>44719</v>
      </c>
      <c r="F205" s="3">
        <v>44779</v>
      </c>
      <c r="G205" s="4">
        <v>200233.8</v>
      </c>
      <c r="H205" s="2">
        <v>0</v>
      </c>
      <c r="I205" s="2" t="s">
        <v>735</v>
      </c>
      <c r="J205" s="2" t="s">
        <v>24</v>
      </c>
    </row>
    <row r="206" spans="1:10" x14ac:dyDescent="0.3">
      <c r="A206" s="2" t="s">
        <v>53</v>
      </c>
      <c r="B206" s="2" t="s">
        <v>54</v>
      </c>
      <c r="C206" s="2">
        <v>18653</v>
      </c>
      <c r="D206" s="2">
        <v>27665</v>
      </c>
      <c r="E206" s="3">
        <v>44599</v>
      </c>
      <c r="F206" s="3">
        <v>44779</v>
      </c>
      <c r="G206" s="4">
        <v>8960.08</v>
      </c>
      <c r="H206" s="2">
        <v>0</v>
      </c>
      <c r="I206" s="2" t="s">
        <v>839</v>
      </c>
      <c r="J206" s="2" t="s">
        <v>56</v>
      </c>
    </row>
    <row r="207" spans="1:10" x14ac:dyDescent="0.3">
      <c r="A207" s="2" t="s">
        <v>53</v>
      </c>
      <c r="B207" s="2" t="s">
        <v>54</v>
      </c>
      <c r="C207" s="2">
        <v>18654</v>
      </c>
      <c r="D207" s="2">
        <v>27666</v>
      </c>
      <c r="E207" s="3">
        <v>44599</v>
      </c>
      <c r="F207" s="3">
        <v>44779</v>
      </c>
      <c r="G207" s="4">
        <v>21747.14</v>
      </c>
      <c r="H207" s="2">
        <v>0</v>
      </c>
      <c r="I207" s="2" t="s">
        <v>840</v>
      </c>
      <c r="J207" s="2" t="s">
        <v>56</v>
      </c>
    </row>
    <row r="208" spans="1:10" x14ac:dyDescent="0.3">
      <c r="A208" s="2" t="s">
        <v>642</v>
      </c>
      <c r="B208" s="2" t="s">
        <v>643</v>
      </c>
      <c r="C208" s="2">
        <v>19727</v>
      </c>
      <c r="D208" s="2">
        <v>28788</v>
      </c>
      <c r="E208" s="3">
        <v>44719</v>
      </c>
      <c r="F208" s="3">
        <v>44779</v>
      </c>
      <c r="G208" s="4">
        <v>25612.34</v>
      </c>
      <c r="H208" s="2">
        <v>0</v>
      </c>
      <c r="I208" s="2" t="s">
        <v>985</v>
      </c>
      <c r="J208" s="2" t="s">
        <v>157</v>
      </c>
    </row>
    <row r="209" spans="1:10" x14ac:dyDescent="0.3">
      <c r="A209" s="2" t="s">
        <v>68</v>
      </c>
      <c r="B209" s="2" t="s">
        <v>69</v>
      </c>
      <c r="C209" s="2">
        <v>18662</v>
      </c>
      <c r="D209" s="2">
        <v>27674</v>
      </c>
      <c r="E209" s="3">
        <v>44600</v>
      </c>
      <c r="F209" s="3">
        <v>44780</v>
      </c>
      <c r="G209" s="4">
        <v>48000</v>
      </c>
      <c r="H209" s="2">
        <v>0</v>
      </c>
      <c r="I209" s="2" t="s">
        <v>103</v>
      </c>
      <c r="J209" s="2" t="s">
        <v>40</v>
      </c>
    </row>
    <row r="210" spans="1:10" x14ac:dyDescent="0.3">
      <c r="A210" s="2" t="s">
        <v>85</v>
      </c>
      <c r="B210" s="2" t="s">
        <v>83</v>
      </c>
      <c r="C210" s="2">
        <v>18664</v>
      </c>
      <c r="D210" s="2">
        <v>27676</v>
      </c>
      <c r="E210" s="3">
        <v>44600</v>
      </c>
      <c r="F210" s="3">
        <v>44780</v>
      </c>
      <c r="G210" s="4">
        <v>48000</v>
      </c>
      <c r="H210" s="2">
        <v>0</v>
      </c>
      <c r="I210" s="2" t="s">
        <v>287</v>
      </c>
      <c r="J210" s="2" t="s">
        <v>40</v>
      </c>
    </row>
    <row r="211" spans="1:10" x14ac:dyDescent="0.3">
      <c r="A211" s="2" t="s">
        <v>53</v>
      </c>
      <c r="B211" s="2" t="s">
        <v>54</v>
      </c>
      <c r="C211" s="2">
        <v>19632</v>
      </c>
      <c r="D211" s="2">
        <v>28702</v>
      </c>
      <c r="E211" s="3">
        <v>44705</v>
      </c>
      <c r="F211" s="3">
        <v>44780</v>
      </c>
      <c r="G211" s="4">
        <v>62400</v>
      </c>
      <c r="H211" s="2">
        <v>0</v>
      </c>
      <c r="I211" s="2" t="s">
        <v>124</v>
      </c>
      <c r="J211" s="2" t="s">
        <v>56</v>
      </c>
    </row>
    <row r="212" spans="1:10" x14ac:dyDescent="0.3">
      <c r="A212" s="2" t="s">
        <v>25</v>
      </c>
      <c r="B212" s="2" t="s">
        <v>26</v>
      </c>
      <c r="C212" s="2">
        <v>18677</v>
      </c>
      <c r="D212" s="2">
        <v>27689</v>
      </c>
      <c r="E212" s="3">
        <v>44600</v>
      </c>
      <c r="F212" s="3">
        <v>44780</v>
      </c>
      <c r="G212" s="4">
        <v>46800</v>
      </c>
      <c r="H212" s="2">
        <v>0</v>
      </c>
      <c r="I212" s="2" t="s">
        <v>350</v>
      </c>
      <c r="J212" s="2" t="s">
        <v>28</v>
      </c>
    </row>
    <row r="213" spans="1:10" x14ac:dyDescent="0.3">
      <c r="A213" s="2" t="s">
        <v>25</v>
      </c>
      <c r="B213" s="2" t="s">
        <v>26</v>
      </c>
      <c r="C213" s="2">
        <v>18676</v>
      </c>
      <c r="D213" s="2">
        <v>27688</v>
      </c>
      <c r="E213" s="3">
        <v>44600</v>
      </c>
      <c r="F213" s="3">
        <v>44780</v>
      </c>
      <c r="G213" s="4">
        <v>63000</v>
      </c>
      <c r="H213" s="2">
        <v>0</v>
      </c>
      <c r="I213" s="2" t="s">
        <v>326</v>
      </c>
      <c r="J213" s="2" t="s">
        <v>28</v>
      </c>
    </row>
    <row r="214" spans="1:10" x14ac:dyDescent="0.3">
      <c r="A214" s="2" t="s">
        <v>25</v>
      </c>
      <c r="B214" s="2" t="s">
        <v>26</v>
      </c>
      <c r="C214" s="2">
        <v>18671</v>
      </c>
      <c r="D214" s="2">
        <v>27683</v>
      </c>
      <c r="E214" s="3">
        <v>44600</v>
      </c>
      <c r="F214" s="3">
        <v>44780</v>
      </c>
      <c r="G214" s="4">
        <v>28000</v>
      </c>
      <c r="H214" s="2">
        <v>0</v>
      </c>
      <c r="I214" s="2" t="s">
        <v>559</v>
      </c>
      <c r="J214" s="2" t="s">
        <v>28</v>
      </c>
    </row>
    <row r="215" spans="1:10" x14ac:dyDescent="0.3">
      <c r="A215" s="2" t="s">
        <v>82</v>
      </c>
      <c r="B215" s="2" t="s">
        <v>83</v>
      </c>
      <c r="C215" s="2">
        <v>18663</v>
      </c>
      <c r="D215" s="2">
        <v>27675</v>
      </c>
      <c r="E215" s="3">
        <v>44600</v>
      </c>
      <c r="F215" s="3">
        <v>44780</v>
      </c>
      <c r="G215" s="4">
        <v>48000</v>
      </c>
      <c r="H215" s="2">
        <v>0</v>
      </c>
      <c r="I215" s="2" t="s">
        <v>857</v>
      </c>
      <c r="J215" s="2" t="s">
        <v>40</v>
      </c>
    </row>
    <row r="216" spans="1:10" x14ac:dyDescent="0.3">
      <c r="A216" s="2" t="s">
        <v>25</v>
      </c>
      <c r="B216" s="2" t="s">
        <v>26</v>
      </c>
      <c r="C216" s="2">
        <v>18669</v>
      </c>
      <c r="D216" s="2">
        <v>27681</v>
      </c>
      <c r="E216" s="3">
        <v>44600</v>
      </c>
      <c r="F216" s="3">
        <v>44780</v>
      </c>
      <c r="G216" s="4">
        <v>25200</v>
      </c>
      <c r="H216" s="2">
        <v>0</v>
      </c>
      <c r="I216" s="2" t="s">
        <v>1019</v>
      </c>
      <c r="J216" s="2" t="s">
        <v>28</v>
      </c>
    </row>
    <row r="217" spans="1:10" x14ac:dyDescent="0.3">
      <c r="A217" s="2" t="s">
        <v>480</v>
      </c>
      <c r="B217" s="2" t="s">
        <v>481</v>
      </c>
      <c r="C217" s="2">
        <v>19542</v>
      </c>
      <c r="D217" s="2">
        <v>28597</v>
      </c>
      <c r="E217" s="3">
        <v>44690</v>
      </c>
      <c r="F217" s="3">
        <v>44780</v>
      </c>
      <c r="G217" s="4">
        <v>23205.23</v>
      </c>
      <c r="H217" s="2">
        <v>0</v>
      </c>
      <c r="I217" s="2" t="s">
        <v>1142</v>
      </c>
      <c r="J217" s="2" t="s">
        <v>56</v>
      </c>
    </row>
    <row r="218" spans="1:10" x14ac:dyDescent="0.3">
      <c r="A218" s="2" t="s">
        <v>41</v>
      </c>
      <c r="B218" s="2" t="s">
        <v>42</v>
      </c>
      <c r="C218" s="2">
        <v>19560</v>
      </c>
      <c r="D218" s="2">
        <v>28615</v>
      </c>
      <c r="E218" s="3">
        <v>44691</v>
      </c>
      <c r="F218" s="3">
        <v>44781</v>
      </c>
      <c r="G218" s="4">
        <v>8979.89</v>
      </c>
      <c r="H218" s="2">
        <v>0</v>
      </c>
      <c r="I218" s="2" t="s">
        <v>43</v>
      </c>
      <c r="J218" s="2" t="s">
        <v>44</v>
      </c>
    </row>
    <row r="219" spans="1:10" x14ac:dyDescent="0.3">
      <c r="A219" s="2" t="s">
        <v>45</v>
      </c>
      <c r="B219" s="2" t="s">
        <v>46</v>
      </c>
      <c r="C219" s="2">
        <v>19562</v>
      </c>
      <c r="D219" s="2">
        <v>28617</v>
      </c>
      <c r="E219" s="3">
        <v>44691</v>
      </c>
      <c r="F219" s="3">
        <v>44781</v>
      </c>
      <c r="G219" s="4">
        <v>1565.25</v>
      </c>
      <c r="H219" s="2">
        <v>0</v>
      </c>
      <c r="I219" s="2" t="s">
        <v>47</v>
      </c>
      <c r="J219" s="2" t="s">
        <v>44</v>
      </c>
    </row>
    <row r="220" spans="1:10" x14ac:dyDescent="0.3">
      <c r="A220" s="2" t="s">
        <v>48</v>
      </c>
      <c r="B220" s="2" t="s">
        <v>49</v>
      </c>
      <c r="C220" s="2">
        <v>18975</v>
      </c>
      <c r="D220" s="2">
        <v>27985</v>
      </c>
      <c r="E220" s="3">
        <v>44631</v>
      </c>
      <c r="F220" s="3">
        <v>44781</v>
      </c>
      <c r="G220" s="4">
        <v>13158.32</v>
      </c>
      <c r="H220" s="2">
        <v>0</v>
      </c>
      <c r="I220" s="2" t="s">
        <v>231</v>
      </c>
      <c r="J220" s="2" t="s">
        <v>40</v>
      </c>
    </row>
    <row r="221" spans="1:10" x14ac:dyDescent="0.3">
      <c r="A221" s="2" t="s">
        <v>48</v>
      </c>
      <c r="B221" s="2" t="s">
        <v>49</v>
      </c>
      <c r="C221" s="2">
        <v>18964</v>
      </c>
      <c r="D221" s="2">
        <v>27977</v>
      </c>
      <c r="E221" s="3">
        <v>44631</v>
      </c>
      <c r="F221" s="3">
        <v>44781</v>
      </c>
      <c r="G221" s="4">
        <v>13250.6</v>
      </c>
      <c r="H221" s="2">
        <v>0</v>
      </c>
      <c r="I221" s="2" t="s">
        <v>290</v>
      </c>
      <c r="J221" s="2" t="s">
        <v>40</v>
      </c>
    </row>
    <row r="222" spans="1:10" x14ac:dyDescent="0.3">
      <c r="A222" s="2" t="s">
        <v>25</v>
      </c>
      <c r="B222" s="2" t="s">
        <v>26</v>
      </c>
      <c r="C222" s="2">
        <v>18682</v>
      </c>
      <c r="D222" s="2">
        <v>27694</v>
      </c>
      <c r="E222" s="3">
        <v>44601</v>
      </c>
      <c r="F222" s="3">
        <v>44781</v>
      </c>
      <c r="G222" s="4">
        <v>121800</v>
      </c>
      <c r="H222" s="2">
        <v>0</v>
      </c>
      <c r="I222" s="2" t="s">
        <v>942</v>
      </c>
      <c r="J222" s="2" t="s">
        <v>28</v>
      </c>
    </row>
    <row r="223" spans="1:10" x14ac:dyDescent="0.3">
      <c r="A223" s="2" t="s">
        <v>125</v>
      </c>
      <c r="B223" s="2" t="s">
        <v>126</v>
      </c>
      <c r="C223" s="2">
        <v>16544</v>
      </c>
      <c r="D223" s="2">
        <v>25503</v>
      </c>
      <c r="E223" s="3">
        <v>44421</v>
      </c>
      <c r="F223" s="3">
        <v>44781</v>
      </c>
      <c r="G223" s="4">
        <v>38250</v>
      </c>
      <c r="H223" s="2">
        <v>0</v>
      </c>
      <c r="I223" s="2" t="s">
        <v>1012</v>
      </c>
      <c r="J223" s="2" t="s">
        <v>36</v>
      </c>
    </row>
    <row r="224" spans="1:10" x14ac:dyDescent="0.3">
      <c r="A224" s="2" t="s">
        <v>48</v>
      </c>
      <c r="B224" s="2" t="s">
        <v>49</v>
      </c>
      <c r="C224" s="2">
        <v>18965</v>
      </c>
      <c r="D224" s="2">
        <v>27978</v>
      </c>
      <c r="E224" s="3">
        <v>44631</v>
      </c>
      <c r="F224" s="3">
        <v>44781</v>
      </c>
      <c r="G224" s="4">
        <v>29866.639999999999</v>
      </c>
      <c r="H224" s="2">
        <v>0</v>
      </c>
      <c r="I224" s="2" t="s">
        <v>1095</v>
      </c>
      <c r="J224" s="2" t="s">
        <v>40</v>
      </c>
    </row>
    <row r="225" spans="1:10" x14ac:dyDescent="0.3">
      <c r="A225" s="2" t="s">
        <v>53</v>
      </c>
      <c r="B225" s="2" t="s">
        <v>54</v>
      </c>
      <c r="C225" s="2">
        <v>19760</v>
      </c>
      <c r="D225" s="2">
        <v>28821</v>
      </c>
      <c r="E225" s="3">
        <v>44722</v>
      </c>
      <c r="F225" s="3">
        <v>44782</v>
      </c>
      <c r="G225" s="4">
        <v>39721.379999999997</v>
      </c>
      <c r="H225" s="2">
        <v>0</v>
      </c>
      <c r="I225" s="2" t="s">
        <v>55</v>
      </c>
      <c r="J225" s="2" t="s">
        <v>56</v>
      </c>
    </row>
    <row r="226" spans="1:10" x14ac:dyDescent="0.3">
      <c r="A226" s="2" t="s">
        <v>68</v>
      </c>
      <c r="B226" s="2" t="s">
        <v>69</v>
      </c>
      <c r="C226" s="2">
        <v>18695</v>
      </c>
      <c r="D226" s="2">
        <v>27708</v>
      </c>
      <c r="E226" s="3">
        <v>44602</v>
      </c>
      <c r="F226" s="3">
        <v>44782</v>
      </c>
      <c r="G226" s="4">
        <v>48000</v>
      </c>
      <c r="H226" s="2">
        <v>0</v>
      </c>
      <c r="I226" s="2" t="s">
        <v>70</v>
      </c>
      <c r="J226" s="2" t="s">
        <v>40</v>
      </c>
    </row>
    <row r="227" spans="1:10" x14ac:dyDescent="0.3">
      <c r="A227" s="2" t="s">
        <v>53</v>
      </c>
      <c r="B227" s="2" t="s">
        <v>54</v>
      </c>
      <c r="C227" s="2">
        <v>19759</v>
      </c>
      <c r="D227" s="2">
        <v>28820</v>
      </c>
      <c r="E227" s="3">
        <v>44722</v>
      </c>
      <c r="F227" s="3">
        <v>44782</v>
      </c>
      <c r="G227" s="4">
        <v>18583.48</v>
      </c>
      <c r="H227" s="2">
        <v>0</v>
      </c>
      <c r="I227" s="2" t="s">
        <v>160</v>
      </c>
      <c r="J227" s="2" t="s">
        <v>56</v>
      </c>
    </row>
    <row r="228" spans="1:10" x14ac:dyDescent="0.3">
      <c r="A228" s="2" t="s">
        <v>82</v>
      </c>
      <c r="B228" s="2" t="s">
        <v>83</v>
      </c>
      <c r="C228" s="2">
        <v>18696</v>
      </c>
      <c r="D228" s="2">
        <v>27709</v>
      </c>
      <c r="E228" s="3">
        <v>44602</v>
      </c>
      <c r="F228" s="3">
        <v>44782</v>
      </c>
      <c r="G228" s="4">
        <v>48000</v>
      </c>
      <c r="H228" s="2">
        <v>0</v>
      </c>
      <c r="I228" s="2" t="s">
        <v>351</v>
      </c>
      <c r="J228" s="2" t="s">
        <v>40</v>
      </c>
    </row>
    <row r="229" spans="1:10" x14ac:dyDescent="0.3">
      <c r="A229" s="2" t="s">
        <v>480</v>
      </c>
      <c r="B229" s="2" t="s">
        <v>481</v>
      </c>
      <c r="C229" s="2">
        <v>19568</v>
      </c>
      <c r="D229" s="2">
        <v>28623</v>
      </c>
      <c r="E229" s="3">
        <v>44692</v>
      </c>
      <c r="F229" s="3">
        <v>44782</v>
      </c>
      <c r="G229" s="2">
        <v>360</v>
      </c>
      <c r="H229" s="2">
        <v>0</v>
      </c>
      <c r="I229" s="2" t="s">
        <v>482</v>
      </c>
      <c r="J229" s="2" t="s">
        <v>56</v>
      </c>
    </row>
    <row r="230" spans="1:10" x14ac:dyDescent="0.3">
      <c r="A230" s="2" t="s">
        <v>25</v>
      </c>
      <c r="B230" s="2" t="s">
        <v>26</v>
      </c>
      <c r="C230" s="2">
        <v>18703</v>
      </c>
      <c r="D230" s="2">
        <v>27716</v>
      </c>
      <c r="E230" s="3">
        <v>44602</v>
      </c>
      <c r="F230" s="3">
        <v>44782</v>
      </c>
      <c r="G230" s="4">
        <v>107100</v>
      </c>
      <c r="H230" s="2">
        <v>0</v>
      </c>
      <c r="I230" s="2" t="s">
        <v>656</v>
      </c>
      <c r="J230" s="2" t="s">
        <v>28</v>
      </c>
    </row>
    <row r="231" spans="1:10" x14ac:dyDescent="0.3">
      <c r="A231" s="2" t="s">
        <v>85</v>
      </c>
      <c r="B231" s="2" t="s">
        <v>83</v>
      </c>
      <c r="C231" s="2">
        <v>18697</v>
      </c>
      <c r="D231" s="2">
        <v>27710</v>
      </c>
      <c r="E231" s="3">
        <v>44602</v>
      </c>
      <c r="F231" s="3">
        <v>44782</v>
      </c>
      <c r="G231" s="4">
        <v>48000</v>
      </c>
      <c r="H231" s="2">
        <v>0</v>
      </c>
      <c r="I231" s="2" t="s">
        <v>709</v>
      </c>
      <c r="J231" s="2" t="s">
        <v>40</v>
      </c>
    </row>
    <row r="232" spans="1:10" x14ac:dyDescent="0.3">
      <c r="A232" s="2" t="s">
        <v>824</v>
      </c>
      <c r="B232" s="2" t="s">
        <v>825</v>
      </c>
      <c r="C232" s="2">
        <v>19243</v>
      </c>
      <c r="D232" s="2">
        <v>28267</v>
      </c>
      <c r="E232" s="3">
        <v>44662</v>
      </c>
      <c r="F232" s="3">
        <v>44782</v>
      </c>
      <c r="G232" s="4">
        <v>27291.79</v>
      </c>
      <c r="H232" s="2">
        <v>0</v>
      </c>
      <c r="I232" s="2" t="s">
        <v>826</v>
      </c>
      <c r="J232" s="2" t="s">
        <v>36</v>
      </c>
    </row>
    <row r="233" spans="1:10" x14ac:dyDescent="0.3">
      <c r="A233" s="2" t="s">
        <v>25</v>
      </c>
      <c r="B233" s="2" t="s">
        <v>26</v>
      </c>
      <c r="C233" s="2">
        <v>18351</v>
      </c>
      <c r="D233" s="2">
        <v>27359</v>
      </c>
      <c r="E233" s="3">
        <v>44572</v>
      </c>
      <c r="F233" s="3">
        <v>44782</v>
      </c>
      <c r="G233" s="4">
        <v>8666.68</v>
      </c>
      <c r="H233" s="2">
        <v>0</v>
      </c>
      <c r="I233" s="2" t="s">
        <v>992</v>
      </c>
      <c r="J233" s="2" t="s">
        <v>28</v>
      </c>
    </row>
    <row r="234" spans="1:10" x14ac:dyDescent="0.3">
      <c r="A234" s="2" t="s">
        <v>255</v>
      </c>
      <c r="B234" s="2" t="s">
        <v>256</v>
      </c>
      <c r="C234" s="2">
        <v>18359</v>
      </c>
      <c r="D234" s="2">
        <v>27367</v>
      </c>
      <c r="E234" s="3">
        <v>44573</v>
      </c>
      <c r="F234" s="3">
        <v>44783</v>
      </c>
      <c r="G234" s="4">
        <v>33750</v>
      </c>
      <c r="H234" s="2">
        <v>0</v>
      </c>
      <c r="I234" s="2" t="s">
        <v>532</v>
      </c>
      <c r="J234" s="2" t="s">
        <v>173</v>
      </c>
    </row>
    <row r="235" spans="1:10" x14ac:dyDescent="0.3">
      <c r="A235" s="2" t="s">
        <v>85</v>
      </c>
      <c r="B235" s="2" t="s">
        <v>83</v>
      </c>
      <c r="C235" s="2">
        <v>19571</v>
      </c>
      <c r="D235" s="2">
        <v>28630</v>
      </c>
      <c r="E235" s="3">
        <v>44693</v>
      </c>
      <c r="F235" s="3">
        <v>44783</v>
      </c>
      <c r="G235" s="4">
        <v>280320</v>
      </c>
      <c r="H235" s="2">
        <v>0</v>
      </c>
      <c r="I235" s="2" t="s">
        <v>742</v>
      </c>
      <c r="J235" s="2" t="s">
        <v>40</v>
      </c>
    </row>
    <row r="236" spans="1:10" x14ac:dyDescent="0.3">
      <c r="A236" s="2" t="s">
        <v>743</v>
      </c>
      <c r="B236" s="2" t="s">
        <v>744</v>
      </c>
      <c r="C236" s="2">
        <v>19572</v>
      </c>
      <c r="D236" s="2">
        <v>28631</v>
      </c>
      <c r="E236" s="3">
        <v>44693</v>
      </c>
      <c r="F236" s="3">
        <v>44783</v>
      </c>
      <c r="G236" s="4">
        <v>95008.5</v>
      </c>
      <c r="H236" s="2">
        <v>0</v>
      </c>
      <c r="I236" s="2" t="s">
        <v>745</v>
      </c>
      <c r="J236" s="2" t="s">
        <v>28</v>
      </c>
    </row>
    <row r="237" spans="1:10" x14ac:dyDescent="0.3">
      <c r="A237" s="2" t="s">
        <v>974</v>
      </c>
      <c r="B237" s="2" t="s">
        <v>975</v>
      </c>
      <c r="C237" s="2">
        <v>19578</v>
      </c>
      <c r="D237" s="2">
        <v>28637</v>
      </c>
      <c r="E237" s="3">
        <v>44693</v>
      </c>
      <c r="F237" s="3">
        <v>44783</v>
      </c>
      <c r="G237" s="4">
        <v>64410</v>
      </c>
      <c r="H237" s="2">
        <v>0</v>
      </c>
      <c r="I237" s="2" t="s">
        <v>1134</v>
      </c>
      <c r="J237" s="2" t="s">
        <v>56</v>
      </c>
    </row>
    <row r="238" spans="1:10" x14ac:dyDescent="0.3">
      <c r="A238" s="2" t="s">
        <v>73</v>
      </c>
      <c r="B238" s="2" t="s">
        <v>74</v>
      </c>
      <c r="C238" s="2">
        <v>18980</v>
      </c>
      <c r="D238" s="2">
        <v>27992</v>
      </c>
      <c r="E238" s="3">
        <v>44634</v>
      </c>
      <c r="F238" s="3">
        <v>44784</v>
      </c>
      <c r="G238" s="4">
        <v>153828.70000000001</v>
      </c>
      <c r="H238" s="2">
        <v>0</v>
      </c>
      <c r="I238" s="2" t="s">
        <v>75</v>
      </c>
      <c r="J238" s="2" t="s">
        <v>28</v>
      </c>
    </row>
    <row r="239" spans="1:10" x14ac:dyDescent="0.3">
      <c r="A239" s="2" t="s">
        <v>53</v>
      </c>
      <c r="B239" s="2" t="s">
        <v>54</v>
      </c>
      <c r="C239" s="2">
        <v>19131</v>
      </c>
      <c r="D239" s="2">
        <v>28150</v>
      </c>
      <c r="E239" s="3">
        <v>44649</v>
      </c>
      <c r="F239" s="3">
        <v>44784</v>
      </c>
      <c r="G239" s="4">
        <v>18583.48</v>
      </c>
      <c r="H239" s="2">
        <v>0</v>
      </c>
      <c r="I239" s="2" t="s">
        <v>77</v>
      </c>
      <c r="J239" s="2" t="s">
        <v>56</v>
      </c>
    </row>
    <row r="240" spans="1:10" x14ac:dyDescent="0.3">
      <c r="A240" s="2" t="s">
        <v>110</v>
      </c>
      <c r="B240" s="2" t="s">
        <v>111</v>
      </c>
      <c r="C240" s="2">
        <v>19276</v>
      </c>
      <c r="D240" s="2">
        <v>28306</v>
      </c>
      <c r="E240" s="3">
        <v>44664</v>
      </c>
      <c r="F240" s="3">
        <v>44784</v>
      </c>
      <c r="G240" s="4">
        <v>141754.85</v>
      </c>
      <c r="H240" s="2">
        <v>0</v>
      </c>
      <c r="I240" s="2" t="s">
        <v>211</v>
      </c>
      <c r="J240" s="2" t="s">
        <v>112</v>
      </c>
    </row>
    <row r="241" spans="1:10" x14ac:dyDescent="0.3">
      <c r="A241" s="2" t="s">
        <v>136</v>
      </c>
      <c r="B241" s="2" t="s">
        <v>137</v>
      </c>
      <c r="C241" s="2">
        <v>18077</v>
      </c>
      <c r="D241" s="2">
        <v>27091</v>
      </c>
      <c r="E241" s="3">
        <v>44544</v>
      </c>
      <c r="F241" s="3">
        <v>44784</v>
      </c>
      <c r="G241" s="4">
        <v>35250</v>
      </c>
      <c r="H241" s="2">
        <v>0</v>
      </c>
      <c r="I241" s="2" t="s">
        <v>277</v>
      </c>
      <c r="J241" s="2" t="s">
        <v>81</v>
      </c>
    </row>
    <row r="242" spans="1:10" x14ac:dyDescent="0.3">
      <c r="A242" s="2" t="s">
        <v>53</v>
      </c>
      <c r="B242" s="2" t="s">
        <v>54</v>
      </c>
      <c r="C242" s="2">
        <v>19130</v>
      </c>
      <c r="D242" s="2">
        <v>28149</v>
      </c>
      <c r="E242" s="3">
        <v>44649</v>
      </c>
      <c r="F242" s="3">
        <v>44784</v>
      </c>
      <c r="G242" s="4">
        <v>21839.42</v>
      </c>
      <c r="H242" s="2">
        <v>0</v>
      </c>
      <c r="I242" s="2" t="s">
        <v>357</v>
      </c>
      <c r="J242" s="2" t="s">
        <v>56</v>
      </c>
    </row>
    <row r="243" spans="1:10" x14ac:dyDescent="0.3">
      <c r="A243" s="2" t="s">
        <v>234</v>
      </c>
      <c r="B243" s="2" t="s">
        <v>235</v>
      </c>
      <c r="C243" s="2">
        <v>19263</v>
      </c>
      <c r="D243" s="2">
        <v>28290</v>
      </c>
      <c r="E243" s="3">
        <v>44664</v>
      </c>
      <c r="F243" s="3">
        <v>44784</v>
      </c>
      <c r="G243" s="4">
        <v>55904.800000000003</v>
      </c>
      <c r="H243" s="2">
        <v>0</v>
      </c>
      <c r="I243" s="2" t="s">
        <v>464</v>
      </c>
      <c r="J243" s="2" t="s">
        <v>56</v>
      </c>
    </row>
    <row r="244" spans="1:10" x14ac:dyDescent="0.3">
      <c r="A244" s="2" t="s">
        <v>53</v>
      </c>
      <c r="B244" s="2" t="s">
        <v>54</v>
      </c>
      <c r="C244" s="2">
        <v>19136</v>
      </c>
      <c r="D244" s="2">
        <v>28153</v>
      </c>
      <c r="E244" s="3">
        <v>44649</v>
      </c>
      <c r="F244" s="3">
        <v>44784</v>
      </c>
      <c r="G244" s="4">
        <v>4571.1099999999997</v>
      </c>
      <c r="H244" s="2">
        <v>0</v>
      </c>
      <c r="I244" s="2" t="s">
        <v>724</v>
      </c>
      <c r="J244" s="2" t="s">
        <v>56</v>
      </c>
    </row>
    <row r="245" spans="1:10" x14ac:dyDescent="0.3">
      <c r="A245" s="2" t="s">
        <v>675</v>
      </c>
      <c r="B245" s="2" t="s">
        <v>676</v>
      </c>
      <c r="C245" s="2">
        <v>18978</v>
      </c>
      <c r="D245" s="2">
        <v>27990</v>
      </c>
      <c r="E245" s="3">
        <v>44634</v>
      </c>
      <c r="F245" s="3">
        <v>44784</v>
      </c>
      <c r="G245" s="4">
        <v>2530</v>
      </c>
      <c r="H245" s="2">
        <v>0</v>
      </c>
      <c r="I245" s="2" t="s">
        <v>894</v>
      </c>
      <c r="J245" s="2" t="s">
        <v>164</v>
      </c>
    </row>
    <row r="246" spans="1:10" x14ac:dyDescent="0.3">
      <c r="A246" s="2" t="s">
        <v>53</v>
      </c>
      <c r="B246" s="2" t="s">
        <v>54</v>
      </c>
      <c r="C246" s="2">
        <v>19137</v>
      </c>
      <c r="D246" s="2">
        <v>28154</v>
      </c>
      <c r="E246" s="3">
        <v>44649</v>
      </c>
      <c r="F246" s="3">
        <v>44784</v>
      </c>
      <c r="G246" s="4">
        <v>16477.759999999998</v>
      </c>
      <c r="H246" s="2">
        <v>0</v>
      </c>
      <c r="I246" s="2" t="s">
        <v>1067</v>
      </c>
      <c r="J246" s="2" t="s">
        <v>56</v>
      </c>
    </row>
    <row r="247" spans="1:10" x14ac:dyDescent="0.3">
      <c r="A247" s="2" t="s">
        <v>660</v>
      </c>
      <c r="B247" s="2" t="s">
        <v>661</v>
      </c>
      <c r="C247" s="2">
        <v>19277</v>
      </c>
      <c r="D247" s="2">
        <v>28307</v>
      </c>
      <c r="E247" s="3">
        <v>44664</v>
      </c>
      <c r="F247" s="3">
        <v>44784</v>
      </c>
      <c r="G247" s="4">
        <v>141754.85</v>
      </c>
      <c r="H247" s="2">
        <v>0</v>
      </c>
      <c r="I247" s="2" t="s">
        <v>1085</v>
      </c>
      <c r="J247" s="2" t="s">
        <v>112</v>
      </c>
    </row>
    <row r="248" spans="1:10" x14ac:dyDescent="0.3">
      <c r="A248" s="2" t="s">
        <v>78</v>
      </c>
      <c r="B248" s="2" t="s">
        <v>79</v>
      </c>
      <c r="C248" s="2">
        <v>19761</v>
      </c>
      <c r="D248" s="2">
        <v>28824</v>
      </c>
      <c r="E248" s="3">
        <v>44725</v>
      </c>
      <c r="F248" s="3">
        <v>44785</v>
      </c>
      <c r="G248" s="4">
        <v>144141.95000000001</v>
      </c>
      <c r="H248" s="2">
        <v>0</v>
      </c>
      <c r="I248" s="2" t="s">
        <v>269</v>
      </c>
      <c r="J248" s="2" t="s">
        <v>81</v>
      </c>
    </row>
    <row r="249" spans="1:10" x14ac:dyDescent="0.3">
      <c r="A249" s="2" t="s">
        <v>584</v>
      </c>
      <c r="B249" s="2" t="s">
        <v>585</v>
      </c>
      <c r="C249" s="2">
        <v>19922</v>
      </c>
      <c r="D249" s="2">
        <v>28991</v>
      </c>
      <c r="E249" s="3">
        <v>44755</v>
      </c>
      <c r="F249" s="3">
        <v>44786</v>
      </c>
      <c r="G249" s="4">
        <v>122430</v>
      </c>
      <c r="H249" s="2">
        <v>0</v>
      </c>
      <c r="I249" s="2" t="s">
        <v>586</v>
      </c>
      <c r="J249" s="2" t="s">
        <v>24</v>
      </c>
    </row>
    <row r="250" spans="1:10" x14ac:dyDescent="0.3">
      <c r="A250" s="2" t="s">
        <v>53</v>
      </c>
      <c r="B250" s="2" t="s">
        <v>54</v>
      </c>
      <c r="C250" s="2">
        <v>18726</v>
      </c>
      <c r="D250" s="2">
        <v>27742</v>
      </c>
      <c r="E250" s="3">
        <v>44606</v>
      </c>
      <c r="F250" s="3">
        <v>44786</v>
      </c>
      <c r="G250" s="4">
        <v>18583.66</v>
      </c>
      <c r="H250" s="2">
        <v>0</v>
      </c>
      <c r="I250" s="2" t="s">
        <v>852</v>
      </c>
      <c r="J250" s="2" t="s">
        <v>56</v>
      </c>
    </row>
    <row r="251" spans="1:10" x14ac:dyDescent="0.3">
      <c r="A251" s="2" t="s">
        <v>53</v>
      </c>
      <c r="B251" s="2" t="s">
        <v>54</v>
      </c>
      <c r="C251" s="2">
        <v>18727</v>
      </c>
      <c r="D251" s="2">
        <v>27743</v>
      </c>
      <c r="E251" s="3">
        <v>44606</v>
      </c>
      <c r="F251" s="3">
        <v>44786</v>
      </c>
      <c r="G251" s="4">
        <v>17024.560000000001</v>
      </c>
      <c r="H251" s="2">
        <v>0</v>
      </c>
      <c r="I251" s="2" t="s">
        <v>892</v>
      </c>
      <c r="J251" s="2" t="s">
        <v>56</v>
      </c>
    </row>
    <row r="252" spans="1:10" x14ac:dyDescent="0.3">
      <c r="A252" s="2" t="s">
        <v>53</v>
      </c>
      <c r="B252" s="2" t="s">
        <v>54</v>
      </c>
      <c r="C252" s="2">
        <v>18725</v>
      </c>
      <c r="D252" s="2">
        <v>27741</v>
      </c>
      <c r="E252" s="3">
        <v>44606</v>
      </c>
      <c r="F252" s="3">
        <v>44786</v>
      </c>
      <c r="G252" s="4">
        <v>3430</v>
      </c>
      <c r="H252" s="2">
        <v>0</v>
      </c>
      <c r="I252" s="2" t="s">
        <v>947</v>
      </c>
      <c r="J252" s="2" t="s">
        <v>56</v>
      </c>
    </row>
    <row r="253" spans="1:10" x14ac:dyDescent="0.3">
      <c r="A253" s="2" t="s">
        <v>988</v>
      </c>
      <c r="B253" s="2" t="s">
        <v>989</v>
      </c>
      <c r="C253" s="2">
        <v>19920</v>
      </c>
      <c r="D253" s="2">
        <v>28989</v>
      </c>
      <c r="E253" s="3">
        <v>44755</v>
      </c>
      <c r="F253" s="3">
        <v>44786</v>
      </c>
      <c r="G253" s="4">
        <v>37840</v>
      </c>
      <c r="H253" s="2">
        <v>0</v>
      </c>
      <c r="I253" s="2" t="s">
        <v>990</v>
      </c>
      <c r="J253" s="2" t="s">
        <v>24</v>
      </c>
    </row>
    <row r="254" spans="1:10" x14ac:dyDescent="0.3">
      <c r="A254" s="2" t="s">
        <v>25</v>
      </c>
      <c r="B254" s="2" t="s">
        <v>26</v>
      </c>
      <c r="C254" s="2">
        <v>19012</v>
      </c>
      <c r="D254" s="2">
        <v>28024</v>
      </c>
      <c r="E254" s="3">
        <v>44637</v>
      </c>
      <c r="F254" s="3">
        <v>44787</v>
      </c>
      <c r="G254" s="4">
        <v>50655</v>
      </c>
      <c r="H254" s="2">
        <v>0</v>
      </c>
      <c r="I254" s="2" t="s">
        <v>76</v>
      </c>
      <c r="J254" s="2" t="s">
        <v>28</v>
      </c>
    </row>
    <row r="255" spans="1:10" x14ac:dyDescent="0.3">
      <c r="A255" s="2" t="s">
        <v>85</v>
      </c>
      <c r="B255" s="2" t="s">
        <v>83</v>
      </c>
      <c r="C255" s="2">
        <v>19582</v>
      </c>
      <c r="D255" s="2">
        <v>28642</v>
      </c>
      <c r="E255" s="3">
        <v>44697</v>
      </c>
      <c r="F255" s="3">
        <v>44787</v>
      </c>
      <c r="G255" s="4">
        <v>67900</v>
      </c>
      <c r="H255" s="2">
        <v>0</v>
      </c>
      <c r="I255" s="2" t="s">
        <v>185</v>
      </c>
      <c r="J255" s="2" t="s">
        <v>40</v>
      </c>
    </row>
    <row r="256" spans="1:10" x14ac:dyDescent="0.3">
      <c r="A256" s="2" t="s">
        <v>234</v>
      </c>
      <c r="B256" s="2" t="s">
        <v>235</v>
      </c>
      <c r="C256" s="2">
        <v>18730</v>
      </c>
      <c r="D256" s="2">
        <v>27746</v>
      </c>
      <c r="E256" s="3">
        <v>44607</v>
      </c>
      <c r="F256" s="3">
        <v>44787</v>
      </c>
      <c r="G256" s="4">
        <v>77390.820000000007</v>
      </c>
      <c r="H256" s="2">
        <v>0</v>
      </c>
      <c r="I256" s="2" t="s">
        <v>569</v>
      </c>
      <c r="J256" s="2" t="s">
        <v>56</v>
      </c>
    </row>
    <row r="257" spans="1:10" x14ac:dyDescent="0.3">
      <c r="A257" s="2" t="s">
        <v>1029</v>
      </c>
      <c r="B257" s="2" t="s">
        <v>1030</v>
      </c>
      <c r="C257" s="2">
        <v>19588</v>
      </c>
      <c r="D257" s="2">
        <v>28649</v>
      </c>
      <c r="E257" s="3">
        <v>44697</v>
      </c>
      <c r="F257" s="3">
        <v>44787</v>
      </c>
      <c r="G257" s="4">
        <v>8596.6</v>
      </c>
      <c r="H257" s="2">
        <v>0</v>
      </c>
      <c r="I257" s="2" t="s">
        <v>1031</v>
      </c>
      <c r="J257" s="2" t="s">
        <v>157</v>
      </c>
    </row>
    <row r="258" spans="1:10" x14ac:dyDescent="0.3">
      <c r="A258" s="2" t="s">
        <v>25</v>
      </c>
      <c r="B258" s="2" t="s">
        <v>26</v>
      </c>
      <c r="C258" s="2">
        <v>18431</v>
      </c>
      <c r="D258" s="2">
        <v>27431</v>
      </c>
      <c r="E258" s="3">
        <v>44578</v>
      </c>
      <c r="F258" s="3">
        <v>44788</v>
      </c>
      <c r="G258" s="4">
        <v>69000.14</v>
      </c>
      <c r="H258" s="2">
        <v>0</v>
      </c>
      <c r="I258" s="2" t="s">
        <v>420</v>
      </c>
      <c r="J258" s="2" t="s">
        <v>28</v>
      </c>
    </row>
    <row r="259" spans="1:10" x14ac:dyDescent="0.3">
      <c r="A259" s="2" t="s">
        <v>25</v>
      </c>
      <c r="B259" s="2" t="s">
        <v>26</v>
      </c>
      <c r="C259" s="2">
        <v>18737</v>
      </c>
      <c r="D259" s="2">
        <v>27755</v>
      </c>
      <c r="E259" s="3">
        <v>44608</v>
      </c>
      <c r="F259" s="3">
        <v>44788</v>
      </c>
      <c r="G259" s="4">
        <v>29575</v>
      </c>
      <c r="H259" s="2">
        <v>0</v>
      </c>
      <c r="I259" s="2" t="s">
        <v>544</v>
      </c>
      <c r="J259" s="2" t="s">
        <v>28</v>
      </c>
    </row>
    <row r="260" spans="1:10" x14ac:dyDescent="0.3">
      <c r="A260" s="2" t="s">
        <v>25</v>
      </c>
      <c r="B260" s="2" t="s">
        <v>26</v>
      </c>
      <c r="C260" s="2">
        <v>18738</v>
      </c>
      <c r="D260" s="2">
        <v>27756</v>
      </c>
      <c r="E260" s="3">
        <v>44608</v>
      </c>
      <c r="F260" s="3">
        <v>44788</v>
      </c>
      <c r="G260" s="4">
        <v>43081.75</v>
      </c>
      <c r="H260" s="2">
        <v>0</v>
      </c>
      <c r="I260" s="2" t="s">
        <v>1020</v>
      </c>
      <c r="J260" s="2" t="s">
        <v>28</v>
      </c>
    </row>
    <row r="261" spans="1:10" x14ac:dyDescent="0.3">
      <c r="A261" s="2" t="s">
        <v>264</v>
      </c>
      <c r="B261" s="2" t="s">
        <v>265</v>
      </c>
      <c r="C261" s="2">
        <v>19591</v>
      </c>
      <c r="D261" s="2">
        <v>28655</v>
      </c>
      <c r="E261" s="3">
        <v>44698</v>
      </c>
      <c r="F261" s="3">
        <v>44788</v>
      </c>
      <c r="G261" s="4">
        <v>103880</v>
      </c>
      <c r="H261" s="2">
        <v>0</v>
      </c>
      <c r="I261" s="2" t="s">
        <v>1146</v>
      </c>
      <c r="J261" s="2" t="s">
        <v>24</v>
      </c>
    </row>
    <row r="262" spans="1:10" x14ac:dyDescent="0.3">
      <c r="A262" s="2" t="s">
        <v>21</v>
      </c>
      <c r="B262" s="2" t="s">
        <v>22</v>
      </c>
      <c r="C262" s="2">
        <v>19600</v>
      </c>
      <c r="D262" s="2">
        <v>28664</v>
      </c>
      <c r="E262" s="3">
        <v>44699</v>
      </c>
      <c r="F262" s="3">
        <v>44789</v>
      </c>
      <c r="G262" s="4">
        <v>22757.64</v>
      </c>
      <c r="H262" s="2">
        <v>0</v>
      </c>
      <c r="I262" s="2" t="s">
        <v>123</v>
      </c>
      <c r="J262" s="2" t="s">
        <v>24</v>
      </c>
    </row>
    <row r="263" spans="1:10" x14ac:dyDescent="0.3">
      <c r="A263" s="2" t="s">
        <v>21</v>
      </c>
      <c r="B263" s="2" t="s">
        <v>22</v>
      </c>
      <c r="C263" s="2">
        <v>18750</v>
      </c>
      <c r="D263" s="2">
        <v>27769</v>
      </c>
      <c r="E263" s="3">
        <v>44609</v>
      </c>
      <c r="F263" s="3">
        <v>44789</v>
      </c>
      <c r="G263" s="4">
        <v>18452.7</v>
      </c>
      <c r="H263" s="2">
        <v>0</v>
      </c>
      <c r="I263" s="2" t="s">
        <v>228</v>
      </c>
      <c r="J263" s="2" t="s">
        <v>24</v>
      </c>
    </row>
    <row r="264" spans="1:10" x14ac:dyDescent="0.3">
      <c r="A264" s="2" t="s">
        <v>37</v>
      </c>
      <c r="B264" s="2" t="s">
        <v>38</v>
      </c>
      <c r="C264" s="2">
        <v>19298</v>
      </c>
      <c r="D264" s="2">
        <v>28338</v>
      </c>
      <c r="E264" s="3">
        <v>44669</v>
      </c>
      <c r="F264" s="3">
        <v>44789</v>
      </c>
      <c r="G264" s="4">
        <v>89932.5</v>
      </c>
      <c r="H264" s="2">
        <v>0</v>
      </c>
      <c r="I264" s="2" t="s">
        <v>359</v>
      </c>
      <c r="J264" s="2" t="s">
        <v>40</v>
      </c>
    </row>
    <row r="265" spans="1:10" x14ac:dyDescent="0.3">
      <c r="A265" s="2" t="s">
        <v>21</v>
      </c>
      <c r="B265" s="2" t="s">
        <v>22</v>
      </c>
      <c r="C265" s="2">
        <v>18753</v>
      </c>
      <c r="D265" s="2">
        <v>27772</v>
      </c>
      <c r="E265" s="3">
        <v>44609</v>
      </c>
      <c r="F265" s="3">
        <v>44789</v>
      </c>
      <c r="G265" s="4">
        <v>3666.68</v>
      </c>
      <c r="H265" s="2">
        <v>0</v>
      </c>
      <c r="I265" s="2" t="s">
        <v>451</v>
      </c>
      <c r="J265" s="2" t="s">
        <v>24</v>
      </c>
    </row>
    <row r="266" spans="1:10" x14ac:dyDescent="0.3">
      <c r="A266" s="2" t="s">
        <v>37</v>
      </c>
      <c r="B266" s="2" t="s">
        <v>38</v>
      </c>
      <c r="C266" s="2">
        <v>19283</v>
      </c>
      <c r="D266" s="2">
        <v>28321</v>
      </c>
      <c r="E266" s="3">
        <v>44669</v>
      </c>
      <c r="F266" s="3">
        <v>44789</v>
      </c>
      <c r="G266" s="4">
        <v>89932.5</v>
      </c>
      <c r="H266" s="2">
        <v>0</v>
      </c>
      <c r="I266" s="2" t="s">
        <v>770</v>
      </c>
      <c r="J266" s="2" t="s">
        <v>40</v>
      </c>
    </row>
    <row r="267" spans="1:10" x14ac:dyDescent="0.3">
      <c r="A267" s="2" t="s">
        <v>114</v>
      </c>
      <c r="B267" s="2" t="s">
        <v>115</v>
      </c>
      <c r="C267" s="2">
        <v>19601</v>
      </c>
      <c r="D267" s="2">
        <v>28665</v>
      </c>
      <c r="E267" s="3">
        <v>44699</v>
      </c>
      <c r="F267" s="3">
        <v>44789</v>
      </c>
      <c r="G267" s="4">
        <v>12513.32</v>
      </c>
      <c r="H267" s="2">
        <v>0</v>
      </c>
      <c r="I267" s="2" t="s">
        <v>1143</v>
      </c>
      <c r="J267" s="2" t="s">
        <v>28</v>
      </c>
    </row>
    <row r="268" spans="1:10" x14ac:dyDescent="0.3">
      <c r="A268" s="2" t="s">
        <v>53</v>
      </c>
      <c r="B268" s="2" t="s">
        <v>54</v>
      </c>
      <c r="C268" s="2">
        <v>19474</v>
      </c>
      <c r="D268" s="2">
        <v>28527</v>
      </c>
      <c r="E268" s="3">
        <v>44685</v>
      </c>
      <c r="F268" s="3">
        <v>44790</v>
      </c>
      <c r="G268" s="4">
        <v>18583.48</v>
      </c>
      <c r="H268" s="2">
        <v>0</v>
      </c>
      <c r="I268" s="2" t="s">
        <v>303</v>
      </c>
      <c r="J268" s="2" t="s">
        <v>56</v>
      </c>
    </row>
    <row r="269" spans="1:10" x14ac:dyDescent="0.3">
      <c r="A269" s="2" t="s">
        <v>311</v>
      </c>
      <c r="B269" s="2" t="s">
        <v>312</v>
      </c>
      <c r="C269" s="2"/>
      <c r="D269" s="2">
        <v>176646</v>
      </c>
      <c r="E269" s="3">
        <v>44547</v>
      </c>
      <c r="F269" s="3">
        <v>44790</v>
      </c>
      <c r="G269" s="4">
        <v>2400</v>
      </c>
      <c r="H269" s="2">
        <v>0</v>
      </c>
      <c r="I269" s="2" t="s">
        <v>313</v>
      </c>
      <c r="J269" s="2" t="s">
        <v>112</v>
      </c>
    </row>
    <row r="270" spans="1:10" x14ac:dyDescent="0.3">
      <c r="A270" s="2" t="s">
        <v>53</v>
      </c>
      <c r="B270" s="2" t="s">
        <v>54</v>
      </c>
      <c r="C270" s="2">
        <v>19473</v>
      </c>
      <c r="D270" s="2">
        <v>28526</v>
      </c>
      <c r="E270" s="3">
        <v>44685</v>
      </c>
      <c r="F270" s="3">
        <v>44790</v>
      </c>
      <c r="G270" s="4">
        <v>15889.54</v>
      </c>
      <c r="H270" s="2">
        <v>0</v>
      </c>
      <c r="I270" s="2" t="s">
        <v>334</v>
      </c>
      <c r="J270" s="2" t="s">
        <v>56</v>
      </c>
    </row>
    <row r="271" spans="1:10" x14ac:dyDescent="0.3">
      <c r="A271" s="2" t="s">
        <v>264</v>
      </c>
      <c r="B271" s="2" t="s">
        <v>265</v>
      </c>
      <c r="C271" s="2">
        <v>19302</v>
      </c>
      <c r="D271" s="2">
        <v>28343</v>
      </c>
      <c r="E271" s="3">
        <v>44670</v>
      </c>
      <c r="F271" s="3">
        <v>44790</v>
      </c>
      <c r="G271" s="4">
        <v>45500</v>
      </c>
      <c r="H271" s="2">
        <v>0</v>
      </c>
      <c r="I271" s="2" t="s">
        <v>795</v>
      </c>
      <c r="J271" s="2" t="s">
        <v>24</v>
      </c>
    </row>
    <row r="272" spans="1:10" x14ac:dyDescent="0.3">
      <c r="A272" s="2" t="s">
        <v>53</v>
      </c>
      <c r="B272" s="2" t="s">
        <v>54</v>
      </c>
      <c r="C272" s="2">
        <v>19475</v>
      </c>
      <c r="D272" s="2">
        <v>28528</v>
      </c>
      <c r="E272" s="3">
        <v>44685</v>
      </c>
      <c r="F272" s="3">
        <v>44790</v>
      </c>
      <c r="G272" s="4">
        <v>18583.48</v>
      </c>
      <c r="H272" s="2">
        <v>0</v>
      </c>
      <c r="I272" s="2" t="s">
        <v>954</v>
      </c>
      <c r="J272" s="2" t="s">
        <v>56</v>
      </c>
    </row>
    <row r="273" spans="1:10" x14ac:dyDescent="0.3">
      <c r="A273" s="2" t="s">
        <v>48</v>
      </c>
      <c r="B273" s="2" t="s">
        <v>49</v>
      </c>
      <c r="C273" s="2">
        <v>18756</v>
      </c>
      <c r="D273" s="2">
        <v>27775</v>
      </c>
      <c r="E273" s="3">
        <v>44610</v>
      </c>
      <c r="F273" s="3">
        <v>44790</v>
      </c>
      <c r="G273" s="4">
        <v>54000</v>
      </c>
      <c r="H273" s="2">
        <v>0</v>
      </c>
      <c r="I273" s="2" t="s">
        <v>993</v>
      </c>
      <c r="J273" s="2" t="s">
        <v>40</v>
      </c>
    </row>
    <row r="274" spans="1:10" x14ac:dyDescent="0.3">
      <c r="A274" s="2" t="s">
        <v>1008</v>
      </c>
      <c r="B274" s="2" t="s">
        <v>1009</v>
      </c>
      <c r="C274" s="2">
        <v>19943</v>
      </c>
      <c r="D274" s="2">
        <v>29011</v>
      </c>
      <c r="E274" s="3">
        <v>44760</v>
      </c>
      <c r="F274" s="3">
        <v>44790</v>
      </c>
      <c r="G274" s="4">
        <v>30943.38</v>
      </c>
      <c r="H274" s="2">
        <v>0</v>
      </c>
      <c r="I274" s="2" t="s">
        <v>1010</v>
      </c>
      <c r="J274" s="2" t="s">
        <v>1011</v>
      </c>
    </row>
    <row r="275" spans="1:10" x14ac:dyDescent="0.3">
      <c r="A275" s="2" t="s">
        <v>264</v>
      </c>
      <c r="B275" s="2" t="s">
        <v>265</v>
      </c>
      <c r="C275" s="2">
        <v>19306</v>
      </c>
      <c r="D275" s="2">
        <v>28346</v>
      </c>
      <c r="E275" s="3">
        <v>44670</v>
      </c>
      <c r="F275" s="3">
        <v>44790</v>
      </c>
      <c r="G275" s="4">
        <v>1300</v>
      </c>
      <c r="H275" s="2">
        <v>0</v>
      </c>
      <c r="I275" s="2" t="s">
        <v>1069</v>
      </c>
      <c r="J275" s="2" t="s">
        <v>24</v>
      </c>
    </row>
    <row r="276" spans="1:10" x14ac:dyDescent="0.3">
      <c r="A276" s="2" t="s">
        <v>264</v>
      </c>
      <c r="B276" s="2" t="s">
        <v>265</v>
      </c>
      <c r="C276" s="2">
        <v>19303</v>
      </c>
      <c r="D276" s="2">
        <v>28344</v>
      </c>
      <c r="E276" s="3">
        <v>44670</v>
      </c>
      <c r="F276" s="3">
        <v>44790</v>
      </c>
      <c r="G276" s="4">
        <v>66950</v>
      </c>
      <c r="H276" s="2">
        <v>0</v>
      </c>
      <c r="I276" s="2" t="s">
        <v>1156</v>
      </c>
      <c r="J276" s="2" t="s">
        <v>24</v>
      </c>
    </row>
    <row r="277" spans="1:10" x14ac:dyDescent="0.3">
      <c r="A277" s="2" t="s">
        <v>809</v>
      </c>
      <c r="B277" s="2" t="s">
        <v>810</v>
      </c>
      <c r="C277" s="2">
        <v>19616</v>
      </c>
      <c r="D277" s="2">
        <v>28680</v>
      </c>
      <c r="E277" s="3">
        <v>44701</v>
      </c>
      <c r="F277" s="3">
        <v>44791</v>
      </c>
      <c r="G277" s="4">
        <v>189980</v>
      </c>
      <c r="H277" s="2">
        <v>0</v>
      </c>
      <c r="I277" s="2" t="s">
        <v>811</v>
      </c>
      <c r="J277" s="2" t="s">
        <v>24</v>
      </c>
    </row>
    <row r="278" spans="1:10" x14ac:dyDescent="0.3">
      <c r="A278" s="2" t="s">
        <v>196</v>
      </c>
      <c r="B278" s="2" t="s">
        <v>197</v>
      </c>
      <c r="C278" s="2">
        <v>18508</v>
      </c>
      <c r="D278" s="2">
        <v>27506</v>
      </c>
      <c r="E278" s="3">
        <v>44582</v>
      </c>
      <c r="F278" s="3">
        <v>44792</v>
      </c>
      <c r="G278" s="4">
        <v>8093.8</v>
      </c>
      <c r="H278" s="2">
        <v>0</v>
      </c>
      <c r="I278" s="2" t="s">
        <v>198</v>
      </c>
      <c r="J278" s="2" t="s">
        <v>40</v>
      </c>
    </row>
    <row r="279" spans="1:10" x14ac:dyDescent="0.3">
      <c r="A279" s="2" t="s">
        <v>48</v>
      </c>
      <c r="B279" s="2" t="s">
        <v>49</v>
      </c>
      <c r="C279" s="2">
        <v>18502</v>
      </c>
      <c r="D279" s="2">
        <v>27500</v>
      </c>
      <c r="E279" s="3">
        <v>44582</v>
      </c>
      <c r="F279" s="3">
        <v>44792</v>
      </c>
      <c r="G279" s="4">
        <v>3170</v>
      </c>
      <c r="H279" s="2">
        <v>0</v>
      </c>
      <c r="I279" s="2" t="s">
        <v>401</v>
      </c>
      <c r="J279" s="2" t="s">
        <v>40</v>
      </c>
    </row>
    <row r="280" spans="1:10" x14ac:dyDescent="0.3">
      <c r="A280" s="2" t="s">
        <v>48</v>
      </c>
      <c r="B280" s="2" t="s">
        <v>49</v>
      </c>
      <c r="C280" s="2">
        <v>18761</v>
      </c>
      <c r="D280" s="2">
        <v>27781</v>
      </c>
      <c r="E280" s="3">
        <v>44613</v>
      </c>
      <c r="F280" s="3">
        <v>44793</v>
      </c>
      <c r="G280" s="4">
        <v>4320</v>
      </c>
      <c r="H280" s="2">
        <v>0</v>
      </c>
      <c r="I280" s="2" t="s">
        <v>71</v>
      </c>
      <c r="J280" s="2" t="s">
        <v>40</v>
      </c>
    </row>
    <row r="281" spans="1:10" x14ac:dyDescent="0.3">
      <c r="A281" s="2" t="s">
        <v>48</v>
      </c>
      <c r="B281" s="2" t="s">
        <v>49</v>
      </c>
      <c r="C281" s="2">
        <v>18763</v>
      </c>
      <c r="D281" s="2">
        <v>27783</v>
      </c>
      <c r="E281" s="3">
        <v>44613</v>
      </c>
      <c r="F281" s="3">
        <v>44793</v>
      </c>
      <c r="G281" s="4">
        <v>40000</v>
      </c>
      <c r="H281" s="2">
        <v>0</v>
      </c>
      <c r="I281" s="2" t="s">
        <v>169</v>
      </c>
      <c r="J281" s="2" t="s">
        <v>40</v>
      </c>
    </row>
    <row r="282" spans="1:10" x14ac:dyDescent="0.3">
      <c r="A282" s="2" t="s">
        <v>68</v>
      </c>
      <c r="B282" s="2" t="s">
        <v>69</v>
      </c>
      <c r="C282" s="2">
        <v>18131</v>
      </c>
      <c r="D282" s="2">
        <v>27145</v>
      </c>
      <c r="E282" s="3">
        <v>44547</v>
      </c>
      <c r="F282" s="3">
        <v>44793</v>
      </c>
      <c r="G282" s="4">
        <v>20566</v>
      </c>
      <c r="H282" s="2">
        <v>0</v>
      </c>
      <c r="I282" s="2" t="s">
        <v>416</v>
      </c>
      <c r="J282" s="2" t="s">
        <v>40</v>
      </c>
    </row>
    <row r="283" spans="1:10" x14ac:dyDescent="0.3">
      <c r="A283" s="2" t="s">
        <v>48</v>
      </c>
      <c r="B283" s="2" t="s">
        <v>49</v>
      </c>
      <c r="C283" s="2">
        <v>18762</v>
      </c>
      <c r="D283" s="2">
        <v>27782</v>
      </c>
      <c r="E283" s="3">
        <v>44613</v>
      </c>
      <c r="F283" s="3">
        <v>44793</v>
      </c>
      <c r="G283" s="4">
        <v>11237.5</v>
      </c>
      <c r="H283" s="2">
        <v>0</v>
      </c>
      <c r="I283" s="2" t="s">
        <v>440</v>
      </c>
      <c r="J283" s="2" t="s">
        <v>40</v>
      </c>
    </row>
    <row r="284" spans="1:10" x14ac:dyDescent="0.3">
      <c r="A284" s="2" t="s">
        <v>48</v>
      </c>
      <c r="B284" s="2" t="s">
        <v>49</v>
      </c>
      <c r="C284" s="2">
        <v>18503</v>
      </c>
      <c r="D284" s="2">
        <v>27501</v>
      </c>
      <c r="E284" s="3">
        <v>44582</v>
      </c>
      <c r="F284" s="3">
        <v>44793</v>
      </c>
      <c r="G284" s="4">
        <v>47358.35</v>
      </c>
      <c r="H284" s="2">
        <v>0</v>
      </c>
      <c r="I284" s="2" t="s">
        <v>488</v>
      </c>
      <c r="J284" s="2" t="s">
        <v>40</v>
      </c>
    </row>
    <row r="285" spans="1:10" x14ac:dyDescent="0.3">
      <c r="A285" s="2" t="s">
        <v>140</v>
      </c>
      <c r="B285" s="2" t="s">
        <v>141</v>
      </c>
      <c r="C285" s="2">
        <v>18273</v>
      </c>
      <c r="D285" s="2">
        <v>27283</v>
      </c>
      <c r="E285" s="3">
        <v>44566</v>
      </c>
      <c r="F285" s="3">
        <v>44793</v>
      </c>
      <c r="G285" s="4">
        <v>108213.6</v>
      </c>
      <c r="H285" s="2">
        <v>0</v>
      </c>
      <c r="I285" s="2" t="s">
        <v>527</v>
      </c>
      <c r="J285" s="2" t="s">
        <v>40</v>
      </c>
    </row>
    <row r="286" spans="1:10" x14ac:dyDescent="0.3">
      <c r="A286" s="2" t="s">
        <v>48</v>
      </c>
      <c r="B286" s="2" t="s">
        <v>49</v>
      </c>
      <c r="C286" s="2">
        <v>18764</v>
      </c>
      <c r="D286" s="2">
        <v>27784</v>
      </c>
      <c r="E286" s="3">
        <v>44613</v>
      </c>
      <c r="F286" s="3">
        <v>44793</v>
      </c>
      <c r="G286" s="4">
        <v>23466.639999999999</v>
      </c>
      <c r="H286" s="2">
        <v>0</v>
      </c>
      <c r="I286" s="2" t="s">
        <v>570</v>
      </c>
      <c r="J286" s="2" t="s">
        <v>40</v>
      </c>
    </row>
    <row r="287" spans="1:10" x14ac:dyDescent="0.3">
      <c r="A287" s="2" t="s">
        <v>48</v>
      </c>
      <c r="B287" s="2" t="s">
        <v>49</v>
      </c>
      <c r="C287" s="2">
        <v>18290</v>
      </c>
      <c r="D287" s="2">
        <v>27299</v>
      </c>
      <c r="E287" s="3">
        <v>44566</v>
      </c>
      <c r="F287" s="3">
        <v>44793</v>
      </c>
      <c r="G287" s="4">
        <v>14664</v>
      </c>
      <c r="H287" s="2">
        <v>0</v>
      </c>
      <c r="I287" s="2" t="s">
        <v>488</v>
      </c>
      <c r="J287" s="2" t="s">
        <v>40</v>
      </c>
    </row>
    <row r="288" spans="1:10" x14ac:dyDescent="0.3">
      <c r="A288" s="2" t="s">
        <v>48</v>
      </c>
      <c r="B288" s="2" t="s">
        <v>49</v>
      </c>
      <c r="C288" s="2">
        <v>18176</v>
      </c>
      <c r="D288" s="2">
        <v>27187</v>
      </c>
      <c r="E288" s="3">
        <v>44550</v>
      </c>
      <c r="F288" s="3">
        <v>44793</v>
      </c>
      <c r="G288" s="4">
        <v>14076</v>
      </c>
      <c r="H288" s="2">
        <v>0</v>
      </c>
      <c r="I288" s="2" t="s">
        <v>488</v>
      </c>
      <c r="J288" s="2" t="s">
        <v>40</v>
      </c>
    </row>
    <row r="289" spans="1:10" x14ac:dyDescent="0.3">
      <c r="A289" s="2" t="s">
        <v>48</v>
      </c>
      <c r="B289" s="2" t="s">
        <v>49</v>
      </c>
      <c r="C289" s="2">
        <v>18504</v>
      </c>
      <c r="D289" s="2">
        <v>27502</v>
      </c>
      <c r="E289" s="3">
        <v>44582</v>
      </c>
      <c r="F289" s="3">
        <v>44793</v>
      </c>
      <c r="G289" s="4">
        <v>20000</v>
      </c>
      <c r="H289" s="2">
        <v>0</v>
      </c>
      <c r="I289" s="2" t="s">
        <v>488</v>
      </c>
      <c r="J289" s="2" t="s">
        <v>40</v>
      </c>
    </row>
    <row r="290" spans="1:10" x14ac:dyDescent="0.3">
      <c r="A290" s="2" t="s">
        <v>140</v>
      </c>
      <c r="B290" s="2" t="s">
        <v>141</v>
      </c>
      <c r="C290" s="2">
        <v>18790</v>
      </c>
      <c r="D290" s="2">
        <v>27811</v>
      </c>
      <c r="E290" s="3">
        <v>44614</v>
      </c>
      <c r="F290" s="3">
        <v>44793</v>
      </c>
      <c r="G290" s="4">
        <v>15980</v>
      </c>
      <c r="H290" s="2">
        <v>0</v>
      </c>
      <c r="I290" s="2" t="s">
        <v>142</v>
      </c>
      <c r="J290" s="2" t="s">
        <v>40</v>
      </c>
    </row>
    <row r="291" spans="1:10" x14ac:dyDescent="0.3">
      <c r="A291" s="2" t="s">
        <v>85</v>
      </c>
      <c r="B291" s="2" t="s">
        <v>83</v>
      </c>
      <c r="C291" s="2">
        <v>18500</v>
      </c>
      <c r="D291" s="2">
        <v>27498</v>
      </c>
      <c r="E291" s="3">
        <v>44582</v>
      </c>
      <c r="F291" s="3">
        <v>44793</v>
      </c>
      <c r="G291" s="4">
        <v>22909.8</v>
      </c>
      <c r="H291" s="2">
        <v>0</v>
      </c>
      <c r="I291" s="2" t="s">
        <v>803</v>
      </c>
      <c r="J291" s="2" t="s">
        <v>40</v>
      </c>
    </row>
    <row r="292" spans="1:10" x14ac:dyDescent="0.3">
      <c r="A292" s="2" t="s">
        <v>48</v>
      </c>
      <c r="B292" s="2" t="s">
        <v>49</v>
      </c>
      <c r="C292" s="2">
        <v>18291</v>
      </c>
      <c r="D292" s="2">
        <v>27300</v>
      </c>
      <c r="E292" s="3">
        <v>44566</v>
      </c>
      <c r="F292" s="3">
        <v>44793</v>
      </c>
      <c r="G292" s="4">
        <v>48000.2</v>
      </c>
      <c r="H292" s="2">
        <v>0</v>
      </c>
      <c r="I292" s="2" t="s">
        <v>834</v>
      </c>
      <c r="J292" s="2" t="s">
        <v>40</v>
      </c>
    </row>
    <row r="293" spans="1:10" x14ac:dyDescent="0.3">
      <c r="A293" s="2" t="s">
        <v>48</v>
      </c>
      <c r="B293" s="2" t="s">
        <v>49</v>
      </c>
      <c r="C293" s="2">
        <v>18289</v>
      </c>
      <c r="D293" s="2">
        <v>27298</v>
      </c>
      <c r="E293" s="3">
        <v>44566</v>
      </c>
      <c r="F293" s="3">
        <v>44793</v>
      </c>
      <c r="G293" s="4">
        <v>23504.799999999999</v>
      </c>
      <c r="H293" s="2">
        <v>0</v>
      </c>
      <c r="I293" s="2" t="s">
        <v>869</v>
      </c>
      <c r="J293" s="2" t="s">
        <v>40</v>
      </c>
    </row>
    <row r="294" spans="1:10" x14ac:dyDescent="0.3">
      <c r="A294" s="2" t="s">
        <v>37</v>
      </c>
      <c r="B294" s="2" t="s">
        <v>38</v>
      </c>
      <c r="C294" s="2">
        <v>18257</v>
      </c>
      <c r="D294" s="2">
        <v>27268</v>
      </c>
      <c r="E294" s="3">
        <v>44565</v>
      </c>
      <c r="F294" s="3">
        <v>44793</v>
      </c>
      <c r="G294" s="4">
        <v>28249.9</v>
      </c>
      <c r="H294" s="2">
        <v>0</v>
      </c>
      <c r="I294" s="2" t="s">
        <v>939</v>
      </c>
      <c r="J294" s="2" t="s">
        <v>40</v>
      </c>
    </row>
    <row r="295" spans="1:10" x14ac:dyDescent="0.3">
      <c r="A295" s="2" t="s">
        <v>85</v>
      </c>
      <c r="B295" s="2" t="s">
        <v>83</v>
      </c>
      <c r="C295" s="2">
        <v>18130</v>
      </c>
      <c r="D295" s="2">
        <v>27144</v>
      </c>
      <c r="E295" s="3">
        <v>44547</v>
      </c>
      <c r="F295" s="3">
        <v>44793</v>
      </c>
      <c r="G295" s="4">
        <v>11697.1</v>
      </c>
      <c r="H295" s="2">
        <v>0</v>
      </c>
      <c r="I295" s="2" t="s">
        <v>158</v>
      </c>
      <c r="J295" s="2" t="s">
        <v>40</v>
      </c>
    </row>
    <row r="296" spans="1:10" x14ac:dyDescent="0.3">
      <c r="A296" s="2" t="s">
        <v>37</v>
      </c>
      <c r="B296" s="2" t="s">
        <v>38</v>
      </c>
      <c r="C296" s="2">
        <v>18391</v>
      </c>
      <c r="D296" s="2">
        <v>27399</v>
      </c>
      <c r="E296" s="3">
        <v>44575</v>
      </c>
      <c r="F296" s="3">
        <v>44793</v>
      </c>
      <c r="G296" s="4">
        <v>5972.52</v>
      </c>
      <c r="H296" s="2">
        <v>0</v>
      </c>
      <c r="I296" s="2" t="s">
        <v>1013</v>
      </c>
      <c r="J296" s="2" t="s">
        <v>40</v>
      </c>
    </row>
    <row r="297" spans="1:10" x14ac:dyDescent="0.3">
      <c r="A297" s="2" t="s">
        <v>85</v>
      </c>
      <c r="B297" s="2" t="s">
        <v>83</v>
      </c>
      <c r="C297" s="2">
        <v>18501</v>
      </c>
      <c r="D297" s="2">
        <v>27499</v>
      </c>
      <c r="E297" s="3">
        <v>44582</v>
      </c>
      <c r="F297" s="3">
        <v>44793</v>
      </c>
      <c r="G297" s="4">
        <v>51408</v>
      </c>
      <c r="H297" s="2">
        <v>0</v>
      </c>
      <c r="I297" s="2" t="s">
        <v>1036</v>
      </c>
      <c r="J297" s="2" t="s">
        <v>40</v>
      </c>
    </row>
    <row r="298" spans="1:10" x14ac:dyDescent="0.3">
      <c r="A298" s="2" t="s">
        <v>140</v>
      </c>
      <c r="B298" s="2" t="s">
        <v>141</v>
      </c>
      <c r="C298" s="2">
        <v>18499</v>
      </c>
      <c r="D298" s="2">
        <v>27497</v>
      </c>
      <c r="E298" s="3">
        <v>44582</v>
      </c>
      <c r="F298" s="3">
        <v>44793</v>
      </c>
      <c r="G298" s="4">
        <v>33851.4</v>
      </c>
      <c r="H298" s="2">
        <v>0</v>
      </c>
      <c r="I298" s="2" t="s">
        <v>1050</v>
      </c>
      <c r="J298" s="2" t="s">
        <v>40</v>
      </c>
    </row>
    <row r="299" spans="1:10" x14ac:dyDescent="0.3">
      <c r="A299" s="2" t="s">
        <v>82</v>
      </c>
      <c r="B299" s="2" t="s">
        <v>83</v>
      </c>
      <c r="C299" s="2">
        <v>18274</v>
      </c>
      <c r="D299" s="2">
        <v>27284</v>
      </c>
      <c r="E299" s="3">
        <v>44566</v>
      </c>
      <c r="F299" s="3">
        <v>44793</v>
      </c>
      <c r="G299" s="4">
        <v>19263.13</v>
      </c>
      <c r="H299" s="2">
        <v>0</v>
      </c>
      <c r="I299" s="2" t="s">
        <v>1148</v>
      </c>
      <c r="J299" s="2" t="s">
        <v>40</v>
      </c>
    </row>
    <row r="300" spans="1:10" x14ac:dyDescent="0.3">
      <c r="A300" s="2" t="s">
        <v>140</v>
      </c>
      <c r="B300" s="2" t="s">
        <v>141</v>
      </c>
      <c r="C300" s="2">
        <v>18791</v>
      </c>
      <c r="D300" s="2">
        <v>27812</v>
      </c>
      <c r="E300" s="3">
        <v>44614</v>
      </c>
      <c r="F300" s="3">
        <v>44794</v>
      </c>
      <c r="G300" s="4">
        <v>72398</v>
      </c>
      <c r="H300" s="2">
        <v>0</v>
      </c>
      <c r="I300" s="2" t="s">
        <v>142</v>
      </c>
      <c r="J300" s="2" t="s">
        <v>40</v>
      </c>
    </row>
    <row r="301" spans="1:10" x14ac:dyDescent="0.3">
      <c r="A301" s="2" t="s">
        <v>48</v>
      </c>
      <c r="B301" s="2" t="s">
        <v>49</v>
      </c>
      <c r="C301" s="2">
        <v>18792</v>
      </c>
      <c r="D301" s="2">
        <v>27813</v>
      </c>
      <c r="E301" s="3">
        <v>44614</v>
      </c>
      <c r="F301" s="3">
        <v>44794</v>
      </c>
      <c r="G301" s="4">
        <v>54000</v>
      </c>
      <c r="H301" s="2">
        <v>0</v>
      </c>
      <c r="I301" s="2" t="s">
        <v>319</v>
      </c>
      <c r="J301" s="2" t="s">
        <v>40</v>
      </c>
    </row>
    <row r="302" spans="1:10" x14ac:dyDescent="0.3">
      <c r="A302" s="2" t="s">
        <v>82</v>
      </c>
      <c r="B302" s="2" t="s">
        <v>83</v>
      </c>
      <c r="C302" s="2">
        <v>18787</v>
      </c>
      <c r="D302" s="2">
        <v>27807</v>
      </c>
      <c r="E302" s="3">
        <v>44614</v>
      </c>
      <c r="F302" s="3">
        <v>44794</v>
      </c>
      <c r="G302" s="4">
        <v>27000</v>
      </c>
      <c r="H302" s="2">
        <v>0</v>
      </c>
      <c r="I302" s="2" t="s">
        <v>403</v>
      </c>
      <c r="J302" s="2" t="s">
        <v>40</v>
      </c>
    </row>
    <row r="303" spans="1:10" x14ac:dyDescent="0.3">
      <c r="A303" s="2" t="s">
        <v>25</v>
      </c>
      <c r="B303" s="2" t="s">
        <v>26</v>
      </c>
      <c r="C303" s="2">
        <v>19625</v>
      </c>
      <c r="D303" s="2">
        <v>28694</v>
      </c>
      <c r="E303" s="3">
        <v>44704</v>
      </c>
      <c r="F303" s="3">
        <v>44794</v>
      </c>
      <c r="G303" s="4">
        <v>65000</v>
      </c>
      <c r="H303" s="2">
        <v>0</v>
      </c>
      <c r="I303" s="2" t="s">
        <v>326</v>
      </c>
      <c r="J303" s="2" t="s">
        <v>28</v>
      </c>
    </row>
    <row r="304" spans="1:10" x14ac:dyDescent="0.3">
      <c r="A304" s="2" t="s">
        <v>48</v>
      </c>
      <c r="B304" s="2" t="s">
        <v>49</v>
      </c>
      <c r="C304" s="2">
        <v>19046</v>
      </c>
      <c r="D304" s="2">
        <v>28063</v>
      </c>
      <c r="E304" s="3">
        <v>44644</v>
      </c>
      <c r="F304" s="3">
        <v>44794</v>
      </c>
      <c r="G304" s="4">
        <v>54000</v>
      </c>
      <c r="H304" s="2">
        <v>0</v>
      </c>
      <c r="I304" s="2" t="s">
        <v>461</v>
      </c>
      <c r="J304" s="2" t="s">
        <v>40</v>
      </c>
    </row>
    <row r="305" spans="1:10" x14ac:dyDescent="0.3">
      <c r="A305" s="2" t="s">
        <v>25</v>
      </c>
      <c r="B305" s="2" t="s">
        <v>26</v>
      </c>
      <c r="C305" s="2">
        <v>19045</v>
      </c>
      <c r="D305" s="2">
        <v>28062</v>
      </c>
      <c r="E305" s="3">
        <v>44644</v>
      </c>
      <c r="F305" s="3">
        <v>44794</v>
      </c>
      <c r="G305" s="4">
        <v>103500</v>
      </c>
      <c r="H305" s="2">
        <v>0</v>
      </c>
      <c r="I305" s="2" t="s">
        <v>517</v>
      </c>
      <c r="J305" s="2" t="s">
        <v>28</v>
      </c>
    </row>
    <row r="306" spans="1:10" x14ac:dyDescent="0.3">
      <c r="A306" s="2" t="s">
        <v>630</v>
      </c>
      <c r="B306" s="2" t="s">
        <v>631</v>
      </c>
      <c r="C306" s="2">
        <v>19621</v>
      </c>
      <c r="D306" s="2">
        <v>28690</v>
      </c>
      <c r="E306" s="3">
        <v>44704</v>
      </c>
      <c r="F306" s="3">
        <v>44794</v>
      </c>
      <c r="G306" s="4">
        <v>36137.5</v>
      </c>
      <c r="H306" s="2">
        <v>0</v>
      </c>
      <c r="I306" s="2" t="s">
        <v>632</v>
      </c>
      <c r="J306" s="2" t="s">
        <v>32</v>
      </c>
    </row>
    <row r="307" spans="1:10" x14ac:dyDescent="0.3">
      <c r="A307" s="2" t="s">
        <v>187</v>
      </c>
      <c r="B307" s="2" t="s">
        <v>188</v>
      </c>
      <c r="C307" s="2">
        <v>18785</v>
      </c>
      <c r="D307" s="2">
        <v>27805</v>
      </c>
      <c r="E307" s="3">
        <v>44614</v>
      </c>
      <c r="F307" s="3">
        <v>44794</v>
      </c>
      <c r="G307" s="4">
        <v>61215</v>
      </c>
      <c r="H307" s="2">
        <v>0</v>
      </c>
      <c r="I307" s="2" t="s">
        <v>705</v>
      </c>
      <c r="J307" s="2" t="s">
        <v>40</v>
      </c>
    </row>
    <row r="308" spans="1:10" x14ac:dyDescent="0.3">
      <c r="A308" s="2" t="s">
        <v>25</v>
      </c>
      <c r="B308" s="2" t="s">
        <v>26</v>
      </c>
      <c r="C308" s="2">
        <v>18817</v>
      </c>
      <c r="D308" s="2">
        <v>27840</v>
      </c>
      <c r="E308" s="3">
        <v>44615</v>
      </c>
      <c r="F308" s="3">
        <v>44795</v>
      </c>
      <c r="G308" s="4">
        <v>12475</v>
      </c>
      <c r="H308" s="2">
        <v>0</v>
      </c>
      <c r="I308" s="2" t="s">
        <v>27</v>
      </c>
      <c r="J308" s="2" t="s">
        <v>28</v>
      </c>
    </row>
    <row r="309" spans="1:10" x14ac:dyDescent="0.3">
      <c r="A309" s="2" t="s">
        <v>21</v>
      </c>
      <c r="B309" s="2" t="s">
        <v>22</v>
      </c>
      <c r="C309" s="2">
        <v>18812</v>
      </c>
      <c r="D309" s="2">
        <v>27835</v>
      </c>
      <c r="E309" s="3">
        <v>44615</v>
      </c>
      <c r="F309" s="3">
        <v>44795</v>
      </c>
      <c r="G309" s="4">
        <v>2773.34</v>
      </c>
      <c r="H309" s="2">
        <v>0</v>
      </c>
      <c r="I309" s="2" t="s">
        <v>176</v>
      </c>
      <c r="J309" s="2" t="s">
        <v>24</v>
      </c>
    </row>
    <row r="310" spans="1:10" x14ac:dyDescent="0.3">
      <c r="A310" s="2" t="s">
        <v>25</v>
      </c>
      <c r="B310" s="2" t="s">
        <v>26</v>
      </c>
      <c r="C310" s="2">
        <v>19058</v>
      </c>
      <c r="D310" s="2">
        <v>28075</v>
      </c>
      <c r="E310" s="3">
        <v>44645</v>
      </c>
      <c r="F310" s="3">
        <v>44795</v>
      </c>
      <c r="G310" s="4">
        <v>86500</v>
      </c>
      <c r="H310" s="2">
        <v>0</v>
      </c>
      <c r="I310" s="2" t="s">
        <v>322</v>
      </c>
      <c r="J310" s="2" t="s">
        <v>28</v>
      </c>
    </row>
    <row r="311" spans="1:10" x14ac:dyDescent="0.3">
      <c r="A311" s="2" t="s">
        <v>170</v>
      </c>
      <c r="B311" s="2" t="s">
        <v>171</v>
      </c>
      <c r="C311" s="2">
        <v>19634</v>
      </c>
      <c r="D311" s="2">
        <v>28704</v>
      </c>
      <c r="E311" s="3">
        <v>44705</v>
      </c>
      <c r="F311" s="3">
        <v>44795</v>
      </c>
      <c r="G311" s="4">
        <v>26860</v>
      </c>
      <c r="H311" s="2">
        <v>0</v>
      </c>
      <c r="I311" s="2" t="s">
        <v>435</v>
      </c>
      <c r="J311" s="2" t="s">
        <v>173</v>
      </c>
    </row>
    <row r="312" spans="1:10" x14ac:dyDescent="0.3">
      <c r="A312" s="2" t="s">
        <v>53</v>
      </c>
      <c r="B312" s="2" t="s">
        <v>54</v>
      </c>
      <c r="C312" s="2">
        <v>19632</v>
      </c>
      <c r="D312" s="2">
        <v>28702</v>
      </c>
      <c r="E312" s="3">
        <v>44705</v>
      </c>
      <c r="F312" s="3">
        <v>44795</v>
      </c>
      <c r="G312" s="4">
        <v>62400</v>
      </c>
      <c r="H312" s="2">
        <v>0</v>
      </c>
      <c r="I312" s="2" t="s">
        <v>124</v>
      </c>
      <c r="J312" s="2" t="s">
        <v>56</v>
      </c>
    </row>
    <row r="313" spans="1:10" x14ac:dyDescent="0.3">
      <c r="A313" s="2" t="s">
        <v>85</v>
      </c>
      <c r="B313" s="2" t="s">
        <v>83</v>
      </c>
      <c r="C313" s="2">
        <v>19060</v>
      </c>
      <c r="D313" s="2">
        <v>28077</v>
      </c>
      <c r="E313" s="3">
        <v>44645</v>
      </c>
      <c r="F313" s="3">
        <v>44795</v>
      </c>
      <c r="G313" s="4">
        <v>60000</v>
      </c>
      <c r="H313" s="2">
        <v>0</v>
      </c>
      <c r="I313" s="2" t="s">
        <v>598</v>
      </c>
      <c r="J313" s="2" t="s">
        <v>40</v>
      </c>
    </row>
    <row r="314" spans="1:10" x14ac:dyDescent="0.3">
      <c r="A314" s="2" t="s">
        <v>73</v>
      </c>
      <c r="B314" s="2" t="s">
        <v>74</v>
      </c>
      <c r="C314" s="2">
        <v>18821</v>
      </c>
      <c r="D314" s="2">
        <v>27844</v>
      </c>
      <c r="E314" s="3">
        <v>44615</v>
      </c>
      <c r="F314" s="3">
        <v>44795</v>
      </c>
      <c r="G314" s="4">
        <v>6939.74</v>
      </c>
      <c r="H314" s="2">
        <v>0</v>
      </c>
      <c r="I314" s="2" t="s">
        <v>657</v>
      </c>
      <c r="J314" s="2" t="s">
        <v>28</v>
      </c>
    </row>
    <row r="315" spans="1:10" x14ac:dyDescent="0.3">
      <c r="A315" s="2" t="s">
        <v>48</v>
      </c>
      <c r="B315" s="2" t="s">
        <v>49</v>
      </c>
      <c r="C315" s="2">
        <v>18815</v>
      </c>
      <c r="D315" s="2">
        <v>27838</v>
      </c>
      <c r="E315" s="3">
        <v>44615</v>
      </c>
      <c r="F315" s="3">
        <v>44795</v>
      </c>
      <c r="G315" s="4">
        <v>54000</v>
      </c>
      <c r="H315" s="2">
        <v>0</v>
      </c>
      <c r="I315" s="2" t="s">
        <v>752</v>
      </c>
      <c r="J315" s="2" t="s">
        <v>40</v>
      </c>
    </row>
    <row r="316" spans="1:10" x14ac:dyDescent="0.3">
      <c r="A316" s="2" t="s">
        <v>25</v>
      </c>
      <c r="B316" s="2" t="s">
        <v>26</v>
      </c>
      <c r="C316" s="2">
        <v>18816</v>
      </c>
      <c r="D316" s="2">
        <v>27839</v>
      </c>
      <c r="E316" s="3">
        <v>44615</v>
      </c>
      <c r="F316" s="3">
        <v>44795</v>
      </c>
      <c r="G316" s="4">
        <v>74850</v>
      </c>
      <c r="H316" s="2">
        <v>0</v>
      </c>
      <c r="I316" s="2" t="s">
        <v>928</v>
      </c>
      <c r="J316" s="2" t="s">
        <v>28</v>
      </c>
    </row>
    <row r="317" spans="1:10" x14ac:dyDescent="0.3">
      <c r="A317" s="2" t="s">
        <v>1004</v>
      </c>
      <c r="B317" s="2" t="s">
        <v>1005</v>
      </c>
      <c r="C317" s="2">
        <v>19633</v>
      </c>
      <c r="D317" s="2">
        <v>28703</v>
      </c>
      <c r="E317" s="3">
        <v>44705</v>
      </c>
      <c r="F317" s="3">
        <v>44795</v>
      </c>
      <c r="G317" s="4">
        <v>80580</v>
      </c>
      <c r="H317" s="2">
        <v>0</v>
      </c>
      <c r="I317" s="2" t="s">
        <v>1006</v>
      </c>
      <c r="J317" s="2" t="s">
        <v>173</v>
      </c>
    </row>
    <row r="318" spans="1:10" x14ac:dyDescent="0.3">
      <c r="A318" s="2" t="s">
        <v>25</v>
      </c>
      <c r="B318" s="2" t="s">
        <v>26</v>
      </c>
      <c r="C318" s="2">
        <v>19055</v>
      </c>
      <c r="D318" s="2">
        <v>28073</v>
      </c>
      <c r="E318" s="3">
        <v>44645</v>
      </c>
      <c r="F318" s="3">
        <v>44795</v>
      </c>
      <c r="G318" s="4">
        <v>28666.639999999999</v>
      </c>
      <c r="H318" s="2">
        <v>0</v>
      </c>
      <c r="I318" s="2" t="s">
        <v>1024</v>
      </c>
      <c r="J318" s="2" t="s">
        <v>28</v>
      </c>
    </row>
    <row r="319" spans="1:10" x14ac:dyDescent="0.3">
      <c r="A319" s="2" t="s">
        <v>48</v>
      </c>
      <c r="B319" s="2" t="s">
        <v>49</v>
      </c>
      <c r="C319" s="2">
        <v>19660</v>
      </c>
      <c r="D319" s="2">
        <v>28727</v>
      </c>
      <c r="E319" s="3">
        <v>44706</v>
      </c>
      <c r="F319" s="3">
        <v>44796</v>
      </c>
      <c r="G319" s="4">
        <v>16714.98</v>
      </c>
      <c r="H319" s="2">
        <v>0</v>
      </c>
      <c r="I319" s="2" t="s">
        <v>50</v>
      </c>
      <c r="J319" s="2" t="s">
        <v>40</v>
      </c>
    </row>
    <row r="320" spans="1:10" x14ac:dyDescent="0.3">
      <c r="A320" s="2" t="s">
        <v>48</v>
      </c>
      <c r="B320" s="2" t="s">
        <v>49</v>
      </c>
      <c r="C320" s="2">
        <v>19661</v>
      </c>
      <c r="D320" s="2">
        <v>28728</v>
      </c>
      <c r="E320" s="3">
        <v>44706</v>
      </c>
      <c r="F320" s="3">
        <v>44796</v>
      </c>
      <c r="G320" s="4">
        <v>22479.98</v>
      </c>
      <c r="H320" s="2">
        <v>0</v>
      </c>
      <c r="I320" s="2" t="s">
        <v>267</v>
      </c>
      <c r="J320" s="2" t="s">
        <v>40</v>
      </c>
    </row>
    <row r="321" spans="1:10" x14ac:dyDescent="0.3">
      <c r="A321" s="2" t="s">
        <v>390</v>
      </c>
      <c r="B321" s="2" t="s">
        <v>391</v>
      </c>
      <c r="C321" s="2">
        <v>19816</v>
      </c>
      <c r="D321" s="2">
        <v>28880</v>
      </c>
      <c r="E321" s="3">
        <v>44736</v>
      </c>
      <c r="F321" s="3">
        <v>44796</v>
      </c>
      <c r="G321" s="4">
        <v>119000</v>
      </c>
      <c r="H321" s="2">
        <v>0</v>
      </c>
      <c r="I321" s="2" t="s">
        <v>392</v>
      </c>
      <c r="J321" s="2" t="s">
        <v>132</v>
      </c>
    </row>
    <row r="322" spans="1:10" x14ac:dyDescent="0.3">
      <c r="A322" s="2" t="s">
        <v>384</v>
      </c>
      <c r="B322" s="2" t="s">
        <v>385</v>
      </c>
      <c r="C322" s="2">
        <v>19351</v>
      </c>
      <c r="D322" s="2">
        <v>28395</v>
      </c>
      <c r="E322" s="3">
        <v>44676</v>
      </c>
      <c r="F322" s="3">
        <v>44796</v>
      </c>
      <c r="G322" s="4">
        <v>8260</v>
      </c>
      <c r="H322" s="2">
        <v>0</v>
      </c>
      <c r="I322" s="2" t="s">
        <v>601</v>
      </c>
      <c r="J322" s="2" t="s">
        <v>173</v>
      </c>
    </row>
    <row r="323" spans="1:10" x14ac:dyDescent="0.3">
      <c r="A323" s="2" t="s">
        <v>48</v>
      </c>
      <c r="B323" s="2" t="s">
        <v>49</v>
      </c>
      <c r="C323" s="2">
        <v>18842</v>
      </c>
      <c r="D323" s="2">
        <v>27862</v>
      </c>
      <c r="E323" s="3">
        <v>44616</v>
      </c>
      <c r="F323" s="3">
        <v>44796</v>
      </c>
      <c r="G323" s="4">
        <v>54000</v>
      </c>
      <c r="H323" s="2">
        <v>0</v>
      </c>
      <c r="I323" s="2" t="s">
        <v>1110</v>
      </c>
      <c r="J323" s="2" t="s">
        <v>40</v>
      </c>
    </row>
    <row r="324" spans="1:10" x14ac:dyDescent="0.3">
      <c r="A324" s="2" t="s">
        <v>384</v>
      </c>
      <c r="B324" s="2" t="s">
        <v>385</v>
      </c>
      <c r="C324" s="2">
        <v>19352</v>
      </c>
      <c r="D324" s="2">
        <v>28396</v>
      </c>
      <c r="E324" s="3">
        <v>44676</v>
      </c>
      <c r="F324" s="3">
        <v>44796</v>
      </c>
      <c r="G324" s="4">
        <v>4581</v>
      </c>
      <c r="H324" s="2">
        <v>0</v>
      </c>
      <c r="I324" s="2" t="s">
        <v>1125</v>
      </c>
      <c r="J324" s="2" t="s">
        <v>173</v>
      </c>
    </row>
    <row r="325" spans="1:10" x14ac:dyDescent="0.3">
      <c r="A325" s="2" t="s">
        <v>264</v>
      </c>
      <c r="B325" s="2" t="s">
        <v>265</v>
      </c>
      <c r="C325" s="2">
        <v>19342</v>
      </c>
      <c r="D325" s="2">
        <v>28386</v>
      </c>
      <c r="E325" s="3">
        <v>44676</v>
      </c>
      <c r="F325" s="3">
        <v>44796</v>
      </c>
      <c r="G325" s="4">
        <v>5000</v>
      </c>
      <c r="H325" s="2">
        <v>0</v>
      </c>
      <c r="I325" s="2" t="s">
        <v>795</v>
      </c>
      <c r="J325" s="2" t="s">
        <v>24</v>
      </c>
    </row>
    <row r="326" spans="1:10" x14ac:dyDescent="0.3">
      <c r="A326" s="2" t="s">
        <v>53</v>
      </c>
      <c r="B326" s="2" t="s">
        <v>54</v>
      </c>
      <c r="C326" s="2">
        <v>19760</v>
      </c>
      <c r="D326" s="2">
        <v>28821</v>
      </c>
      <c r="E326" s="3">
        <v>44722</v>
      </c>
      <c r="F326" s="3">
        <v>44797</v>
      </c>
      <c r="G326" s="4">
        <v>39721.379999999997</v>
      </c>
      <c r="H326" s="2">
        <v>0</v>
      </c>
      <c r="I326" s="2" t="s">
        <v>55</v>
      </c>
      <c r="J326" s="2" t="s">
        <v>56</v>
      </c>
    </row>
    <row r="327" spans="1:10" x14ac:dyDescent="0.3">
      <c r="A327" s="2" t="s">
        <v>37</v>
      </c>
      <c r="B327" s="2" t="s">
        <v>38</v>
      </c>
      <c r="C327" s="2">
        <v>19359</v>
      </c>
      <c r="D327" s="2">
        <v>28403</v>
      </c>
      <c r="E327" s="3">
        <v>44677</v>
      </c>
      <c r="F327" s="3">
        <v>44797</v>
      </c>
      <c r="G327" s="4">
        <v>89932.5</v>
      </c>
      <c r="H327" s="2">
        <v>0</v>
      </c>
      <c r="I327" s="2" t="s">
        <v>153</v>
      </c>
      <c r="J327" s="2" t="s">
        <v>40</v>
      </c>
    </row>
    <row r="328" spans="1:10" x14ac:dyDescent="0.3">
      <c r="A328" s="2" t="s">
        <v>53</v>
      </c>
      <c r="B328" s="2" t="s">
        <v>54</v>
      </c>
      <c r="C328" s="2">
        <v>19759</v>
      </c>
      <c r="D328" s="2">
        <v>28820</v>
      </c>
      <c r="E328" s="3">
        <v>44722</v>
      </c>
      <c r="F328" s="3">
        <v>44797</v>
      </c>
      <c r="G328" s="4">
        <v>18583.48</v>
      </c>
      <c r="H328" s="2">
        <v>0</v>
      </c>
      <c r="I328" s="2" t="s">
        <v>160</v>
      </c>
      <c r="J328" s="2" t="s">
        <v>56</v>
      </c>
    </row>
    <row r="329" spans="1:10" x14ac:dyDescent="0.3">
      <c r="A329" s="2" t="s">
        <v>136</v>
      </c>
      <c r="B329" s="2" t="s">
        <v>137</v>
      </c>
      <c r="C329" s="2">
        <v>19667</v>
      </c>
      <c r="D329" s="2">
        <v>28735</v>
      </c>
      <c r="E329" s="3">
        <v>44707</v>
      </c>
      <c r="F329" s="3">
        <v>44797</v>
      </c>
      <c r="G329" s="4">
        <v>8830</v>
      </c>
      <c r="H329" s="2">
        <v>0</v>
      </c>
      <c r="I329" s="2" t="s">
        <v>215</v>
      </c>
      <c r="J329" s="2" t="s">
        <v>81</v>
      </c>
    </row>
    <row r="330" spans="1:10" x14ac:dyDescent="0.3">
      <c r="A330" s="2" t="s">
        <v>664</v>
      </c>
      <c r="B330" s="2" t="s">
        <v>665</v>
      </c>
      <c r="C330" s="2">
        <v>19357</v>
      </c>
      <c r="D330" s="2">
        <v>28401</v>
      </c>
      <c r="E330" s="3">
        <v>44677</v>
      </c>
      <c r="F330" s="3">
        <v>44797</v>
      </c>
      <c r="G330" s="4">
        <v>102030</v>
      </c>
      <c r="H330" s="2">
        <v>0</v>
      </c>
      <c r="I330" s="2" t="s">
        <v>666</v>
      </c>
      <c r="J330" s="2" t="s">
        <v>20</v>
      </c>
    </row>
    <row r="331" spans="1:10" x14ac:dyDescent="0.3">
      <c r="A331" s="2" t="s">
        <v>48</v>
      </c>
      <c r="B331" s="2" t="s">
        <v>49</v>
      </c>
      <c r="C331" s="2">
        <v>18849</v>
      </c>
      <c r="D331" s="2">
        <v>27870</v>
      </c>
      <c r="E331" s="3">
        <v>44617</v>
      </c>
      <c r="F331" s="3">
        <v>44797</v>
      </c>
      <c r="G331" s="4">
        <v>54000</v>
      </c>
      <c r="H331" s="2">
        <v>0</v>
      </c>
      <c r="I331" s="2" t="s">
        <v>753</v>
      </c>
      <c r="J331" s="2" t="s">
        <v>40</v>
      </c>
    </row>
    <row r="332" spans="1:10" x14ac:dyDescent="0.3">
      <c r="A332" s="2" t="s">
        <v>824</v>
      </c>
      <c r="B332" s="2" t="s">
        <v>825</v>
      </c>
      <c r="C332" s="2">
        <v>19243</v>
      </c>
      <c r="D332" s="2">
        <v>28267</v>
      </c>
      <c r="E332" s="3">
        <v>44662</v>
      </c>
      <c r="F332" s="3">
        <v>44797</v>
      </c>
      <c r="G332" s="4">
        <v>27291.79</v>
      </c>
      <c r="H332" s="2">
        <v>0</v>
      </c>
      <c r="I332" s="2" t="s">
        <v>826</v>
      </c>
      <c r="J332" s="2" t="s">
        <v>36</v>
      </c>
    </row>
    <row r="333" spans="1:10" x14ac:dyDescent="0.3">
      <c r="A333" s="2" t="s">
        <v>906</v>
      </c>
      <c r="B333" s="2" t="s">
        <v>907</v>
      </c>
      <c r="C333" s="2">
        <v>19670</v>
      </c>
      <c r="D333" s="2">
        <v>28738</v>
      </c>
      <c r="E333" s="3">
        <v>44707</v>
      </c>
      <c r="F333" s="3">
        <v>44797</v>
      </c>
      <c r="G333" s="4">
        <v>9573.19</v>
      </c>
      <c r="H333" s="2">
        <v>0</v>
      </c>
      <c r="I333" s="2" t="s">
        <v>908</v>
      </c>
      <c r="J333" s="2" t="s">
        <v>173</v>
      </c>
    </row>
    <row r="334" spans="1:10" x14ac:dyDescent="0.3">
      <c r="A334" s="2" t="s">
        <v>664</v>
      </c>
      <c r="B334" s="2" t="s">
        <v>665</v>
      </c>
      <c r="C334" s="2">
        <v>19356</v>
      </c>
      <c r="D334" s="2">
        <v>28400</v>
      </c>
      <c r="E334" s="3">
        <v>44677</v>
      </c>
      <c r="F334" s="3">
        <v>44797</v>
      </c>
      <c r="G334" s="4">
        <v>44891.5</v>
      </c>
      <c r="H334" s="2">
        <v>0</v>
      </c>
      <c r="I334" s="2" t="s">
        <v>1101</v>
      </c>
      <c r="J334" s="2" t="s">
        <v>20</v>
      </c>
    </row>
    <row r="335" spans="1:10" x14ac:dyDescent="0.3">
      <c r="A335" s="2" t="s">
        <v>114</v>
      </c>
      <c r="B335" s="2" t="s">
        <v>115</v>
      </c>
      <c r="C335" s="2">
        <v>19396</v>
      </c>
      <c r="D335" s="2">
        <v>28437</v>
      </c>
      <c r="E335" s="3">
        <v>44678</v>
      </c>
      <c r="F335" s="3">
        <v>44798</v>
      </c>
      <c r="G335" s="4">
        <v>13200</v>
      </c>
      <c r="H335" s="2">
        <v>0</v>
      </c>
      <c r="I335" s="2" t="s">
        <v>116</v>
      </c>
      <c r="J335" s="2" t="s">
        <v>28</v>
      </c>
    </row>
    <row r="336" spans="1:10" x14ac:dyDescent="0.3">
      <c r="A336" s="2" t="s">
        <v>68</v>
      </c>
      <c r="B336" s="2" t="s">
        <v>69</v>
      </c>
      <c r="C336" s="2">
        <v>19410</v>
      </c>
      <c r="D336" s="2">
        <v>28449</v>
      </c>
      <c r="E336" s="3">
        <v>44678</v>
      </c>
      <c r="F336" s="3">
        <v>44798</v>
      </c>
      <c r="G336" s="4">
        <v>229267.5</v>
      </c>
      <c r="H336" s="2">
        <v>0</v>
      </c>
      <c r="I336" s="2" t="s">
        <v>212</v>
      </c>
      <c r="J336" s="2" t="s">
        <v>40</v>
      </c>
    </row>
    <row r="337" spans="1:10" x14ac:dyDescent="0.3">
      <c r="A337" s="2" t="s">
        <v>21</v>
      </c>
      <c r="B337" s="2" t="s">
        <v>22</v>
      </c>
      <c r="C337" s="2">
        <v>19075</v>
      </c>
      <c r="D337" s="2">
        <v>28094</v>
      </c>
      <c r="E337" s="3">
        <v>44648</v>
      </c>
      <c r="F337" s="3">
        <v>44798</v>
      </c>
      <c r="G337" s="4">
        <v>8446.68</v>
      </c>
      <c r="H337" s="2">
        <v>0</v>
      </c>
      <c r="I337" s="2" t="s">
        <v>233</v>
      </c>
      <c r="J337" s="2" t="s">
        <v>24</v>
      </c>
    </row>
    <row r="338" spans="1:10" x14ac:dyDescent="0.3">
      <c r="A338" s="2" t="s">
        <v>237</v>
      </c>
      <c r="B338" s="2" t="s">
        <v>238</v>
      </c>
      <c r="C338" s="2">
        <v>19375</v>
      </c>
      <c r="D338" s="2">
        <v>28418</v>
      </c>
      <c r="E338" s="3">
        <v>44678</v>
      </c>
      <c r="F338" s="3">
        <v>44798</v>
      </c>
      <c r="G338" s="4">
        <v>5167.49</v>
      </c>
      <c r="H338" s="2">
        <v>0</v>
      </c>
      <c r="I338" s="2" t="s">
        <v>239</v>
      </c>
      <c r="J338" s="2" t="s">
        <v>157</v>
      </c>
    </row>
    <row r="339" spans="1:10" x14ac:dyDescent="0.3">
      <c r="A339" s="2" t="s">
        <v>48</v>
      </c>
      <c r="B339" s="2" t="s">
        <v>49</v>
      </c>
      <c r="C339" s="2">
        <v>19081</v>
      </c>
      <c r="D339" s="2">
        <v>28101</v>
      </c>
      <c r="E339" s="3">
        <v>44648</v>
      </c>
      <c r="F339" s="3">
        <v>44798</v>
      </c>
      <c r="G339" s="4">
        <v>54000</v>
      </c>
      <c r="H339" s="2">
        <v>0</v>
      </c>
      <c r="I339" s="2" t="s">
        <v>291</v>
      </c>
      <c r="J339" s="2" t="s">
        <v>40</v>
      </c>
    </row>
    <row r="340" spans="1:10" x14ac:dyDescent="0.3">
      <c r="A340" s="2" t="s">
        <v>78</v>
      </c>
      <c r="B340" s="2" t="s">
        <v>79</v>
      </c>
      <c r="C340" s="2">
        <v>19388</v>
      </c>
      <c r="D340" s="2">
        <v>28429</v>
      </c>
      <c r="E340" s="3">
        <v>44678</v>
      </c>
      <c r="F340" s="3">
        <v>44798</v>
      </c>
      <c r="G340" s="4">
        <v>182431.65</v>
      </c>
      <c r="H340" s="2">
        <v>0</v>
      </c>
      <c r="I340" s="2" t="s">
        <v>408</v>
      </c>
      <c r="J340" s="2" t="s">
        <v>81</v>
      </c>
    </row>
    <row r="341" spans="1:10" x14ac:dyDescent="0.3">
      <c r="A341" s="2" t="s">
        <v>21</v>
      </c>
      <c r="B341" s="2" t="s">
        <v>22</v>
      </c>
      <c r="C341" s="2">
        <v>19074</v>
      </c>
      <c r="D341" s="2">
        <v>28093</v>
      </c>
      <c r="E341" s="3">
        <v>44648</v>
      </c>
      <c r="F341" s="3">
        <v>44798</v>
      </c>
      <c r="G341" s="4">
        <v>11880</v>
      </c>
      <c r="H341" s="2">
        <v>0</v>
      </c>
      <c r="I341" s="2" t="s">
        <v>429</v>
      </c>
      <c r="J341" s="2" t="s">
        <v>24</v>
      </c>
    </row>
    <row r="342" spans="1:10" x14ac:dyDescent="0.3">
      <c r="A342" s="2" t="s">
        <v>82</v>
      </c>
      <c r="B342" s="2" t="s">
        <v>83</v>
      </c>
      <c r="C342" s="2">
        <v>19079</v>
      </c>
      <c r="D342" s="2">
        <v>28099</v>
      </c>
      <c r="E342" s="3">
        <v>44648</v>
      </c>
      <c r="F342" s="3">
        <v>44798</v>
      </c>
      <c r="G342" s="4">
        <v>60000</v>
      </c>
      <c r="H342" s="2">
        <v>0</v>
      </c>
      <c r="I342" s="2" t="s">
        <v>444</v>
      </c>
      <c r="J342" s="2" t="s">
        <v>40</v>
      </c>
    </row>
    <row r="343" spans="1:10" x14ac:dyDescent="0.3">
      <c r="A343" s="2" t="s">
        <v>382</v>
      </c>
      <c r="B343" s="2" t="s">
        <v>383</v>
      </c>
      <c r="C343" s="2">
        <v>19090</v>
      </c>
      <c r="D343" s="2">
        <v>28109</v>
      </c>
      <c r="E343" s="3">
        <v>44648</v>
      </c>
      <c r="F343" s="3">
        <v>44798</v>
      </c>
      <c r="G343" s="4">
        <v>145716.79999999999</v>
      </c>
      <c r="H343" s="2">
        <v>0</v>
      </c>
      <c r="I343" s="2" t="s">
        <v>581</v>
      </c>
      <c r="J343" s="2" t="s">
        <v>112</v>
      </c>
    </row>
    <row r="344" spans="1:10" x14ac:dyDescent="0.3">
      <c r="A344" s="2" t="s">
        <v>85</v>
      </c>
      <c r="B344" s="2" t="s">
        <v>83</v>
      </c>
      <c r="C344" s="2">
        <v>19080</v>
      </c>
      <c r="D344" s="2">
        <v>28100</v>
      </c>
      <c r="E344" s="3">
        <v>44648</v>
      </c>
      <c r="F344" s="3">
        <v>44798</v>
      </c>
      <c r="G344" s="4">
        <v>60000</v>
      </c>
      <c r="H344" s="2">
        <v>0</v>
      </c>
      <c r="I344" s="2" t="s">
        <v>611</v>
      </c>
      <c r="J344" s="2" t="s">
        <v>40</v>
      </c>
    </row>
    <row r="345" spans="1:10" x14ac:dyDescent="0.3">
      <c r="A345" s="2" t="s">
        <v>114</v>
      </c>
      <c r="B345" s="2" t="s">
        <v>115</v>
      </c>
      <c r="C345" s="2">
        <v>19399</v>
      </c>
      <c r="D345" s="2">
        <v>28439</v>
      </c>
      <c r="E345" s="3">
        <v>44678</v>
      </c>
      <c r="F345" s="3">
        <v>44798</v>
      </c>
      <c r="G345" s="4">
        <v>4032</v>
      </c>
      <c r="H345" s="2">
        <v>0</v>
      </c>
      <c r="I345" s="2" t="s">
        <v>728</v>
      </c>
      <c r="J345" s="2" t="s">
        <v>28</v>
      </c>
    </row>
    <row r="346" spans="1:10" x14ac:dyDescent="0.3">
      <c r="A346" s="2" t="s">
        <v>114</v>
      </c>
      <c r="B346" s="2" t="s">
        <v>115</v>
      </c>
      <c r="C346" s="2">
        <v>19400</v>
      </c>
      <c r="D346" s="2">
        <v>28440</v>
      </c>
      <c r="E346" s="3">
        <v>44678</v>
      </c>
      <c r="F346" s="3">
        <v>44798</v>
      </c>
      <c r="G346" s="4">
        <v>65586.8</v>
      </c>
      <c r="H346" s="2">
        <v>0</v>
      </c>
      <c r="I346" s="2" t="s">
        <v>828</v>
      </c>
      <c r="J346" s="2" t="s">
        <v>28</v>
      </c>
    </row>
    <row r="347" spans="1:10" x14ac:dyDescent="0.3">
      <c r="A347" s="2" t="s">
        <v>21</v>
      </c>
      <c r="B347" s="2" t="s">
        <v>22</v>
      </c>
      <c r="C347" s="2">
        <v>19679</v>
      </c>
      <c r="D347" s="2">
        <v>28746</v>
      </c>
      <c r="E347" s="3">
        <v>44708</v>
      </c>
      <c r="F347" s="3">
        <v>44798</v>
      </c>
      <c r="G347" s="4">
        <v>3605</v>
      </c>
      <c r="H347" s="2">
        <v>0</v>
      </c>
      <c r="I347" s="2" t="s">
        <v>829</v>
      </c>
      <c r="J347" s="2" t="s">
        <v>24</v>
      </c>
    </row>
    <row r="348" spans="1:10" x14ac:dyDescent="0.3">
      <c r="A348" s="2" t="s">
        <v>21</v>
      </c>
      <c r="B348" s="2" t="s">
        <v>22</v>
      </c>
      <c r="C348" s="2">
        <v>19073</v>
      </c>
      <c r="D348" s="2">
        <v>28092</v>
      </c>
      <c r="E348" s="3">
        <v>44648</v>
      </c>
      <c r="F348" s="3">
        <v>44798</v>
      </c>
      <c r="G348" s="4">
        <v>77346.960000000006</v>
      </c>
      <c r="H348" s="2">
        <v>0</v>
      </c>
      <c r="I348" s="2" t="s">
        <v>1025</v>
      </c>
      <c r="J348" s="2" t="s">
        <v>24</v>
      </c>
    </row>
    <row r="349" spans="1:10" x14ac:dyDescent="0.3">
      <c r="A349" s="2" t="s">
        <v>78</v>
      </c>
      <c r="B349" s="2" t="s">
        <v>79</v>
      </c>
      <c r="C349" s="2">
        <v>19387</v>
      </c>
      <c r="D349" s="2">
        <v>28428</v>
      </c>
      <c r="E349" s="3">
        <v>44678</v>
      </c>
      <c r="F349" s="3">
        <v>44798</v>
      </c>
      <c r="G349" s="4">
        <v>176730.67</v>
      </c>
      <c r="H349" s="2">
        <v>0</v>
      </c>
      <c r="I349" s="2" t="s">
        <v>1027</v>
      </c>
      <c r="J349" s="2" t="s">
        <v>81</v>
      </c>
    </row>
    <row r="350" spans="1:10" x14ac:dyDescent="0.3">
      <c r="A350" s="2" t="s">
        <v>21</v>
      </c>
      <c r="B350" s="2" t="s">
        <v>22</v>
      </c>
      <c r="C350" s="2">
        <v>19678</v>
      </c>
      <c r="D350" s="2">
        <v>28745</v>
      </c>
      <c r="E350" s="3">
        <v>44708</v>
      </c>
      <c r="F350" s="3">
        <v>44798</v>
      </c>
      <c r="G350" s="4">
        <v>26532.31</v>
      </c>
      <c r="H350" s="2">
        <v>0</v>
      </c>
      <c r="I350" s="2" t="s">
        <v>1158</v>
      </c>
      <c r="J350" s="2" t="s">
        <v>24</v>
      </c>
    </row>
    <row r="351" spans="1:10" x14ac:dyDescent="0.3">
      <c r="A351" s="2" t="s">
        <v>53</v>
      </c>
      <c r="B351" s="2" t="s">
        <v>54</v>
      </c>
      <c r="C351" s="2">
        <v>19131</v>
      </c>
      <c r="D351" s="2">
        <v>28150</v>
      </c>
      <c r="E351" s="3">
        <v>44649</v>
      </c>
      <c r="F351" s="3">
        <v>44799</v>
      </c>
      <c r="G351" s="4">
        <v>18583.48</v>
      </c>
      <c r="H351" s="2">
        <v>0</v>
      </c>
      <c r="I351" s="2" t="s">
        <v>77</v>
      </c>
      <c r="J351" s="2" t="s">
        <v>56</v>
      </c>
    </row>
    <row r="352" spans="1:10" x14ac:dyDescent="0.3">
      <c r="A352" s="2" t="s">
        <v>53</v>
      </c>
      <c r="B352" s="2" t="s">
        <v>54</v>
      </c>
      <c r="C352" s="2">
        <v>19130</v>
      </c>
      <c r="D352" s="2">
        <v>28149</v>
      </c>
      <c r="E352" s="3">
        <v>44649</v>
      </c>
      <c r="F352" s="3">
        <v>44799</v>
      </c>
      <c r="G352" s="4">
        <v>21839.42</v>
      </c>
      <c r="H352" s="2">
        <v>0</v>
      </c>
      <c r="I352" s="2" t="s">
        <v>357</v>
      </c>
      <c r="J352" s="2" t="s">
        <v>56</v>
      </c>
    </row>
    <row r="353" spans="1:10" x14ac:dyDescent="0.3">
      <c r="A353" s="2" t="s">
        <v>48</v>
      </c>
      <c r="B353" s="2" t="s">
        <v>49</v>
      </c>
      <c r="C353" s="2">
        <v>19128</v>
      </c>
      <c r="D353" s="2">
        <v>28147</v>
      </c>
      <c r="E353" s="3">
        <v>44649</v>
      </c>
      <c r="F353" s="3">
        <v>44799</v>
      </c>
      <c r="G353" s="4">
        <v>16562.919999999998</v>
      </c>
      <c r="H353" s="2">
        <v>0</v>
      </c>
      <c r="I353" s="2" t="s">
        <v>518</v>
      </c>
      <c r="J353" s="2" t="s">
        <v>40</v>
      </c>
    </row>
    <row r="354" spans="1:10" x14ac:dyDescent="0.3">
      <c r="A354" s="2" t="s">
        <v>48</v>
      </c>
      <c r="B354" s="2" t="s">
        <v>49</v>
      </c>
      <c r="C354" s="2">
        <v>19129</v>
      </c>
      <c r="D354" s="2">
        <v>28148</v>
      </c>
      <c r="E354" s="3">
        <v>44649</v>
      </c>
      <c r="F354" s="3">
        <v>44799</v>
      </c>
      <c r="G354" s="4">
        <v>34350.06</v>
      </c>
      <c r="H354" s="2">
        <v>0</v>
      </c>
      <c r="I354" s="2" t="s">
        <v>725</v>
      </c>
      <c r="J354" s="2" t="s">
        <v>40</v>
      </c>
    </row>
    <row r="355" spans="1:10" x14ac:dyDescent="0.3">
      <c r="A355" s="2" t="s">
        <v>48</v>
      </c>
      <c r="B355" s="2" t="s">
        <v>49</v>
      </c>
      <c r="C355" s="2">
        <v>19126</v>
      </c>
      <c r="D355" s="2">
        <v>28145</v>
      </c>
      <c r="E355" s="3">
        <v>44649</v>
      </c>
      <c r="F355" s="3">
        <v>44799</v>
      </c>
      <c r="G355" s="4">
        <v>5416.66</v>
      </c>
      <c r="H355" s="2">
        <v>0</v>
      </c>
      <c r="I355" s="2" t="s">
        <v>640</v>
      </c>
      <c r="J355" s="2" t="s">
        <v>40</v>
      </c>
    </row>
    <row r="356" spans="1:10" x14ac:dyDescent="0.3">
      <c r="A356" s="2" t="s">
        <v>48</v>
      </c>
      <c r="B356" s="2" t="s">
        <v>49</v>
      </c>
      <c r="C356" s="2">
        <v>19127</v>
      </c>
      <c r="D356" s="2">
        <v>28146</v>
      </c>
      <c r="E356" s="3">
        <v>44649</v>
      </c>
      <c r="F356" s="3">
        <v>44799</v>
      </c>
      <c r="G356" s="4">
        <v>10833.32</v>
      </c>
      <c r="H356" s="2">
        <v>0</v>
      </c>
      <c r="I356" s="2" t="s">
        <v>904</v>
      </c>
      <c r="J356" s="2" t="s">
        <v>40</v>
      </c>
    </row>
    <row r="357" spans="1:10" x14ac:dyDescent="0.3">
      <c r="A357" s="2" t="s">
        <v>48</v>
      </c>
      <c r="B357" s="2" t="s">
        <v>49</v>
      </c>
      <c r="C357" s="2">
        <v>19125</v>
      </c>
      <c r="D357" s="2">
        <v>28144</v>
      </c>
      <c r="E357" s="3">
        <v>44649</v>
      </c>
      <c r="F357" s="3">
        <v>44799</v>
      </c>
      <c r="G357" s="4">
        <v>2599.4</v>
      </c>
      <c r="H357" s="2">
        <v>0</v>
      </c>
      <c r="I357" s="2" t="s">
        <v>950</v>
      </c>
      <c r="J357" s="2" t="s">
        <v>40</v>
      </c>
    </row>
    <row r="358" spans="1:10" x14ac:dyDescent="0.3">
      <c r="A358" s="2" t="s">
        <v>53</v>
      </c>
      <c r="B358" s="2" t="s">
        <v>54</v>
      </c>
      <c r="C358" s="2">
        <v>19136</v>
      </c>
      <c r="D358" s="2">
        <v>28153</v>
      </c>
      <c r="E358" s="3">
        <v>44649</v>
      </c>
      <c r="F358" s="3">
        <v>44799</v>
      </c>
      <c r="G358" s="4">
        <v>4571.1099999999997</v>
      </c>
      <c r="H358" s="2">
        <v>0</v>
      </c>
      <c r="I358" s="2" t="s">
        <v>724</v>
      </c>
      <c r="J358" s="2" t="s">
        <v>56</v>
      </c>
    </row>
    <row r="359" spans="1:10" x14ac:dyDescent="0.3">
      <c r="A359" s="2" t="s">
        <v>53</v>
      </c>
      <c r="B359" s="2" t="s">
        <v>54</v>
      </c>
      <c r="C359" s="2">
        <v>19137</v>
      </c>
      <c r="D359" s="2">
        <v>28154</v>
      </c>
      <c r="E359" s="3">
        <v>44649</v>
      </c>
      <c r="F359" s="3">
        <v>44799</v>
      </c>
      <c r="G359" s="4">
        <v>16477.759999999998</v>
      </c>
      <c r="H359" s="2">
        <v>0</v>
      </c>
      <c r="I359" s="2" t="s">
        <v>1067</v>
      </c>
      <c r="J359" s="2" t="s">
        <v>56</v>
      </c>
    </row>
    <row r="360" spans="1:10" x14ac:dyDescent="0.3">
      <c r="A360" s="2" t="s">
        <v>25</v>
      </c>
      <c r="B360" s="2" t="s">
        <v>26</v>
      </c>
      <c r="C360" s="2">
        <v>19138</v>
      </c>
      <c r="D360" s="2">
        <v>28155</v>
      </c>
      <c r="E360" s="3">
        <v>44649</v>
      </c>
      <c r="F360" s="3">
        <v>44799</v>
      </c>
      <c r="G360" s="4">
        <v>154188</v>
      </c>
      <c r="H360" s="2">
        <v>0</v>
      </c>
      <c r="I360" s="2" t="s">
        <v>1068</v>
      </c>
      <c r="J360" s="2" t="s">
        <v>28</v>
      </c>
    </row>
    <row r="361" spans="1:10" x14ac:dyDescent="0.3">
      <c r="A361" s="2" t="s">
        <v>627</v>
      </c>
      <c r="B361" s="2" t="s">
        <v>628</v>
      </c>
      <c r="C361" s="2">
        <v>19827</v>
      </c>
      <c r="D361" s="2">
        <v>28893</v>
      </c>
      <c r="E361" s="3">
        <v>44739</v>
      </c>
      <c r="F361" s="3">
        <v>44799</v>
      </c>
      <c r="G361" s="4">
        <v>72800</v>
      </c>
      <c r="H361" s="2">
        <v>0</v>
      </c>
      <c r="I361" s="2" t="s">
        <v>1094</v>
      </c>
      <c r="J361" s="2" t="s">
        <v>24</v>
      </c>
    </row>
    <row r="362" spans="1:10" x14ac:dyDescent="0.3">
      <c r="A362" s="2" t="s">
        <v>37</v>
      </c>
      <c r="B362" s="2" t="s">
        <v>38</v>
      </c>
      <c r="C362" s="2">
        <v>19428</v>
      </c>
      <c r="D362" s="2">
        <v>28475</v>
      </c>
      <c r="E362" s="3">
        <v>44680</v>
      </c>
      <c r="F362" s="3">
        <v>44800</v>
      </c>
      <c r="G362" s="4">
        <v>89932.5</v>
      </c>
      <c r="H362" s="2">
        <v>0</v>
      </c>
      <c r="I362" s="2" t="s">
        <v>39</v>
      </c>
      <c r="J362" s="2" t="s">
        <v>40</v>
      </c>
    </row>
    <row r="363" spans="1:10" x14ac:dyDescent="0.3">
      <c r="A363" s="2" t="s">
        <v>234</v>
      </c>
      <c r="B363" s="2" t="s">
        <v>235</v>
      </c>
      <c r="C363" s="2">
        <v>19150</v>
      </c>
      <c r="D363" s="2">
        <v>28169</v>
      </c>
      <c r="E363" s="3">
        <v>44650</v>
      </c>
      <c r="F363" s="3">
        <v>44800</v>
      </c>
      <c r="G363" s="4">
        <v>13436</v>
      </c>
      <c r="H363" s="2">
        <v>0</v>
      </c>
      <c r="I363" s="2" t="s">
        <v>236</v>
      </c>
      <c r="J363" s="2" t="s">
        <v>56</v>
      </c>
    </row>
    <row r="364" spans="1:10" x14ac:dyDescent="0.3">
      <c r="A364" s="2" t="s">
        <v>85</v>
      </c>
      <c r="B364" s="2" t="s">
        <v>83</v>
      </c>
      <c r="C364" s="2">
        <v>19430</v>
      </c>
      <c r="D364" s="2">
        <v>28477</v>
      </c>
      <c r="E364" s="3">
        <v>44680</v>
      </c>
      <c r="F364" s="3">
        <v>44800</v>
      </c>
      <c r="G364" s="4">
        <v>126000</v>
      </c>
      <c r="H364" s="2">
        <v>0</v>
      </c>
      <c r="I364" s="2" t="s">
        <v>526</v>
      </c>
      <c r="J364" s="2" t="s">
        <v>40</v>
      </c>
    </row>
    <row r="365" spans="1:10" x14ac:dyDescent="0.3">
      <c r="A365" s="2" t="s">
        <v>68</v>
      </c>
      <c r="B365" s="2" t="s">
        <v>69</v>
      </c>
      <c r="C365" s="2">
        <v>19141</v>
      </c>
      <c r="D365" s="2">
        <v>28160</v>
      </c>
      <c r="E365" s="3">
        <v>44650</v>
      </c>
      <c r="F365" s="3">
        <v>44800</v>
      </c>
      <c r="G365" s="4">
        <v>60000</v>
      </c>
      <c r="H365" s="2">
        <v>0</v>
      </c>
      <c r="I365" s="2" t="s">
        <v>535</v>
      </c>
      <c r="J365" s="2" t="s">
        <v>40</v>
      </c>
    </row>
    <row r="366" spans="1:10" x14ac:dyDescent="0.3">
      <c r="A366" s="2" t="s">
        <v>25</v>
      </c>
      <c r="B366" s="2" t="s">
        <v>26</v>
      </c>
      <c r="C366" s="2">
        <v>19147</v>
      </c>
      <c r="D366" s="2">
        <v>28166</v>
      </c>
      <c r="E366" s="3">
        <v>44650</v>
      </c>
      <c r="F366" s="3">
        <v>44800</v>
      </c>
      <c r="G366" s="4">
        <v>54653.5</v>
      </c>
      <c r="H366" s="2">
        <v>0</v>
      </c>
      <c r="I366" s="2" t="s">
        <v>679</v>
      </c>
      <c r="J366" s="2" t="s">
        <v>28</v>
      </c>
    </row>
    <row r="367" spans="1:10" x14ac:dyDescent="0.3">
      <c r="A367" s="2" t="s">
        <v>234</v>
      </c>
      <c r="B367" s="2" t="s">
        <v>235</v>
      </c>
      <c r="C367" s="2">
        <v>19148</v>
      </c>
      <c r="D367" s="2">
        <v>28167</v>
      </c>
      <c r="E367" s="3">
        <v>44650</v>
      </c>
      <c r="F367" s="3">
        <v>44800</v>
      </c>
      <c r="G367" s="4">
        <v>17536.8</v>
      </c>
      <c r="H367" s="2">
        <v>0</v>
      </c>
      <c r="I367" s="2" t="s">
        <v>726</v>
      </c>
      <c r="J367" s="2" t="s">
        <v>56</v>
      </c>
    </row>
    <row r="368" spans="1:10" x14ac:dyDescent="0.3">
      <c r="A368" s="2" t="s">
        <v>234</v>
      </c>
      <c r="B368" s="2" t="s">
        <v>235</v>
      </c>
      <c r="C368" s="2">
        <v>19149</v>
      </c>
      <c r="D368" s="2">
        <v>28168</v>
      </c>
      <c r="E368" s="3">
        <v>44650</v>
      </c>
      <c r="F368" s="3">
        <v>44800</v>
      </c>
      <c r="G368" s="4">
        <v>61605.8</v>
      </c>
      <c r="H368" s="2">
        <v>0</v>
      </c>
      <c r="I368" s="2" t="s">
        <v>788</v>
      </c>
      <c r="J368" s="2" t="s">
        <v>56</v>
      </c>
    </row>
    <row r="369" spans="1:10" x14ac:dyDescent="0.3">
      <c r="A369" s="2" t="s">
        <v>25</v>
      </c>
      <c r="B369" s="2" t="s">
        <v>26</v>
      </c>
      <c r="C369" s="2">
        <v>19146</v>
      </c>
      <c r="D369" s="2">
        <v>28165</v>
      </c>
      <c r="E369" s="3">
        <v>44650</v>
      </c>
      <c r="F369" s="3">
        <v>44800</v>
      </c>
      <c r="G369" s="4">
        <v>14324.99</v>
      </c>
      <c r="H369" s="2">
        <v>0</v>
      </c>
      <c r="I369" s="2" t="s">
        <v>1000</v>
      </c>
      <c r="J369" s="2" t="s">
        <v>28</v>
      </c>
    </row>
    <row r="370" spans="1:10" x14ac:dyDescent="0.3">
      <c r="A370" s="2" t="s">
        <v>48</v>
      </c>
      <c r="B370" s="2" t="s">
        <v>49</v>
      </c>
      <c r="C370" s="2">
        <v>19142</v>
      </c>
      <c r="D370" s="2">
        <v>28161</v>
      </c>
      <c r="E370" s="3">
        <v>44650</v>
      </c>
      <c r="F370" s="3">
        <v>44800</v>
      </c>
      <c r="G370" s="4">
        <v>54000</v>
      </c>
      <c r="H370" s="2">
        <v>0</v>
      </c>
      <c r="I370" s="2" t="s">
        <v>1139</v>
      </c>
      <c r="J370" s="2" t="s">
        <v>40</v>
      </c>
    </row>
    <row r="371" spans="1:10" x14ac:dyDescent="0.3">
      <c r="A371" s="2" t="s">
        <v>33</v>
      </c>
      <c r="B371" s="2" t="s">
        <v>34</v>
      </c>
      <c r="C371" s="2">
        <v>19151</v>
      </c>
      <c r="D371" s="2">
        <v>28170</v>
      </c>
      <c r="E371" s="3">
        <v>44651</v>
      </c>
      <c r="F371" s="3">
        <v>44801</v>
      </c>
      <c r="G371" s="4">
        <v>22334.720000000001</v>
      </c>
      <c r="H371" s="2">
        <v>0</v>
      </c>
      <c r="I371" s="2" t="s">
        <v>35</v>
      </c>
      <c r="J371" s="2" t="s">
        <v>36</v>
      </c>
    </row>
    <row r="372" spans="1:10" x14ac:dyDescent="0.3">
      <c r="A372" s="2" t="s">
        <v>25</v>
      </c>
      <c r="B372" s="2" t="s">
        <v>26</v>
      </c>
      <c r="C372" s="2">
        <v>19164</v>
      </c>
      <c r="D372" s="2">
        <v>28181</v>
      </c>
      <c r="E372" s="3">
        <v>44651</v>
      </c>
      <c r="F372" s="3">
        <v>44801</v>
      </c>
      <c r="G372" s="4">
        <v>82367.25</v>
      </c>
      <c r="H372" s="2">
        <v>0</v>
      </c>
      <c r="I372" s="2" t="s">
        <v>292</v>
      </c>
      <c r="J372" s="2" t="s">
        <v>28</v>
      </c>
    </row>
    <row r="373" spans="1:10" x14ac:dyDescent="0.3">
      <c r="A373" s="2" t="s">
        <v>48</v>
      </c>
      <c r="B373" s="2" t="s">
        <v>49</v>
      </c>
      <c r="C373" s="2">
        <v>19166</v>
      </c>
      <c r="D373" s="2">
        <v>28183</v>
      </c>
      <c r="E373" s="3">
        <v>44651</v>
      </c>
      <c r="F373" s="3">
        <v>44801</v>
      </c>
      <c r="G373" s="4">
        <v>54000</v>
      </c>
      <c r="H373" s="2">
        <v>0</v>
      </c>
      <c r="I373" s="2" t="s">
        <v>980</v>
      </c>
      <c r="J373" s="2" t="s">
        <v>40</v>
      </c>
    </row>
    <row r="374" spans="1:10" x14ac:dyDescent="0.3">
      <c r="A374" s="2" t="s">
        <v>48</v>
      </c>
      <c r="B374" s="2" t="s">
        <v>49</v>
      </c>
      <c r="C374" s="2">
        <v>19167</v>
      </c>
      <c r="D374" s="2">
        <v>28184</v>
      </c>
      <c r="E374" s="3">
        <v>44651</v>
      </c>
      <c r="F374" s="3">
        <v>44801</v>
      </c>
      <c r="G374" s="4">
        <v>54000</v>
      </c>
      <c r="H374" s="2">
        <v>0</v>
      </c>
      <c r="I374" s="2" t="s">
        <v>1058</v>
      </c>
      <c r="J374" s="2" t="s">
        <v>40</v>
      </c>
    </row>
    <row r="375" spans="1:10" x14ac:dyDescent="0.3">
      <c r="A375" s="2" t="s">
        <v>33</v>
      </c>
      <c r="B375" s="2" t="s">
        <v>34</v>
      </c>
      <c r="C375" s="2">
        <v>19175</v>
      </c>
      <c r="D375" s="2">
        <v>28191</v>
      </c>
      <c r="E375" s="3">
        <v>44652</v>
      </c>
      <c r="F375" s="3">
        <v>44802</v>
      </c>
      <c r="G375" s="4">
        <v>3425</v>
      </c>
      <c r="H375" s="2">
        <v>0</v>
      </c>
      <c r="I375" s="2" t="s">
        <v>478</v>
      </c>
      <c r="J375" s="2" t="s">
        <v>36</v>
      </c>
    </row>
    <row r="376" spans="1:10" x14ac:dyDescent="0.3">
      <c r="A376" s="2" t="s">
        <v>25</v>
      </c>
      <c r="B376" s="2" t="s">
        <v>26</v>
      </c>
      <c r="C376" s="2">
        <v>19189</v>
      </c>
      <c r="D376" s="2">
        <v>28204</v>
      </c>
      <c r="E376" s="3">
        <v>44652</v>
      </c>
      <c r="F376" s="3">
        <v>44802</v>
      </c>
      <c r="G376" s="4">
        <v>79932.75</v>
      </c>
      <c r="H376" s="2">
        <v>0</v>
      </c>
      <c r="I376" s="2" t="s">
        <v>623</v>
      </c>
      <c r="J376" s="2" t="s">
        <v>28</v>
      </c>
    </row>
    <row r="377" spans="1:10" x14ac:dyDescent="0.3">
      <c r="A377" s="2" t="s">
        <v>125</v>
      </c>
      <c r="B377" s="2" t="s">
        <v>126</v>
      </c>
      <c r="C377" s="2">
        <v>19689</v>
      </c>
      <c r="D377" s="2">
        <v>28758</v>
      </c>
      <c r="E377" s="3">
        <v>44712</v>
      </c>
      <c r="F377" s="3">
        <v>44802</v>
      </c>
      <c r="G377" s="4">
        <v>237000</v>
      </c>
      <c r="H377" s="2">
        <v>0</v>
      </c>
      <c r="I377" s="2" t="s">
        <v>633</v>
      </c>
      <c r="J377" s="2" t="s">
        <v>36</v>
      </c>
    </row>
    <row r="378" spans="1:10" x14ac:dyDescent="0.3">
      <c r="A378" s="2" t="s">
        <v>25</v>
      </c>
      <c r="B378" s="2" t="s">
        <v>26</v>
      </c>
      <c r="C378" s="2">
        <v>19190</v>
      </c>
      <c r="D378" s="2">
        <v>28205</v>
      </c>
      <c r="E378" s="3">
        <v>44652</v>
      </c>
      <c r="F378" s="3">
        <v>44802</v>
      </c>
      <c r="G378" s="4">
        <v>14742.25</v>
      </c>
      <c r="H378" s="2">
        <v>0</v>
      </c>
      <c r="I378" s="2" t="s">
        <v>326</v>
      </c>
      <c r="J378" s="2" t="s">
        <v>28</v>
      </c>
    </row>
    <row r="379" spans="1:10" x14ac:dyDescent="0.3">
      <c r="A379" s="2" t="s">
        <v>37</v>
      </c>
      <c r="B379" s="2" t="s">
        <v>38</v>
      </c>
      <c r="C379" s="2">
        <v>19848</v>
      </c>
      <c r="D379" s="2">
        <v>28916</v>
      </c>
      <c r="E379" s="3">
        <v>44742</v>
      </c>
      <c r="F379" s="3">
        <v>44802</v>
      </c>
      <c r="G379" s="4">
        <v>80550</v>
      </c>
      <c r="H379" s="2">
        <v>0</v>
      </c>
      <c r="I379" s="2" t="s">
        <v>796</v>
      </c>
      <c r="J379" s="2" t="s">
        <v>40</v>
      </c>
    </row>
    <row r="380" spans="1:10" x14ac:dyDescent="0.3">
      <c r="A380" s="2" t="s">
        <v>78</v>
      </c>
      <c r="B380" s="2" t="s">
        <v>79</v>
      </c>
      <c r="C380" s="2"/>
      <c r="D380" s="2">
        <v>190683</v>
      </c>
      <c r="E380" s="3">
        <v>44742</v>
      </c>
      <c r="F380" s="3">
        <v>44802</v>
      </c>
      <c r="G380" s="4">
        <v>104992.8</v>
      </c>
      <c r="H380" s="2">
        <v>0</v>
      </c>
      <c r="I380" s="2" t="s">
        <v>1062</v>
      </c>
      <c r="J380" s="2" t="s">
        <v>81</v>
      </c>
    </row>
    <row r="381" spans="1:10" x14ac:dyDescent="0.3">
      <c r="A381" s="2" t="s">
        <v>10</v>
      </c>
      <c r="B381" s="2" t="s">
        <v>11</v>
      </c>
      <c r="C381" s="2">
        <v>17988</v>
      </c>
      <c r="D381" s="2">
        <v>26999</v>
      </c>
      <c r="E381" s="3">
        <v>44536</v>
      </c>
      <c r="F381" s="3">
        <v>44803</v>
      </c>
      <c r="G381" s="4">
        <v>150000</v>
      </c>
      <c r="H381" s="2">
        <v>0</v>
      </c>
      <c r="I381" s="2" t="s">
        <v>12</v>
      </c>
      <c r="J381" s="2" t="s">
        <v>13</v>
      </c>
    </row>
    <row r="382" spans="1:10" x14ac:dyDescent="0.3">
      <c r="A382" s="2" t="s">
        <v>14</v>
      </c>
      <c r="B382" s="2" t="s">
        <v>15</v>
      </c>
      <c r="C382" s="2">
        <v>18090</v>
      </c>
      <c r="D382" s="2">
        <v>27102</v>
      </c>
      <c r="E382" s="3">
        <v>44544</v>
      </c>
      <c r="F382" s="3">
        <v>44803</v>
      </c>
      <c r="G382" s="4">
        <v>266500</v>
      </c>
      <c r="H382" s="2">
        <v>0</v>
      </c>
      <c r="I382" s="2" t="s">
        <v>16</v>
      </c>
      <c r="J382" s="2" t="s">
        <v>17</v>
      </c>
    </row>
    <row r="383" spans="1:10" x14ac:dyDescent="0.3">
      <c r="A383" s="2" t="s">
        <v>18</v>
      </c>
      <c r="B383" s="2" t="s">
        <v>15</v>
      </c>
      <c r="C383" s="2">
        <v>18456</v>
      </c>
      <c r="D383" s="2">
        <v>27454</v>
      </c>
      <c r="E383" s="3">
        <v>44580</v>
      </c>
      <c r="F383" s="3">
        <v>44803</v>
      </c>
      <c r="G383" s="4">
        <v>21120</v>
      </c>
      <c r="H383" s="2">
        <v>0</v>
      </c>
      <c r="I383" s="2" t="s">
        <v>19</v>
      </c>
      <c r="J383" s="2" t="s">
        <v>20</v>
      </c>
    </row>
    <row r="384" spans="1:10" x14ac:dyDescent="0.3">
      <c r="A384" s="2" t="s">
        <v>58</v>
      </c>
      <c r="B384" s="2" t="s">
        <v>59</v>
      </c>
      <c r="C384" s="2">
        <v>18346</v>
      </c>
      <c r="D384" s="2">
        <v>27354</v>
      </c>
      <c r="E384" s="3">
        <v>44572</v>
      </c>
      <c r="F384" s="3">
        <v>44803</v>
      </c>
      <c r="G384" s="4">
        <v>169920</v>
      </c>
      <c r="H384" s="2">
        <v>0</v>
      </c>
      <c r="I384" s="2" t="s">
        <v>60</v>
      </c>
      <c r="J384" s="2" t="s">
        <v>61</v>
      </c>
    </row>
    <row r="385" spans="1:10" x14ac:dyDescent="0.3">
      <c r="A385" s="2" t="s">
        <v>10</v>
      </c>
      <c r="B385" s="2" t="s">
        <v>11</v>
      </c>
      <c r="C385" s="2">
        <v>18376</v>
      </c>
      <c r="D385" s="2">
        <v>27386</v>
      </c>
      <c r="E385" s="3">
        <v>44574</v>
      </c>
      <c r="F385" s="3">
        <v>44803</v>
      </c>
      <c r="G385" s="4">
        <v>66616</v>
      </c>
      <c r="H385" s="2">
        <v>0</v>
      </c>
      <c r="I385" s="2" t="s">
        <v>62</v>
      </c>
      <c r="J385" s="2" t="s">
        <v>13</v>
      </c>
    </row>
    <row r="386" spans="1:10" x14ac:dyDescent="0.3">
      <c r="A386" s="2" t="s">
        <v>63</v>
      </c>
      <c r="B386" s="2" t="s">
        <v>64</v>
      </c>
      <c r="C386" s="2">
        <v>18393</v>
      </c>
      <c r="D386" s="2">
        <v>27401</v>
      </c>
      <c r="E386" s="3">
        <v>44575</v>
      </c>
      <c r="F386" s="3">
        <v>44803</v>
      </c>
      <c r="G386" s="4">
        <v>124740</v>
      </c>
      <c r="H386" s="2">
        <v>0</v>
      </c>
      <c r="I386" s="2" t="s">
        <v>65</v>
      </c>
      <c r="J386" s="2" t="s">
        <v>61</v>
      </c>
    </row>
    <row r="387" spans="1:10" x14ac:dyDescent="0.3">
      <c r="A387" s="2" t="s">
        <v>58</v>
      </c>
      <c r="B387" s="2" t="s">
        <v>59</v>
      </c>
      <c r="C387" s="2">
        <v>18578</v>
      </c>
      <c r="D387" s="2">
        <v>27587</v>
      </c>
      <c r="E387" s="3">
        <v>44592</v>
      </c>
      <c r="F387" s="3">
        <v>44803</v>
      </c>
      <c r="G387" s="4">
        <v>209605</v>
      </c>
      <c r="H387" s="2">
        <v>0</v>
      </c>
      <c r="I387" s="2" t="s">
        <v>66</v>
      </c>
      <c r="J387" s="2" t="s">
        <v>61</v>
      </c>
    </row>
    <row r="388" spans="1:10" x14ac:dyDescent="0.3">
      <c r="A388" s="2" t="s">
        <v>58</v>
      </c>
      <c r="B388" s="2" t="s">
        <v>59</v>
      </c>
      <c r="C388" s="2">
        <v>18778</v>
      </c>
      <c r="D388" s="2">
        <v>27798</v>
      </c>
      <c r="E388" s="3">
        <v>44613</v>
      </c>
      <c r="F388" s="3">
        <v>44803</v>
      </c>
      <c r="G388" s="4">
        <v>157120</v>
      </c>
      <c r="H388" s="2">
        <v>0</v>
      </c>
      <c r="I388" s="2" t="s">
        <v>72</v>
      </c>
      <c r="J388" s="2" t="s">
        <v>61</v>
      </c>
    </row>
    <row r="389" spans="1:10" x14ac:dyDescent="0.3">
      <c r="A389" s="2" t="s">
        <v>88</v>
      </c>
      <c r="B389" s="2" t="s">
        <v>89</v>
      </c>
      <c r="C389" s="2">
        <v>17709</v>
      </c>
      <c r="D389" s="2">
        <v>26705</v>
      </c>
      <c r="E389" s="3">
        <v>44510</v>
      </c>
      <c r="F389" s="3">
        <v>44803</v>
      </c>
      <c r="G389" s="4">
        <v>149440</v>
      </c>
      <c r="H389" s="2">
        <v>0</v>
      </c>
      <c r="I389" s="2" t="s">
        <v>90</v>
      </c>
      <c r="J389" s="2" t="s">
        <v>44</v>
      </c>
    </row>
    <row r="390" spans="1:10" x14ac:dyDescent="0.3">
      <c r="A390" s="2" t="s">
        <v>91</v>
      </c>
      <c r="B390" s="2" t="s">
        <v>92</v>
      </c>
      <c r="C390" s="2">
        <v>18243</v>
      </c>
      <c r="D390" s="2">
        <v>27256</v>
      </c>
      <c r="E390" s="3">
        <v>44565</v>
      </c>
      <c r="F390" s="3">
        <v>44803</v>
      </c>
      <c r="G390" s="4">
        <v>42500</v>
      </c>
      <c r="H390" s="2">
        <v>0</v>
      </c>
      <c r="I390" s="2" t="s">
        <v>93</v>
      </c>
      <c r="J390" s="2" t="s">
        <v>94</v>
      </c>
    </row>
    <row r="391" spans="1:10" x14ac:dyDescent="0.3">
      <c r="A391" s="2" t="s">
        <v>98</v>
      </c>
      <c r="B391" s="2" t="s">
        <v>99</v>
      </c>
      <c r="C391" s="2">
        <v>18377</v>
      </c>
      <c r="D391" s="2">
        <v>27387</v>
      </c>
      <c r="E391" s="3">
        <v>44574</v>
      </c>
      <c r="F391" s="3">
        <v>44803</v>
      </c>
      <c r="G391" s="4">
        <v>110880</v>
      </c>
      <c r="H391" s="2">
        <v>0</v>
      </c>
      <c r="I391" s="2" t="s">
        <v>100</v>
      </c>
      <c r="J391" s="2" t="s">
        <v>61</v>
      </c>
    </row>
    <row r="392" spans="1:10" x14ac:dyDescent="0.3">
      <c r="A392" s="2" t="s">
        <v>58</v>
      </c>
      <c r="B392" s="2" t="s">
        <v>59</v>
      </c>
      <c r="C392" s="2">
        <v>18379</v>
      </c>
      <c r="D392" s="2">
        <v>27389</v>
      </c>
      <c r="E392" s="3">
        <v>44574</v>
      </c>
      <c r="F392" s="3">
        <v>44803</v>
      </c>
      <c r="G392" s="4">
        <v>169920</v>
      </c>
      <c r="H392" s="2">
        <v>0</v>
      </c>
      <c r="I392" s="2" t="s">
        <v>101</v>
      </c>
      <c r="J392" s="2" t="s">
        <v>61</v>
      </c>
    </row>
    <row r="393" spans="1:10" x14ac:dyDescent="0.3">
      <c r="A393" s="2" t="s">
        <v>104</v>
      </c>
      <c r="B393" s="2" t="s">
        <v>105</v>
      </c>
      <c r="C393" s="2">
        <v>19162</v>
      </c>
      <c r="D393" s="2">
        <v>28179</v>
      </c>
      <c r="E393" s="3">
        <v>44651</v>
      </c>
      <c r="F393" s="3">
        <v>44803</v>
      </c>
      <c r="G393" s="4">
        <v>47480</v>
      </c>
      <c r="H393" s="2">
        <v>0</v>
      </c>
      <c r="I393" s="2" t="s">
        <v>106</v>
      </c>
      <c r="J393" s="2" t="s">
        <v>61</v>
      </c>
    </row>
    <row r="394" spans="1:10" x14ac:dyDescent="0.3">
      <c r="A394" s="2" t="s">
        <v>129</v>
      </c>
      <c r="B394" s="2" t="s">
        <v>130</v>
      </c>
      <c r="C394" s="2">
        <v>17998</v>
      </c>
      <c r="D394" s="2">
        <v>27010</v>
      </c>
      <c r="E394" s="3">
        <v>44537</v>
      </c>
      <c r="F394" s="3">
        <v>44803</v>
      </c>
      <c r="G394" s="4">
        <v>154000</v>
      </c>
      <c r="H394" s="2">
        <v>0</v>
      </c>
      <c r="I394" s="2" t="s">
        <v>131</v>
      </c>
      <c r="J394" s="2" t="s">
        <v>132</v>
      </c>
    </row>
    <row r="395" spans="1:10" x14ac:dyDescent="0.3">
      <c r="A395" s="2" t="s">
        <v>133</v>
      </c>
      <c r="B395" s="2" t="s">
        <v>134</v>
      </c>
      <c r="C395" s="2">
        <v>18123</v>
      </c>
      <c r="D395" s="2">
        <v>27136</v>
      </c>
      <c r="E395" s="3">
        <v>44546</v>
      </c>
      <c r="F395" s="3">
        <v>44803</v>
      </c>
      <c r="G395" s="4">
        <v>242500</v>
      </c>
      <c r="H395" s="2">
        <v>0</v>
      </c>
      <c r="I395" s="2" t="s">
        <v>135</v>
      </c>
      <c r="J395" s="2" t="s">
        <v>20</v>
      </c>
    </row>
    <row r="396" spans="1:10" x14ac:dyDescent="0.3">
      <c r="A396" s="2" t="s">
        <v>136</v>
      </c>
      <c r="B396" s="2" t="s">
        <v>137</v>
      </c>
      <c r="C396" s="2">
        <v>18384</v>
      </c>
      <c r="D396" s="2">
        <v>27393</v>
      </c>
      <c r="E396" s="3">
        <v>44574</v>
      </c>
      <c r="F396" s="3">
        <v>44803</v>
      </c>
      <c r="G396" s="4">
        <v>264400</v>
      </c>
      <c r="H396" s="2">
        <v>0</v>
      </c>
      <c r="I396" s="2" t="s">
        <v>139</v>
      </c>
      <c r="J396" s="2" t="s">
        <v>81</v>
      </c>
    </row>
    <row r="397" spans="1:10" x14ac:dyDescent="0.3">
      <c r="A397" s="2" t="s">
        <v>88</v>
      </c>
      <c r="B397" s="2" t="s">
        <v>89</v>
      </c>
      <c r="C397" s="2">
        <v>19041</v>
      </c>
      <c r="D397" s="2">
        <v>28057</v>
      </c>
      <c r="E397" s="3">
        <v>44643</v>
      </c>
      <c r="F397" s="3">
        <v>44803</v>
      </c>
      <c r="G397" s="4">
        <v>163350</v>
      </c>
      <c r="H397" s="2">
        <v>0</v>
      </c>
      <c r="I397" s="2" t="s">
        <v>143</v>
      </c>
      <c r="J397" s="2" t="s">
        <v>44</v>
      </c>
    </row>
    <row r="398" spans="1:10" x14ac:dyDescent="0.3">
      <c r="A398" s="2" t="s">
        <v>161</v>
      </c>
      <c r="B398" s="2" t="s">
        <v>162</v>
      </c>
      <c r="C398" s="2">
        <v>17359</v>
      </c>
      <c r="D398" s="2">
        <v>26361</v>
      </c>
      <c r="E398" s="3">
        <v>44488</v>
      </c>
      <c r="F398" s="3">
        <v>44803</v>
      </c>
      <c r="G398" s="4">
        <v>12329</v>
      </c>
      <c r="H398" s="2">
        <v>0</v>
      </c>
      <c r="I398" s="2" t="s">
        <v>163</v>
      </c>
      <c r="J398" s="2" t="s">
        <v>164</v>
      </c>
    </row>
    <row r="399" spans="1:10" x14ac:dyDescent="0.3">
      <c r="A399" s="2" t="s">
        <v>58</v>
      </c>
      <c r="B399" s="2" t="s">
        <v>59</v>
      </c>
      <c r="C399" s="2">
        <v>18931</v>
      </c>
      <c r="D399" s="2">
        <v>27944</v>
      </c>
      <c r="E399" s="3">
        <v>44627</v>
      </c>
      <c r="F399" s="3">
        <v>44803</v>
      </c>
      <c r="G399" s="4">
        <v>157120</v>
      </c>
      <c r="H399" s="2">
        <v>0</v>
      </c>
      <c r="I399" s="2" t="s">
        <v>178</v>
      </c>
      <c r="J399" s="2" t="s">
        <v>61</v>
      </c>
    </row>
    <row r="400" spans="1:10" x14ac:dyDescent="0.3">
      <c r="A400" s="2" t="s">
        <v>88</v>
      </c>
      <c r="B400" s="2" t="s">
        <v>89</v>
      </c>
      <c r="C400" s="2">
        <v>17731</v>
      </c>
      <c r="D400" s="2">
        <v>26725</v>
      </c>
      <c r="E400" s="3">
        <v>44511</v>
      </c>
      <c r="F400" s="3">
        <v>44803</v>
      </c>
      <c r="G400" s="4">
        <v>168120</v>
      </c>
      <c r="H400" s="2">
        <v>0</v>
      </c>
      <c r="I400" s="2" t="s">
        <v>191</v>
      </c>
      <c r="J400" s="2" t="s">
        <v>44</v>
      </c>
    </row>
    <row r="401" spans="1:10" x14ac:dyDescent="0.3">
      <c r="A401" s="2" t="s">
        <v>202</v>
      </c>
      <c r="B401" s="2" t="s">
        <v>203</v>
      </c>
      <c r="C401" s="2">
        <v>18933</v>
      </c>
      <c r="D401" s="2">
        <v>27946</v>
      </c>
      <c r="E401" s="3">
        <v>44627</v>
      </c>
      <c r="F401" s="3">
        <v>44803</v>
      </c>
      <c r="G401" s="4">
        <v>187520</v>
      </c>
      <c r="H401" s="2">
        <v>0</v>
      </c>
      <c r="I401" s="2" t="s">
        <v>204</v>
      </c>
      <c r="J401" s="2" t="s">
        <v>61</v>
      </c>
    </row>
    <row r="402" spans="1:10" x14ac:dyDescent="0.3">
      <c r="A402" s="2" t="s">
        <v>58</v>
      </c>
      <c r="B402" s="2" t="s">
        <v>59</v>
      </c>
      <c r="C402" s="2">
        <v>18940</v>
      </c>
      <c r="D402" s="2">
        <v>27954</v>
      </c>
      <c r="E402" s="3">
        <v>44628</v>
      </c>
      <c r="F402" s="3">
        <v>44803</v>
      </c>
      <c r="G402" s="4">
        <v>157120</v>
      </c>
      <c r="H402" s="2">
        <v>0</v>
      </c>
      <c r="I402" s="2" t="s">
        <v>205</v>
      </c>
      <c r="J402" s="2" t="s">
        <v>61</v>
      </c>
    </row>
    <row r="403" spans="1:10" x14ac:dyDescent="0.3">
      <c r="A403" s="2" t="s">
        <v>104</v>
      </c>
      <c r="B403" s="2" t="s">
        <v>105</v>
      </c>
      <c r="C403" s="2">
        <v>19110</v>
      </c>
      <c r="D403" s="2">
        <v>28129</v>
      </c>
      <c r="E403" s="3">
        <v>44649</v>
      </c>
      <c r="F403" s="3">
        <v>44803</v>
      </c>
      <c r="G403" s="4">
        <v>20000</v>
      </c>
      <c r="H403" s="2">
        <v>0</v>
      </c>
      <c r="I403" s="2" t="s">
        <v>206</v>
      </c>
      <c r="J403" s="2" t="s">
        <v>61</v>
      </c>
    </row>
    <row r="404" spans="1:10" x14ac:dyDescent="0.3">
      <c r="A404" s="2" t="s">
        <v>10</v>
      </c>
      <c r="B404" s="2" t="s">
        <v>11</v>
      </c>
      <c r="C404" s="2">
        <v>18007</v>
      </c>
      <c r="D404" s="2">
        <v>27018</v>
      </c>
      <c r="E404" s="3">
        <v>44537</v>
      </c>
      <c r="F404" s="3">
        <v>44803</v>
      </c>
      <c r="G404" s="4">
        <v>144000</v>
      </c>
      <c r="H404" s="2">
        <v>0</v>
      </c>
      <c r="I404" s="2" t="s">
        <v>219</v>
      </c>
      <c r="J404" s="2" t="s">
        <v>13</v>
      </c>
    </row>
    <row r="405" spans="1:10" x14ac:dyDescent="0.3">
      <c r="A405" s="2" t="s">
        <v>129</v>
      </c>
      <c r="B405" s="2" t="s">
        <v>130</v>
      </c>
      <c r="C405" s="2">
        <v>18175</v>
      </c>
      <c r="D405" s="2">
        <v>27186</v>
      </c>
      <c r="E405" s="3">
        <v>44550</v>
      </c>
      <c r="F405" s="3">
        <v>44803</v>
      </c>
      <c r="G405" s="4">
        <v>126000</v>
      </c>
      <c r="H405" s="2">
        <v>0</v>
      </c>
      <c r="I405" s="2" t="s">
        <v>221</v>
      </c>
      <c r="J405" s="2" t="s">
        <v>132</v>
      </c>
    </row>
    <row r="406" spans="1:10" x14ac:dyDescent="0.3">
      <c r="A406" s="2" t="s">
        <v>223</v>
      </c>
      <c r="B406" s="2" t="s">
        <v>15</v>
      </c>
      <c r="C406" s="2">
        <v>18464</v>
      </c>
      <c r="D406" s="2">
        <v>27462</v>
      </c>
      <c r="E406" s="3">
        <v>44580</v>
      </c>
      <c r="F406" s="3">
        <v>44803</v>
      </c>
      <c r="G406" s="4">
        <v>248000</v>
      </c>
      <c r="H406" s="2">
        <v>0</v>
      </c>
      <c r="I406" s="2" t="s">
        <v>224</v>
      </c>
      <c r="J406" s="2" t="s">
        <v>20</v>
      </c>
    </row>
    <row r="407" spans="1:10" x14ac:dyDescent="0.3">
      <c r="A407" s="2" t="s">
        <v>225</v>
      </c>
      <c r="B407" s="2" t="s">
        <v>226</v>
      </c>
      <c r="C407" s="2">
        <v>18632</v>
      </c>
      <c r="D407" s="2">
        <v>27643</v>
      </c>
      <c r="E407" s="3">
        <v>44596</v>
      </c>
      <c r="F407" s="3">
        <v>44803</v>
      </c>
      <c r="G407" s="4">
        <v>4020</v>
      </c>
      <c r="H407" s="2">
        <v>0</v>
      </c>
      <c r="I407" s="2" t="s">
        <v>227</v>
      </c>
      <c r="J407" s="2" t="s">
        <v>61</v>
      </c>
    </row>
    <row r="408" spans="1:10" x14ac:dyDescent="0.3">
      <c r="A408" s="2" t="s">
        <v>25</v>
      </c>
      <c r="B408" s="2" t="s">
        <v>26</v>
      </c>
      <c r="C408" s="2">
        <v>18875</v>
      </c>
      <c r="D408" s="2">
        <v>27893</v>
      </c>
      <c r="E408" s="3">
        <v>44623</v>
      </c>
      <c r="F408" s="3">
        <v>44803</v>
      </c>
      <c r="G408" s="4">
        <v>108000</v>
      </c>
      <c r="H408" s="2">
        <v>0</v>
      </c>
      <c r="I408" s="2" t="s">
        <v>229</v>
      </c>
      <c r="J408" s="2" t="s">
        <v>28</v>
      </c>
    </row>
    <row r="409" spans="1:10" x14ac:dyDescent="0.3">
      <c r="A409" s="2" t="s">
        <v>98</v>
      </c>
      <c r="B409" s="2" t="s">
        <v>99</v>
      </c>
      <c r="C409" s="2">
        <v>18375</v>
      </c>
      <c r="D409" s="2">
        <v>27385</v>
      </c>
      <c r="E409" s="3">
        <v>44574</v>
      </c>
      <c r="F409" s="3">
        <v>44803</v>
      </c>
      <c r="G409" s="4">
        <v>110880</v>
      </c>
      <c r="H409" s="2">
        <v>0</v>
      </c>
      <c r="I409" s="2" t="s">
        <v>251</v>
      </c>
      <c r="J409" s="2" t="s">
        <v>61</v>
      </c>
    </row>
    <row r="410" spans="1:10" x14ac:dyDescent="0.3">
      <c r="A410" s="2" t="s">
        <v>202</v>
      </c>
      <c r="B410" s="2" t="s">
        <v>203</v>
      </c>
      <c r="C410" s="2">
        <v>18643</v>
      </c>
      <c r="D410" s="2">
        <v>27653</v>
      </c>
      <c r="E410" s="3">
        <v>44596</v>
      </c>
      <c r="F410" s="3">
        <v>44803</v>
      </c>
      <c r="G410" s="4">
        <v>29300</v>
      </c>
      <c r="H410" s="2">
        <v>0</v>
      </c>
      <c r="I410" s="2" t="s">
        <v>253</v>
      </c>
      <c r="J410" s="2" t="s">
        <v>61</v>
      </c>
    </row>
    <row r="411" spans="1:10" x14ac:dyDescent="0.3">
      <c r="A411" s="2" t="s">
        <v>258</v>
      </c>
      <c r="B411" s="2" t="s">
        <v>259</v>
      </c>
      <c r="C411" s="2">
        <v>19086</v>
      </c>
      <c r="D411" s="2">
        <v>28105</v>
      </c>
      <c r="E411" s="3">
        <v>44648</v>
      </c>
      <c r="F411" s="3">
        <v>44803</v>
      </c>
      <c r="G411" s="4">
        <v>165500</v>
      </c>
      <c r="H411" s="2">
        <v>0</v>
      </c>
      <c r="I411" s="2" t="s">
        <v>260</v>
      </c>
      <c r="J411" s="2" t="s">
        <v>13</v>
      </c>
    </row>
    <row r="412" spans="1:10" x14ac:dyDescent="0.3">
      <c r="A412" s="2" t="s">
        <v>271</v>
      </c>
      <c r="B412" s="2" t="s">
        <v>272</v>
      </c>
      <c r="C412" s="2">
        <v>17911</v>
      </c>
      <c r="D412" s="2">
        <v>26924</v>
      </c>
      <c r="E412" s="3">
        <v>44532</v>
      </c>
      <c r="F412" s="3">
        <v>44803</v>
      </c>
      <c r="G412" s="4">
        <v>25200</v>
      </c>
      <c r="H412" s="2">
        <v>0</v>
      </c>
      <c r="I412" s="2" t="s">
        <v>273</v>
      </c>
      <c r="J412" s="2" t="s">
        <v>13</v>
      </c>
    </row>
    <row r="413" spans="1:10" x14ac:dyDescent="0.3">
      <c r="A413" s="2" t="s">
        <v>58</v>
      </c>
      <c r="B413" s="2" t="s">
        <v>59</v>
      </c>
      <c r="C413" s="2">
        <v>18577</v>
      </c>
      <c r="D413" s="2">
        <v>27586</v>
      </c>
      <c r="E413" s="3">
        <v>44592</v>
      </c>
      <c r="F413" s="3">
        <v>44803</v>
      </c>
      <c r="G413" s="4">
        <v>209605</v>
      </c>
      <c r="H413" s="2">
        <v>0</v>
      </c>
      <c r="I413" s="2" t="s">
        <v>285</v>
      </c>
      <c r="J413" s="2" t="s">
        <v>61</v>
      </c>
    </row>
    <row r="414" spans="1:10" x14ac:dyDescent="0.3">
      <c r="A414" s="2" t="s">
        <v>58</v>
      </c>
      <c r="B414" s="2" t="s">
        <v>59</v>
      </c>
      <c r="C414" s="2">
        <v>18694</v>
      </c>
      <c r="D414" s="2">
        <v>27707</v>
      </c>
      <c r="E414" s="3">
        <v>44601</v>
      </c>
      <c r="F414" s="3">
        <v>44803</v>
      </c>
      <c r="G414" s="4">
        <v>209605</v>
      </c>
      <c r="H414" s="2">
        <v>0</v>
      </c>
      <c r="I414" s="2" t="s">
        <v>288</v>
      </c>
      <c r="J414" s="2" t="s">
        <v>61</v>
      </c>
    </row>
    <row r="415" spans="1:10" x14ac:dyDescent="0.3">
      <c r="A415" s="2" t="s">
        <v>114</v>
      </c>
      <c r="B415" s="2" t="s">
        <v>115</v>
      </c>
      <c r="C415" s="2">
        <v>19438</v>
      </c>
      <c r="D415" s="2">
        <v>28491</v>
      </c>
      <c r="E415" s="3">
        <v>44683</v>
      </c>
      <c r="F415" s="3">
        <v>44803</v>
      </c>
      <c r="G415" s="4">
        <v>39713.42</v>
      </c>
      <c r="H415" s="2">
        <v>0</v>
      </c>
      <c r="I415" s="2" t="s">
        <v>302</v>
      </c>
      <c r="J415" s="2" t="s">
        <v>28</v>
      </c>
    </row>
    <row r="416" spans="1:10" x14ac:dyDescent="0.3">
      <c r="A416" s="2" t="s">
        <v>88</v>
      </c>
      <c r="B416" s="2" t="s">
        <v>89</v>
      </c>
      <c r="C416" s="2">
        <v>18122</v>
      </c>
      <c r="D416" s="2">
        <v>27135</v>
      </c>
      <c r="E416" s="3">
        <v>44546</v>
      </c>
      <c r="F416" s="3">
        <v>44803</v>
      </c>
      <c r="G416" s="4">
        <v>183150</v>
      </c>
      <c r="H416" s="2">
        <v>0</v>
      </c>
      <c r="I416" s="2" t="s">
        <v>309</v>
      </c>
      <c r="J416" s="2" t="s">
        <v>44</v>
      </c>
    </row>
    <row r="417" spans="1:10" x14ac:dyDescent="0.3">
      <c r="A417" s="2" t="s">
        <v>133</v>
      </c>
      <c r="B417" s="2" t="s">
        <v>134</v>
      </c>
      <c r="C417" s="2">
        <v>18124</v>
      </c>
      <c r="D417" s="2">
        <v>27137</v>
      </c>
      <c r="E417" s="3">
        <v>44546</v>
      </c>
      <c r="F417" s="3">
        <v>44803</v>
      </c>
      <c r="G417" s="4">
        <v>242500</v>
      </c>
      <c r="H417" s="2">
        <v>0</v>
      </c>
      <c r="I417" s="2" t="s">
        <v>310</v>
      </c>
      <c r="J417" s="2" t="s">
        <v>20</v>
      </c>
    </row>
    <row r="418" spans="1:10" x14ac:dyDescent="0.3">
      <c r="A418" s="2" t="s">
        <v>315</v>
      </c>
      <c r="B418" s="2" t="s">
        <v>316</v>
      </c>
      <c r="C418" s="2">
        <v>18581</v>
      </c>
      <c r="D418" s="2">
        <v>27592</v>
      </c>
      <c r="E418" s="3">
        <v>44593</v>
      </c>
      <c r="F418" s="3">
        <v>44803</v>
      </c>
      <c r="G418" s="4">
        <v>23300</v>
      </c>
      <c r="H418" s="2">
        <v>0</v>
      </c>
      <c r="I418" s="2" t="s">
        <v>317</v>
      </c>
      <c r="J418" s="2" t="s">
        <v>81</v>
      </c>
    </row>
    <row r="419" spans="1:10" x14ac:dyDescent="0.3">
      <c r="A419" s="2" t="s">
        <v>25</v>
      </c>
      <c r="B419" s="2" t="s">
        <v>26</v>
      </c>
      <c r="C419" s="2">
        <v>18885</v>
      </c>
      <c r="D419" s="2">
        <v>27901</v>
      </c>
      <c r="E419" s="3">
        <v>44623</v>
      </c>
      <c r="F419" s="3">
        <v>44803</v>
      </c>
      <c r="G419" s="4">
        <v>64800</v>
      </c>
      <c r="H419" s="2">
        <v>0</v>
      </c>
      <c r="I419" s="2" t="s">
        <v>320</v>
      </c>
      <c r="J419" s="2" t="s">
        <v>28</v>
      </c>
    </row>
    <row r="420" spans="1:10" x14ac:dyDescent="0.3">
      <c r="A420" s="2" t="s">
        <v>88</v>
      </c>
      <c r="B420" s="2" t="s">
        <v>89</v>
      </c>
      <c r="C420" s="2">
        <v>19017</v>
      </c>
      <c r="D420" s="2">
        <v>28030</v>
      </c>
      <c r="E420" s="3">
        <v>44638</v>
      </c>
      <c r="F420" s="3">
        <v>44803</v>
      </c>
      <c r="G420" s="4">
        <v>158400</v>
      </c>
      <c r="H420" s="2">
        <v>0</v>
      </c>
      <c r="I420" s="2" t="s">
        <v>321</v>
      </c>
      <c r="J420" s="2" t="s">
        <v>44</v>
      </c>
    </row>
    <row r="421" spans="1:10" x14ac:dyDescent="0.3">
      <c r="A421" s="2" t="s">
        <v>271</v>
      </c>
      <c r="B421" s="2" t="s">
        <v>272</v>
      </c>
      <c r="C421" s="2">
        <v>18620</v>
      </c>
      <c r="D421" s="2">
        <v>27630</v>
      </c>
      <c r="E421" s="3">
        <v>44596</v>
      </c>
      <c r="F421" s="3">
        <v>44803</v>
      </c>
      <c r="G421" s="4">
        <v>167328</v>
      </c>
      <c r="H421" s="2">
        <v>0</v>
      </c>
      <c r="I421" s="2" t="s">
        <v>330</v>
      </c>
      <c r="J421" s="2" t="s">
        <v>13</v>
      </c>
    </row>
    <row r="422" spans="1:10" x14ac:dyDescent="0.3">
      <c r="A422" s="2" t="s">
        <v>58</v>
      </c>
      <c r="B422" s="2" t="s">
        <v>59</v>
      </c>
      <c r="C422" s="2">
        <v>18705</v>
      </c>
      <c r="D422" s="2">
        <v>27718</v>
      </c>
      <c r="E422" s="3">
        <v>44602</v>
      </c>
      <c r="F422" s="3">
        <v>44803</v>
      </c>
      <c r="G422" s="4">
        <v>245500</v>
      </c>
      <c r="H422" s="2">
        <v>0</v>
      </c>
      <c r="I422" s="2" t="s">
        <v>332</v>
      </c>
      <c r="J422" s="2" t="s">
        <v>61</v>
      </c>
    </row>
    <row r="423" spans="1:10" x14ac:dyDescent="0.3">
      <c r="A423" s="2" t="s">
        <v>345</v>
      </c>
      <c r="B423" s="2" t="s">
        <v>162</v>
      </c>
      <c r="C423" s="2">
        <v>16973</v>
      </c>
      <c r="D423" s="2">
        <v>25970</v>
      </c>
      <c r="E423" s="3">
        <v>44462</v>
      </c>
      <c r="F423" s="3">
        <v>44803</v>
      </c>
      <c r="G423" s="4">
        <v>28772.6</v>
      </c>
      <c r="H423" s="2">
        <v>0</v>
      </c>
      <c r="I423" s="2" t="s">
        <v>346</v>
      </c>
      <c r="J423" s="2" t="s">
        <v>164</v>
      </c>
    </row>
    <row r="424" spans="1:10" x14ac:dyDescent="0.3">
      <c r="A424" s="2" t="s">
        <v>133</v>
      </c>
      <c r="B424" s="2" t="s">
        <v>134</v>
      </c>
      <c r="C424" s="2">
        <v>18462</v>
      </c>
      <c r="D424" s="2">
        <v>27460</v>
      </c>
      <c r="E424" s="3">
        <v>44580</v>
      </c>
      <c r="F424" s="3">
        <v>44803</v>
      </c>
      <c r="G424" s="4">
        <v>8960</v>
      </c>
      <c r="H424" s="2">
        <v>0</v>
      </c>
      <c r="I424" s="2" t="s">
        <v>348</v>
      </c>
      <c r="J424" s="2" t="s">
        <v>20</v>
      </c>
    </row>
    <row r="425" spans="1:10" x14ac:dyDescent="0.3">
      <c r="A425" s="2" t="s">
        <v>10</v>
      </c>
      <c r="B425" s="2" t="s">
        <v>11</v>
      </c>
      <c r="C425" s="2">
        <v>18747</v>
      </c>
      <c r="D425" s="2">
        <v>27766</v>
      </c>
      <c r="E425" s="3">
        <v>44609</v>
      </c>
      <c r="F425" s="3">
        <v>44803</v>
      </c>
      <c r="G425" s="4">
        <v>63000</v>
      </c>
      <c r="H425" s="2">
        <v>0</v>
      </c>
      <c r="I425" s="2" t="s">
        <v>352</v>
      </c>
      <c r="J425" s="2" t="s">
        <v>13</v>
      </c>
    </row>
    <row r="426" spans="1:10" x14ac:dyDescent="0.3">
      <c r="A426" s="2" t="s">
        <v>25</v>
      </c>
      <c r="B426" s="2" t="s">
        <v>26</v>
      </c>
      <c r="C426" s="2">
        <v>18881</v>
      </c>
      <c r="D426" s="2">
        <v>27898</v>
      </c>
      <c r="E426" s="3">
        <v>44623</v>
      </c>
      <c r="F426" s="3">
        <v>44803</v>
      </c>
      <c r="G426" s="4">
        <v>32445</v>
      </c>
      <c r="H426" s="2">
        <v>0</v>
      </c>
      <c r="I426" s="2" t="s">
        <v>353</v>
      </c>
      <c r="J426" s="2" t="s">
        <v>28</v>
      </c>
    </row>
    <row r="427" spans="1:10" x14ac:dyDescent="0.3">
      <c r="A427" s="2" t="s">
        <v>58</v>
      </c>
      <c r="B427" s="2" t="s">
        <v>59</v>
      </c>
      <c r="C427" s="2">
        <v>19113</v>
      </c>
      <c r="D427" s="2">
        <v>28132</v>
      </c>
      <c r="E427" s="3">
        <v>44649</v>
      </c>
      <c r="F427" s="3">
        <v>44803</v>
      </c>
      <c r="G427" s="2">
        <v>800</v>
      </c>
      <c r="H427" s="2">
        <v>0</v>
      </c>
      <c r="I427" s="2" t="s">
        <v>356</v>
      </c>
      <c r="J427" s="2" t="s">
        <v>61</v>
      </c>
    </row>
    <row r="428" spans="1:10" x14ac:dyDescent="0.3">
      <c r="A428" s="2" t="s">
        <v>199</v>
      </c>
      <c r="B428" s="2" t="s">
        <v>200</v>
      </c>
      <c r="C428" s="2">
        <v>18468</v>
      </c>
      <c r="D428" s="2">
        <v>27467</v>
      </c>
      <c r="E428" s="3">
        <v>44580</v>
      </c>
      <c r="F428" s="3">
        <v>44803</v>
      </c>
      <c r="G428" s="4">
        <v>153600</v>
      </c>
      <c r="H428" s="2">
        <v>0</v>
      </c>
      <c r="I428" s="2" t="s">
        <v>370</v>
      </c>
      <c r="J428" s="2" t="s">
        <v>94</v>
      </c>
    </row>
    <row r="429" spans="1:10" x14ac:dyDescent="0.3">
      <c r="A429" s="2" t="s">
        <v>78</v>
      </c>
      <c r="B429" s="2" t="s">
        <v>79</v>
      </c>
      <c r="C429" s="2">
        <v>18839</v>
      </c>
      <c r="D429" s="2">
        <v>27859</v>
      </c>
      <c r="E429" s="3">
        <v>44616</v>
      </c>
      <c r="F429" s="3">
        <v>44803</v>
      </c>
      <c r="G429" s="4">
        <v>46464</v>
      </c>
      <c r="H429" s="2">
        <v>0</v>
      </c>
      <c r="I429" s="2" t="s">
        <v>375</v>
      </c>
      <c r="J429" s="2" t="s">
        <v>81</v>
      </c>
    </row>
    <row r="430" spans="1:10" x14ac:dyDescent="0.3">
      <c r="A430" s="2" t="s">
        <v>248</v>
      </c>
      <c r="B430" s="2" t="s">
        <v>249</v>
      </c>
      <c r="C430" s="2">
        <v>19003</v>
      </c>
      <c r="D430" s="2">
        <v>28013</v>
      </c>
      <c r="E430" s="3">
        <v>44636</v>
      </c>
      <c r="F430" s="3">
        <v>44803</v>
      </c>
      <c r="G430" s="4">
        <v>11307.8</v>
      </c>
      <c r="H430" s="2">
        <v>0</v>
      </c>
      <c r="I430" s="2" t="s">
        <v>377</v>
      </c>
      <c r="J430" s="2" t="s">
        <v>164</v>
      </c>
    </row>
    <row r="431" spans="1:10" x14ac:dyDescent="0.3">
      <c r="A431" s="2" t="s">
        <v>248</v>
      </c>
      <c r="B431" s="2" t="s">
        <v>249</v>
      </c>
      <c r="C431" s="2">
        <v>19004</v>
      </c>
      <c r="D431" s="2">
        <v>28014</v>
      </c>
      <c r="E431" s="3">
        <v>44636</v>
      </c>
      <c r="F431" s="3">
        <v>44803</v>
      </c>
      <c r="G431" s="4">
        <v>4132.8</v>
      </c>
      <c r="H431" s="2">
        <v>0</v>
      </c>
      <c r="I431" s="2" t="s">
        <v>378</v>
      </c>
      <c r="J431" s="2" t="s">
        <v>164</v>
      </c>
    </row>
    <row r="432" spans="1:10" x14ac:dyDescent="0.3">
      <c r="A432" s="2" t="s">
        <v>258</v>
      </c>
      <c r="B432" s="2" t="s">
        <v>259</v>
      </c>
      <c r="C432" s="2">
        <v>19140</v>
      </c>
      <c r="D432" s="2">
        <v>28159</v>
      </c>
      <c r="E432" s="3">
        <v>44650</v>
      </c>
      <c r="F432" s="3">
        <v>44803</v>
      </c>
      <c r="G432" s="4">
        <v>26000</v>
      </c>
      <c r="H432" s="2">
        <v>0</v>
      </c>
      <c r="I432" s="2" t="s">
        <v>379</v>
      </c>
      <c r="J432" s="2" t="s">
        <v>13</v>
      </c>
    </row>
    <row r="433" spans="1:10" x14ac:dyDescent="0.3">
      <c r="A433" s="2" t="s">
        <v>315</v>
      </c>
      <c r="B433" s="2" t="s">
        <v>316</v>
      </c>
      <c r="C433" s="2">
        <v>19153</v>
      </c>
      <c r="D433" s="2">
        <v>28172</v>
      </c>
      <c r="E433" s="3">
        <v>44651</v>
      </c>
      <c r="F433" s="3">
        <v>44803</v>
      </c>
      <c r="G433" s="4">
        <v>20160</v>
      </c>
      <c r="H433" s="2">
        <v>0</v>
      </c>
      <c r="I433" s="2" t="s">
        <v>380</v>
      </c>
      <c r="J433" s="2" t="s">
        <v>81</v>
      </c>
    </row>
    <row r="434" spans="1:10" x14ac:dyDescent="0.3">
      <c r="A434" s="2" t="s">
        <v>393</v>
      </c>
      <c r="B434" s="2" t="s">
        <v>203</v>
      </c>
      <c r="C434" s="2">
        <v>16583</v>
      </c>
      <c r="D434" s="2">
        <v>25548</v>
      </c>
      <c r="E434" s="3">
        <v>44427</v>
      </c>
      <c r="F434" s="3">
        <v>44803</v>
      </c>
      <c r="G434" s="4">
        <v>374945</v>
      </c>
      <c r="H434" s="2">
        <v>0</v>
      </c>
      <c r="I434" s="2" t="s">
        <v>394</v>
      </c>
      <c r="J434" s="2" t="s">
        <v>61</v>
      </c>
    </row>
    <row r="435" spans="1:10" x14ac:dyDescent="0.3">
      <c r="A435" s="2" t="s">
        <v>345</v>
      </c>
      <c r="B435" s="2" t="s">
        <v>162</v>
      </c>
      <c r="C435" s="2">
        <v>16947</v>
      </c>
      <c r="D435" s="2">
        <v>25941</v>
      </c>
      <c r="E435" s="3">
        <v>44461</v>
      </c>
      <c r="F435" s="3">
        <v>44803</v>
      </c>
      <c r="G435" s="4">
        <v>4365</v>
      </c>
      <c r="H435" s="2">
        <v>0</v>
      </c>
      <c r="I435" s="2" t="s">
        <v>395</v>
      </c>
      <c r="J435" s="2" t="s">
        <v>164</v>
      </c>
    </row>
    <row r="436" spans="1:10" x14ac:dyDescent="0.3">
      <c r="A436" s="2" t="s">
        <v>10</v>
      </c>
      <c r="B436" s="2" t="s">
        <v>11</v>
      </c>
      <c r="C436" s="2">
        <v>17551</v>
      </c>
      <c r="D436" s="2">
        <v>26558</v>
      </c>
      <c r="E436" s="3">
        <v>44501</v>
      </c>
      <c r="F436" s="3">
        <v>44803</v>
      </c>
      <c r="G436" s="4">
        <v>40000</v>
      </c>
      <c r="H436" s="2">
        <v>0</v>
      </c>
      <c r="I436" s="2" t="s">
        <v>397</v>
      </c>
      <c r="J436" s="2" t="s">
        <v>13</v>
      </c>
    </row>
    <row r="437" spans="1:10" x14ac:dyDescent="0.3">
      <c r="A437" s="2" t="s">
        <v>129</v>
      </c>
      <c r="B437" s="2" t="s">
        <v>130</v>
      </c>
      <c r="C437" s="2">
        <v>17951</v>
      </c>
      <c r="D437" s="2">
        <v>26965</v>
      </c>
      <c r="E437" s="3">
        <v>44533</v>
      </c>
      <c r="F437" s="3">
        <v>44803</v>
      </c>
      <c r="G437" s="4">
        <v>140000</v>
      </c>
      <c r="H437" s="2">
        <v>0</v>
      </c>
      <c r="I437" s="2" t="s">
        <v>399</v>
      </c>
      <c r="J437" s="2" t="s">
        <v>132</v>
      </c>
    </row>
    <row r="438" spans="1:10" x14ac:dyDescent="0.3">
      <c r="A438" s="2" t="s">
        <v>88</v>
      </c>
      <c r="B438" s="2" t="s">
        <v>89</v>
      </c>
      <c r="C438" s="2">
        <v>18070</v>
      </c>
      <c r="D438" s="2">
        <v>27085</v>
      </c>
      <c r="E438" s="3">
        <v>44543</v>
      </c>
      <c r="F438" s="3">
        <v>44803</v>
      </c>
      <c r="G438" s="4">
        <v>158400</v>
      </c>
      <c r="H438" s="2">
        <v>0</v>
      </c>
      <c r="I438" s="2" t="s">
        <v>400</v>
      </c>
      <c r="J438" s="2" t="s">
        <v>44</v>
      </c>
    </row>
    <row r="439" spans="1:10" x14ac:dyDescent="0.3">
      <c r="A439" s="2" t="s">
        <v>10</v>
      </c>
      <c r="B439" s="2" t="s">
        <v>11</v>
      </c>
      <c r="C439" s="2">
        <v>18008</v>
      </c>
      <c r="D439" s="2">
        <v>27019</v>
      </c>
      <c r="E439" s="3">
        <v>44537</v>
      </c>
      <c r="F439" s="3">
        <v>44803</v>
      </c>
      <c r="G439" s="4">
        <v>144000</v>
      </c>
      <c r="H439" s="2">
        <v>0</v>
      </c>
      <c r="I439" s="2" t="s">
        <v>415</v>
      </c>
      <c r="J439" s="2" t="s">
        <v>13</v>
      </c>
    </row>
    <row r="440" spans="1:10" x14ac:dyDescent="0.3">
      <c r="A440" s="2" t="s">
        <v>417</v>
      </c>
      <c r="B440" s="2" t="s">
        <v>418</v>
      </c>
      <c r="C440" s="2">
        <v>18233</v>
      </c>
      <c r="D440" s="2">
        <v>27245</v>
      </c>
      <c r="E440" s="3">
        <v>44564</v>
      </c>
      <c r="F440" s="3">
        <v>44803</v>
      </c>
      <c r="G440" s="4">
        <v>173530</v>
      </c>
      <c r="H440" s="2">
        <v>0</v>
      </c>
      <c r="I440" s="2" t="s">
        <v>419</v>
      </c>
      <c r="J440" s="2" t="s">
        <v>61</v>
      </c>
    </row>
    <row r="441" spans="1:10" x14ac:dyDescent="0.3">
      <c r="A441" s="2" t="s">
        <v>223</v>
      </c>
      <c r="B441" s="2" t="s">
        <v>15</v>
      </c>
      <c r="C441" s="2">
        <v>18465</v>
      </c>
      <c r="D441" s="2">
        <v>27463</v>
      </c>
      <c r="E441" s="3">
        <v>44580</v>
      </c>
      <c r="F441" s="3">
        <v>44803</v>
      </c>
      <c r="G441" s="4">
        <v>248000</v>
      </c>
      <c r="H441" s="2">
        <v>0</v>
      </c>
      <c r="I441" s="2" t="s">
        <v>421</v>
      </c>
      <c r="J441" s="2" t="s">
        <v>20</v>
      </c>
    </row>
    <row r="442" spans="1:10" x14ac:dyDescent="0.3">
      <c r="A442" s="2" t="s">
        <v>422</v>
      </c>
      <c r="B442" s="2" t="s">
        <v>423</v>
      </c>
      <c r="C442" s="2">
        <v>18631</v>
      </c>
      <c r="D442" s="2">
        <v>27642</v>
      </c>
      <c r="E442" s="3">
        <v>44596</v>
      </c>
      <c r="F442" s="3">
        <v>44803</v>
      </c>
      <c r="G442" s="4">
        <v>3000</v>
      </c>
      <c r="H442" s="2">
        <v>0</v>
      </c>
      <c r="I442" s="2" t="s">
        <v>424</v>
      </c>
      <c r="J442" s="2" t="s">
        <v>61</v>
      </c>
    </row>
    <row r="443" spans="1:10" x14ac:dyDescent="0.3">
      <c r="A443" s="2" t="s">
        <v>202</v>
      </c>
      <c r="B443" s="2" t="s">
        <v>203</v>
      </c>
      <c r="C443" s="2">
        <v>18735</v>
      </c>
      <c r="D443" s="2">
        <v>27751</v>
      </c>
      <c r="E443" s="3">
        <v>44607</v>
      </c>
      <c r="F443" s="3">
        <v>44803</v>
      </c>
      <c r="G443" s="4">
        <v>205100</v>
      </c>
      <c r="H443" s="2">
        <v>0</v>
      </c>
      <c r="I443" s="2" t="s">
        <v>425</v>
      </c>
      <c r="J443" s="2" t="s">
        <v>61</v>
      </c>
    </row>
    <row r="444" spans="1:10" x14ac:dyDescent="0.3">
      <c r="A444" s="2" t="s">
        <v>315</v>
      </c>
      <c r="B444" s="2" t="s">
        <v>316</v>
      </c>
      <c r="C444" s="2">
        <v>19101</v>
      </c>
      <c r="D444" s="2">
        <v>28118</v>
      </c>
      <c r="E444" s="3">
        <v>44649</v>
      </c>
      <c r="F444" s="3">
        <v>44803</v>
      </c>
      <c r="G444" s="4">
        <v>222222</v>
      </c>
      <c r="H444" s="2">
        <v>0</v>
      </c>
      <c r="I444" s="2" t="s">
        <v>430</v>
      </c>
      <c r="J444" s="2" t="s">
        <v>81</v>
      </c>
    </row>
    <row r="445" spans="1:10" x14ac:dyDescent="0.3">
      <c r="A445" s="2" t="s">
        <v>88</v>
      </c>
      <c r="B445" s="2" t="s">
        <v>89</v>
      </c>
      <c r="C445" s="2">
        <v>18143</v>
      </c>
      <c r="D445" s="2">
        <v>27155</v>
      </c>
      <c r="E445" s="3">
        <v>44547</v>
      </c>
      <c r="F445" s="3">
        <v>44803</v>
      </c>
      <c r="G445" s="4">
        <v>158400</v>
      </c>
      <c r="H445" s="2">
        <v>0</v>
      </c>
      <c r="I445" s="2" t="s">
        <v>438</v>
      </c>
      <c r="J445" s="2" t="s">
        <v>44</v>
      </c>
    </row>
    <row r="446" spans="1:10" x14ac:dyDescent="0.3">
      <c r="A446" s="2" t="s">
        <v>199</v>
      </c>
      <c r="B446" s="2" t="s">
        <v>200</v>
      </c>
      <c r="C446" s="2">
        <v>18477</v>
      </c>
      <c r="D446" s="2">
        <v>27475</v>
      </c>
      <c r="E446" s="3">
        <v>44581</v>
      </c>
      <c r="F446" s="3">
        <v>44803</v>
      </c>
      <c r="G446" s="4">
        <v>53200</v>
      </c>
      <c r="H446" s="2">
        <v>0</v>
      </c>
      <c r="I446" s="2" t="s">
        <v>439</v>
      </c>
      <c r="J446" s="2" t="s">
        <v>94</v>
      </c>
    </row>
    <row r="447" spans="1:10" x14ac:dyDescent="0.3">
      <c r="A447" s="2" t="s">
        <v>104</v>
      </c>
      <c r="B447" s="2" t="s">
        <v>105</v>
      </c>
      <c r="C447" s="2">
        <v>19096</v>
      </c>
      <c r="D447" s="2">
        <v>28113</v>
      </c>
      <c r="E447" s="3">
        <v>44648</v>
      </c>
      <c r="F447" s="3">
        <v>44803</v>
      </c>
      <c r="G447" s="4">
        <v>225530</v>
      </c>
      <c r="H447" s="2">
        <v>0</v>
      </c>
      <c r="I447" s="2" t="s">
        <v>445</v>
      </c>
      <c r="J447" s="2" t="s">
        <v>61</v>
      </c>
    </row>
    <row r="448" spans="1:10" x14ac:dyDescent="0.3">
      <c r="A448" s="2" t="s">
        <v>271</v>
      </c>
      <c r="B448" s="2" t="s">
        <v>272</v>
      </c>
      <c r="C448" s="2">
        <v>18622</v>
      </c>
      <c r="D448" s="2">
        <v>27632</v>
      </c>
      <c r="E448" s="3">
        <v>44596</v>
      </c>
      <c r="F448" s="3">
        <v>44803</v>
      </c>
      <c r="G448" s="4">
        <v>2630</v>
      </c>
      <c r="H448" s="2">
        <v>0</v>
      </c>
      <c r="I448" s="2" t="s">
        <v>450</v>
      </c>
      <c r="J448" s="2" t="s">
        <v>13</v>
      </c>
    </row>
    <row r="449" spans="1:10" x14ac:dyDescent="0.3">
      <c r="A449" s="2" t="s">
        <v>58</v>
      </c>
      <c r="B449" s="2" t="s">
        <v>59</v>
      </c>
      <c r="C449" s="2">
        <v>18846</v>
      </c>
      <c r="D449" s="2">
        <v>27867</v>
      </c>
      <c r="E449" s="3">
        <v>44617</v>
      </c>
      <c r="F449" s="3">
        <v>44803</v>
      </c>
      <c r="G449" s="4">
        <v>181670</v>
      </c>
      <c r="H449" s="2">
        <v>0</v>
      </c>
      <c r="I449" s="2" t="s">
        <v>460</v>
      </c>
      <c r="J449" s="2" t="s">
        <v>61</v>
      </c>
    </row>
    <row r="450" spans="1:10" x14ac:dyDescent="0.3">
      <c r="A450" s="2" t="s">
        <v>104</v>
      </c>
      <c r="B450" s="2" t="s">
        <v>105</v>
      </c>
      <c r="C450" s="2">
        <v>19095</v>
      </c>
      <c r="D450" s="2">
        <v>28112</v>
      </c>
      <c r="E450" s="3">
        <v>44648</v>
      </c>
      <c r="F450" s="3">
        <v>44803</v>
      </c>
      <c r="G450" s="4">
        <v>219595</v>
      </c>
      <c r="H450" s="2">
        <v>0</v>
      </c>
      <c r="I450" s="2" t="s">
        <v>462</v>
      </c>
      <c r="J450" s="2" t="s">
        <v>61</v>
      </c>
    </row>
    <row r="451" spans="1:10" x14ac:dyDescent="0.3">
      <c r="A451" s="2" t="s">
        <v>223</v>
      </c>
      <c r="B451" s="2" t="s">
        <v>15</v>
      </c>
      <c r="C451" s="2">
        <v>18089</v>
      </c>
      <c r="D451" s="2">
        <v>27101</v>
      </c>
      <c r="E451" s="3">
        <v>44544</v>
      </c>
      <c r="F451" s="3">
        <v>44803</v>
      </c>
      <c r="G451" s="4">
        <v>248000</v>
      </c>
      <c r="H451" s="2">
        <v>0</v>
      </c>
      <c r="I451" s="2" t="s">
        <v>473</v>
      </c>
      <c r="J451" s="2" t="s">
        <v>20</v>
      </c>
    </row>
    <row r="452" spans="1:10" x14ac:dyDescent="0.3">
      <c r="A452" s="2" t="s">
        <v>88</v>
      </c>
      <c r="B452" s="2" t="s">
        <v>89</v>
      </c>
      <c r="C452" s="2">
        <v>18100</v>
      </c>
      <c r="D452" s="2">
        <v>27112</v>
      </c>
      <c r="E452" s="3">
        <v>44544</v>
      </c>
      <c r="F452" s="3">
        <v>44803</v>
      </c>
      <c r="G452" s="4">
        <v>158400</v>
      </c>
      <c r="H452" s="2">
        <v>0</v>
      </c>
      <c r="I452" s="2" t="s">
        <v>474</v>
      </c>
      <c r="J452" s="2" t="s">
        <v>44</v>
      </c>
    </row>
    <row r="453" spans="1:10" x14ac:dyDescent="0.3">
      <c r="A453" s="2" t="s">
        <v>10</v>
      </c>
      <c r="B453" s="2" t="s">
        <v>11</v>
      </c>
      <c r="C453" s="2">
        <v>18264</v>
      </c>
      <c r="D453" s="2">
        <v>27272</v>
      </c>
      <c r="E453" s="3">
        <v>44566</v>
      </c>
      <c r="F453" s="3">
        <v>44803</v>
      </c>
      <c r="G453" s="4">
        <v>9084</v>
      </c>
      <c r="H453" s="2">
        <v>0</v>
      </c>
      <c r="I453" s="2" t="s">
        <v>475</v>
      </c>
      <c r="J453" s="2" t="s">
        <v>13</v>
      </c>
    </row>
    <row r="454" spans="1:10" x14ac:dyDescent="0.3">
      <c r="A454" s="2" t="s">
        <v>10</v>
      </c>
      <c r="B454" s="2" t="s">
        <v>11</v>
      </c>
      <c r="C454" s="2">
        <v>18589</v>
      </c>
      <c r="D454" s="2">
        <v>27598</v>
      </c>
      <c r="E454" s="3">
        <v>44593</v>
      </c>
      <c r="F454" s="3">
        <v>44803</v>
      </c>
      <c r="G454" s="4">
        <v>150000</v>
      </c>
      <c r="H454" s="2">
        <v>0</v>
      </c>
      <c r="I454" s="2" t="s">
        <v>477</v>
      </c>
      <c r="J454" s="2" t="s">
        <v>13</v>
      </c>
    </row>
    <row r="455" spans="1:10" x14ac:dyDescent="0.3">
      <c r="A455" s="2" t="s">
        <v>225</v>
      </c>
      <c r="B455" s="2" t="s">
        <v>226</v>
      </c>
      <c r="C455" s="2">
        <v>18704</v>
      </c>
      <c r="D455" s="2">
        <v>27717</v>
      </c>
      <c r="E455" s="3">
        <v>44602</v>
      </c>
      <c r="F455" s="3">
        <v>44803</v>
      </c>
      <c r="G455" s="4">
        <v>228364</v>
      </c>
      <c r="H455" s="2">
        <v>0</v>
      </c>
      <c r="I455" s="2" t="s">
        <v>490</v>
      </c>
      <c r="J455" s="2" t="s">
        <v>61</v>
      </c>
    </row>
    <row r="456" spans="1:10" x14ac:dyDescent="0.3">
      <c r="A456" s="2" t="s">
        <v>58</v>
      </c>
      <c r="B456" s="2" t="s">
        <v>59</v>
      </c>
      <c r="C456" s="2">
        <v>18736</v>
      </c>
      <c r="D456" s="2">
        <v>27752</v>
      </c>
      <c r="E456" s="3">
        <v>44607</v>
      </c>
      <c r="F456" s="3">
        <v>44803</v>
      </c>
      <c r="G456" s="4">
        <v>186580</v>
      </c>
      <c r="H456" s="2">
        <v>0</v>
      </c>
      <c r="I456" s="2" t="s">
        <v>491</v>
      </c>
      <c r="J456" s="2" t="s">
        <v>61</v>
      </c>
    </row>
    <row r="457" spans="1:10" x14ac:dyDescent="0.3">
      <c r="A457" s="2" t="s">
        <v>58</v>
      </c>
      <c r="B457" s="2" t="s">
        <v>59</v>
      </c>
      <c r="C457" s="2">
        <v>18786</v>
      </c>
      <c r="D457" s="2">
        <v>27806</v>
      </c>
      <c r="E457" s="3">
        <v>44614</v>
      </c>
      <c r="F457" s="3">
        <v>44803</v>
      </c>
      <c r="G457" s="4">
        <v>181670</v>
      </c>
      <c r="H457" s="2">
        <v>0</v>
      </c>
      <c r="I457" s="2" t="s">
        <v>492</v>
      </c>
      <c r="J457" s="2" t="s">
        <v>61</v>
      </c>
    </row>
    <row r="458" spans="1:10" x14ac:dyDescent="0.3">
      <c r="A458" s="2" t="s">
        <v>274</v>
      </c>
      <c r="B458" s="2" t="s">
        <v>275</v>
      </c>
      <c r="C458" s="2">
        <v>19103</v>
      </c>
      <c r="D458" s="2">
        <v>28120</v>
      </c>
      <c r="E458" s="3">
        <v>44649</v>
      </c>
      <c r="F458" s="3">
        <v>44803</v>
      </c>
      <c r="G458" s="4">
        <v>31300</v>
      </c>
      <c r="H458" s="2">
        <v>0</v>
      </c>
      <c r="I458" s="2" t="s">
        <v>495</v>
      </c>
      <c r="J458" s="2" t="s">
        <v>36</v>
      </c>
    </row>
    <row r="459" spans="1:10" x14ac:dyDescent="0.3">
      <c r="A459" s="2" t="s">
        <v>129</v>
      </c>
      <c r="B459" s="2" t="s">
        <v>130</v>
      </c>
      <c r="C459" s="2">
        <v>17960</v>
      </c>
      <c r="D459" s="2">
        <v>26975</v>
      </c>
      <c r="E459" s="3">
        <v>44536</v>
      </c>
      <c r="F459" s="3">
        <v>44803</v>
      </c>
      <c r="G459" s="4">
        <v>577200</v>
      </c>
      <c r="H459" s="2">
        <v>0</v>
      </c>
      <c r="I459" s="2" t="s">
        <v>510</v>
      </c>
      <c r="J459" s="2" t="s">
        <v>132</v>
      </c>
    </row>
    <row r="460" spans="1:10" x14ac:dyDescent="0.3">
      <c r="A460" s="2" t="s">
        <v>88</v>
      </c>
      <c r="B460" s="2" t="s">
        <v>89</v>
      </c>
      <c r="C460" s="2">
        <v>18111</v>
      </c>
      <c r="D460" s="2">
        <v>27124</v>
      </c>
      <c r="E460" s="3">
        <v>44545</v>
      </c>
      <c r="F460" s="3">
        <v>44803</v>
      </c>
      <c r="G460" s="4">
        <v>183150</v>
      </c>
      <c r="H460" s="2">
        <v>0</v>
      </c>
      <c r="I460" s="2" t="s">
        <v>511</v>
      </c>
      <c r="J460" s="2" t="s">
        <v>44</v>
      </c>
    </row>
    <row r="461" spans="1:10" x14ac:dyDescent="0.3">
      <c r="A461" s="2" t="s">
        <v>417</v>
      </c>
      <c r="B461" s="2" t="s">
        <v>418</v>
      </c>
      <c r="C461" s="2">
        <v>18279</v>
      </c>
      <c r="D461" s="2">
        <v>27289</v>
      </c>
      <c r="E461" s="3">
        <v>44566</v>
      </c>
      <c r="F461" s="3">
        <v>44803</v>
      </c>
      <c r="G461" s="4">
        <v>173530</v>
      </c>
      <c r="H461" s="2">
        <v>0</v>
      </c>
      <c r="I461" s="2" t="s">
        <v>512</v>
      </c>
      <c r="J461" s="2" t="s">
        <v>61</v>
      </c>
    </row>
    <row r="462" spans="1:10" x14ac:dyDescent="0.3">
      <c r="A462" s="2" t="s">
        <v>199</v>
      </c>
      <c r="B462" s="2" t="s">
        <v>200</v>
      </c>
      <c r="C462" s="2">
        <v>18360</v>
      </c>
      <c r="D462" s="2">
        <v>27368</v>
      </c>
      <c r="E462" s="3">
        <v>44573</v>
      </c>
      <c r="F462" s="3">
        <v>44803</v>
      </c>
      <c r="G462" s="4">
        <v>240000</v>
      </c>
      <c r="H462" s="2">
        <v>0</v>
      </c>
      <c r="I462" s="2" t="s">
        <v>513</v>
      </c>
      <c r="J462" s="2" t="s">
        <v>94</v>
      </c>
    </row>
    <row r="463" spans="1:10" x14ac:dyDescent="0.3">
      <c r="A463" s="2" t="s">
        <v>271</v>
      </c>
      <c r="B463" s="2" t="s">
        <v>272</v>
      </c>
      <c r="C463" s="2">
        <v>18323</v>
      </c>
      <c r="D463" s="2">
        <v>27332</v>
      </c>
      <c r="E463" s="3">
        <v>44568</v>
      </c>
      <c r="F463" s="3">
        <v>44803</v>
      </c>
      <c r="G463" s="4">
        <v>32000</v>
      </c>
      <c r="H463" s="2">
        <v>0</v>
      </c>
      <c r="I463" s="2" t="s">
        <v>528</v>
      </c>
      <c r="J463" s="2" t="s">
        <v>13</v>
      </c>
    </row>
    <row r="464" spans="1:10" x14ac:dyDescent="0.3">
      <c r="A464" s="2" t="s">
        <v>529</v>
      </c>
      <c r="B464" s="2" t="s">
        <v>530</v>
      </c>
      <c r="C464" s="2">
        <v>18334</v>
      </c>
      <c r="D464" s="2">
        <v>27341</v>
      </c>
      <c r="E464" s="3">
        <v>44571</v>
      </c>
      <c r="F464" s="3">
        <v>44803</v>
      </c>
      <c r="G464" s="4">
        <v>98400</v>
      </c>
      <c r="H464" s="2">
        <v>0</v>
      </c>
      <c r="I464" s="2" t="s">
        <v>531</v>
      </c>
      <c r="J464" s="2" t="s">
        <v>44</v>
      </c>
    </row>
    <row r="465" spans="1:10" x14ac:dyDescent="0.3">
      <c r="A465" s="2" t="s">
        <v>315</v>
      </c>
      <c r="B465" s="2" t="s">
        <v>316</v>
      </c>
      <c r="C465" s="2">
        <v>18759</v>
      </c>
      <c r="D465" s="2">
        <v>27779</v>
      </c>
      <c r="E465" s="3">
        <v>44610</v>
      </c>
      <c r="F465" s="3">
        <v>44803</v>
      </c>
      <c r="G465" s="4">
        <v>158790</v>
      </c>
      <c r="H465" s="2">
        <v>0</v>
      </c>
      <c r="I465" s="2" t="s">
        <v>533</v>
      </c>
      <c r="J465" s="2" t="s">
        <v>81</v>
      </c>
    </row>
    <row r="466" spans="1:10" x14ac:dyDescent="0.3">
      <c r="A466" s="2" t="s">
        <v>58</v>
      </c>
      <c r="B466" s="2" t="s">
        <v>59</v>
      </c>
      <c r="C466" s="2">
        <v>18852</v>
      </c>
      <c r="D466" s="2">
        <v>27872</v>
      </c>
      <c r="E466" s="3">
        <v>44617</v>
      </c>
      <c r="F466" s="3">
        <v>44803</v>
      </c>
      <c r="G466" s="4">
        <v>157120</v>
      </c>
      <c r="H466" s="2">
        <v>0</v>
      </c>
      <c r="I466" s="2" t="s">
        <v>534</v>
      </c>
      <c r="J466" s="2" t="s">
        <v>61</v>
      </c>
    </row>
    <row r="467" spans="1:10" x14ac:dyDescent="0.3">
      <c r="A467" s="2" t="s">
        <v>199</v>
      </c>
      <c r="B467" s="2" t="s">
        <v>200</v>
      </c>
      <c r="C467" s="2">
        <v>18470</v>
      </c>
      <c r="D467" s="2">
        <v>27469</v>
      </c>
      <c r="E467" s="3">
        <v>44580</v>
      </c>
      <c r="F467" s="3">
        <v>44803</v>
      </c>
      <c r="G467" s="4">
        <v>153600</v>
      </c>
      <c r="H467" s="2">
        <v>0</v>
      </c>
      <c r="I467" s="2" t="s">
        <v>541</v>
      </c>
      <c r="J467" s="2" t="s">
        <v>94</v>
      </c>
    </row>
    <row r="468" spans="1:10" x14ac:dyDescent="0.3">
      <c r="A468" s="2" t="s">
        <v>58</v>
      </c>
      <c r="B468" s="2" t="s">
        <v>59</v>
      </c>
      <c r="C468" s="2">
        <v>18639</v>
      </c>
      <c r="D468" s="2">
        <v>27649</v>
      </c>
      <c r="E468" s="3">
        <v>44596</v>
      </c>
      <c r="F468" s="3">
        <v>44803</v>
      </c>
      <c r="G468" s="4">
        <v>254925</v>
      </c>
      <c r="H468" s="2">
        <v>0</v>
      </c>
      <c r="I468" s="2" t="s">
        <v>558</v>
      </c>
      <c r="J468" s="2" t="s">
        <v>61</v>
      </c>
    </row>
    <row r="469" spans="1:10" x14ac:dyDescent="0.3">
      <c r="A469" s="2" t="s">
        <v>529</v>
      </c>
      <c r="B469" s="2" t="s">
        <v>530</v>
      </c>
      <c r="C469" s="2">
        <v>19040</v>
      </c>
      <c r="D469" s="2">
        <v>28056</v>
      </c>
      <c r="E469" s="3">
        <v>44643</v>
      </c>
      <c r="F469" s="3">
        <v>44803</v>
      </c>
      <c r="G469" s="4">
        <v>15375</v>
      </c>
      <c r="H469" s="2">
        <v>0</v>
      </c>
      <c r="I469" s="2" t="s">
        <v>560</v>
      </c>
      <c r="J469" s="2" t="s">
        <v>44</v>
      </c>
    </row>
    <row r="470" spans="1:10" x14ac:dyDescent="0.3">
      <c r="A470" s="2" t="s">
        <v>133</v>
      </c>
      <c r="B470" s="2" t="s">
        <v>134</v>
      </c>
      <c r="C470" s="2">
        <v>18162</v>
      </c>
      <c r="D470" s="2">
        <v>27173</v>
      </c>
      <c r="E470" s="3">
        <v>44550</v>
      </c>
      <c r="F470" s="3">
        <v>44803</v>
      </c>
      <c r="G470" s="4">
        <v>227950</v>
      </c>
      <c r="H470" s="2">
        <v>0</v>
      </c>
      <c r="I470" s="2" t="s">
        <v>567</v>
      </c>
      <c r="J470" s="2" t="s">
        <v>20</v>
      </c>
    </row>
    <row r="471" spans="1:10" x14ac:dyDescent="0.3">
      <c r="A471" s="2" t="s">
        <v>417</v>
      </c>
      <c r="B471" s="2" t="s">
        <v>418</v>
      </c>
      <c r="C471" s="2">
        <v>18236</v>
      </c>
      <c r="D471" s="2">
        <v>27248</v>
      </c>
      <c r="E471" s="3">
        <v>44564</v>
      </c>
      <c r="F471" s="3">
        <v>44803</v>
      </c>
      <c r="G471" s="4">
        <v>150080</v>
      </c>
      <c r="H471" s="2">
        <v>0</v>
      </c>
      <c r="I471" s="2" t="s">
        <v>578</v>
      </c>
      <c r="J471" s="2" t="s">
        <v>61</v>
      </c>
    </row>
    <row r="472" spans="1:10" x14ac:dyDescent="0.3">
      <c r="A472" s="2" t="s">
        <v>199</v>
      </c>
      <c r="B472" s="2" t="s">
        <v>200</v>
      </c>
      <c r="C472" s="2">
        <v>18253</v>
      </c>
      <c r="D472" s="2">
        <v>27264</v>
      </c>
      <c r="E472" s="3">
        <v>44565</v>
      </c>
      <c r="F472" s="3">
        <v>44803</v>
      </c>
      <c r="G472" s="4">
        <v>240000</v>
      </c>
      <c r="H472" s="2">
        <v>0</v>
      </c>
      <c r="I472" s="2" t="s">
        <v>579</v>
      </c>
      <c r="J472" s="2" t="s">
        <v>94</v>
      </c>
    </row>
    <row r="473" spans="1:10" x14ac:dyDescent="0.3">
      <c r="A473" s="2" t="s">
        <v>594</v>
      </c>
      <c r="B473" s="2" t="s">
        <v>134</v>
      </c>
      <c r="C473" s="2">
        <v>18015</v>
      </c>
      <c r="D473" s="2">
        <v>27027</v>
      </c>
      <c r="E473" s="3">
        <v>44538</v>
      </c>
      <c r="F473" s="3">
        <v>44803</v>
      </c>
      <c r="G473" s="4">
        <v>56740</v>
      </c>
      <c r="H473" s="2">
        <v>0</v>
      </c>
      <c r="I473" s="2" t="s">
        <v>595</v>
      </c>
      <c r="J473" s="2" t="s">
        <v>20</v>
      </c>
    </row>
    <row r="474" spans="1:10" x14ac:dyDescent="0.3">
      <c r="A474" s="2" t="s">
        <v>129</v>
      </c>
      <c r="B474" s="2" t="s">
        <v>130</v>
      </c>
      <c r="C474" s="2">
        <v>17961</v>
      </c>
      <c r="D474" s="2">
        <v>26976</v>
      </c>
      <c r="E474" s="3">
        <v>44536</v>
      </c>
      <c r="F474" s="3">
        <v>44803</v>
      </c>
      <c r="G474" s="4">
        <v>61620</v>
      </c>
      <c r="H474" s="2">
        <v>0</v>
      </c>
      <c r="I474" s="2" t="s">
        <v>608</v>
      </c>
      <c r="J474" s="2" t="s">
        <v>132</v>
      </c>
    </row>
    <row r="475" spans="1:10" x14ac:dyDescent="0.3">
      <c r="A475" s="2" t="s">
        <v>529</v>
      </c>
      <c r="B475" s="2" t="s">
        <v>530</v>
      </c>
      <c r="C475" s="2">
        <v>18278</v>
      </c>
      <c r="D475" s="2">
        <v>27288</v>
      </c>
      <c r="E475" s="3">
        <v>44566</v>
      </c>
      <c r="F475" s="3">
        <v>44803</v>
      </c>
      <c r="G475" s="4">
        <v>36250</v>
      </c>
      <c r="H475" s="2">
        <v>0</v>
      </c>
      <c r="I475" s="2" t="s">
        <v>609</v>
      </c>
      <c r="J475" s="2" t="s">
        <v>44</v>
      </c>
    </row>
    <row r="476" spans="1:10" x14ac:dyDescent="0.3">
      <c r="A476" s="2" t="s">
        <v>88</v>
      </c>
      <c r="B476" s="2" t="s">
        <v>89</v>
      </c>
      <c r="C476" s="2">
        <v>18361</v>
      </c>
      <c r="D476" s="2">
        <v>27369</v>
      </c>
      <c r="E476" s="3">
        <v>44573</v>
      </c>
      <c r="F476" s="3">
        <v>44803</v>
      </c>
      <c r="G476" s="4">
        <v>183150</v>
      </c>
      <c r="H476" s="2">
        <v>0</v>
      </c>
      <c r="I476" s="2" t="s">
        <v>610</v>
      </c>
      <c r="J476" s="2" t="s">
        <v>44</v>
      </c>
    </row>
    <row r="477" spans="1:10" x14ac:dyDescent="0.3">
      <c r="A477" s="2" t="s">
        <v>315</v>
      </c>
      <c r="B477" s="2" t="s">
        <v>316</v>
      </c>
      <c r="C477" s="2">
        <v>18268</v>
      </c>
      <c r="D477" s="2">
        <v>27276</v>
      </c>
      <c r="E477" s="3">
        <v>44566</v>
      </c>
      <c r="F477" s="3">
        <v>44803</v>
      </c>
      <c r="G477" s="4">
        <v>148050</v>
      </c>
      <c r="H477" s="2">
        <v>0</v>
      </c>
      <c r="I477" s="2" t="s">
        <v>336</v>
      </c>
      <c r="J477" s="2" t="s">
        <v>81</v>
      </c>
    </row>
    <row r="478" spans="1:10" x14ac:dyDescent="0.3">
      <c r="A478" s="2" t="s">
        <v>199</v>
      </c>
      <c r="B478" s="2" t="s">
        <v>200</v>
      </c>
      <c r="C478" s="2">
        <v>18521</v>
      </c>
      <c r="D478" s="2">
        <v>27521</v>
      </c>
      <c r="E478" s="3">
        <v>44586</v>
      </c>
      <c r="F478" s="3">
        <v>44803</v>
      </c>
      <c r="G478" s="4">
        <v>240000</v>
      </c>
      <c r="H478" s="2">
        <v>0</v>
      </c>
      <c r="I478" s="2" t="s">
        <v>619</v>
      </c>
      <c r="J478" s="2" t="s">
        <v>94</v>
      </c>
    </row>
    <row r="479" spans="1:10" x14ac:dyDescent="0.3">
      <c r="A479" s="2" t="s">
        <v>627</v>
      </c>
      <c r="B479" s="2" t="s">
        <v>628</v>
      </c>
      <c r="C479" s="2">
        <v>19439</v>
      </c>
      <c r="D479" s="2">
        <v>28492</v>
      </c>
      <c r="E479" s="3">
        <v>44683</v>
      </c>
      <c r="F479" s="3">
        <v>44803</v>
      </c>
      <c r="G479" s="4">
        <v>92424</v>
      </c>
      <c r="H479" s="2">
        <v>0</v>
      </c>
      <c r="I479" s="2" t="s">
        <v>629</v>
      </c>
      <c r="J479" s="2" t="s">
        <v>24</v>
      </c>
    </row>
    <row r="480" spans="1:10" x14ac:dyDescent="0.3">
      <c r="A480" s="2" t="s">
        <v>78</v>
      </c>
      <c r="B480" s="2" t="s">
        <v>79</v>
      </c>
      <c r="C480" s="2">
        <v>18356</v>
      </c>
      <c r="D480" s="2">
        <v>27364</v>
      </c>
      <c r="E480" s="3">
        <v>44573</v>
      </c>
      <c r="F480" s="3">
        <v>44803</v>
      </c>
      <c r="G480" s="4">
        <v>121660</v>
      </c>
      <c r="H480" s="2">
        <v>0</v>
      </c>
      <c r="I480" s="2" t="s">
        <v>639</v>
      </c>
      <c r="J480" s="2" t="s">
        <v>81</v>
      </c>
    </row>
    <row r="481" spans="1:10" x14ac:dyDescent="0.3">
      <c r="A481" s="2" t="s">
        <v>10</v>
      </c>
      <c r="B481" s="2" t="s">
        <v>11</v>
      </c>
      <c r="C481" s="2">
        <v>19547</v>
      </c>
      <c r="D481" s="2">
        <v>28602</v>
      </c>
      <c r="E481" s="3">
        <v>44691</v>
      </c>
      <c r="F481" s="3">
        <v>44803</v>
      </c>
      <c r="G481" s="4">
        <v>100000</v>
      </c>
      <c r="H481" s="2">
        <v>0</v>
      </c>
      <c r="I481" s="2" t="s">
        <v>641</v>
      </c>
      <c r="J481" s="2" t="s">
        <v>13</v>
      </c>
    </row>
    <row r="482" spans="1:10" x14ac:dyDescent="0.3">
      <c r="A482" s="2" t="s">
        <v>652</v>
      </c>
      <c r="B482" s="2" t="s">
        <v>653</v>
      </c>
      <c r="C482" s="2">
        <v>18354</v>
      </c>
      <c r="D482" s="2">
        <v>27362</v>
      </c>
      <c r="E482" s="3">
        <v>44573</v>
      </c>
      <c r="F482" s="3">
        <v>44803</v>
      </c>
      <c r="G482" s="4">
        <v>30000</v>
      </c>
      <c r="H482" s="2">
        <v>0</v>
      </c>
      <c r="I482" s="2" t="s">
        <v>654</v>
      </c>
      <c r="J482" s="2" t="s">
        <v>655</v>
      </c>
    </row>
    <row r="483" spans="1:10" x14ac:dyDescent="0.3">
      <c r="A483" s="2" t="s">
        <v>58</v>
      </c>
      <c r="B483" s="2" t="s">
        <v>59</v>
      </c>
      <c r="C483" s="2">
        <v>18854</v>
      </c>
      <c r="D483" s="2">
        <v>27874</v>
      </c>
      <c r="E483" s="3">
        <v>44617</v>
      </c>
      <c r="F483" s="3">
        <v>44803</v>
      </c>
      <c r="G483" s="4">
        <v>181670</v>
      </c>
      <c r="H483" s="2">
        <v>0</v>
      </c>
      <c r="I483" s="2" t="s">
        <v>658</v>
      </c>
      <c r="J483" s="2" t="s">
        <v>61</v>
      </c>
    </row>
    <row r="484" spans="1:10" x14ac:dyDescent="0.3">
      <c r="A484" s="2" t="s">
        <v>58</v>
      </c>
      <c r="B484" s="2" t="s">
        <v>59</v>
      </c>
      <c r="C484" s="2">
        <v>18345</v>
      </c>
      <c r="D484" s="2">
        <v>27353</v>
      </c>
      <c r="E484" s="3">
        <v>44572</v>
      </c>
      <c r="F484" s="3">
        <v>44803</v>
      </c>
      <c r="G484" s="4">
        <v>169920</v>
      </c>
      <c r="H484" s="2">
        <v>0</v>
      </c>
      <c r="I484" s="2" t="s">
        <v>671</v>
      </c>
      <c r="J484" s="2" t="s">
        <v>61</v>
      </c>
    </row>
    <row r="485" spans="1:10" x14ac:dyDescent="0.3">
      <c r="A485" s="2" t="s">
        <v>10</v>
      </c>
      <c r="B485" s="2" t="s">
        <v>11</v>
      </c>
      <c r="C485" s="2">
        <v>18711</v>
      </c>
      <c r="D485" s="2">
        <v>27725</v>
      </c>
      <c r="E485" s="3">
        <v>44603</v>
      </c>
      <c r="F485" s="3">
        <v>44803</v>
      </c>
      <c r="G485" s="4">
        <v>123000</v>
      </c>
      <c r="H485" s="2">
        <v>0</v>
      </c>
      <c r="I485" s="2" t="s">
        <v>477</v>
      </c>
      <c r="J485" s="2" t="s">
        <v>13</v>
      </c>
    </row>
    <row r="486" spans="1:10" x14ac:dyDescent="0.3">
      <c r="A486" s="2" t="s">
        <v>98</v>
      </c>
      <c r="B486" s="2" t="s">
        <v>99</v>
      </c>
      <c r="C486" s="2">
        <v>18828</v>
      </c>
      <c r="D486" s="2">
        <v>27849</v>
      </c>
      <c r="E486" s="3">
        <v>44616</v>
      </c>
      <c r="F486" s="3">
        <v>44803</v>
      </c>
      <c r="G486" s="4">
        <v>40272</v>
      </c>
      <c r="H486" s="2">
        <v>0</v>
      </c>
      <c r="I486" s="2" t="s">
        <v>673</v>
      </c>
      <c r="J486" s="2" t="s">
        <v>61</v>
      </c>
    </row>
    <row r="487" spans="1:10" x14ac:dyDescent="0.3">
      <c r="A487" s="2" t="s">
        <v>136</v>
      </c>
      <c r="B487" s="2" t="s">
        <v>137</v>
      </c>
      <c r="C487" s="2">
        <v>18864</v>
      </c>
      <c r="D487" s="2">
        <v>27883</v>
      </c>
      <c r="E487" s="3">
        <v>44622</v>
      </c>
      <c r="F487" s="3">
        <v>44803</v>
      </c>
      <c r="G487" s="4">
        <v>37752</v>
      </c>
      <c r="H487" s="2">
        <v>0</v>
      </c>
      <c r="I487" s="2" t="s">
        <v>674</v>
      </c>
      <c r="J487" s="2" t="s">
        <v>81</v>
      </c>
    </row>
    <row r="488" spans="1:10" x14ac:dyDescent="0.3">
      <c r="A488" s="2" t="s">
        <v>675</v>
      </c>
      <c r="B488" s="2" t="s">
        <v>676</v>
      </c>
      <c r="C488" s="2">
        <v>18979</v>
      </c>
      <c r="D488" s="2">
        <v>27991</v>
      </c>
      <c r="E488" s="3">
        <v>44634</v>
      </c>
      <c r="F488" s="3">
        <v>44803</v>
      </c>
      <c r="G488" s="4">
        <v>16635</v>
      </c>
      <c r="H488" s="2">
        <v>0</v>
      </c>
      <c r="I488" s="2" t="s">
        <v>677</v>
      </c>
      <c r="J488" s="2" t="s">
        <v>164</v>
      </c>
    </row>
    <row r="489" spans="1:10" x14ac:dyDescent="0.3">
      <c r="A489" s="2" t="s">
        <v>88</v>
      </c>
      <c r="B489" s="2" t="s">
        <v>89</v>
      </c>
      <c r="C489" s="2">
        <v>19015</v>
      </c>
      <c r="D489" s="2">
        <v>28027</v>
      </c>
      <c r="E489" s="3">
        <v>44637</v>
      </c>
      <c r="F489" s="3">
        <v>44803</v>
      </c>
      <c r="G489" s="4">
        <v>158400</v>
      </c>
      <c r="H489" s="2">
        <v>0</v>
      </c>
      <c r="I489" s="2" t="s">
        <v>678</v>
      </c>
      <c r="J489" s="2" t="s">
        <v>44</v>
      </c>
    </row>
    <row r="490" spans="1:10" x14ac:dyDescent="0.3">
      <c r="A490" s="2" t="s">
        <v>393</v>
      </c>
      <c r="B490" s="2" t="s">
        <v>203</v>
      </c>
      <c r="C490" s="2">
        <v>16764</v>
      </c>
      <c r="D490" s="2">
        <v>25736</v>
      </c>
      <c r="E490" s="3">
        <v>44449</v>
      </c>
      <c r="F490" s="3">
        <v>44803</v>
      </c>
      <c r="G490" s="4">
        <v>392320</v>
      </c>
      <c r="H490" s="2">
        <v>0</v>
      </c>
      <c r="I490" s="2" t="s">
        <v>685</v>
      </c>
      <c r="J490" s="2" t="s">
        <v>61</v>
      </c>
    </row>
    <row r="491" spans="1:10" x14ac:dyDescent="0.3">
      <c r="A491" s="2" t="s">
        <v>393</v>
      </c>
      <c r="B491" s="2" t="s">
        <v>203</v>
      </c>
      <c r="C491" s="2">
        <v>17703</v>
      </c>
      <c r="D491" s="2">
        <v>26699</v>
      </c>
      <c r="E491" s="3">
        <v>44510</v>
      </c>
      <c r="F491" s="3">
        <v>44803</v>
      </c>
      <c r="G491" s="4">
        <v>37050</v>
      </c>
      <c r="H491" s="2">
        <v>0</v>
      </c>
      <c r="I491" s="2" t="s">
        <v>687</v>
      </c>
      <c r="J491" s="2" t="s">
        <v>61</v>
      </c>
    </row>
    <row r="492" spans="1:10" x14ac:dyDescent="0.3">
      <c r="A492" s="2" t="s">
        <v>78</v>
      </c>
      <c r="B492" s="2" t="s">
        <v>79</v>
      </c>
      <c r="C492" s="2">
        <v>18296</v>
      </c>
      <c r="D492" s="2">
        <v>27305</v>
      </c>
      <c r="E492" s="3">
        <v>44567</v>
      </c>
      <c r="F492" s="3">
        <v>44803</v>
      </c>
      <c r="G492" s="4">
        <v>37176</v>
      </c>
      <c r="H492" s="2">
        <v>0</v>
      </c>
      <c r="I492" s="2" t="s">
        <v>691</v>
      </c>
      <c r="J492" s="2" t="s">
        <v>81</v>
      </c>
    </row>
    <row r="493" spans="1:10" x14ac:dyDescent="0.3">
      <c r="A493" s="2" t="s">
        <v>202</v>
      </c>
      <c r="B493" s="2" t="s">
        <v>203</v>
      </c>
      <c r="C493" s="2">
        <v>18445</v>
      </c>
      <c r="D493" s="2">
        <v>27445</v>
      </c>
      <c r="E493" s="3">
        <v>44579</v>
      </c>
      <c r="F493" s="3">
        <v>44803</v>
      </c>
      <c r="G493" s="4">
        <v>209346</v>
      </c>
      <c r="H493" s="2">
        <v>0</v>
      </c>
      <c r="I493" s="2" t="s">
        <v>692</v>
      </c>
      <c r="J493" s="2" t="s">
        <v>61</v>
      </c>
    </row>
    <row r="494" spans="1:10" x14ac:dyDescent="0.3">
      <c r="A494" s="2" t="s">
        <v>693</v>
      </c>
      <c r="B494" s="2" t="s">
        <v>694</v>
      </c>
      <c r="C494" s="2">
        <v>18728</v>
      </c>
      <c r="D494" s="2">
        <v>27744</v>
      </c>
      <c r="E494" s="3">
        <v>44606</v>
      </c>
      <c r="F494" s="3">
        <v>44803</v>
      </c>
      <c r="G494" s="4">
        <v>219595</v>
      </c>
      <c r="H494" s="2">
        <v>0</v>
      </c>
      <c r="I494" s="2" t="s">
        <v>695</v>
      </c>
      <c r="J494" s="2" t="s">
        <v>61</v>
      </c>
    </row>
    <row r="495" spans="1:10" x14ac:dyDescent="0.3">
      <c r="A495" s="2" t="s">
        <v>271</v>
      </c>
      <c r="B495" s="2" t="s">
        <v>272</v>
      </c>
      <c r="C495" s="2">
        <v>18324</v>
      </c>
      <c r="D495" s="2">
        <v>27333</v>
      </c>
      <c r="E495" s="3">
        <v>44568</v>
      </c>
      <c r="F495" s="3">
        <v>44803</v>
      </c>
      <c r="G495" s="4">
        <v>126300</v>
      </c>
      <c r="H495" s="2">
        <v>0</v>
      </c>
      <c r="I495" s="2" t="s">
        <v>701</v>
      </c>
      <c r="J495" s="2" t="s">
        <v>13</v>
      </c>
    </row>
    <row r="496" spans="1:10" x14ac:dyDescent="0.3">
      <c r="A496" s="2" t="s">
        <v>315</v>
      </c>
      <c r="B496" s="2" t="s">
        <v>316</v>
      </c>
      <c r="C496" s="2">
        <v>18583</v>
      </c>
      <c r="D496" s="2">
        <v>27594</v>
      </c>
      <c r="E496" s="3">
        <v>44593</v>
      </c>
      <c r="F496" s="3">
        <v>44803</v>
      </c>
      <c r="G496" s="4">
        <v>63750</v>
      </c>
      <c r="H496" s="2">
        <v>0</v>
      </c>
      <c r="I496" s="2" t="s">
        <v>704</v>
      </c>
      <c r="J496" s="2" t="s">
        <v>81</v>
      </c>
    </row>
    <row r="497" spans="1:10" x14ac:dyDescent="0.3">
      <c r="A497" s="2" t="s">
        <v>223</v>
      </c>
      <c r="B497" s="2" t="s">
        <v>15</v>
      </c>
      <c r="C497" s="2">
        <v>18497</v>
      </c>
      <c r="D497" s="2">
        <v>27495</v>
      </c>
      <c r="E497" s="3">
        <v>44582</v>
      </c>
      <c r="F497" s="3">
        <v>44803</v>
      </c>
      <c r="G497" s="4">
        <v>183520</v>
      </c>
      <c r="H497" s="2">
        <v>0</v>
      </c>
      <c r="I497" s="2" t="s">
        <v>708</v>
      </c>
      <c r="J497" s="2" t="s">
        <v>20</v>
      </c>
    </row>
    <row r="498" spans="1:10" x14ac:dyDescent="0.3">
      <c r="A498" s="2" t="s">
        <v>104</v>
      </c>
      <c r="B498" s="2" t="s">
        <v>105</v>
      </c>
      <c r="C498" s="2">
        <v>19246</v>
      </c>
      <c r="D498" s="2">
        <v>28270</v>
      </c>
      <c r="E498" s="3">
        <v>44662</v>
      </c>
      <c r="F498" s="3">
        <v>44803</v>
      </c>
      <c r="G498" s="4">
        <v>296750</v>
      </c>
      <c r="H498" s="2">
        <v>0</v>
      </c>
      <c r="I498" s="2" t="s">
        <v>711</v>
      </c>
      <c r="J498" s="2" t="s">
        <v>61</v>
      </c>
    </row>
    <row r="499" spans="1:10" x14ac:dyDescent="0.3">
      <c r="A499" s="2" t="s">
        <v>271</v>
      </c>
      <c r="B499" s="2" t="s">
        <v>272</v>
      </c>
      <c r="C499" s="2">
        <v>18525</v>
      </c>
      <c r="D499" s="2">
        <v>27526</v>
      </c>
      <c r="E499" s="3">
        <v>44586</v>
      </c>
      <c r="F499" s="3">
        <v>44803</v>
      </c>
      <c r="G499" s="4">
        <v>84672</v>
      </c>
      <c r="H499" s="2">
        <v>0</v>
      </c>
      <c r="I499" s="2" t="s">
        <v>722</v>
      </c>
      <c r="J499" s="2" t="s">
        <v>13</v>
      </c>
    </row>
    <row r="500" spans="1:10" x14ac:dyDescent="0.3">
      <c r="A500" s="2" t="s">
        <v>225</v>
      </c>
      <c r="B500" s="2" t="s">
        <v>226</v>
      </c>
      <c r="C500" s="2">
        <v>18749</v>
      </c>
      <c r="D500" s="2">
        <v>27768</v>
      </c>
      <c r="E500" s="3">
        <v>44609</v>
      </c>
      <c r="F500" s="3">
        <v>44803</v>
      </c>
      <c r="G500" s="4">
        <v>216836</v>
      </c>
      <c r="H500" s="2">
        <v>0</v>
      </c>
      <c r="I500" s="2" t="s">
        <v>751</v>
      </c>
      <c r="J500" s="2" t="s">
        <v>61</v>
      </c>
    </row>
    <row r="501" spans="1:10" x14ac:dyDescent="0.3">
      <c r="A501" s="2" t="s">
        <v>104</v>
      </c>
      <c r="B501" s="2" t="s">
        <v>105</v>
      </c>
      <c r="C501" s="2">
        <v>19228</v>
      </c>
      <c r="D501" s="2">
        <v>28250</v>
      </c>
      <c r="E501" s="3">
        <v>44658</v>
      </c>
      <c r="F501" s="3">
        <v>44803</v>
      </c>
      <c r="G501" s="4">
        <v>213660</v>
      </c>
      <c r="H501" s="2">
        <v>0</v>
      </c>
      <c r="I501" s="2" t="s">
        <v>756</v>
      </c>
      <c r="J501" s="2" t="s">
        <v>61</v>
      </c>
    </row>
    <row r="502" spans="1:10" x14ac:dyDescent="0.3">
      <c r="A502" s="2" t="s">
        <v>202</v>
      </c>
      <c r="B502" s="2" t="s">
        <v>203</v>
      </c>
      <c r="C502" s="2">
        <v>18717</v>
      </c>
      <c r="D502" s="2">
        <v>27731</v>
      </c>
      <c r="E502" s="3">
        <v>44603</v>
      </c>
      <c r="F502" s="3">
        <v>44803</v>
      </c>
      <c r="G502" s="4">
        <v>23440</v>
      </c>
      <c r="H502" s="2">
        <v>0</v>
      </c>
      <c r="I502" s="2" t="s">
        <v>765</v>
      </c>
      <c r="J502" s="2" t="s">
        <v>61</v>
      </c>
    </row>
    <row r="503" spans="1:10" x14ac:dyDescent="0.3">
      <c r="A503" s="2" t="s">
        <v>315</v>
      </c>
      <c r="B503" s="2" t="s">
        <v>316</v>
      </c>
      <c r="C503" s="2">
        <v>18758</v>
      </c>
      <c r="D503" s="2">
        <v>27778</v>
      </c>
      <c r="E503" s="3">
        <v>44610</v>
      </c>
      <c r="F503" s="3">
        <v>44803</v>
      </c>
      <c r="G503" s="4">
        <v>73950</v>
      </c>
      <c r="H503" s="2">
        <v>0</v>
      </c>
      <c r="I503" s="2" t="s">
        <v>766</v>
      </c>
      <c r="J503" s="2" t="s">
        <v>81</v>
      </c>
    </row>
    <row r="504" spans="1:10" x14ac:dyDescent="0.3">
      <c r="A504" s="2" t="s">
        <v>693</v>
      </c>
      <c r="B504" s="2" t="s">
        <v>694</v>
      </c>
      <c r="C504" s="2">
        <v>18851</v>
      </c>
      <c r="D504" s="2">
        <v>27871</v>
      </c>
      <c r="E504" s="3">
        <v>44617</v>
      </c>
      <c r="F504" s="3">
        <v>44803</v>
      </c>
      <c r="G504" s="4">
        <v>189920</v>
      </c>
      <c r="H504" s="2">
        <v>0</v>
      </c>
      <c r="I504" s="2" t="s">
        <v>768</v>
      </c>
      <c r="J504" s="2" t="s">
        <v>61</v>
      </c>
    </row>
    <row r="505" spans="1:10" x14ac:dyDescent="0.3">
      <c r="A505" s="2" t="s">
        <v>104</v>
      </c>
      <c r="B505" s="2" t="s">
        <v>105</v>
      </c>
      <c r="C505" s="2">
        <v>19160</v>
      </c>
      <c r="D505" s="2">
        <v>28178</v>
      </c>
      <c r="E505" s="3">
        <v>44651</v>
      </c>
      <c r="F505" s="3">
        <v>44803</v>
      </c>
      <c r="G505" s="4">
        <v>142440</v>
      </c>
      <c r="H505" s="2">
        <v>0</v>
      </c>
      <c r="I505" s="2" t="s">
        <v>769</v>
      </c>
      <c r="J505" s="2" t="s">
        <v>61</v>
      </c>
    </row>
    <row r="506" spans="1:10" x14ac:dyDescent="0.3">
      <c r="A506" s="2" t="s">
        <v>14</v>
      </c>
      <c r="B506" s="2" t="s">
        <v>15</v>
      </c>
      <c r="C506" s="2">
        <v>18489</v>
      </c>
      <c r="D506" s="2">
        <v>27487</v>
      </c>
      <c r="E506" s="3">
        <v>44581</v>
      </c>
      <c r="F506" s="3">
        <v>44803</v>
      </c>
      <c r="G506" s="4">
        <v>266500</v>
      </c>
      <c r="H506" s="2">
        <v>0</v>
      </c>
      <c r="I506" s="2" t="s">
        <v>814</v>
      </c>
      <c r="J506" s="2" t="s">
        <v>17</v>
      </c>
    </row>
    <row r="507" spans="1:10" x14ac:dyDescent="0.3">
      <c r="A507" s="2" t="s">
        <v>95</v>
      </c>
      <c r="B507" s="2" t="s">
        <v>96</v>
      </c>
      <c r="C507" s="2">
        <v>18907</v>
      </c>
      <c r="D507" s="2">
        <v>27922</v>
      </c>
      <c r="E507" s="3">
        <v>44624</v>
      </c>
      <c r="F507" s="3">
        <v>44803</v>
      </c>
      <c r="G507" s="4">
        <v>34000</v>
      </c>
      <c r="H507" s="2">
        <v>0</v>
      </c>
      <c r="I507" s="2" t="s">
        <v>816</v>
      </c>
      <c r="J507" s="2" t="s">
        <v>94</v>
      </c>
    </row>
    <row r="508" spans="1:10" x14ac:dyDescent="0.3">
      <c r="A508" s="2" t="s">
        <v>202</v>
      </c>
      <c r="B508" s="2" t="s">
        <v>203</v>
      </c>
      <c r="C508" s="2">
        <v>18564</v>
      </c>
      <c r="D508" s="2">
        <v>27571</v>
      </c>
      <c r="E508" s="3">
        <v>44589</v>
      </c>
      <c r="F508" s="3">
        <v>44803</v>
      </c>
      <c r="G508" s="4">
        <v>209346</v>
      </c>
      <c r="H508" s="2">
        <v>0</v>
      </c>
      <c r="I508" s="2" t="s">
        <v>821</v>
      </c>
      <c r="J508" s="2" t="s">
        <v>61</v>
      </c>
    </row>
    <row r="509" spans="1:10" x14ac:dyDescent="0.3">
      <c r="A509" s="2" t="s">
        <v>10</v>
      </c>
      <c r="B509" s="2" t="s">
        <v>11</v>
      </c>
      <c r="C509" s="2">
        <v>18266</v>
      </c>
      <c r="D509" s="2">
        <v>27274</v>
      </c>
      <c r="E509" s="3">
        <v>44566</v>
      </c>
      <c r="F509" s="3">
        <v>44803</v>
      </c>
      <c r="G509" s="4">
        <v>235000</v>
      </c>
      <c r="H509" s="2">
        <v>0</v>
      </c>
      <c r="I509" s="2" t="s">
        <v>833</v>
      </c>
      <c r="J509" s="2" t="s">
        <v>13</v>
      </c>
    </row>
    <row r="510" spans="1:10" x14ac:dyDescent="0.3">
      <c r="A510" s="2" t="s">
        <v>18</v>
      </c>
      <c r="B510" s="2" t="s">
        <v>15</v>
      </c>
      <c r="C510" s="2">
        <v>18466</v>
      </c>
      <c r="D510" s="2">
        <v>27464</v>
      </c>
      <c r="E510" s="3">
        <v>44580</v>
      </c>
      <c r="F510" s="3">
        <v>44803</v>
      </c>
      <c r="G510" s="4">
        <v>16000</v>
      </c>
      <c r="H510" s="2">
        <v>0</v>
      </c>
      <c r="I510" s="2" t="s">
        <v>835</v>
      </c>
      <c r="J510" s="2" t="s">
        <v>20</v>
      </c>
    </row>
    <row r="511" spans="1:10" x14ac:dyDescent="0.3">
      <c r="A511" s="2" t="s">
        <v>95</v>
      </c>
      <c r="B511" s="2" t="s">
        <v>96</v>
      </c>
      <c r="C511" s="2">
        <v>18684</v>
      </c>
      <c r="D511" s="2">
        <v>27697</v>
      </c>
      <c r="E511" s="3">
        <v>44601</v>
      </c>
      <c r="F511" s="3">
        <v>44803</v>
      </c>
      <c r="G511" s="4">
        <v>108000</v>
      </c>
      <c r="H511" s="2">
        <v>0</v>
      </c>
      <c r="I511" s="2" t="s">
        <v>837</v>
      </c>
      <c r="J511" s="2" t="s">
        <v>94</v>
      </c>
    </row>
    <row r="512" spans="1:10" x14ac:dyDescent="0.3">
      <c r="A512" s="2" t="s">
        <v>693</v>
      </c>
      <c r="B512" s="2" t="s">
        <v>694</v>
      </c>
      <c r="C512" s="2">
        <v>19039</v>
      </c>
      <c r="D512" s="2">
        <v>28055</v>
      </c>
      <c r="E512" s="3">
        <v>44643</v>
      </c>
      <c r="F512" s="3">
        <v>44803</v>
      </c>
      <c r="G512" s="4">
        <v>189920</v>
      </c>
      <c r="H512" s="2">
        <v>0</v>
      </c>
      <c r="I512" s="2" t="s">
        <v>841</v>
      </c>
      <c r="J512" s="2" t="s">
        <v>61</v>
      </c>
    </row>
    <row r="513" spans="1:10" x14ac:dyDescent="0.3">
      <c r="A513" s="2" t="s">
        <v>223</v>
      </c>
      <c r="B513" s="2" t="s">
        <v>15</v>
      </c>
      <c r="C513" s="2">
        <v>18088</v>
      </c>
      <c r="D513" s="2">
        <v>27100</v>
      </c>
      <c r="E513" s="3">
        <v>44544</v>
      </c>
      <c r="F513" s="3">
        <v>44803</v>
      </c>
      <c r="G513" s="4">
        <v>183520</v>
      </c>
      <c r="H513" s="2">
        <v>0</v>
      </c>
      <c r="I513" s="2" t="s">
        <v>848</v>
      </c>
      <c r="J513" s="2" t="s">
        <v>20</v>
      </c>
    </row>
    <row r="514" spans="1:10" x14ac:dyDescent="0.3">
      <c r="A514" s="2" t="s">
        <v>594</v>
      </c>
      <c r="B514" s="2" t="s">
        <v>134</v>
      </c>
      <c r="C514" s="2">
        <v>18458</v>
      </c>
      <c r="D514" s="2">
        <v>27456</v>
      </c>
      <c r="E514" s="3">
        <v>44580</v>
      </c>
      <c r="F514" s="3">
        <v>44803</v>
      </c>
      <c r="G514" s="4">
        <v>4000</v>
      </c>
      <c r="H514" s="2">
        <v>0</v>
      </c>
      <c r="I514" s="2" t="s">
        <v>850</v>
      </c>
      <c r="J514" s="2" t="s">
        <v>20</v>
      </c>
    </row>
    <row r="515" spans="1:10" x14ac:dyDescent="0.3">
      <c r="A515" s="2" t="s">
        <v>58</v>
      </c>
      <c r="B515" s="2" t="s">
        <v>59</v>
      </c>
      <c r="C515" s="2">
        <v>18490</v>
      </c>
      <c r="D515" s="2">
        <v>27488</v>
      </c>
      <c r="E515" s="3">
        <v>44581</v>
      </c>
      <c r="F515" s="3">
        <v>44803</v>
      </c>
      <c r="G515" s="4">
        <v>214730</v>
      </c>
      <c r="H515" s="2">
        <v>0</v>
      </c>
      <c r="I515" s="2" t="s">
        <v>851</v>
      </c>
      <c r="J515" s="2" t="s">
        <v>61</v>
      </c>
    </row>
    <row r="516" spans="1:10" x14ac:dyDescent="0.3">
      <c r="A516" s="2" t="s">
        <v>91</v>
      </c>
      <c r="B516" s="2" t="s">
        <v>92</v>
      </c>
      <c r="C516" s="2">
        <v>18244</v>
      </c>
      <c r="D516" s="2">
        <v>27257</v>
      </c>
      <c r="E516" s="3">
        <v>44565</v>
      </c>
      <c r="F516" s="3">
        <v>44803</v>
      </c>
      <c r="G516" s="4">
        <v>60000</v>
      </c>
      <c r="H516" s="2">
        <v>0</v>
      </c>
      <c r="I516" s="2" t="s">
        <v>854</v>
      </c>
      <c r="J516" s="2" t="s">
        <v>94</v>
      </c>
    </row>
    <row r="517" spans="1:10" x14ac:dyDescent="0.3">
      <c r="A517" s="2" t="s">
        <v>58</v>
      </c>
      <c r="B517" s="2" t="s">
        <v>59</v>
      </c>
      <c r="C517" s="2">
        <v>18861</v>
      </c>
      <c r="D517" s="2">
        <v>27881</v>
      </c>
      <c r="E517" s="3">
        <v>44622</v>
      </c>
      <c r="F517" s="3">
        <v>44803</v>
      </c>
      <c r="G517" s="4">
        <v>157120</v>
      </c>
      <c r="H517" s="2">
        <v>0</v>
      </c>
      <c r="I517" s="2" t="s">
        <v>859</v>
      </c>
      <c r="J517" s="2" t="s">
        <v>61</v>
      </c>
    </row>
    <row r="518" spans="1:10" x14ac:dyDescent="0.3">
      <c r="A518" s="2" t="s">
        <v>393</v>
      </c>
      <c r="B518" s="2" t="s">
        <v>203</v>
      </c>
      <c r="C518" s="2">
        <v>19563</v>
      </c>
      <c r="D518" s="2">
        <v>28618</v>
      </c>
      <c r="E518" s="3">
        <v>44691</v>
      </c>
      <c r="F518" s="3">
        <v>44803</v>
      </c>
      <c r="G518" s="4">
        <v>2880</v>
      </c>
      <c r="H518" s="2">
        <v>0</v>
      </c>
      <c r="I518" s="2" t="s">
        <v>862</v>
      </c>
      <c r="J518" s="2" t="s">
        <v>61</v>
      </c>
    </row>
    <row r="519" spans="1:10" x14ac:dyDescent="0.3">
      <c r="A519" s="2" t="s">
        <v>136</v>
      </c>
      <c r="B519" s="2" t="s">
        <v>137</v>
      </c>
      <c r="C519" s="2">
        <v>18300</v>
      </c>
      <c r="D519" s="2">
        <v>27309</v>
      </c>
      <c r="E519" s="3">
        <v>44567</v>
      </c>
      <c r="F519" s="3">
        <v>44803</v>
      </c>
      <c r="G519" s="4">
        <v>34848</v>
      </c>
      <c r="H519" s="2">
        <v>0</v>
      </c>
      <c r="I519" s="2" t="s">
        <v>870</v>
      </c>
      <c r="J519" s="2" t="s">
        <v>81</v>
      </c>
    </row>
    <row r="520" spans="1:10" x14ac:dyDescent="0.3">
      <c r="A520" s="2" t="s">
        <v>315</v>
      </c>
      <c r="B520" s="2" t="s">
        <v>316</v>
      </c>
      <c r="C520" s="2">
        <v>18582</v>
      </c>
      <c r="D520" s="2">
        <v>27593</v>
      </c>
      <c r="E520" s="3">
        <v>44593</v>
      </c>
      <c r="F520" s="3">
        <v>44803</v>
      </c>
      <c r="G520" s="4">
        <v>55000</v>
      </c>
      <c r="H520" s="2">
        <v>0</v>
      </c>
      <c r="I520" s="2" t="s">
        <v>871</v>
      </c>
      <c r="J520" s="2" t="s">
        <v>81</v>
      </c>
    </row>
    <row r="521" spans="1:10" x14ac:dyDescent="0.3">
      <c r="A521" s="2" t="s">
        <v>25</v>
      </c>
      <c r="B521" s="2" t="s">
        <v>26</v>
      </c>
      <c r="C521" s="2">
        <v>18882</v>
      </c>
      <c r="D521" s="2">
        <v>27899</v>
      </c>
      <c r="E521" s="3">
        <v>44623</v>
      </c>
      <c r="F521" s="3">
        <v>44803</v>
      </c>
      <c r="G521" s="4">
        <v>13847.49</v>
      </c>
      <c r="H521" s="2">
        <v>0</v>
      </c>
      <c r="I521" s="2" t="s">
        <v>875</v>
      </c>
      <c r="J521" s="2" t="s">
        <v>28</v>
      </c>
    </row>
    <row r="522" spans="1:10" x14ac:dyDescent="0.3">
      <c r="A522" s="2" t="s">
        <v>199</v>
      </c>
      <c r="B522" s="2" t="s">
        <v>200</v>
      </c>
      <c r="C522" s="2">
        <v>18994</v>
      </c>
      <c r="D522" s="2">
        <v>28002</v>
      </c>
      <c r="E522" s="3">
        <v>44634</v>
      </c>
      <c r="F522" s="3">
        <v>44803</v>
      </c>
      <c r="G522" s="4">
        <v>230400</v>
      </c>
      <c r="H522" s="2">
        <v>0</v>
      </c>
      <c r="I522" s="2" t="s">
        <v>876</v>
      </c>
      <c r="J522" s="2" t="s">
        <v>94</v>
      </c>
    </row>
    <row r="523" spans="1:10" x14ac:dyDescent="0.3">
      <c r="A523" s="2" t="s">
        <v>878</v>
      </c>
      <c r="B523" s="2" t="s">
        <v>879</v>
      </c>
      <c r="C523" s="2">
        <v>18702</v>
      </c>
      <c r="D523" s="2">
        <v>184027</v>
      </c>
      <c r="E523" s="3">
        <v>44621</v>
      </c>
      <c r="F523" s="3">
        <v>44803</v>
      </c>
      <c r="G523" s="4">
        <v>11700</v>
      </c>
      <c r="H523" s="2">
        <v>0</v>
      </c>
      <c r="I523" s="2" t="s">
        <v>880</v>
      </c>
      <c r="J523" s="2" t="s">
        <v>655</v>
      </c>
    </row>
    <row r="524" spans="1:10" x14ac:dyDescent="0.3">
      <c r="A524" s="2" t="s">
        <v>202</v>
      </c>
      <c r="B524" s="2" t="s">
        <v>203</v>
      </c>
      <c r="C524" s="2">
        <v>18644</v>
      </c>
      <c r="D524" s="2">
        <v>27654</v>
      </c>
      <c r="E524" s="3">
        <v>44596</v>
      </c>
      <c r="F524" s="3">
        <v>44803</v>
      </c>
      <c r="G524" s="4">
        <v>147108</v>
      </c>
      <c r="H524" s="2">
        <v>0</v>
      </c>
      <c r="I524" s="2" t="s">
        <v>891</v>
      </c>
      <c r="J524" s="2" t="s">
        <v>61</v>
      </c>
    </row>
    <row r="525" spans="1:10" x14ac:dyDescent="0.3">
      <c r="A525" s="2" t="s">
        <v>25</v>
      </c>
      <c r="B525" s="2" t="s">
        <v>26</v>
      </c>
      <c r="C525" s="2">
        <v>18880</v>
      </c>
      <c r="D525" s="2">
        <v>27897</v>
      </c>
      <c r="E525" s="3">
        <v>44623</v>
      </c>
      <c r="F525" s="3">
        <v>44803</v>
      </c>
      <c r="G525" s="4">
        <v>13905</v>
      </c>
      <c r="H525" s="2">
        <v>0</v>
      </c>
      <c r="I525" s="2" t="s">
        <v>893</v>
      </c>
      <c r="J525" s="2" t="s">
        <v>28</v>
      </c>
    </row>
    <row r="526" spans="1:10" x14ac:dyDescent="0.3">
      <c r="A526" s="2" t="s">
        <v>896</v>
      </c>
      <c r="B526" s="2" t="s">
        <v>897</v>
      </c>
      <c r="C526" s="2">
        <v>18241</v>
      </c>
      <c r="D526" s="2">
        <v>27254</v>
      </c>
      <c r="E526" s="3">
        <v>44565</v>
      </c>
      <c r="F526" s="3">
        <v>44803</v>
      </c>
      <c r="G526" s="4">
        <v>40800</v>
      </c>
      <c r="H526" s="2">
        <v>0</v>
      </c>
      <c r="I526" s="2" t="s">
        <v>898</v>
      </c>
      <c r="J526" s="2" t="s">
        <v>94</v>
      </c>
    </row>
    <row r="527" spans="1:10" x14ac:dyDescent="0.3">
      <c r="A527" s="2" t="s">
        <v>199</v>
      </c>
      <c r="B527" s="2" t="s">
        <v>200</v>
      </c>
      <c r="C527" s="2">
        <v>18734</v>
      </c>
      <c r="D527" s="2">
        <v>27750</v>
      </c>
      <c r="E527" s="3">
        <v>44607</v>
      </c>
      <c r="F527" s="3">
        <v>44803</v>
      </c>
      <c r="G527" s="4">
        <v>240000</v>
      </c>
      <c r="H527" s="2">
        <v>0</v>
      </c>
      <c r="I527" s="2" t="s">
        <v>901</v>
      </c>
      <c r="J527" s="2" t="s">
        <v>94</v>
      </c>
    </row>
    <row r="528" spans="1:10" x14ac:dyDescent="0.3">
      <c r="A528" s="2" t="s">
        <v>315</v>
      </c>
      <c r="B528" s="2" t="s">
        <v>316</v>
      </c>
      <c r="C528" s="2">
        <v>17937</v>
      </c>
      <c r="D528" s="2">
        <v>26951</v>
      </c>
      <c r="E528" s="3">
        <v>44533</v>
      </c>
      <c r="F528" s="3">
        <v>44803</v>
      </c>
      <c r="G528" s="4">
        <v>63300</v>
      </c>
      <c r="H528" s="2">
        <v>0</v>
      </c>
      <c r="I528" s="2" t="s">
        <v>912</v>
      </c>
      <c r="J528" s="2" t="s">
        <v>81</v>
      </c>
    </row>
    <row r="529" spans="1:10" x14ac:dyDescent="0.3">
      <c r="A529" s="2" t="s">
        <v>129</v>
      </c>
      <c r="B529" s="2" t="s">
        <v>130</v>
      </c>
      <c r="C529" s="2">
        <v>18051</v>
      </c>
      <c r="D529" s="2">
        <v>27063</v>
      </c>
      <c r="E529" s="3">
        <v>44540</v>
      </c>
      <c r="F529" s="3">
        <v>44803</v>
      </c>
      <c r="G529" s="4">
        <v>154000</v>
      </c>
      <c r="H529" s="2">
        <v>0</v>
      </c>
      <c r="I529" s="2" t="s">
        <v>913</v>
      </c>
      <c r="J529" s="2" t="s">
        <v>132</v>
      </c>
    </row>
    <row r="530" spans="1:10" x14ac:dyDescent="0.3">
      <c r="A530" s="2" t="s">
        <v>199</v>
      </c>
      <c r="B530" s="2" t="s">
        <v>200</v>
      </c>
      <c r="C530" s="2">
        <v>18520</v>
      </c>
      <c r="D530" s="2">
        <v>27520</v>
      </c>
      <c r="E530" s="3">
        <v>44586</v>
      </c>
      <c r="F530" s="3">
        <v>44803</v>
      </c>
      <c r="G530" s="4">
        <v>153600</v>
      </c>
      <c r="H530" s="2">
        <v>0</v>
      </c>
      <c r="I530" s="2" t="s">
        <v>915</v>
      </c>
      <c r="J530" s="2" t="s">
        <v>94</v>
      </c>
    </row>
    <row r="531" spans="1:10" x14ac:dyDescent="0.3">
      <c r="A531" s="2" t="s">
        <v>58</v>
      </c>
      <c r="B531" s="2" t="s">
        <v>59</v>
      </c>
      <c r="C531" s="2">
        <v>19000</v>
      </c>
      <c r="D531" s="2">
        <v>28010</v>
      </c>
      <c r="E531" s="3">
        <v>44636</v>
      </c>
      <c r="F531" s="3">
        <v>44803</v>
      </c>
      <c r="G531" s="4">
        <v>158650</v>
      </c>
      <c r="H531" s="2">
        <v>0</v>
      </c>
      <c r="I531" s="2" t="s">
        <v>917</v>
      </c>
      <c r="J531" s="2" t="s">
        <v>61</v>
      </c>
    </row>
    <row r="532" spans="1:10" x14ac:dyDescent="0.3">
      <c r="A532" s="2" t="s">
        <v>10</v>
      </c>
      <c r="B532" s="2" t="s">
        <v>11</v>
      </c>
      <c r="C532" s="2">
        <v>18330</v>
      </c>
      <c r="D532" s="2">
        <v>27337</v>
      </c>
      <c r="E532" s="3">
        <v>44568</v>
      </c>
      <c r="F532" s="3">
        <v>44803</v>
      </c>
      <c r="G532" s="4">
        <v>150000</v>
      </c>
      <c r="H532" s="2">
        <v>0</v>
      </c>
      <c r="I532" s="2" t="s">
        <v>924</v>
      </c>
      <c r="J532" s="2" t="s">
        <v>13</v>
      </c>
    </row>
    <row r="533" spans="1:10" x14ac:dyDescent="0.3">
      <c r="A533" s="2" t="s">
        <v>878</v>
      </c>
      <c r="B533" s="2" t="s">
        <v>879</v>
      </c>
      <c r="C533" s="2">
        <v>18348</v>
      </c>
      <c r="D533" s="2">
        <v>27356</v>
      </c>
      <c r="E533" s="3">
        <v>44572</v>
      </c>
      <c r="F533" s="3">
        <v>44803</v>
      </c>
      <c r="G533" s="4">
        <v>111300</v>
      </c>
      <c r="H533" s="2">
        <v>0</v>
      </c>
      <c r="I533" s="2" t="s">
        <v>925</v>
      </c>
      <c r="J533" s="2" t="s">
        <v>655</v>
      </c>
    </row>
    <row r="534" spans="1:10" x14ac:dyDescent="0.3">
      <c r="A534" s="2" t="s">
        <v>88</v>
      </c>
      <c r="B534" s="2" t="s">
        <v>89</v>
      </c>
      <c r="C534" s="2">
        <v>17710</v>
      </c>
      <c r="D534" s="2">
        <v>26706</v>
      </c>
      <c r="E534" s="3">
        <v>44510</v>
      </c>
      <c r="F534" s="3">
        <v>44803</v>
      </c>
      <c r="G534" s="4">
        <v>149440</v>
      </c>
      <c r="H534" s="2">
        <v>0</v>
      </c>
      <c r="I534" s="2" t="s">
        <v>933</v>
      </c>
      <c r="J534" s="2" t="s">
        <v>44</v>
      </c>
    </row>
    <row r="535" spans="1:10" x14ac:dyDescent="0.3">
      <c r="A535" s="2" t="s">
        <v>315</v>
      </c>
      <c r="B535" s="2" t="s">
        <v>316</v>
      </c>
      <c r="C535" s="2">
        <v>18580</v>
      </c>
      <c r="D535" s="2">
        <v>27591</v>
      </c>
      <c r="E535" s="3">
        <v>44593</v>
      </c>
      <c r="F535" s="3">
        <v>44803</v>
      </c>
      <c r="G535" s="4">
        <v>131200</v>
      </c>
      <c r="H535" s="2">
        <v>0</v>
      </c>
      <c r="I535" s="2" t="s">
        <v>336</v>
      </c>
      <c r="J535" s="2" t="s">
        <v>81</v>
      </c>
    </row>
    <row r="536" spans="1:10" x14ac:dyDescent="0.3">
      <c r="A536" s="2" t="s">
        <v>10</v>
      </c>
      <c r="B536" s="2" t="s">
        <v>11</v>
      </c>
      <c r="C536" s="2">
        <v>18712</v>
      </c>
      <c r="D536" s="2">
        <v>27726</v>
      </c>
      <c r="E536" s="3">
        <v>44603</v>
      </c>
      <c r="F536" s="3">
        <v>44803</v>
      </c>
      <c r="G536" s="4">
        <v>126000</v>
      </c>
      <c r="H536" s="2">
        <v>0</v>
      </c>
      <c r="I536" s="2" t="s">
        <v>936</v>
      </c>
      <c r="J536" s="2" t="s">
        <v>13</v>
      </c>
    </row>
    <row r="537" spans="1:10" x14ac:dyDescent="0.3">
      <c r="A537" s="2" t="s">
        <v>422</v>
      </c>
      <c r="B537" s="2" t="s">
        <v>423</v>
      </c>
      <c r="C537" s="2">
        <v>18332</v>
      </c>
      <c r="D537" s="2">
        <v>27339</v>
      </c>
      <c r="E537" s="3">
        <v>44571</v>
      </c>
      <c r="F537" s="3">
        <v>44803</v>
      </c>
      <c r="G537" s="4">
        <v>212380</v>
      </c>
      <c r="H537" s="2">
        <v>0</v>
      </c>
      <c r="I537" s="2" t="s">
        <v>940</v>
      </c>
      <c r="J537" s="2" t="s">
        <v>61</v>
      </c>
    </row>
    <row r="538" spans="1:10" x14ac:dyDescent="0.3">
      <c r="A538" s="2" t="s">
        <v>878</v>
      </c>
      <c r="B538" s="2" t="s">
        <v>879</v>
      </c>
      <c r="C538" s="2">
        <v>18350</v>
      </c>
      <c r="D538" s="2">
        <v>27358</v>
      </c>
      <c r="E538" s="3">
        <v>44572</v>
      </c>
      <c r="F538" s="3">
        <v>44803</v>
      </c>
      <c r="G538" s="4">
        <v>7041.48</v>
      </c>
      <c r="H538" s="2">
        <v>0</v>
      </c>
      <c r="I538" s="2" t="s">
        <v>941</v>
      </c>
      <c r="J538" s="2" t="s">
        <v>655</v>
      </c>
    </row>
    <row r="539" spans="1:10" x14ac:dyDescent="0.3">
      <c r="A539" s="2" t="s">
        <v>136</v>
      </c>
      <c r="B539" s="2" t="s">
        <v>137</v>
      </c>
      <c r="C539" s="2">
        <v>18389</v>
      </c>
      <c r="D539" s="2">
        <v>27397</v>
      </c>
      <c r="E539" s="3">
        <v>44575</v>
      </c>
      <c r="F539" s="3">
        <v>44803</v>
      </c>
      <c r="G539" s="4">
        <v>363600</v>
      </c>
      <c r="H539" s="2">
        <v>0</v>
      </c>
      <c r="I539" s="2" t="s">
        <v>261</v>
      </c>
      <c r="J539" s="2" t="s">
        <v>81</v>
      </c>
    </row>
    <row r="540" spans="1:10" x14ac:dyDescent="0.3">
      <c r="A540" s="2" t="s">
        <v>58</v>
      </c>
      <c r="B540" s="2" t="s">
        <v>59</v>
      </c>
      <c r="C540" s="2">
        <v>18693</v>
      </c>
      <c r="D540" s="2">
        <v>27706</v>
      </c>
      <c r="E540" s="3">
        <v>44601</v>
      </c>
      <c r="F540" s="3">
        <v>44803</v>
      </c>
      <c r="G540" s="4">
        <v>209605</v>
      </c>
      <c r="H540" s="2">
        <v>0</v>
      </c>
      <c r="I540" s="2" t="s">
        <v>943</v>
      </c>
      <c r="J540" s="2" t="s">
        <v>61</v>
      </c>
    </row>
    <row r="541" spans="1:10" x14ac:dyDescent="0.3">
      <c r="A541" s="2" t="s">
        <v>944</v>
      </c>
      <c r="B541" s="2" t="s">
        <v>945</v>
      </c>
      <c r="C541" s="2">
        <v>18707</v>
      </c>
      <c r="D541" s="2">
        <v>27720</v>
      </c>
      <c r="E541" s="3">
        <v>44602</v>
      </c>
      <c r="F541" s="3">
        <v>44803</v>
      </c>
      <c r="G541" s="4">
        <v>189059.1</v>
      </c>
      <c r="H541" s="2">
        <v>0</v>
      </c>
      <c r="I541" s="2" t="s">
        <v>946</v>
      </c>
      <c r="J541" s="2" t="s">
        <v>61</v>
      </c>
    </row>
    <row r="542" spans="1:10" x14ac:dyDescent="0.3">
      <c r="A542" s="2" t="s">
        <v>88</v>
      </c>
      <c r="B542" s="2" t="s">
        <v>89</v>
      </c>
      <c r="C542" s="2">
        <v>19018</v>
      </c>
      <c r="D542" s="2">
        <v>28032</v>
      </c>
      <c r="E542" s="3">
        <v>44641</v>
      </c>
      <c r="F542" s="3">
        <v>44803</v>
      </c>
      <c r="G542" s="4">
        <v>158400</v>
      </c>
      <c r="H542" s="2">
        <v>0</v>
      </c>
      <c r="I542" s="2" t="s">
        <v>948</v>
      </c>
      <c r="J542" s="2" t="s">
        <v>44</v>
      </c>
    </row>
    <row r="543" spans="1:10" x14ac:dyDescent="0.3">
      <c r="A543" s="2" t="s">
        <v>133</v>
      </c>
      <c r="B543" s="2" t="s">
        <v>134</v>
      </c>
      <c r="C543" s="2">
        <v>18016</v>
      </c>
      <c r="D543" s="2">
        <v>27028</v>
      </c>
      <c r="E543" s="3">
        <v>44538</v>
      </c>
      <c r="F543" s="3">
        <v>44803</v>
      </c>
      <c r="G543" s="4">
        <v>121878.91</v>
      </c>
      <c r="H543" s="2">
        <v>0</v>
      </c>
      <c r="I543" s="2" t="s">
        <v>958</v>
      </c>
      <c r="J543" s="2" t="s">
        <v>20</v>
      </c>
    </row>
    <row r="544" spans="1:10" x14ac:dyDescent="0.3">
      <c r="A544" s="2" t="s">
        <v>14</v>
      </c>
      <c r="B544" s="2" t="s">
        <v>15</v>
      </c>
      <c r="C544" s="2">
        <v>18519</v>
      </c>
      <c r="D544" s="2">
        <v>27519</v>
      </c>
      <c r="E544" s="3">
        <v>44585</v>
      </c>
      <c r="F544" s="3">
        <v>44803</v>
      </c>
      <c r="G544" s="4">
        <v>266500</v>
      </c>
      <c r="H544" s="2">
        <v>0</v>
      </c>
      <c r="I544" s="2" t="s">
        <v>971</v>
      </c>
      <c r="J544" s="2" t="s">
        <v>17</v>
      </c>
    </row>
    <row r="545" spans="1:10" x14ac:dyDescent="0.3">
      <c r="A545" s="2" t="s">
        <v>199</v>
      </c>
      <c r="B545" s="2" t="s">
        <v>200</v>
      </c>
      <c r="C545" s="2">
        <v>18856</v>
      </c>
      <c r="D545" s="2">
        <v>27876</v>
      </c>
      <c r="E545" s="3">
        <v>44622</v>
      </c>
      <c r="F545" s="3">
        <v>44803</v>
      </c>
      <c r="G545" s="4">
        <v>65000</v>
      </c>
      <c r="H545" s="2">
        <v>0</v>
      </c>
      <c r="I545" s="2" t="s">
        <v>972</v>
      </c>
      <c r="J545" s="2" t="s">
        <v>94</v>
      </c>
    </row>
    <row r="546" spans="1:10" x14ac:dyDescent="0.3">
      <c r="A546" s="2" t="s">
        <v>202</v>
      </c>
      <c r="B546" s="2" t="s">
        <v>203</v>
      </c>
      <c r="C546" s="2">
        <v>18641</v>
      </c>
      <c r="D546" s="2">
        <v>27651</v>
      </c>
      <c r="E546" s="3">
        <v>44596</v>
      </c>
      <c r="F546" s="3">
        <v>44803</v>
      </c>
      <c r="G546" s="4">
        <v>76180</v>
      </c>
      <c r="H546" s="2">
        <v>0</v>
      </c>
      <c r="I546" s="2" t="s">
        <v>977</v>
      </c>
      <c r="J546" s="2" t="s">
        <v>61</v>
      </c>
    </row>
    <row r="547" spans="1:10" x14ac:dyDescent="0.3">
      <c r="A547" s="2" t="s">
        <v>202</v>
      </c>
      <c r="B547" s="2" t="s">
        <v>203</v>
      </c>
      <c r="C547" s="2">
        <v>18748</v>
      </c>
      <c r="D547" s="2">
        <v>27767</v>
      </c>
      <c r="E547" s="3">
        <v>44609</v>
      </c>
      <c r="F547" s="3">
        <v>44803</v>
      </c>
      <c r="G547" s="4">
        <v>216820</v>
      </c>
      <c r="H547" s="2">
        <v>0</v>
      </c>
      <c r="I547" s="2" t="s">
        <v>978</v>
      </c>
      <c r="J547" s="2" t="s">
        <v>61</v>
      </c>
    </row>
    <row r="548" spans="1:10" x14ac:dyDescent="0.3">
      <c r="A548" s="2" t="s">
        <v>136</v>
      </c>
      <c r="B548" s="2" t="s">
        <v>137</v>
      </c>
      <c r="C548" s="2">
        <v>18841</v>
      </c>
      <c r="D548" s="2">
        <v>27861</v>
      </c>
      <c r="E548" s="3">
        <v>44616</v>
      </c>
      <c r="F548" s="3">
        <v>44803</v>
      </c>
      <c r="G548" s="4">
        <v>36300</v>
      </c>
      <c r="H548" s="2">
        <v>0</v>
      </c>
      <c r="I548" s="2" t="s">
        <v>979</v>
      </c>
      <c r="J548" s="2" t="s">
        <v>81</v>
      </c>
    </row>
    <row r="549" spans="1:10" x14ac:dyDescent="0.3">
      <c r="A549" s="2" t="s">
        <v>693</v>
      </c>
      <c r="B549" s="2" t="s">
        <v>694</v>
      </c>
      <c r="C549" s="2">
        <v>18955</v>
      </c>
      <c r="D549" s="2">
        <v>27966</v>
      </c>
      <c r="E549" s="3">
        <v>44629</v>
      </c>
      <c r="F549" s="3">
        <v>44803</v>
      </c>
      <c r="G549" s="4">
        <v>189920</v>
      </c>
      <c r="H549" s="2">
        <v>0</v>
      </c>
      <c r="I549" s="2" t="s">
        <v>996</v>
      </c>
      <c r="J549" s="2" t="s">
        <v>61</v>
      </c>
    </row>
    <row r="550" spans="1:10" x14ac:dyDescent="0.3">
      <c r="A550" s="2" t="s">
        <v>58</v>
      </c>
      <c r="B550" s="2" t="s">
        <v>59</v>
      </c>
      <c r="C550" s="2">
        <v>18956</v>
      </c>
      <c r="D550" s="2">
        <v>27967</v>
      </c>
      <c r="E550" s="3">
        <v>44630</v>
      </c>
      <c r="F550" s="3">
        <v>44803</v>
      </c>
      <c r="G550" s="4">
        <v>157120</v>
      </c>
      <c r="H550" s="2">
        <v>0</v>
      </c>
      <c r="I550" s="2" t="s">
        <v>997</v>
      </c>
      <c r="J550" s="2" t="s">
        <v>61</v>
      </c>
    </row>
    <row r="551" spans="1:10" x14ac:dyDescent="0.3">
      <c r="A551" s="2" t="s">
        <v>202</v>
      </c>
      <c r="B551" s="2" t="s">
        <v>203</v>
      </c>
      <c r="C551" s="2">
        <v>18995</v>
      </c>
      <c r="D551" s="2">
        <v>28003</v>
      </c>
      <c r="E551" s="3">
        <v>44635</v>
      </c>
      <c r="F551" s="3">
        <v>44803</v>
      </c>
      <c r="G551" s="4">
        <v>181660</v>
      </c>
      <c r="H551" s="2">
        <v>0</v>
      </c>
      <c r="I551" s="2" t="s">
        <v>998</v>
      </c>
      <c r="J551" s="2" t="s">
        <v>61</v>
      </c>
    </row>
    <row r="552" spans="1:10" x14ac:dyDescent="0.3">
      <c r="A552" s="2" t="s">
        <v>202</v>
      </c>
      <c r="B552" s="2" t="s">
        <v>203</v>
      </c>
      <c r="C552" s="2">
        <v>19014</v>
      </c>
      <c r="D552" s="2">
        <v>28026</v>
      </c>
      <c r="E552" s="3">
        <v>44637</v>
      </c>
      <c r="F552" s="3">
        <v>44803</v>
      </c>
      <c r="G552" s="4">
        <v>175800</v>
      </c>
      <c r="H552" s="2">
        <v>0</v>
      </c>
      <c r="I552" s="2" t="s">
        <v>999</v>
      </c>
      <c r="J552" s="2" t="s">
        <v>61</v>
      </c>
    </row>
    <row r="553" spans="1:10" x14ac:dyDescent="0.3">
      <c r="A553" s="2" t="s">
        <v>594</v>
      </c>
      <c r="B553" s="2" t="s">
        <v>134</v>
      </c>
      <c r="C553" s="2">
        <v>18459</v>
      </c>
      <c r="D553" s="2">
        <v>27457</v>
      </c>
      <c r="E553" s="3">
        <v>44580</v>
      </c>
      <c r="F553" s="3">
        <v>44803</v>
      </c>
      <c r="G553" s="4">
        <v>54670</v>
      </c>
      <c r="H553" s="2">
        <v>0</v>
      </c>
      <c r="I553" s="2" t="s">
        <v>1014</v>
      </c>
      <c r="J553" s="2" t="s">
        <v>20</v>
      </c>
    </row>
    <row r="554" spans="1:10" x14ac:dyDescent="0.3">
      <c r="A554" s="2" t="s">
        <v>202</v>
      </c>
      <c r="B554" s="2" t="s">
        <v>203</v>
      </c>
      <c r="C554" s="2">
        <v>18623</v>
      </c>
      <c r="D554" s="2">
        <v>27634</v>
      </c>
      <c r="E554" s="3">
        <v>44596</v>
      </c>
      <c r="F554" s="3">
        <v>44803</v>
      </c>
      <c r="G554" s="4">
        <v>181056</v>
      </c>
      <c r="H554" s="2">
        <v>0</v>
      </c>
      <c r="I554" s="2" t="s">
        <v>1015</v>
      </c>
      <c r="J554" s="2" t="s">
        <v>61</v>
      </c>
    </row>
    <row r="555" spans="1:10" x14ac:dyDescent="0.3">
      <c r="A555" s="2" t="s">
        <v>693</v>
      </c>
      <c r="B555" s="2" t="s">
        <v>694</v>
      </c>
      <c r="C555" s="2">
        <v>18827</v>
      </c>
      <c r="D555" s="2">
        <v>27848</v>
      </c>
      <c r="E555" s="3">
        <v>44616</v>
      </c>
      <c r="F555" s="3">
        <v>44803</v>
      </c>
      <c r="G555" s="4">
        <v>20000</v>
      </c>
      <c r="H555" s="2">
        <v>0</v>
      </c>
      <c r="I555" s="2" t="s">
        <v>1016</v>
      </c>
      <c r="J555" s="2" t="s">
        <v>61</v>
      </c>
    </row>
    <row r="556" spans="1:10" x14ac:dyDescent="0.3">
      <c r="A556" s="2" t="s">
        <v>225</v>
      </c>
      <c r="B556" s="2" t="s">
        <v>226</v>
      </c>
      <c r="C556" s="2">
        <v>18565</v>
      </c>
      <c r="D556" s="2">
        <v>27572</v>
      </c>
      <c r="E556" s="3">
        <v>44589</v>
      </c>
      <c r="F556" s="3">
        <v>44803</v>
      </c>
      <c r="G556" s="4">
        <v>213120</v>
      </c>
      <c r="H556" s="2">
        <v>0</v>
      </c>
      <c r="I556" s="2" t="s">
        <v>1037</v>
      </c>
      <c r="J556" s="2" t="s">
        <v>61</v>
      </c>
    </row>
    <row r="557" spans="1:10" x14ac:dyDescent="0.3">
      <c r="A557" s="2" t="s">
        <v>878</v>
      </c>
      <c r="B557" s="2" t="s">
        <v>879</v>
      </c>
      <c r="C557" s="2">
        <v>18701</v>
      </c>
      <c r="D557" s="2">
        <v>27714</v>
      </c>
      <c r="E557" s="3">
        <v>44602</v>
      </c>
      <c r="F557" s="3">
        <v>44803</v>
      </c>
      <c r="G557" s="4">
        <v>46500</v>
      </c>
      <c r="H557" s="2">
        <v>0</v>
      </c>
      <c r="I557" s="2" t="s">
        <v>1039</v>
      </c>
      <c r="J557" s="2" t="s">
        <v>655</v>
      </c>
    </row>
    <row r="558" spans="1:10" x14ac:dyDescent="0.3">
      <c r="A558" s="2" t="s">
        <v>675</v>
      </c>
      <c r="B558" s="2" t="s">
        <v>676</v>
      </c>
      <c r="C558" s="2">
        <v>18733</v>
      </c>
      <c r="D558" s="2">
        <v>27749</v>
      </c>
      <c r="E558" s="3">
        <v>44607</v>
      </c>
      <c r="F558" s="3">
        <v>44803</v>
      </c>
      <c r="G558" s="4">
        <v>375544</v>
      </c>
      <c r="H558" s="2">
        <v>0</v>
      </c>
      <c r="I558" s="2" t="s">
        <v>1055</v>
      </c>
      <c r="J558" s="2" t="s">
        <v>164</v>
      </c>
    </row>
    <row r="559" spans="1:10" x14ac:dyDescent="0.3">
      <c r="A559" s="2" t="s">
        <v>693</v>
      </c>
      <c r="B559" s="2" t="s">
        <v>694</v>
      </c>
      <c r="C559" s="2">
        <v>18740</v>
      </c>
      <c r="D559" s="2">
        <v>27759</v>
      </c>
      <c r="E559" s="3">
        <v>44608</v>
      </c>
      <c r="F559" s="3">
        <v>44803</v>
      </c>
      <c r="G559" s="4">
        <v>189920</v>
      </c>
      <c r="H559" s="2">
        <v>0</v>
      </c>
      <c r="I559" s="2" t="s">
        <v>1056</v>
      </c>
      <c r="J559" s="2" t="s">
        <v>61</v>
      </c>
    </row>
    <row r="560" spans="1:10" x14ac:dyDescent="0.3">
      <c r="A560" s="2" t="s">
        <v>88</v>
      </c>
      <c r="B560" s="2" t="s">
        <v>89</v>
      </c>
      <c r="C560" s="2">
        <v>18069</v>
      </c>
      <c r="D560" s="2">
        <v>27084</v>
      </c>
      <c r="E560" s="3">
        <v>44543</v>
      </c>
      <c r="F560" s="3">
        <v>44803</v>
      </c>
      <c r="G560" s="4">
        <v>158400</v>
      </c>
      <c r="H560" s="2">
        <v>0</v>
      </c>
      <c r="I560" s="2" t="s">
        <v>1065</v>
      </c>
      <c r="J560" s="2" t="s">
        <v>44</v>
      </c>
    </row>
    <row r="561" spans="1:10" x14ac:dyDescent="0.3">
      <c r="A561" s="2" t="s">
        <v>199</v>
      </c>
      <c r="B561" s="2" t="s">
        <v>200</v>
      </c>
      <c r="C561" s="2">
        <v>18467</v>
      </c>
      <c r="D561" s="2">
        <v>27466</v>
      </c>
      <c r="E561" s="3">
        <v>44580</v>
      </c>
      <c r="F561" s="3">
        <v>44803</v>
      </c>
      <c r="G561" s="4">
        <v>240000</v>
      </c>
      <c r="H561" s="2">
        <v>0</v>
      </c>
      <c r="I561" s="2" t="s">
        <v>1072</v>
      </c>
      <c r="J561" s="2" t="s">
        <v>94</v>
      </c>
    </row>
    <row r="562" spans="1:10" x14ac:dyDescent="0.3">
      <c r="A562" s="2" t="s">
        <v>58</v>
      </c>
      <c r="B562" s="2" t="s">
        <v>59</v>
      </c>
      <c r="C562" s="2">
        <v>18640</v>
      </c>
      <c r="D562" s="2">
        <v>27650</v>
      </c>
      <c r="E562" s="3">
        <v>44596</v>
      </c>
      <c r="F562" s="3">
        <v>44803</v>
      </c>
      <c r="G562" s="4">
        <v>29300</v>
      </c>
      <c r="H562" s="2">
        <v>0</v>
      </c>
      <c r="I562" s="2" t="s">
        <v>1074</v>
      </c>
      <c r="J562" s="2" t="s">
        <v>61</v>
      </c>
    </row>
    <row r="563" spans="1:10" x14ac:dyDescent="0.3">
      <c r="A563" s="2" t="s">
        <v>10</v>
      </c>
      <c r="B563" s="2" t="s">
        <v>11</v>
      </c>
      <c r="C563" s="2">
        <v>17948</v>
      </c>
      <c r="D563" s="2">
        <v>26962</v>
      </c>
      <c r="E563" s="3">
        <v>44533</v>
      </c>
      <c r="F563" s="3">
        <v>44803</v>
      </c>
      <c r="G563" s="4">
        <v>150000</v>
      </c>
      <c r="H563" s="2">
        <v>0</v>
      </c>
      <c r="I563" s="2" t="s">
        <v>1079</v>
      </c>
      <c r="J563" s="2" t="s">
        <v>13</v>
      </c>
    </row>
    <row r="564" spans="1:10" x14ac:dyDescent="0.3">
      <c r="A564" s="2" t="s">
        <v>88</v>
      </c>
      <c r="B564" s="2" t="s">
        <v>89</v>
      </c>
      <c r="C564" s="2">
        <v>18305</v>
      </c>
      <c r="D564" s="2">
        <v>27314</v>
      </c>
      <c r="E564" s="3">
        <v>44567</v>
      </c>
      <c r="F564" s="3">
        <v>44803</v>
      </c>
      <c r="G564" s="4">
        <v>158400</v>
      </c>
      <c r="H564" s="2">
        <v>0</v>
      </c>
      <c r="I564" s="2" t="s">
        <v>1080</v>
      </c>
      <c r="J564" s="2" t="s">
        <v>44</v>
      </c>
    </row>
    <row r="565" spans="1:10" x14ac:dyDescent="0.3">
      <c r="A565" s="2" t="s">
        <v>675</v>
      </c>
      <c r="B565" s="2" t="s">
        <v>676</v>
      </c>
      <c r="C565" s="2">
        <v>18977</v>
      </c>
      <c r="D565" s="2">
        <v>27989</v>
      </c>
      <c r="E565" s="3">
        <v>44634</v>
      </c>
      <c r="F565" s="3">
        <v>44803</v>
      </c>
      <c r="G565" s="4">
        <v>62640</v>
      </c>
      <c r="H565" s="2">
        <v>0</v>
      </c>
      <c r="I565" s="2" t="s">
        <v>1082</v>
      </c>
      <c r="J565" s="2" t="s">
        <v>164</v>
      </c>
    </row>
    <row r="566" spans="1:10" x14ac:dyDescent="0.3">
      <c r="A566" s="2" t="s">
        <v>896</v>
      </c>
      <c r="B566" s="2" t="s">
        <v>897</v>
      </c>
      <c r="C566" s="2">
        <v>18242</v>
      </c>
      <c r="D566" s="2">
        <v>27255</v>
      </c>
      <c r="E566" s="3">
        <v>44565</v>
      </c>
      <c r="F566" s="3">
        <v>44803</v>
      </c>
      <c r="G566" s="4">
        <v>60000</v>
      </c>
      <c r="H566" s="2">
        <v>0</v>
      </c>
      <c r="I566" s="2" t="s">
        <v>1107</v>
      </c>
      <c r="J566" s="2" t="s">
        <v>94</v>
      </c>
    </row>
    <row r="567" spans="1:10" x14ac:dyDescent="0.3">
      <c r="A567" s="2" t="s">
        <v>225</v>
      </c>
      <c r="B567" s="2" t="s">
        <v>226</v>
      </c>
      <c r="C567" s="2">
        <v>18833</v>
      </c>
      <c r="D567" s="2">
        <v>27853</v>
      </c>
      <c r="E567" s="3">
        <v>44616</v>
      </c>
      <c r="F567" s="3">
        <v>44803</v>
      </c>
      <c r="G567" s="4">
        <v>3614</v>
      </c>
      <c r="H567" s="2">
        <v>0</v>
      </c>
      <c r="I567" s="2" t="s">
        <v>1109</v>
      </c>
      <c r="J567" s="2" t="s">
        <v>61</v>
      </c>
    </row>
    <row r="568" spans="1:10" x14ac:dyDescent="0.3">
      <c r="A568" s="2" t="s">
        <v>48</v>
      </c>
      <c r="B568" s="2" t="s">
        <v>49</v>
      </c>
      <c r="C568" s="2">
        <v>18876</v>
      </c>
      <c r="D568" s="2">
        <v>27894</v>
      </c>
      <c r="E568" s="3">
        <v>44623</v>
      </c>
      <c r="F568" s="3">
        <v>44803</v>
      </c>
      <c r="G568" s="4">
        <v>54000</v>
      </c>
      <c r="H568" s="2">
        <v>0</v>
      </c>
      <c r="I568" s="2" t="s">
        <v>1111</v>
      </c>
      <c r="J568" s="2" t="s">
        <v>40</v>
      </c>
    </row>
    <row r="569" spans="1:10" x14ac:dyDescent="0.3">
      <c r="A569" s="2" t="s">
        <v>248</v>
      </c>
      <c r="B569" s="2" t="s">
        <v>249</v>
      </c>
      <c r="C569" s="2">
        <v>19001</v>
      </c>
      <c r="D569" s="2">
        <v>28011</v>
      </c>
      <c r="E569" s="3">
        <v>44636</v>
      </c>
      <c r="F569" s="3">
        <v>44803</v>
      </c>
      <c r="G569" s="4">
        <v>22300</v>
      </c>
      <c r="H569" s="2">
        <v>0</v>
      </c>
      <c r="I569" s="2" t="s">
        <v>1112</v>
      </c>
      <c r="J569" s="2" t="s">
        <v>164</v>
      </c>
    </row>
    <row r="570" spans="1:10" x14ac:dyDescent="0.3">
      <c r="A570" s="2" t="s">
        <v>91</v>
      </c>
      <c r="B570" s="2" t="s">
        <v>92</v>
      </c>
      <c r="C570" s="2">
        <v>18859</v>
      </c>
      <c r="D570" s="2">
        <v>27879</v>
      </c>
      <c r="E570" s="3">
        <v>44622</v>
      </c>
      <c r="F570" s="3">
        <v>44803</v>
      </c>
      <c r="G570" s="4">
        <v>90100</v>
      </c>
      <c r="H570" s="2">
        <v>0</v>
      </c>
      <c r="I570" s="2" t="s">
        <v>1122</v>
      </c>
      <c r="J570" s="2" t="s">
        <v>94</v>
      </c>
    </row>
    <row r="571" spans="1:10" x14ac:dyDescent="0.3">
      <c r="A571" s="2" t="s">
        <v>393</v>
      </c>
      <c r="B571" s="2" t="s">
        <v>203</v>
      </c>
      <c r="C571" s="2">
        <v>18642</v>
      </c>
      <c r="D571" s="2">
        <v>27652</v>
      </c>
      <c r="E571" s="3">
        <v>44596</v>
      </c>
      <c r="F571" s="3">
        <v>44803</v>
      </c>
      <c r="G571" s="4">
        <v>34680</v>
      </c>
      <c r="H571" s="2">
        <v>0</v>
      </c>
      <c r="I571" s="2" t="s">
        <v>1136</v>
      </c>
      <c r="J571" s="2" t="s">
        <v>61</v>
      </c>
    </row>
    <row r="572" spans="1:10" x14ac:dyDescent="0.3">
      <c r="A572" s="2" t="s">
        <v>58</v>
      </c>
      <c r="B572" s="2" t="s">
        <v>59</v>
      </c>
      <c r="C572" s="2">
        <v>18706</v>
      </c>
      <c r="D572" s="2">
        <v>27719</v>
      </c>
      <c r="E572" s="3">
        <v>44602</v>
      </c>
      <c r="F572" s="3">
        <v>44803</v>
      </c>
      <c r="G572" s="4">
        <v>170905</v>
      </c>
      <c r="H572" s="2">
        <v>0</v>
      </c>
      <c r="I572" s="2" t="s">
        <v>1137</v>
      </c>
      <c r="J572" s="2" t="s">
        <v>61</v>
      </c>
    </row>
    <row r="573" spans="1:10" x14ac:dyDescent="0.3">
      <c r="A573" s="2" t="s">
        <v>25</v>
      </c>
      <c r="B573" s="2" t="s">
        <v>26</v>
      </c>
      <c r="C573" s="2">
        <v>18874</v>
      </c>
      <c r="D573" s="2">
        <v>27892</v>
      </c>
      <c r="E573" s="3">
        <v>44623</v>
      </c>
      <c r="F573" s="3">
        <v>44803</v>
      </c>
      <c r="G573" s="4">
        <v>23312</v>
      </c>
      <c r="H573" s="2">
        <v>0</v>
      </c>
      <c r="I573" s="2" t="s">
        <v>1152</v>
      </c>
      <c r="J573" s="2" t="s">
        <v>28</v>
      </c>
    </row>
    <row r="574" spans="1:10" x14ac:dyDescent="0.3">
      <c r="A574" s="2" t="s">
        <v>25</v>
      </c>
      <c r="B574" s="2" t="s">
        <v>26</v>
      </c>
      <c r="C574" s="2">
        <v>18914</v>
      </c>
      <c r="D574" s="2">
        <v>27930</v>
      </c>
      <c r="E574" s="3">
        <v>44624</v>
      </c>
      <c r="F574" s="3">
        <v>44804</v>
      </c>
      <c r="G574" s="4">
        <v>13597.75</v>
      </c>
      <c r="H574" s="2">
        <v>0</v>
      </c>
      <c r="I574" s="2" t="s">
        <v>177</v>
      </c>
      <c r="J574" s="2" t="s">
        <v>28</v>
      </c>
    </row>
    <row r="575" spans="1:10" x14ac:dyDescent="0.3">
      <c r="A575" s="2" t="s">
        <v>25</v>
      </c>
      <c r="B575" s="2" t="s">
        <v>26</v>
      </c>
      <c r="C575" s="2">
        <v>18900</v>
      </c>
      <c r="D575" s="2">
        <v>27916</v>
      </c>
      <c r="E575" s="3">
        <v>44624</v>
      </c>
      <c r="F575" s="3">
        <v>44804</v>
      </c>
      <c r="G575" s="4">
        <v>25199.97</v>
      </c>
      <c r="H575" s="2">
        <v>0</v>
      </c>
      <c r="I575" s="2" t="s">
        <v>254</v>
      </c>
      <c r="J575" s="2" t="s">
        <v>28</v>
      </c>
    </row>
    <row r="576" spans="1:10" x14ac:dyDescent="0.3">
      <c r="A576" s="2" t="s">
        <v>25</v>
      </c>
      <c r="B576" s="2" t="s">
        <v>26</v>
      </c>
      <c r="C576" s="2">
        <v>18913</v>
      </c>
      <c r="D576" s="2">
        <v>27929</v>
      </c>
      <c r="E576" s="3">
        <v>44624</v>
      </c>
      <c r="F576" s="3">
        <v>44804</v>
      </c>
      <c r="G576" s="4">
        <v>62375</v>
      </c>
      <c r="H576" s="2">
        <v>0</v>
      </c>
      <c r="I576" s="2" t="s">
        <v>289</v>
      </c>
      <c r="J576" s="2" t="s">
        <v>28</v>
      </c>
    </row>
    <row r="577" spans="1:10" x14ac:dyDescent="0.3">
      <c r="A577" s="2" t="s">
        <v>85</v>
      </c>
      <c r="B577" s="2" t="s">
        <v>83</v>
      </c>
      <c r="C577" s="2">
        <v>19453</v>
      </c>
      <c r="D577" s="2">
        <v>28506</v>
      </c>
      <c r="E577" s="3">
        <v>44684</v>
      </c>
      <c r="F577" s="3">
        <v>44804</v>
      </c>
      <c r="G577" s="4">
        <v>14865</v>
      </c>
      <c r="H577" s="2">
        <v>0</v>
      </c>
      <c r="I577" s="2" t="s">
        <v>158</v>
      </c>
      <c r="J577" s="2" t="s">
        <v>40</v>
      </c>
    </row>
    <row r="578" spans="1:10" x14ac:dyDescent="0.3">
      <c r="A578" s="2" t="s">
        <v>68</v>
      </c>
      <c r="B578" s="2" t="s">
        <v>69</v>
      </c>
      <c r="C578" s="2">
        <v>19466</v>
      </c>
      <c r="D578" s="2">
        <v>28519</v>
      </c>
      <c r="E578" s="3">
        <v>44684</v>
      </c>
      <c r="F578" s="3">
        <v>44804</v>
      </c>
      <c r="G578" s="4">
        <v>126000</v>
      </c>
      <c r="H578" s="2">
        <v>0</v>
      </c>
      <c r="I578" s="2" t="s">
        <v>362</v>
      </c>
      <c r="J578" s="2" t="s">
        <v>40</v>
      </c>
    </row>
    <row r="579" spans="1:10" x14ac:dyDescent="0.3">
      <c r="A579" s="2" t="s">
        <v>68</v>
      </c>
      <c r="B579" s="2" t="s">
        <v>69</v>
      </c>
      <c r="C579" s="2">
        <v>19467</v>
      </c>
      <c r="D579" s="2">
        <v>28520</v>
      </c>
      <c r="E579" s="3">
        <v>44684</v>
      </c>
      <c r="F579" s="3">
        <v>44804</v>
      </c>
      <c r="G579" s="4">
        <v>187582.5</v>
      </c>
      <c r="H579" s="2">
        <v>0</v>
      </c>
      <c r="I579" s="2" t="s">
        <v>434</v>
      </c>
      <c r="J579" s="2" t="s">
        <v>40</v>
      </c>
    </row>
    <row r="580" spans="1:10" x14ac:dyDescent="0.3">
      <c r="A580" s="2" t="s">
        <v>82</v>
      </c>
      <c r="B580" s="2" t="s">
        <v>83</v>
      </c>
      <c r="C580" s="2">
        <v>19465</v>
      </c>
      <c r="D580" s="2">
        <v>28518</v>
      </c>
      <c r="E580" s="3">
        <v>44684</v>
      </c>
      <c r="F580" s="3">
        <v>44804</v>
      </c>
      <c r="G580" s="4">
        <v>168000</v>
      </c>
      <c r="H580" s="2">
        <v>0</v>
      </c>
      <c r="I580" s="2" t="s">
        <v>469</v>
      </c>
      <c r="J580" s="2" t="s">
        <v>40</v>
      </c>
    </row>
    <row r="581" spans="1:10" x14ac:dyDescent="0.3">
      <c r="A581" s="2" t="s">
        <v>25</v>
      </c>
      <c r="B581" s="2" t="s">
        <v>26</v>
      </c>
      <c r="C581" s="2">
        <v>18896</v>
      </c>
      <c r="D581" s="2">
        <v>27912</v>
      </c>
      <c r="E581" s="3">
        <v>44624</v>
      </c>
      <c r="F581" s="3">
        <v>44804</v>
      </c>
      <c r="G581" s="4">
        <v>50600</v>
      </c>
      <c r="H581" s="2">
        <v>0</v>
      </c>
      <c r="I581" s="2" t="s">
        <v>515</v>
      </c>
      <c r="J581" s="2" t="s">
        <v>28</v>
      </c>
    </row>
    <row r="582" spans="1:10" x14ac:dyDescent="0.3">
      <c r="A582" s="2" t="s">
        <v>25</v>
      </c>
      <c r="B582" s="2" t="s">
        <v>26</v>
      </c>
      <c r="C582" s="2">
        <v>18898</v>
      </c>
      <c r="D582" s="2">
        <v>27914</v>
      </c>
      <c r="E582" s="3">
        <v>44624</v>
      </c>
      <c r="F582" s="3">
        <v>44804</v>
      </c>
      <c r="G582" s="4">
        <v>36157</v>
      </c>
      <c r="H582" s="2">
        <v>0</v>
      </c>
      <c r="I582" s="2" t="s">
        <v>516</v>
      </c>
      <c r="J582" s="2" t="s">
        <v>28</v>
      </c>
    </row>
    <row r="583" spans="1:10" x14ac:dyDescent="0.3">
      <c r="A583" s="2" t="s">
        <v>642</v>
      </c>
      <c r="B583" s="2" t="s">
        <v>643</v>
      </c>
      <c r="C583" s="2">
        <v>19800</v>
      </c>
      <c r="D583" s="2">
        <v>28864</v>
      </c>
      <c r="E583" s="3">
        <v>44734</v>
      </c>
      <c r="F583" s="3">
        <v>44804</v>
      </c>
      <c r="G583" s="4">
        <v>17686</v>
      </c>
      <c r="H583" s="2">
        <v>0</v>
      </c>
      <c r="I583" s="2" t="s">
        <v>644</v>
      </c>
      <c r="J583" s="2" t="s">
        <v>157</v>
      </c>
    </row>
    <row r="584" spans="1:10" x14ac:dyDescent="0.3">
      <c r="A584" s="2" t="s">
        <v>25</v>
      </c>
      <c r="B584" s="2" t="s">
        <v>26</v>
      </c>
      <c r="C584" s="2">
        <v>18904</v>
      </c>
      <c r="D584" s="2">
        <v>27919</v>
      </c>
      <c r="E584" s="3">
        <v>44624</v>
      </c>
      <c r="F584" s="3">
        <v>44804</v>
      </c>
      <c r="G584" s="4">
        <v>5835</v>
      </c>
      <c r="H584" s="2">
        <v>0</v>
      </c>
      <c r="I584" s="2" t="s">
        <v>659</v>
      </c>
      <c r="J584" s="2" t="s">
        <v>28</v>
      </c>
    </row>
    <row r="585" spans="1:10" x14ac:dyDescent="0.3">
      <c r="A585" s="2" t="s">
        <v>48</v>
      </c>
      <c r="B585" s="2" t="s">
        <v>49</v>
      </c>
      <c r="C585" s="2">
        <v>19460</v>
      </c>
      <c r="D585" s="2">
        <v>28513</v>
      </c>
      <c r="E585" s="3">
        <v>44684</v>
      </c>
      <c r="F585" s="3">
        <v>44804</v>
      </c>
      <c r="G585" s="4">
        <v>19689.580000000002</v>
      </c>
      <c r="H585" s="2">
        <v>0</v>
      </c>
      <c r="I585" s="2" t="s">
        <v>792</v>
      </c>
      <c r="J585" s="2" t="s">
        <v>40</v>
      </c>
    </row>
    <row r="586" spans="1:10" x14ac:dyDescent="0.3">
      <c r="A586" s="2" t="s">
        <v>125</v>
      </c>
      <c r="B586" s="2" t="s">
        <v>126</v>
      </c>
      <c r="C586" s="2">
        <v>19461</v>
      </c>
      <c r="D586" s="2">
        <v>28514</v>
      </c>
      <c r="E586" s="3">
        <v>44684</v>
      </c>
      <c r="F586" s="3">
        <v>44804</v>
      </c>
      <c r="G586" s="4">
        <v>20030</v>
      </c>
      <c r="H586" s="2">
        <v>0</v>
      </c>
      <c r="I586" s="2" t="s">
        <v>361</v>
      </c>
      <c r="J586" s="2" t="s">
        <v>36</v>
      </c>
    </row>
    <row r="587" spans="1:10" x14ac:dyDescent="0.3">
      <c r="A587" s="2" t="s">
        <v>48</v>
      </c>
      <c r="B587" s="2" t="s">
        <v>49</v>
      </c>
      <c r="C587" s="2">
        <v>19470</v>
      </c>
      <c r="D587" s="2">
        <v>28523</v>
      </c>
      <c r="E587" s="3">
        <v>44684</v>
      </c>
      <c r="F587" s="3">
        <v>44804</v>
      </c>
      <c r="G587" s="4">
        <v>20893.48</v>
      </c>
      <c r="H587" s="2">
        <v>0</v>
      </c>
      <c r="I587" s="2" t="s">
        <v>983</v>
      </c>
      <c r="J587" s="2" t="s">
        <v>40</v>
      </c>
    </row>
    <row r="588" spans="1:10" x14ac:dyDescent="0.3">
      <c r="A588" s="2" t="s">
        <v>48</v>
      </c>
      <c r="B588" s="2" t="s">
        <v>49</v>
      </c>
      <c r="C588" s="2">
        <v>18920</v>
      </c>
      <c r="D588" s="2">
        <v>27935</v>
      </c>
      <c r="E588" s="3">
        <v>44624</v>
      </c>
      <c r="F588" s="3">
        <v>44804</v>
      </c>
      <c r="G588" s="4">
        <v>54000</v>
      </c>
      <c r="H588" s="2">
        <v>0</v>
      </c>
      <c r="I588" s="2" t="s">
        <v>994</v>
      </c>
      <c r="J588" s="2" t="s">
        <v>40</v>
      </c>
    </row>
    <row r="589" spans="1:10" x14ac:dyDescent="0.3">
      <c r="A589" s="2" t="s">
        <v>68</v>
      </c>
      <c r="B589" s="2" t="s">
        <v>69</v>
      </c>
      <c r="C589" s="2">
        <v>19455</v>
      </c>
      <c r="D589" s="2">
        <v>28508</v>
      </c>
      <c r="E589" s="3">
        <v>44684</v>
      </c>
      <c r="F589" s="3">
        <v>44804</v>
      </c>
      <c r="G589" s="4">
        <v>7928</v>
      </c>
      <c r="H589" s="2">
        <v>0</v>
      </c>
      <c r="I589" s="2" t="s">
        <v>411</v>
      </c>
      <c r="J589" s="2" t="s">
        <v>40</v>
      </c>
    </row>
    <row r="590" spans="1:10" x14ac:dyDescent="0.3">
      <c r="A590" s="2" t="s">
        <v>25</v>
      </c>
      <c r="B590" s="2" t="s">
        <v>26</v>
      </c>
      <c r="C590" s="2">
        <v>18899</v>
      </c>
      <c r="D590" s="2">
        <v>27915</v>
      </c>
      <c r="E590" s="3">
        <v>44624</v>
      </c>
      <c r="F590" s="3">
        <v>44804</v>
      </c>
      <c r="G590" s="4">
        <v>1675</v>
      </c>
      <c r="H590" s="2">
        <v>0</v>
      </c>
      <c r="I590" s="2" t="s">
        <v>1057</v>
      </c>
      <c r="J590" s="2" t="s">
        <v>28</v>
      </c>
    </row>
    <row r="591" spans="1:10" x14ac:dyDescent="0.3">
      <c r="A591" s="2" t="s">
        <v>48</v>
      </c>
      <c r="B591" s="2" t="s">
        <v>49</v>
      </c>
      <c r="C591" s="2">
        <v>19469</v>
      </c>
      <c r="D591" s="2">
        <v>28522</v>
      </c>
      <c r="E591" s="3">
        <v>44684</v>
      </c>
      <c r="F591" s="3">
        <v>44804</v>
      </c>
      <c r="G591" s="4">
        <v>13275.78</v>
      </c>
      <c r="H591" s="2">
        <v>0</v>
      </c>
      <c r="I591" s="2" t="s">
        <v>1141</v>
      </c>
      <c r="J591" s="2" t="s">
        <v>40</v>
      </c>
    </row>
    <row r="592" spans="1:10" x14ac:dyDescent="0.3">
      <c r="A592" s="2" t="s">
        <v>21</v>
      </c>
      <c r="B592" s="2" t="s">
        <v>22</v>
      </c>
      <c r="C592" s="2">
        <v>19481</v>
      </c>
      <c r="D592" s="2">
        <v>28533</v>
      </c>
      <c r="E592" s="3">
        <v>44685</v>
      </c>
      <c r="F592" s="3">
        <v>44805</v>
      </c>
      <c r="G592" s="4">
        <v>5931.66</v>
      </c>
      <c r="H592" s="2">
        <v>0</v>
      </c>
      <c r="I592" s="2" t="s">
        <v>117</v>
      </c>
      <c r="J592" s="2" t="s">
        <v>24</v>
      </c>
    </row>
    <row r="593" spans="1:10" x14ac:dyDescent="0.3">
      <c r="A593" s="2" t="s">
        <v>125</v>
      </c>
      <c r="B593" s="2" t="s">
        <v>126</v>
      </c>
      <c r="C593" s="2">
        <v>16726</v>
      </c>
      <c r="D593" s="2">
        <v>25693</v>
      </c>
      <c r="E593" s="3">
        <v>44445</v>
      </c>
      <c r="F593" s="3">
        <v>44805</v>
      </c>
      <c r="G593" s="4">
        <v>30300</v>
      </c>
      <c r="H593" s="2">
        <v>0</v>
      </c>
      <c r="I593" s="2" t="s">
        <v>127</v>
      </c>
      <c r="J593" s="2" t="s">
        <v>36</v>
      </c>
    </row>
    <row r="594" spans="1:10" x14ac:dyDescent="0.3">
      <c r="A594" s="2" t="s">
        <v>25</v>
      </c>
      <c r="B594" s="2" t="s">
        <v>26</v>
      </c>
      <c r="C594" s="2">
        <v>19201</v>
      </c>
      <c r="D594" s="2">
        <v>28221</v>
      </c>
      <c r="E594" s="3">
        <v>44655</v>
      </c>
      <c r="F594" s="3">
        <v>44805</v>
      </c>
      <c r="G594" s="4">
        <v>79626.75</v>
      </c>
      <c r="H594" s="2">
        <v>0</v>
      </c>
      <c r="I594" s="2" t="s">
        <v>208</v>
      </c>
      <c r="J594" s="2" t="s">
        <v>28</v>
      </c>
    </row>
    <row r="595" spans="1:10" x14ac:dyDescent="0.3">
      <c r="A595" s="2" t="s">
        <v>21</v>
      </c>
      <c r="B595" s="2" t="s">
        <v>22</v>
      </c>
      <c r="C595" s="2">
        <v>19478</v>
      </c>
      <c r="D595" s="2">
        <v>28531</v>
      </c>
      <c r="E595" s="3">
        <v>44685</v>
      </c>
      <c r="F595" s="3">
        <v>44805</v>
      </c>
      <c r="G595" s="4">
        <v>3917.08</v>
      </c>
      <c r="H595" s="2">
        <v>0</v>
      </c>
      <c r="I595" s="2" t="s">
        <v>214</v>
      </c>
      <c r="J595" s="2" t="s">
        <v>24</v>
      </c>
    </row>
    <row r="596" spans="1:10" x14ac:dyDescent="0.3">
      <c r="A596" s="2" t="s">
        <v>53</v>
      </c>
      <c r="B596" s="2" t="s">
        <v>54</v>
      </c>
      <c r="C596" s="2">
        <v>19474</v>
      </c>
      <c r="D596" s="2">
        <v>28527</v>
      </c>
      <c r="E596" s="3">
        <v>44685</v>
      </c>
      <c r="F596" s="3">
        <v>44805</v>
      </c>
      <c r="G596" s="4">
        <v>18583.48</v>
      </c>
      <c r="H596" s="2">
        <v>0</v>
      </c>
      <c r="I596" s="2" t="s">
        <v>303</v>
      </c>
      <c r="J596" s="2" t="s">
        <v>56</v>
      </c>
    </row>
    <row r="597" spans="1:10" x14ac:dyDescent="0.3">
      <c r="A597" s="2" t="s">
        <v>25</v>
      </c>
      <c r="B597" s="2" t="s">
        <v>26</v>
      </c>
      <c r="C597" s="2">
        <v>19194</v>
      </c>
      <c r="D597" s="2">
        <v>28213</v>
      </c>
      <c r="E597" s="3">
        <v>44655</v>
      </c>
      <c r="F597" s="3">
        <v>44805</v>
      </c>
      <c r="G597" s="4">
        <v>129600</v>
      </c>
      <c r="H597" s="2">
        <v>0</v>
      </c>
      <c r="I597" s="2" t="s">
        <v>323</v>
      </c>
      <c r="J597" s="2" t="s">
        <v>28</v>
      </c>
    </row>
    <row r="598" spans="1:10" x14ac:dyDescent="0.3">
      <c r="A598" s="2" t="s">
        <v>53</v>
      </c>
      <c r="B598" s="2" t="s">
        <v>54</v>
      </c>
      <c r="C598" s="2">
        <v>19473</v>
      </c>
      <c r="D598" s="2">
        <v>28526</v>
      </c>
      <c r="E598" s="3">
        <v>44685</v>
      </c>
      <c r="F598" s="3">
        <v>44805</v>
      </c>
      <c r="G598" s="4">
        <v>15889.54</v>
      </c>
      <c r="H598" s="2">
        <v>0</v>
      </c>
      <c r="I598" s="2" t="s">
        <v>334</v>
      </c>
      <c r="J598" s="2" t="s">
        <v>56</v>
      </c>
    </row>
    <row r="599" spans="1:10" x14ac:dyDescent="0.3">
      <c r="A599" s="2" t="s">
        <v>234</v>
      </c>
      <c r="B599" s="2" t="s">
        <v>235</v>
      </c>
      <c r="C599" s="2">
        <v>19472</v>
      </c>
      <c r="D599" s="2">
        <v>28525</v>
      </c>
      <c r="E599" s="3">
        <v>44685</v>
      </c>
      <c r="F599" s="3">
        <v>44805</v>
      </c>
      <c r="G599" s="4">
        <v>8213.84</v>
      </c>
      <c r="H599" s="2">
        <v>0</v>
      </c>
      <c r="I599" s="2" t="s">
        <v>387</v>
      </c>
      <c r="J599" s="2" t="s">
        <v>56</v>
      </c>
    </row>
    <row r="600" spans="1:10" x14ac:dyDescent="0.3">
      <c r="A600" s="2" t="s">
        <v>21</v>
      </c>
      <c r="B600" s="2" t="s">
        <v>22</v>
      </c>
      <c r="C600" s="2">
        <v>19198</v>
      </c>
      <c r="D600" s="2">
        <v>28218</v>
      </c>
      <c r="E600" s="3">
        <v>44655</v>
      </c>
      <c r="F600" s="3">
        <v>44805</v>
      </c>
      <c r="G600" s="4">
        <v>63600</v>
      </c>
      <c r="H600" s="2">
        <v>0</v>
      </c>
      <c r="I600" s="2" t="s">
        <v>520</v>
      </c>
      <c r="J600" s="2" t="s">
        <v>24</v>
      </c>
    </row>
    <row r="601" spans="1:10" x14ac:dyDescent="0.3">
      <c r="A601" s="2" t="s">
        <v>234</v>
      </c>
      <c r="B601" s="2" t="s">
        <v>235</v>
      </c>
      <c r="C601" s="2">
        <v>19485</v>
      </c>
      <c r="D601" s="2">
        <v>28537</v>
      </c>
      <c r="E601" s="3">
        <v>44685</v>
      </c>
      <c r="F601" s="3">
        <v>44805</v>
      </c>
      <c r="G601" s="4">
        <v>6199.99</v>
      </c>
      <c r="H601" s="2">
        <v>0</v>
      </c>
      <c r="I601" s="2" t="s">
        <v>793</v>
      </c>
      <c r="J601" s="2" t="s">
        <v>56</v>
      </c>
    </row>
    <row r="602" spans="1:10" x14ac:dyDescent="0.3">
      <c r="A602" s="2" t="s">
        <v>234</v>
      </c>
      <c r="B602" s="2" t="s">
        <v>235</v>
      </c>
      <c r="C602" s="2">
        <v>19471</v>
      </c>
      <c r="D602" s="2">
        <v>28524</v>
      </c>
      <c r="E602" s="3">
        <v>44685</v>
      </c>
      <c r="F602" s="3">
        <v>44805</v>
      </c>
      <c r="G602" s="4">
        <v>20196</v>
      </c>
      <c r="H602" s="2">
        <v>0</v>
      </c>
      <c r="I602" s="2" t="s">
        <v>844</v>
      </c>
      <c r="J602" s="2" t="s">
        <v>56</v>
      </c>
    </row>
    <row r="603" spans="1:10" x14ac:dyDescent="0.3">
      <c r="A603" s="2" t="s">
        <v>25</v>
      </c>
      <c r="B603" s="2" t="s">
        <v>26</v>
      </c>
      <c r="C603" s="2">
        <v>18614</v>
      </c>
      <c r="D603" s="2">
        <v>27624</v>
      </c>
      <c r="E603" s="3">
        <v>44595</v>
      </c>
      <c r="F603" s="3">
        <v>44805</v>
      </c>
      <c r="G603" s="4">
        <v>28666.720000000001</v>
      </c>
      <c r="H603" s="2">
        <v>0</v>
      </c>
      <c r="I603" s="2" t="s">
        <v>856</v>
      </c>
      <c r="J603" s="2" t="s">
        <v>28</v>
      </c>
    </row>
    <row r="604" spans="1:10" x14ac:dyDescent="0.3">
      <c r="A604" s="2" t="s">
        <v>125</v>
      </c>
      <c r="B604" s="2" t="s">
        <v>126</v>
      </c>
      <c r="C604" s="2">
        <v>19714</v>
      </c>
      <c r="D604" s="2">
        <v>28774</v>
      </c>
      <c r="E604" s="3">
        <v>44715</v>
      </c>
      <c r="F604" s="3">
        <v>44805</v>
      </c>
      <c r="G604" s="4">
        <v>237000</v>
      </c>
      <c r="H604" s="2">
        <v>0</v>
      </c>
      <c r="I604" s="2" t="s">
        <v>938</v>
      </c>
      <c r="J604" s="2" t="s">
        <v>36</v>
      </c>
    </row>
    <row r="605" spans="1:10" x14ac:dyDescent="0.3">
      <c r="A605" s="2" t="s">
        <v>53</v>
      </c>
      <c r="B605" s="2" t="s">
        <v>54</v>
      </c>
      <c r="C605" s="2">
        <v>19475</v>
      </c>
      <c r="D605" s="2">
        <v>28528</v>
      </c>
      <c r="E605" s="3">
        <v>44685</v>
      </c>
      <c r="F605" s="3">
        <v>44805</v>
      </c>
      <c r="G605" s="4">
        <v>18583.48</v>
      </c>
      <c r="H605" s="2">
        <v>0</v>
      </c>
      <c r="I605" s="2" t="s">
        <v>954</v>
      </c>
      <c r="J605" s="2" t="s">
        <v>56</v>
      </c>
    </row>
    <row r="606" spans="1:10" x14ac:dyDescent="0.3">
      <c r="A606" s="2" t="s">
        <v>125</v>
      </c>
      <c r="B606" s="2" t="s">
        <v>126</v>
      </c>
      <c r="C606" s="2">
        <v>19705</v>
      </c>
      <c r="D606" s="2">
        <v>28770</v>
      </c>
      <c r="E606" s="3">
        <v>44715</v>
      </c>
      <c r="F606" s="3">
        <v>44805</v>
      </c>
      <c r="G606" s="4">
        <v>75350</v>
      </c>
      <c r="H606" s="2">
        <v>0</v>
      </c>
      <c r="I606" s="2" t="s">
        <v>1043</v>
      </c>
      <c r="J606" s="2" t="s">
        <v>36</v>
      </c>
    </row>
    <row r="607" spans="1:10" x14ac:dyDescent="0.3">
      <c r="A607" s="2" t="s">
        <v>21</v>
      </c>
      <c r="B607" s="2" t="s">
        <v>22</v>
      </c>
      <c r="C607" s="2">
        <v>19477</v>
      </c>
      <c r="D607" s="2">
        <v>28530</v>
      </c>
      <c r="E607" s="3">
        <v>44685</v>
      </c>
      <c r="F607" s="3">
        <v>44805</v>
      </c>
      <c r="G607" s="4">
        <v>4462.5</v>
      </c>
      <c r="H607" s="2">
        <v>0</v>
      </c>
      <c r="I607" s="2" t="s">
        <v>1088</v>
      </c>
      <c r="J607" s="2" t="s">
        <v>24</v>
      </c>
    </row>
    <row r="608" spans="1:10" x14ac:dyDescent="0.3">
      <c r="A608" s="2" t="s">
        <v>33</v>
      </c>
      <c r="B608" s="2" t="s">
        <v>34</v>
      </c>
      <c r="C608" s="2">
        <v>19709</v>
      </c>
      <c r="D608" s="2">
        <v>28772</v>
      </c>
      <c r="E608" s="3">
        <v>44715</v>
      </c>
      <c r="F608" s="3">
        <v>44805</v>
      </c>
      <c r="G608" s="4">
        <v>1666.67</v>
      </c>
      <c r="H608" s="2">
        <v>0</v>
      </c>
      <c r="I608" s="2" t="s">
        <v>1091</v>
      </c>
      <c r="J608" s="2" t="s">
        <v>36</v>
      </c>
    </row>
    <row r="609" spans="1:10" x14ac:dyDescent="0.3">
      <c r="A609" s="2" t="s">
        <v>21</v>
      </c>
      <c r="B609" s="2" t="s">
        <v>22</v>
      </c>
      <c r="C609" s="2">
        <v>19484</v>
      </c>
      <c r="D609" s="2">
        <v>28536</v>
      </c>
      <c r="E609" s="3">
        <v>44685</v>
      </c>
      <c r="F609" s="3">
        <v>44805</v>
      </c>
      <c r="G609" s="4">
        <v>10280.27</v>
      </c>
      <c r="H609" s="2">
        <v>0</v>
      </c>
      <c r="I609" s="2" t="s">
        <v>1126</v>
      </c>
      <c r="J609" s="2" t="s">
        <v>24</v>
      </c>
    </row>
    <row r="610" spans="1:10" x14ac:dyDescent="0.3">
      <c r="A610" s="2" t="s">
        <v>29</v>
      </c>
      <c r="B610" s="2" t="s">
        <v>30</v>
      </c>
      <c r="C610" s="2">
        <v>19502</v>
      </c>
      <c r="D610" s="2">
        <v>28554</v>
      </c>
      <c r="E610" s="3">
        <v>44686</v>
      </c>
      <c r="F610" s="3">
        <v>44806</v>
      </c>
      <c r="G610" s="4">
        <v>9920</v>
      </c>
      <c r="H610" s="2">
        <v>0</v>
      </c>
      <c r="I610" s="2" t="s">
        <v>538</v>
      </c>
      <c r="J610" s="2" t="s">
        <v>32</v>
      </c>
    </row>
    <row r="611" spans="1:10" x14ac:dyDescent="0.3">
      <c r="A611" s="2" t="s">
        <v>25</v>
      </c>
      <c r="B611" s="2" t="s">
        <v>26</v>
      </c>
      <c r="C611" s="2">
        <v>19205</v>
      </c>
      <c r="D611" s="2">
        <v>28225</v>
      </c>
      <c r="E611" s="3">
        <v>44656</v>
      </c>
      <c r="F611" s="3">
        <v>44806</v>
      </c>
      <c r="G611" s="4">
        <v>117000</v>
      </c>
      <c r="H611" s="2">
        <v>0</v>
      </c>
      <c r="I611" s="2" t="s">
        <v>549</v>
      </c>
      <c r="J611" s="2" t="s">
        <v>28</v>
      </c>
    </row>
    <row r="612" spans="1:10" x14ac:dyDescent="0.3">
      <c r="A612" s="2" t="s">
        <v>48</v>
      </c>
      <c r="B612" s="2" t="s">
        <v>49</v>
      </c>
      <c r="C612" s="2">
        <v>19207</v>
      </c>
      <c r="D612" s="2">
        <v>28227</v>
      </c>
      <c r="E612" s="3">
        <v>44656</v>
      </c>
      <c r="F612" s="3">
        <v>44806</v>
      </c>
      <c r="G612" s="4">
        <v>54000</v>
      </c>
      <c r="H612" s="2">
        <v>0</v>
      </c>
      <c r="I612" s="2" t="s">
        <v>583</v>
      </c>
      <c r="J612" s="2" t="s">
        <v>40</v>
      </c>
    </row>
    <row r="613" spans="1:10" x14ac:dyDescent="0.3">
      <c r="A613" s="2" t="s">
        <v>33</v>
      </c>
      <c r="B613" s="2" t="s">
        <v>34</v>
      </c>
      <c r="C613" s="2">
        <v>19500</v>
      </c>
      <c r="D613" s="2">
        <v>28552</v>
      </c>
      <c r="E613" s="3">
        <v>44686</v>
      </c>
      <c r="F613" s="3">
        <v>44806</v>
      </c>
      <c r="G613" s="4">
        <v>3750.4</v>
      </c>
      <c r="H613" s="2">
        <v>0</v>
      </c>
      <c r="I613" s="2" t="s">
        <v>919</v>
      </c>
      <c r="J613" s="2" t="s">
        <v>36</v>
      </c>
    </row>
    <row r="614" spans="1:10" x14ac:dyDescent="0.3">
      <c r="A614" s="2" t="s">
        <v>114</v>
      </c>
      <c r="B614" s="2" t="s">
        <v>115</v>
      </c>
      <c r="C614" s="2">
        <v>19871</v>
      </c>
      <c r="D614" s="2">
        <v>28941</v>
      </c>
      <c r="E614" s="3">
        <v>44746</v>
      </c>
      <c r="F614" s="3">
        <v>44806</v>
      </c>
      <c r="G614" s="4">
        <v>49799.95</v>
      </c>
      <c r="H614" s="2">
        <v>0</v>
      </c>
      <c r="I614" s="2" t="s">
        <v>1099</v>
      </c>
      <c r="J614" s="2" t="s">
        <v>28</v>
      </c>
    </row>
    <row r="615" spans="1:10" x14ac:dyDescent="0.3">
      <c r="A615" s="2" t="s">
        <v>114</v>
      </c>
      <c r="B615" s="2" t="s">
        <v>115</v>
      </c>
      <c r="C615" s="2">
        <v>19870</v>
      </c>
      <c r="D615" s="2">
        <v>28940</v>
      </c>
      <c r="E615" s="3">
        <v>44746</v>
      </c>
      <c r="F615" s="3">
        <v>44806</v>
      </c>
      <c r="G615" s="4">
        <v>4393.6499999999996</v>
      </c>
      <c r="H615" s="2">
        <v>0</v>
      </c>
      <c r="I615" s="2" t="s">
        <v>1130</v>
      </c>
      <c r="J615" s="2" t="s">
        <v>28</v>
      </c>
    </row>
    <row r="616" spans="1:10" x14ac:dyDescent="0.3">
      <c r="A616" s="2" t="s">
        <v>136</v>
      </c>
      <c r="B616" s="2" t="s">
        <v>137</v>
      </c>
      <c r="C616" s="2">
        <v>18298</v>
      </c>
      <c r="D616" s="2">
        <v>27308</v>
      </c>
      <c r="E616" s="3">
        <v>44567</v>
      </c>
      <c r="F616" s="3">
        <v>44807</v>
      </c>
      <c r="G616" s="4">
        <v>32500</v>
      </c>
      <c r="H616" s="2">
        <v>0</v>
      </c>
      <c r="I616" s="2" t="s">
        <v>138</v>
      </c>
      <c r="J616" s="2" t="s">
        <v>81</v>
      </c>
    </row>
    <row r="617" spans="1:10" x14ac:dyDescent="0.3">
      <c r="A617" s="2" t="s">
        <v>25</v>
      </c>
      <c r="B617" s="2" t="s">
        <v>26</v>
      </c>
      <c r="C617" s="2">
        <v>18932</v>
      </c>
      <c r="D617" s="2">
        <v>27945</v>
      </c>
      <c r="E617" s="3">
        <v>44627</v>
      </c>
      <c r="F617" s="3">
        <v>44807</v>
      </c>
      <c r="G617" s="4">
        <v>61252.25</v>
      </c>
      <c r="H617" s="2">
        <v>0</v>
      </c>
      <c r="I617" s="2" t="s">
        <v>230</v>
      </c>
      <c r="J617" s="2" t="s">
        <v>28</v>
      </c>
    </row>
    <row r="618" spans="1:10" x14ac:dyDescent="0.3">
      <c r="A618" s="2" t="s">
        <v>48</v>
      </c>
      <c r="B618" s="2" t="s">
        <v>49</v>
      </c>
      <c r="C618" s="2">
        <v>19220</v>
      </c>
      <c r="D618" s="2">
        <v>28242</v>
      </c>
      <c r="E618" s="3">
        <v>44657</v>
      </c>
      <c r="F618" s="3">
        <v>44807</v>
      </c>
      <c r="G618" s="4">
        <v>54000</v>
      </c>
      <c r="H618" s="2">
        <v>0</v>
      </c>
      <c r="I618" s="2" t="s">
        <v>404</v>
      </c>
      <c r="J618" s="2" t="s">
        <v>40</v>
      </c>
    </row>
    <row r="619" spans="1:10" x14ac:dyDescent="0.3">
      <c r="A619" s="2" t="s">
        <v>48</v>
      </c>
      <c r="B619" s="2" t="s">
        <v>49</v>
      </c>
      <c r="C619" s="2">
        <v>19213</v>
      </c>
      <c r="D619" s="2">
        <v>28234</v>
      </c>
      <c r="E619" s="3">
        <v>44657</v>
      </c>
      <c r="F619" s="3">
        <v>44807</v>
      </c>
      <c r="G619" s="4">
        <v>34350.06</v>
      </c>
      <c r="H619" s="2">
        <v>0</v>
      </c>
      <c r="I619" s="2" t="s">
        <v>696</v>
      </c>
      <c r="J619" s="2" t="s">
        <v>40</v>
      </c>
    </row>
    <row r="620" spans="1:10" x14ac:dyDescent="0.3">
      <c r="A620" s="2" t="s">
        <v>119</v>
      </c>
      <c r="B620" s="2" t="s">
        <v>120</v>
      </c>
      <c r="C620" s="2">
        <v>19514</v>
      </c>
      <c r="D620" s="2">
        <v>28567</v>
      </c>
      <c r="E620" s="3">
        <v>44687</v>
      </c>
      <c r="F620" s="3">
        <v>44807</v>
      </c>
      <c r="G620" s="4">
        <v>65610</v>
      </c>
      <c r="H620" s="2">
        <v>0</v>
      </c>
      <c r="I620" s="2" t="s">
        <v>937</v>
      </c>
      <c r="J620" s="2" t="s">
        <v>36</v>
      </c>
    </row>
    <row r="621" spans="1:10" x14ac:dyDescent="0.3">
      <c r="A621" s="2" t="s">
        <v>25</v>
      </c>
      <c r="B621" s="2" t="s">
        <v>26</v>
      </c>
      <c r="C621" s="2">
        <v>19224</v>
      </c>
      <c r="D621" s="2">
        <v>28247</v>
      </c>
      <c r="E621" s="3">
        <v>44658</v>
      </c>
      <c r="F621" s="3">
        <v>44808</v>
      </c>
      <c r="G621" s="4">
        <v>93865.25</v>
      </c>
      <c r="H621" s="2">
        <v>0</v>
      </c>
      <c r="I621" s="2" t="s">
        <v>300</v>
      </c>
      <c r="J621" s="2" t="s">
        <v>28</v>
      </c>
    </row>
    <row r="622" spans="1:10" x14ac:dyDescent="0.3">
      <c r="A622" s="2" t="s">
        <v>125</v>
      </c>
      <c r="B622" s="2" t="s">
        <v>126</v>
      </c>
      <c r="C622" s="2">
        <v>19721</v>
      </c>
      <c r="D622" s="2">
        <v>28782</v>
      </c>
      <c r="E622" s="3">
        <v>44718</v>
      </c>
      <c r="F622" s="3">
        <v>44808</v>
      </c>
      <c r="G622" s="4">
        <v>243000</v>
      </c>
      <c r="H622" s="2">
        <v>0</v>
      </c>
      <c r="I622" s="2" t="s">
        <v>361</v>
      </c>
      <c r="J622" s="2" t="s">
        <v>36</v>
      </c>
    </row>
    <row r="623" spans="1:10" x14ac:dyDescent="0.3">
      <c r="A623" s="2" t="s">
        <v>48</v>
      </c>
      <c r="B623" s="2" t="s">
        <v>49</v>
      </c>
      <c r="C623" s="2">
        <v>19239</v>
      </c>
      <c r="D623" s="2">
        <v>28263</v>
      </c>
      <c r="E623" s="3">
        <v>44659</v>
      </c>
      <c r="F623" s="3">
        <v>44809</v>
      </c>
      <c r="G623" s="4">
        <v>54000</v>
      </c>
      <c r="H623" s="2">
        <v>0</v>
      </c>
      <c r="I623" s="2" t="s">
        <v>496</v>
      </c>
      <c r="J623" s="2" t="s">
        <v>40</v>
      </c>
    </row>
    <row r="624" spans="1:10" x14ac:dyDescent="0.3">
      <c r="A624" s="2" t="s">
        <v>82</v>
      </c>
      <c r="B624" s="2" t="s">
        <v>83</v>
      </c>
      <c r="C624" s="2">
        <v>19240</v>
      </c>
      <c r="D624" s="2">
        <v>28264</v>
      </c>
      <c r="E624" s="3">
        <v>44659</v>
      </c>
      <c r="F624" s="3">
        <v>44809</v>
      </c>
      <c r="G624" s="4">
        <v>72000</v>
      </c>
      <c r="H624" s="2">
        <v>0</v>
      </c>
      <c r="I624" s="2" t="s">
        <v>497</v>
      </c>
      <c r="J624" s="2" t="s">
        <v>40</v>
      </c>
    </row>
    <row r="625" spans="1:10" x14ac:dyDescent="0.3">
      <c r="A625" s="2" t="s">
        <v>521</v>
      </c>
      <c r="B625" s="2" t="s">
        <v>522</v>
      </c>
      <c r="C625" s="2">
        <v>19232</v>
      </c>
      <c r="D625" s="2">
        <v>28257</v>
      </c>
      <c r="E625" s="3">
        <v>44659</v>
      </c>
      <c r="F625" s="3">
        <v>44809</v>
      </c>
      <c r="G625" s="4">
        <v>167100</v>
      </c>
      <c r="H625" s="2">
        <v>0</v>
      </c>
      <c r="I625" s="2" t="s">
        <v>523</v>
      </c>
      <c r="J625" s="2" t="s">
        <v>28</v>
      </c>
    </row>
    <row r="626" spans="1:10" x14ac:dyDescent="0.3">
      <c r="A626" s="2" t="s">
        <v>144</v>
      </c>
      <c r="B626" s="2" t="s">
        <v>145</v>
      </c>
      <c r="C626" s="2">
        <v>18647</v>
      </c>
      <c r="D626" s="2">
        <v>27657</v>
      </c>
      <c r="E626" s="3">
        <v>44599</v>
      </c>
      <c r="F626" s="3">
        <v>44809</v>
      </c>
      <c r="G626" s="4">
        <v>170000</v>
      </c>
      <c r="H626" s="2">
        <v>0</v>
      </c>
      <c r="I626" s="2" t="s">
        <v>568</v>
      </c>
      <c r="J626" s="2" t="s">
        <v>147</v>
      </c>
    </row>
    <row r="627" spans="1:10" x14ac:dyDescent="0.3">
      <c r="A627" s="2" t="s">
        <v>144</v>
      </c>
      <c r="B627" s="2" t="s">
        <v>145</v>
      </c>
      <c r="C627" s="2">
        <v>18649</v>
      </c>
      <c r="D627" s="2">
        <v>27659</v>
      </c>
      <c r="E627" s="3">
        <v>44599</v>
      </c>
      <c r="F627" s="3">
        <v>44809</v>
      </c>
      <c r="G627" s="4">
        <v>34400</v>
      </c>
      <c r="H627" s="2">
        <v>0</v>
      </c>
      <c r="I627" s="2" t="s">
        <v>764</v>
      </c>
      <c r="J627" s="2" t="s">
        <v>147</v>
      </c>
    </row>
    <row r="628" spans="1:10" x14ac:dyDescent="0.3">
      <c r="A628" s="2" t="s">
        <v>758</v>
      </c>
      <c r="B628" s="2" t="s">
        <v>759</v>
      </c>
      <c r="C628" s="2">
        <v>19728</v>
      </c>
      <c r="D628" s="2">
        <v>28789</v>
      </c>
      <c r="E628" s="3">
        <v>44719</v>
      </c>
      <c r="F628" s="3">
        <v>44809</v>
      </c>
      <c r="G628" s="4">
        <v>20475</v>
      </c>
      <c r="H628" s="2">
        <v>0</v>
      </c>
      <c r="I628" s="2" t="s">
        <v>760</v>
      </c>
      <c r="J628" s="2" t="s">
        <v>32</v>
      </c>
    </row>
    <row r="629" spans="1:10" x14ac:dyDescent="0.3">
      <c r="A629" s="2" t="s">
        <v>53</v>
      </c>
      <c r="B629" s="2" t="s">
        <v>54</v>
      </c>
      <c r="C629" s="2">
        <v>19632</v>
      </c>
      <c r="D629" s="2">
        <v>28702</v>
      </c>
      <c r="E629" s="3">
        <v>44705</v>
      </c>
      <c r="F629" s="3">
        <v>44810</v>
      </c>
      <c r="G629" s="4">
        <v>62400</v>
      </c>
      <c r="H629" s="2">
        <v>0</v>
      </c>
      <c r="I629" s="2" t="s">
        <v>124</v>
      </c>
      <c r="J629" s="2" t="s">
        <v>56</v>
      </c>
    </row>
    <row r="630" spans="1:10" x14ac:dyDescent="0.3">
      <c r="A630" s="2" t="s">
        <v>920</v>
      </c>
      <c r="B630" s="2" t="s">
        <v>921</v>
      </c>
      <c r="C630" s="2">
        <v>19543</v>
      </c>
      <c r="D630" s="2">
        <v>28598</v>
      </c>
      <c r="E630" s="3">
        <v>44690</v>
      </c>
      <c r="F630" s="3">
        <v>44810</v>
      </c>
      <c r="G630" s="4">
        <v>108116</v>
      </c>
      <c r="H630" s="2">
        <v>0</v>
      </c>
      <c r="I630" s="2" t="s">
        <v>922</v>
      </c>
      <c r="J630" s="2" t="s">
        <v>56</v>
      </c>
    </row>
    <row r="631" spans="1:10" x14ac:dyDescent="0.3">
      <c r="A631" s="2" t="s">
        <v>480</v>
      </c>
      <c r="B631" s="2" t="s">
        <v>481</v>
      </c>
      <c r="C631" s="2">
        <v>19542</v>
      </c>
      <c r="D631" s="2">
        <v>28597</v>
      </c>
      <c r="E631" s="3">
        <v>44690</v>
      </c>
      <c r="F631" s="3">
        <v>44810</v>
      </c>
      <c r="G631" s="4">
        <v>30337.7</v>
      </c>
      <c r="H631" s="2">
        <v>0</v>
      </c>
      <c r="I631" s="2" t="s">
        <v>1142</v>
      </c>
      <c r="J631" s="2" t="s">
        <v>56</v>
      </c>
    </row>
    <row r="632" spans="1:10" x14ac:dyDescent="0.3">
      <c r="A632" s="2" t="s">
        <v>616</v>
      </c>
      <c r="B632" s="2" t="s">
        <v>617</v>
      </c>
      <c r="C632" s="2">
        <v>19737</v>
      </c>
      <c r="D632" s="2">
        <v>28797</v>
      </c>
      <c r="E632" s="3">
        <v>44720</v>
      </c>
      <c r="F632" s="3">
        <v>44810</v>
      </c>
      <c r="G632" s="4">
        <v>237000</v>
      </c>
      <c r="H632" s="2">
        <v>0</v>
      </c>
      <c r="I632" s="2" t="s">
        <v>1159</v>
      </c>
      <c r="J632" s="2" t="s">
        <v>36</v>
      </c>
    </row>
    <row r="633" spans="1:10" x14ac:dyDescent="0.3">
      <c r="A633" s="2" t="s">
        <v>41</v>
      </c>
      <c r="B633" s="2" t="s">
        <v>42</v>
      </c>
      <c r="C633" s="2">
        <v>19560</v>
      </c>
      <c r="D633" s="2">
        <v>28615</v>
      </c>
      <c r="E633" s="3">
        <v>44691</v>
      </c>
      <c r="F633" s="3">
        <v>44811</v>
      </c>
      <c r="G633" s="4">
        <v>8979.89</v>
      </c>
      <c r="H633" s="2">
        <v>0</v>
      </c>
      <c r="I633" s="2" t="s">
        <v>43</v>
      </c>
      <c r="J633" s="2" t="s">
        <v>44</v>
      </c>
    </row>
    <row r="634" spans="1:10" x14ac:dyDescent="0.3">
      <c r="A634" s="2" t="s">
        <v>45</v>
      </c>
      <c r="B634" s="2" t="s">
        <v>46</v>
      </c>
      <c r="C634" s="2">
        <v>19562</v>
      </c>
      <c r="D634" s="2">
        <v>28617</v>
      </c>
      <c r="E634" s="3">
        <v>44691</v>
      </c>
      <c r="F634" s="3">
        <v>44811</v>
      </c>
      <c r="G634" s="4">
        <v>1565.25</v>
      </c>
      <c r="H634" s="2">
        <v>0</v>
      </c>
      <c r="I634" s="2" t="s">
        <v>47</v>
      </c>
      <c r="J634" s="2" t="s">
        <v>44</v>
      </c>
    </row>
    <row r="635" spans="1:10" x14ac:dyDescent="0.3">
      <c r="A635" s="2" t="s">
        <v>179</v>
      </c>
      <c r="B635" s="2" t="s">
        <v>180</v>
      </c>
      <c r="C635" s="2">
        <v>18963</v>
      </c>
      <c r="D635" s="2">
        <v>27976</v>
      </c>
      <c r="E635" s="3">
        <v>44631</v>
      </c>
      <c r="F635" s="3">
        <v>44811</v>
      </c>
      <c r="G635" s="4">
        <v>7320</v>
      </c>
      <c r="H635" s="2">
        <v>0</v>
      </c>
      <c r="I635" s="2" t="s">
        <v>181</v>
      </c>
      <c r="J635" s="2" t="s">
        <v>40</v>
      </c>
    </row>
    <row r="636" spans="1:10" x14ac:dyDescent="0.3">
      <c r="A636" s="2" t="s">
        <v>48</v>
      </c>
      <c r="B636" s="2" t="s">
        <v>49</v>
      </c>
      <c r="C636" s="2">
        <v>18975</v>
      </c>
      <c r="D636" s="2">
        <v>27985</v>
      </c>
      <c r="E636" s="3">
        <v>44631</v>
      </c>
      <c r="F636" s="3">
        <v>44811</v>
      </c>
      <c r="G636" s="4">
        <v>13158.36</v>
      </c>
      <c r="H636" s="2">
        <v>0</v>
      </c>
      <c r="I636" s="2" t="s">
        <v>231</v>
      </c>
      <c r="J636" s="2" t="s">
        <v>40</v>
      </c>
    </row>
    <row r="637" spans="1:10" x14ac:dyDescent="0.3">
      <c r="A637" s="2" t="s">
        <v>264</v>
      </c>
      <c r="B637" s="2" t="s">
        <v>265</v>
      </c>
      <c r="C637" s="2">
        <v>19554</v>
      </c>
      <c r="D637" s="2">
        <v>28609</v>
      </c>
      <c r="E637" s="3">
        <v>44691</v>
      </c>
      <c r="F637" s="3">
        <v>44811</v>
      </c>
      <c r="G637" s="4">
        <v>31500</v>
      </c>
      <c r="H637" s="2">
        <v>0</v>
      </c>
      <c r="I637" s="2" t="s">
        <v>266</v>
      </c>
      <c r="J637" s="2" t="s">
        <v>24</v>
      </c>
    </row>
    <row r="638" spans="1:10" x14ac:dyDescent="0.3">
      <c r="A638" s="2" t="s">
        <v>48</v>
      </c>
      <c r="B638" s="2" t="s">
        <v>49</v>
      </c>
      <c r="C638" s="2">
        <v>18964</v>
      </c>
      <c r="D638" s="2">
        <v>27977</v>
      </c>
      <c r="E638" s="3">
        <v>44631</v>
      </c>
      <c r="F638" s="3">
        <v>44811</v>
      </c>
      <c r="G638" s="4">
        <v>13250.6</v>
      </c>
      <c r="H638" s="2">
        <v>0</v>
      </c>
      <c r="I638" s="2" t="s">
        <v>290</v>
      </c>
      <c r="J638" s="2" t="s">
        <v>40</v>
      </c>
    </row>
    <row r="639" spans="1:10" x14ac:dyDescent="0.3">
      <c r="A639" s="2" t="s">
        <v>264</v>
      </c>
      <c r="B639" s="2" t="s">
        <v>265</v>
      </c>
      <c r="C639" s="2">
        <v>19553</v>
      </c>
      <c r="D639" s="2">
        <v>28608</v>
      </c>
      <c r="E639" s="3">
        <v>44691</v>
      </c>
      <c r="F639" s="3">
        <v>44811</v>
      </c>
      <c r="G639" s="4">
        <v>6000</v>
      </c>
      <c r="H639" s="2">
        <v>0</v>
      </c>
      <c r="I639" s="2" t="s">
        <v>884</v>
      </c>
      <c r="J639" s="2" t="s">
        <v>24</v>
      </c>
    </row>
    <row r="640" spans="1:10" x14ac:dyDescent="0.3">
      <c r="A640" s="2" t="s">
        <v>772</v>
      </c>
      <c r="B640" s="2" t="s">
        <v>773</v>
      </c>
      <c r="C640" s="2">
        <v>19741</v>
      </c>
      <c r="D640" s="2">
        <v>28801</v>
      </c>
      <c r="E640" s="3">
        <v>44721</v>
      </c>
      <c r="F640" s="3">
        <v>44811</v>
      </c>
      <c r="G640" s="4">
        <v>124180</v>
      </c>
      <c r="H640" s="2">
        <v>0</v>
      </c>
      <c r="I640" s="2" t="s">
        <v>1044</v>
      </c>
      <c r="J640" s="2" t="s">
        <v>173</v>
      </c>
    </row>
    <row r="641" spans="1:10" x14ac:dyDescent="0.3">
      <c r="A641" s="2" t="s">
        <v>342</v>
      </c>
      <c r="B641" s="2" t="s">
        <v>343</v>
      </c>
      <c r="C641" s="2">
        <v>19743</v>
      </c>
      <c r="D641" s="2">
        <v>28803</v>
      </c>
      <c r="E641" s="3">
        <v>44721</v>
      </c>
      <c r="F641" s="3">
        <v>44811</v>
      </c>
      <c r="G641" s="4">
        <v>184860</v>
      </c>
      <c r="H641" s="2">
        <v>0</v>
      </c>
      <c r="I641" s="2" t="s">
        <v>1077</v>
      </c>
      <c r="J641" s="2" t="s">
        <v>112</v>
      </c>
    </row>
    <row r="642" spans="1:10" x14ac:dyDescent="0.3">
      <c r="A642" s="2" t="s">
        <v>48</v>
      </c>
      <c r="B642" s="2" t="s">
        <v>49</v>
      </c>
      <c r="C642" s="2">
        <v>18965</v>
      </c>
      <c r="D642" s="2">
        <v>27978</v>
      </c>
      <c r="E642" s="3">
        <v>44631</v>
      </c>
      <c r="F642" s="3">
        <v>44811</v>
      </c>
      <c r="G642" s="4">
        <v>29866.639999999999</v>
      </c>
      <c r="H642" s="2">
        <v>0</v>
      </c>
      <c r="I642" s="2" t="s">
        <v>1095</v>
      </c>
      <c r="J642" s="2" t="s">
        <v>40</v>
      </c>
    </row>
    <row r="643" spans="1:10" x14ac:dyDescent="0.3">
      <c r="A643" s="2" t="s">
        <v>264</v>
      </c>
      <c r="B643" s="2" t="s">
        <v>265</v>
      </c>
      <c r="C643" s="2">
        <v>19555</v>
      </c>
      <c r="D643" s="2">
        <v>28610</v>
      </c>
      <c r="E643" s="3">
        <v>44691</v>
      </c>
      <c r="F643" s="3">
        <v>44811</v>
      </c>
      <c r="G643" s="4">
        <v>88810.8</v>
      </c>
      <c r="H643" s="2">
        <v>0</v>
      </c>
      <c r="I643" s="2" t="s">
        <v>1102</v>
      </c>
      <c r="J643" s="2" t="s">
        <v>24</v>
      </c>
    </row>
    <row r="644" spans="1:10" x14ac:dyDescent="0.3">
      <c r="A644" s="2" t="s">
        <v>199</v>
      </c>
      <c r="B644" s="2" t="s">
        <v>200</v>
      </c>
      <c r="C644" s="2">
        <v>19552</v>
      </c>
      <c r="D644" s="2">
        <v>28607</v>
      </c>
      <c r="E644" s="3">
        <v>44691</v>
      </c>
      <c r="F644" s="3">
        <v>44811</v>
      </c>
      <c r="G644" s="4">
        <v>50957.85</v>
      </c>
      <c r="H644" s="2">
        <v>0</v>
      </c>
      <c r="I644" s="2" t="s">
        <v>1127</v>
      </c>
      <c r="J644" s="2" t="s">
        <v>94</v>
      </c>
    </row>
    <row r="645" spans="1:10" x14ac:dyDescent="0.3">
      <c r="A645" s="2" t="s">
        <v>53</v>
      </c>
      <c r="B645" s="2" t="s">
        <v>54</v>
      </c>
      <c r="C645" s="2">
        <v>19759</v>
      </c>
      <c r="D645" s="2">
        <v>28820</v>
      </c>
      <c r="E645" s="3">
        <v>44722</v>
      </c>
      <c r="F645" s="3">
        <v>44812</v>
      </c>
      <c r="G645" s="4">
        <v>18583.48</v>
      </c>
      <c r="H645" s="2">
        <v>0</v>
      </c>
      <c r="I645" s="2" t="s">
        <v>160</v>
      </c>
      <c r="J645" s="2" t="s">
        <v>56</v>
      </c>
    </row>
    <row r="646" spans="1:10" x14ac:dyDescent="0.3">
      <c r="A646" s="2" t="s">
        <v>53</v>
      </c>
      <c r="B646" s="2" t="s">
        <v>54</v>
      </c>
      <c r="C646" s="2">
        <v>19760</v>
      </c>
      <c r="D646" s="2">
        <v>28821</v>
      </c>
      <c r="E646" s="3">
        <v>44722</v>
      </c>
      <c r="F646" s="3">
        <v>44812</v>
      </c>
      <c r="G646" s="4">
        <v>39721.379999999997</v>
      </c>
      <c r="H646" s="2">
        <v>0</v>
      </c>
      <c r="I646" s="2" t="s">
        <v>55</v>
      </c>
      <c r="J646" s="2" t="s">
        <v>56</v>
      </c>
    </row>
    <row r="647" spans="1:10" x14ac:dyDescent="0.3">
      <c r="A647" s="2" t="s">
        <v>480</v>
      </c>
      <c r="B647" s="2" t="s">
        <v>481</v>
      </c>
      <c r="C647" s="2">
        <v>19568</v>
      </c>
      <c r="D647" s="2">
        <v>28623</v>
      </c>
      <c r="E647" s="3">
        <v>44692</v>
      </c>
      <c r="F647" s="3">
        <v>44812</v>
      </c>
      <c r="G647" s="2">
        <v>360</v>
      </c>
      <c r="H647" s="2">
        <v>0</v>
      </c>
      <c r="I647" s="2" t="s">
        <v>482</v>
      </c>
      <c r="J647" s="2" t="s">
        <v>56</v>
      </c>
    </row>
    <row r="648" spans="1:10" x14ac:dyDescent="0.3">
      <c r="A648" s="2" t="s">
        <v>48</v>
      </c>
      <c r="B648" s="2" t="s">
        <v>49</v>
      </c>
      <c r="C648" s="2">
        <v>19247</v>
      </c>
      <c r="D648" s="2">
        <v>28271</v>
      </c>
      <c r="E648" s="3">
        <v>44662</v>
      </c>
      <c r="F648" s="3">
        <v>44812</v>
      </c>
      <c r="G648" s="4">
        <v>54000</v>
      </c>
      <c r="H648" s="2">
        <v>0</v>
      </c>
      <c r="I648" s="2" t="s">
        <v>524</v>
      </c>
      <c r="J648" s="2" t="s">
        <v>40</v>
      </c>
    </row>
    <row r="649" spans="1:10" x14ac:dyDescent="0.3">
      <c r="A649" s="2" t="s">
        <v>25</v>
      </c>
      <c r="B649" s="2" t="s">
        <v>26</v>
      </c>
      <c r="C649" s="2">
        <v>19249</v>
      </c>
      <c r="D649" s="2">
        <v>28273</v>
      </c>
      <c r="E649" s="3">
        <v>44662</v>
      </c>
      <c r="F649" s="3">
        <v>44812</v>
      </c>
      <c r="G649" s="4">
        <v>110092.5</v>
      </c>
      <c r="H649" s="2">
        <v>0</v>
      </c>
      <c r="I649" s="2" t="s">
        <v>697</v>
      </c>
      <c r="J649" s="2" t="s">
        <v>28</v>
      </c>
    </row>
    <row r="650" spans="1:10" x14ac:dyDescent="0.3">
      <c r="A650" s="2" t="s">
        <v>824</v>
      </c>
      <c r="B650" s="2" t="s">
        <v>825</v>
      </c>
      <c r="C650" s="2">
        <v>19243</v>
      </c>
      <c r="D650" s="2">
        <v>28267</v>
      </c>
      <c r="E650" s="3">
        <v>44662</v>
      </c>
      <c r="F650" s="3">
        <v>44812</v>
      </c>
      <c r="G650" s="4">
        <v>27291.79</v>
      </c>
      <c r="H650" s="2">
        <v>0</v>
      </c>
      <c r="I650" s="2" t="s">
        <v>826</v>
      </c>
      <c r="J650" s="2" t="s">
        <v>36</v>
      </c>
    </row>
    <row r="651" spans="1:10" x14ac:dyDescent="0.3">
      <c r="A651" s="2" t="s">
        <v>136</v>
      </c>
      <c r="B651" s="2" t="s">
        <v>137</v>
      </c>
      <c r="C651" s="2">
        <v>18357</v>
      </c>
      <c r="D651" s="2">
        <v>27365</v>
      </c>
      <c r="E651" s="3">
        <v>44573</v>
      </c>
      <c r="F651" s="3">
        <v>44813</v>
      </c>
      <c r="G651" s="4">
        <v>128300</v>
      </c>
      <c r="H651" s="2">
        <v>0</v>
      </c>
      <c r="I651" s="2" t="s">
        <v>222</v>
      </c>
      <c r="J651" s="2" t="s">
        <v>81</v>
      </c>
    </row>
    <row r="652" spans="1:10" x14ac:dyDescent="0.3">
      <c r="A652" s="2" t="s">
        <v>48</v>
      </c>
      <c r="B652" s="2" t="s">
        <v>49</v>
      </c>
      <c r="C652" s="2">
        <v>19261</v>
      </c>
      <c r="D652" s="2">
        <v>28288</v>
      </c>
      <c r="E652" s="3">
        <v>44663</v>
      </c>
      <c r="F652" s="3">
        <v>44813</v>
      </c>
      <c r="G652" s="4">
        <v>54000</v>
      </c>
      <c r="H652" s="2">
        <v>0</v>
      </c>
      <c r="I652" s="2" t="s">
        <v>262</v>
      </c>
      <c r="J652" s="2" t="s">
        <v>40</v>
      </c>
    </row>
    <row r="653" spans="1:10" x14ac:dyDescent="0.3">
      <c r="A653" s="2" t="s">
        <v>255</v>
      </c>
      <c r="B653" s="2" t="s">
        <v>256</v>
      </c>
      <c r="C653" s="2">
        <v>18358</v>
      </c>
      <c r="D653" s="2">
        <v>27366</v>
      </c>
      <c r="E653" s="3">
        <v>44573</v>
      </c>
      <c r="F653" s="3">
        <v>44813</v>
      </c>
      <c r="G653" s="4">
        <v>90500</v>
      </c>
      <c r="H653" s="2">
        <v>0</v>
      </c>
      <c r="I653" s="2" t="s">
        <v>702</v>
      </c>
      <c r="J653" s="2" t="s">
        <v>173</v>
      </c>
    </row>
    <row r="654" spans="1:10" x14ac:dyDescent="0.3">
      <c r="A654" s="2" t="s">
        <v>150</v>
      </c>
      <c r="B654" s="2" t="s">
        <v>151</v>
      </c>
      <c r="C654" s="2">
        <v>19258</v>
      </c>
      <c r="D654" s="2">
        <v>28285</v>
      </c>
      <c r="E654" s="3">
        <v>44663</v>
      </c>
      <c r="F654" s="3">
        <v>44813</v>
      </c>
      <c r="G654" s="4">
        <v>129200</v>
      </c>
      <c r="H654" s="2">
        <v>0</v>
      </c>
      <c r="I654" s="2" t="s">
        <v>335</v>
      </c>
      <c r="J654" s="2" t="s">
        <v>61</v>
      </c>
    </row>
    <row r="655" spans="1:10" x14ac:dyDescent="0.3">
      <c r="A655" s="2" t="s">
        <v>48</v>
      </c>
      <c r="B655" s="2" t="s">
        <v>49</v>
      </c>
      <c r="C655" s="2">
        <v>19260</v>
      </c>
      <c r="D655" s="2">
        <v>28287</v>
      </c>
      <c r="E655" s="3">
        <v>44663</v>
      </c>
      <c r="F655" s="3">
        <v>44813</v>
      </c>
      <c r="G655" s="4">
        <v>117720</v>
      </c>
      <c r="H655" s="2">
        <v>0</v>
      </c>
      <c r="I655" s="2" t="s">
        <v>881</v>
      </c>
      <c r="J655" s="2" t="s">
        <v>40</v>
      </c>
    </row>
    <row r="656" spans="1:10" x14ac:dyDescent="0.3">
      <c r="A656" s="2" t="s">
        <v>25</v>
      </c>
      <c r="B656" s="2" t="s">
        <v>26</v>
      </c>
      <c r="C656" s="2">
        <v>19256</v>
      </c>
      <c r="D656" s="2">
        <v>28283</v>
      </c>
      <c r="E656" s="3">
        <v>44663</v>
      </c>
      <c r="F656" s="3">
        <v>44813</v>
      </c>
      <c r="G656" s="4">
        <v>125280</v>
      </c>
      <c r="H656" s="2">
        <v>0</v>
      </c>
      <c r="I656" s="2" t="s">
        <v>326</v>
      </c>
      <c r="J656" s="2" t="s">
        <v>28</v>
      </c>
    </row>
    <row r="657" spans="1:10" x14ac:dyDescent="0.3">
      <c r="A657" s="2" t="s">
        <v>974</v>
      </c>
      <c r="B657" s="2" t="s">
        <v>975</v>
      </c>
      <c r="C657" s="2">
        <v>19578</v>
      </c>
      <c r="D657" s="2">
        <v>28637</v>
      </c>
      <c r="E657" s="3">
        <v>44693</v>
      </c>
      <c r="F657" s="3">
        <v>44813</v>
      </c>
      <c r="G657" s="4">
        <v>64410</v>
      </c>
      <c r="H657" s="2">
        <v>0</v>
      </c>
      <c r="I657" s="2" t="s">
        <v>1134</v>
      </c>
      <c r="J657" s="2" t="s">
        <v>56</v>
      </c>
    </row>
    <row r="658" spans="1:10" x14ac:dyDescent="0.3">
      <c r="A658" s="2" t="s">
        <v>53</v>
      </c>
      <c r="B658" s="2" t="s">
        <v>54</v>
      </c>
      <c r="C658" s="2">
        <v>19131</v>
      </c>
      <c r="D658" s="2">
        <v>28150</v>
      </c>
      <c r="E658" s="3">
        <v>44649</v>
      </c>
      <c r="F658" s="3">
        <v>44814</v>
      </c>
      <c r="G658" s="4">
        <v>18583.48</v>
      </c>
      <c r="H658" s="2">
        <v>0</v>
      </c>
      <c r="I658" s="2" t="s">
        <v>77</v>
      </c>
      <c r="J658" s="2" t="s">
        <v>56</v>
      </c>
    </row>
    <row r="659" spans="1:10" x14ac:dyDescent="0.3">
      <c r="A659" s="2" t="s">
        <v>95</v>
      </c>
      <c r="B659" s="2" t="s">
        <v>96</v>
      </c>
      <c r="C659" s="2">
        <v>18245</v>
      </c>
      <c r="D659" s="2">
        <v>27258</v>
      </c>
      <c r="E659" s="3">
        <v>44565</v>
      </c>
      <c r="F659" s="3">
        <v>44814</v>
      </c>
      <c r="G659" s="4">
        <v>46566</v>
      </c>
      <c r="H659" s="2">
        <v>0</v>
      </c>
      <c r="I659" s="2" t="s">
        <v>97</v>
      </c>
      <c r="J659" s="2" t="s">
        <v>94</v>
      </c>
    </row>
    <row r="660" spans="1:10" x14ac:dyDescent="0.3">
      <c r="A660" s="2" t="s">
        <v>82</v>
      </c>
      <c r="B660" s="2" t="s">
        <v>83</v>
      </c>
      <c r="C660" s="2">
        <v>19266</v>
      </c>
      <c r="D660" s="2">
        <v>28296</v>
      </c>
      <c r="E660" s="3">
        <v>44664</v>
      </c>
      <c r="F660" s="3">
        <v>44814</v>
      </c>
      <c r="G660" s="4">
        <v>78240</v>
      </c>
      <c r="H660" s="2">
        <v>0</v>
      </c>
      <c r="I660" s="2" t="s">
        <v>149</v>
      </c>
      <c r="J660" s="2" t="s">
        <v>40</v>
      </c>
    </row>
    <row r="661" spans="1:10" x14ac:dyDescent="0.3">
      <c r="A661" s="2" t="s">
        <v>48</v>
      </c>
      <c r="B661" s="2" t="s">
        <v>49</v>
      </c>
      <c r="C661" s="2">
        <v>19265</v>
      </c>
      <c r="D661" s="2">
        <v>28295</v>
      </c>
      <c r="E661" s="3">
        <v>44664</v>
      </c>
      <c r="F661" s="3">
        <v>44814</v>
      </c>
      <c r="G661" s="4">
        <v>54000</v>
      </c>
      <c r="H661" s="2">
        <v>0</v>
      </c>
      <c r="I661" s="2" t="s">
        <v>182</v>
      </c>
      <c r="J661" s="2" t="s">
        <v>40</v>
      </c>
    </row>
    <row r="662" spans="1:10" x14ac:dyDescent="0.3">
      <c r="A662" s="2" t="s">
        <v>170</v>
      </c>
      <c r="B662" s="2" t="s">
        <v>171</v>
      </c>
      <c r="C662" s="2">
        <v>18369</v>
      </c>
      <c r="D662" s="2">
        <v>27378</v>
      </c>
      <c r="E662" s="3">
        <v>44574</v>
      </c>
      <c r="F662" s="3">
        <v>44814</v>
      </c>
      <c r="G662" s="4">
        <v>133600</v>
      </c>
      <c r="H662" s="2">
        <v>0</v>
      </c>
      <c r="I662" s="2" t="s">
        <v>329</v>
      </c>
      <c r="J662" s="2" t="s">
        <v>173</v>
      </c>
    </row>
    <row r="663" spans="1:10" x14ac:dyDescent="0.3">
      <c r="A663" s="2" t="s">
        <v>53</v>
      </c>
      <c r="B663" s="2" t="s">
        <v>54</v>
      </c>
      <c r="C663" s="2">
        <v>19130</v>
      </c>
      <c r="D663" s="2">
        <v>28149</v>
      </c>
      <c r="E663" s="3">
        <v>44649</v>
      </c>
      <c r="F663" s="3">
        <v>44814</v>
      </c>
      <c r="G663" s="4">
        <v>21839.42</v>
      </c>
      <c r="H663" s="2">
        <v>0</v>
      </c>
      <c r="I663" s="2" t="s">
        <v>357</v>
      </c>
      <c r="J663" s="2" t="s">
        <v>56</v>
      </c>
    </row>
    <row r="664" spans="1:10" x14ac:dyDescent="0.3">
      <c r="A664" s="2" t="s">
        <v>234</v>
      </c>
      <c r="B664" s="2" t="s">
        <v>235</v>
      </c>
      <c r="C664" s="2">
        <v>19263</v>
      </c>
      <c r="D664" s="2">
        <v>28290</v>
      </c>
      <c r="E664" s="3">
        <v>44664</v>
      </c>
      <c r="F664" s="3">
        <v>44814</v>
      </c>
      <c r="G664" s="4">
        <v>55904.800000000003</v>
      </c>
      <c r="H664" s="2">
        <v>0</v>
      </c>
      <c r="I664" s="2" t="s">
        <v>464</v>
      </c>
      <c r="J664" s="2" t="s">
        <v>56</v>
      </c>
    </row>
    <row r="665" spans="1:10" x14ac:dyDescent="0.3">
      <c r="A665" s="2" t="s">
        <v>95</v>
      </c>
      <c r="B665" s="2" t="s">
        <v>96</v>
      </c>
      <c r="C665" s="2">
        <v>18683</v>
      </c>
      <c r="D665" s="2">
        <v>27696</v>
      </c>
      <c r="E665" s="3">
        <v>44601</v>
      </c>
      <c r="F665" s="3">
        <v>44814</v>
      </c>
      <c r="G665" s="4">
        <v>39250</v>
      </c>
      <c r="H665" s="2">
        <v>0</v>
      </c>
      <c r="I665" s="2" t="s">
        <v>596</v>
      </c>
      <c r="J665" s="2" t="s">
        <v>94</v>
      </c>
    </row>
    <row r="666" spans="1:10" x14ac:dyDescent="0.3">
      <c r="A666" s="2" t="s">
        <v>95</v>
      </c>
      <c r="B666" s="2" t="s">
        <v>96</v>
      </c>
      <c r="C666" s="2">
        <v>18685</v>
      </c>
      <c r="D666" s="2">
        <v>27698</v>
      </c>
      <c r="E666" s="3">
        <v>44601</v>
      </c>
      <c r="F666" s="3">
        <v>44814</v>
      </c>
      <c r="G666" s="4">
        <v>16971.84</v>
      </c>
      <c r="H666" s="2">
        <v>0</v>
      </c>
      <c r="I666" s="2" t="s">
        <v>597</v>
      </c>
      <c r="J666" s="2" t="s">
        <v>94</v>
      </c>
    </row>
    <row r="667" spans="1:10" x14ac:dyDescent="0.3">
      <c r="A667" s="2" t="s">
        <v>95</v>
      </c>
      <c r="B667" s="2" t="s">
        <v>96</v>
      </c>
      <c r="C667" s="2">
        <v>19143</v>
      </c>
      <c r="D667" s="2">
        <v>28162</v>
      </c>
      <c r="E667" s="3">
        <v>44650</v>
      </c>
      <c r="F667" s="3">
        <v>44814</v>
      </c>
      <c r="G667" s="4">
        <v>100888.16</v>
      </c>
      <c r="H667" s="2">
        <v>0</v>
      </c>
      <c r="I667" s="2" t="s">
        <v>817</v>
      </c>
      <c r="J667" s="2" t="s">
        <v>94</v>
      </c>
    </row>
    <row r="668" spans="1:10" x14ac:dyDescent="0.3">
      <c r="A668" s="2" t="s">
        <v>95</v>
      </c>
      <c r="B668" s="2" t="s">
        <v>96</v>
      </c>
      <c r="C668" s="2">
        <v>18247</v>
      </c>
      <c r="D668" s="2">
        <v>27260</v>
      </c>
      <c r="E668" s="3">
        <v>44565</v>
      </c>
      <c r="F668" s="3">
        <v>44814</v>
      </c>
      <c r="G668" s="4">
        <v>4989.6000000000004</v>
      </c>
      <c r="H668" s="2">
        <v>0</v>
      </c>
      <c r="I668" s="2" t="s">
        <v>849</v>
      </c>
      <c r="J668" s="2" t="s">
        <v>94</v>
      </c>
    </row>
    <row r="669" spans="1:10" x14ac:dyDescent="0.3">
      <c r="A669" s="2" t="s">
        <v>255</v>
      </c>
      <c r="B669" s="2" t="s">
        <v>256</v>
      </c>
      <c r="C669" s="2">
        <v>18370</v>
      </c>
      <c r="D669" s="2">
        <v>27380</v>
      </c>
      <c r="E669" s="3">
        <v>44574</v>
      </c>
      <c r="F669" s="3">
        <v>44814</v>
      </c>
      <c r="G669" s="4">
        <v>33000</v>
      </c>
      <c r="H669" s="2">
        <v>0</v>
      </c>
      <c r="I669" s="2" t="s">
        <v>914</v>
      </c>
      <c r="J669" s="2" t="s">
        <v>173</v>
      </c>
    </row>
    <row r="670" spans="1:10" x14ac:dyDescent="0.3">
      <c r="A670" s="2" t="s">
        <v>95</v>
      </c>
      <c r="B670" s="2" t="s">
        <v>96</v>
      </c>
      <c r="C670" s="2">
        <v>18246</v>
      </c>
      <c r="D670" s="2">
        <v>27259</v>
      </c>
      <c r="E670" s="3">
        <v>44565</v>
      </c>
      <c r="F670" s="3">
        <v>44814</v>
      </c>
      <c r="G670" s="4">
        <v>108000</v>
      </c>
      <c r="H670" s="2">
        <v>0</v>
      </c>
      <c r="I670" s="2" t="s">
        <v>934</v>
      </c>
      <c r="J670" s="2" t="s">
        <v>94</v>
      </c>
    </row>
    <row r="671" spans="1:10" x14ac:dyDescent="0.3">
      <c r="A671" s="2" t="s">
        <v>53</v>
      </c>
      <c r="B671" s="2" t="s">
        <v>54</v>
      </c>
      <c r="C671" s="2">
        <v>19136</v>
      </c>
      <c r="D671" s="2">
        <v>28153</v>
      </c>
      <c r="E671" s="3">
        <v>44649</v>
      </c>
      <c r="F671" s="3">
        <v>44814</v>
      </c>
      <c r="G671" s="4">
        <v>4571.1099999999997</v>
      </c>
      <c r="H671" s="2">
        <v>0</v>
      </c>
      <c r="I671" s="2" t="s">
        <v>724</v>
      </c>
      <c r="J671" s="2" t="s">
        <v>56</v>
      </c>
    </row>
    <row r="672" spans="1:10" x14ac:dyDescent="0.3">
      <c r="A672" s="2" t="s">
        <v>68</v>
      </c>
      <c r="B672" s="2" t="s">
        <v>69</v>
      </c>
      <c r="C672" s="2">
        <v>19268</v>
      </c>
      <c r="D672" s="2">
        <v>28298</v>
      </c>
      <c r="E672" s="3">
        <v>44664</v>
      </c>
      <c r="F672" s="3">
        <v>44814</v>
      </c>
      <c r="G672" s="4">
        <v>24000</v>
      </c>
      <c r="H672" s="2">
        <v>0</v>
      </c>
      <c r="I672" s="2" t="s">
        <v>951</v>
      </c>
      <c r="J672" s="2" t="s">
        <v>40</v>
      </c>
    </row>
    <row r="673" spans="1:10" x14ac:dyDescent="0.3">
      <c r="A673" s="2" t="s">
        <v>68</v>
      </c>
      <c r="B673" s="2" t="s">
        <v>69</v>
      </c>
      <c r="C673" s="2">
        <v>19270</v>
      </c>
      <c r="D673" s="2">
        <v>28300</v>
      </c>
      <c r="E673" s="3">
        <v>44664</v>
      </c>
      <c r="F673" s="3">
        <v>44814</v>
      </c>
      <c r="G673" s="4">
        <v>36000</v>
      </c>
      <c r="H673" s="2">
        <v>0</v>
      </c>
      <c r="I673" s="2" t="s">
        <v>1041</v>
      </c>
      <c r="J673" s="2" t="s">
        <v>40</v>
      </c>
    </row>
    <row r="674" spans="1:10" x14ac:dyDescent="0.3">
      <c r="A674" s="2" t="s">
        <v>53</v>
      </c>
      <c r="B674" s="2" t="s">
        <v>54</v>
      </c>
      <c r="C674" s="2">
        <v>19137</v>
      </c>
      <c r="D674" s="2">
        <v>28154</v>
      </c>
      <c r="E674" s="3">
        <v>44649</v>
      </c>
      <c r="F674" s="3">
        <v>44814</v>
      </c>
      <c r="G674" s="4">
        <v>16477.759999999998</v>
      </c>
      <c r="H674" s="2">
        <v>0</v>
      </c>
      <c r="I674" s="2" t="s">
        <v>1067</v>
      </c>
      <c r="J674" s="2" t="s">
        <v>56</v>
      </c>
    </row>
    <row r="675" spans="1:10" x14ac:dyDescent="0.3">
      <c r="A675" s="2" t="s">
        <v>82</v>
      </c>
      <c r="B675" s="2" t="s">
        <v>83</v>
      </c>
      <c r="C675" s="2">
        <v>19269</v>
      </c>
      <c r="D675" s="2">
        <v>28299</v>
      </c>
      <c r="E675" s="3">
        <v>44664</v>
      </c>
      <c r="F675" s="3">
        <v>44814</v>
      </c>
      <c r="G675" s="4">
        <v>12000</v>
      </c>
      <c r="H675" s="2">
        <v>0</v>
      </c>
      <c r="I675" s="2" t="s">
        <v>1117</v>
      </c>
      <c r="J675" s="2" t="s">
        <v>40</v>
      </c>
    </row>
    <row r="676" spans="1:10" x14ac:dyDescent="0.3">
      <c r="A676" s="2" t="s">
        <v>382</v>
      </c>
      <c r="B676" s="2" t="s">
        <v>383</v>
      </c>
      <c r="C676" s="2">
        <v>19278</v>
      </c>
      <c r="D676" s="2">
        <v>28308</v>
      </c>
      <c r="E676" s="3">
        <v>44664</v>
      </c>
      <c r="F676" s="3">
        <v>44814</v>
      </c>
      <c r="G676" s="4">
        <v>141754.85</v>
      </c>
      <c r="H676" s="2">
        <v>0</v>
      </c>
      <c r="I676" s="2" t="s">
        <v>1155</v>
      </c>
      <c r="J676" s="2" t="s">
        <v>112</v>
      </c>
    </row>
    <row r="677" spans="1:10" x14ac:dyDescent="0.3">
      <c r="A677" s="2" t="s">
        <v>48</v>
      </c>
      <c r="B677" s="2" t="s">
        <v>49</v>
      </c>
      <c r="C677" s="2">
        <v>19281</v>
      </c>
      <c r="D677" s="2">
        <v>28318</v>
      </c>
      <c r="E677" s="3">
        <v>44665</v>
      </c>
      <c r="F677" s="3">
        <v>44815</v>
      </c>
      <c r="G677" s="4">
        <v>54000</v>
      </c>
      <c r="H677" s="2">
        <v>0</v>
      </c>
      <c r="I677" s="2" t="s">
        <v>358</v>
      </c>
      <c r="J677" s="2" t="s">
        <v>40</v>
      </c>
    </row>
    <row r="678" spans="1:10" x14ac:dyDescent="0.3">
      <c r="A678" s="2" t="s">
        <v>37</v>
      </c>
      <c r="B678" s="2" t="s">
        <v>38</v>
      </c>
      <c r="C678" s="2">
        <v>19932</v>
      </c>
      <c r="D678" s="2">
        <v>28999</v>
      </c>
      <c r="E678" s="3">
        <v>44756</v>
      </c>
      <c r="F678" s="3">
        <v>44816</v>
      </c>
      <c r="G678" s="4">
        <v>74550</v>
      </c>
      <c r="H678" s="2">
        <v>0</v>
      </c>
      <c r="I678" s="2" t="s">
        <v>646</v>
      </c>
      <c r="J678" s="2" t="s">
        <v>40</v>
      </c>
    </row>
    <row r="679" spans="1:10" x14ac:dyDescent="0.3">
      <c r="A679" s="2" t="s">
        <v>25</v>
      </c>
      <c r="B679" s="2" t="s">
        <v>26</v>
      </c>
      <c r="C679" s="2">
        <v>19008</v>
      </c>
      <c r="D679" s="2">
        <v>28018</v>
      </c>
      <c r="E679" s="3">
        <v>44636</v>
      </c>
      <c r="F679" s="3">
        <v>44816</v>
      </c>
      <c r="G679" s="4">
        <v>6050</v>
      </c>
      <c r="H679" s="2">
        <v>0</v>
      </c>
      <c r="I679" s="2" t="s">
        <v>1096</v>
      </c>
      <c r="J679" s="2" t="s">
        <v>28</v>
      </c>
    </row>
    <row r="680" spans="1:10" x14ac:dyDescent="0.3">
      <c r="A680" s="2" t="s">
        <v>25</v>
      </c>
      <c r="B680" s="2" t="s">
        <v>26</v>
      </c>
      <c r="C680" s="2">
        <v>19012</v>
      </c>
      <c r="D680" s="2">
        <v>28024</v>
      </c>
      <c r="E680" s="3">
        <v>44637</v>
      </c>
      <c r="F680" s="3">
        <v>44817</v>
      </c>
      <c r="G680" s="4">
        <v>50655</v>
      </c>
      <c r="H680" s="2">
        <v>0</v>
      </c>
      <c r="I680" s="2" t="s">
        <v>76</v>
      </c>
      <c r="J680" s="2" t="s">
        <v>28</v>
      </c>
    </row>
    <row r="681" spans="1:10" x14ac:dyDescent="0.3">
      <c r="A681" s="2" t="s">
        <v>298</v>
      </c>
      <c r="B681" s="2" t="s">
        <v>79</v>
      </c>
      <c r="C681" s="2">
        <v>19936</v>
      </c>
      <c r="D681" s="2">
        <v>29004</v>
      </c>
      <c r="E681" s="3">
        <v>44757</v>
      </c>
      <c r="F681" s="3">
        <v>44817</v>
      </c>
      <c r="G681" s="4">
        <v>160723.29999999999</v>
      </c>
      <c r="H681" s="2">
        <v>0</v>
      </c>
      <c r="I681" s="2" t="s">
        <v>299</v>
      </c>
      <c r="J681" s="2" t="s">
        <v>81</v>
      </c>
    </row>
    <row r="682" spans="1:10" x14ac:dyDescent="0.3">
      <c r="A682" s="2" t="s">
        <v>264</v>
      </c>
      <c r="B682" s="2" t="s">
        <v>265</v>
      </c>
      <c r="C682" s="2">
        <v>19590</v>
      </c>
      <c r="D682" s="2">
        <v>28654</v>
      </c>
      <c r="E682" s="3">
        <v>44698</v>
      </c>
      <c r="F682" s="3">
        <v>44818</v>
      </c>
      <c r="G682" s="4">
        <v>96200</v>
      </c>
      <c r="H682" s="2">
        <v>0</v>
      </c>
      <c r="I682" s="2" t="s">
        <v>746</v>
      </c>
      <c r="J682" s="2" t="s">
        <v>24</v>
      </c>
    </row>
    <row r="683" spans="1:10" x14ac:dyDescent="0.3">
      <c r="A683" s="2" t="s">
        <v>506</v>
      </c>
      <c r="B683" s="2" t="s">
        <v>507</v>
      </c>
      <c r="C683" s="2">
        <v>19594</v>
      </c>
      <c r="D683" s="2">
        <v>28658</v>
      </c>
      <c r="E683" s="3">
        <v>44698</v>
      </c>
      <c r="F683" s="3">
        <v>44818</v>
      </c>
      <c r="G683" s="4">
        <v>15959.3</v>
      </c>
      <c r="H683" s="2">
        <v>0</v>
      </c>
      <c r="I683" s="2" t="s">
        <v>776</v>
      </c>
      <c r="J683" s="2" t="s">
        <v>40</v>
      </c>
    </row>
    <row r="684" spans="1:10" x14ac:dyDescent="0.3">
      <c r="A684" s="2" t="s">
        <v>506</v>
      </c>
      <c r="B684" s="2" t="s">
        <v>507</v>
      </c>
      <c r="C684" s="2">
        <v>19593</v>
      </c>
      <c r="D684" s="2">
        <v>28657</v>
      </c>
      <c r="E684" s="3">
        <v>44698</v>
      </c>
      <c r="F684" s="3">
        <v>44818</v>
      </c>
      <c r="G684" s="4">
        <v>3092.25</v>
      </c>
      <c r="H684" s="2">
        <v>0</v>
      </c>
      <c r="I684" s="2" t="s">
        <v>955</v>
      </c>
      <c r="J684" s="2" t="s">
        <v>40</v>
      </c>
    </row>
    <row r="685" spans="1:10" x14ac:dyDescent="0.3">
      <c r="A685" s="2" t="s">
        <v>21</v>
      </c>
      <c r="B685" s="2" t="s">
        <v>22</v>
      </c>
      <c r="C685" s="2">
        <v>19600</v>
      </c>
      <c r="D685" s="2">
        <v>28664</v>
      </c>
      <c r="E685" s="3">
        <v>44699</v>
      </c>
      <c r="F685" s="3">
        <v>44819</v>
      </c>
      <c r="G685" s="4">
        <v>22757.64</v>
      </c>
      <c r="H685" s="2">
        <v>0</v>
      </c>
      <c r="I685" s="2" t="s">
        <v>123</v>
      </c>
      <c r="J685" s="2" t="s">
        <v>24</v>
      </c>
    </row>
    <row r="686" spans="1:10" x14ac:dyDescent="0.3">
      <c r="A686" s="2" t="s">
        <v>245</v>
      </c>
      <c r="B686" s="2" t="s">
        <v>246</v>
      </c>
      <c r="C686" s="2">
        <v>16898</v>
      </c>
      <c r="D686" s="2">
        <v>25883</v>
      </c>
      <c r="E686" s="3">
        <v>44459</v>
      </c>
      <c r="F686" s="3">
        <v>44819</v>
      </c>
      <c r="G686" s="4">
        <v>34600</v>
      </c>
      <c r="H686" s="2">
        <v>0</v>
      </c>
      <c r="I686" s="2" t="s">
        <v>539</v>
      </c>
      <c r="J686" s="2" t="s">
        <v>36</v>
      </c>
    </row>
    <row r="687" spans="1:10" x14ac:dyDescent="0.3">
      <c r="A687" s="2" t="s">
        <v>624</v>
      </c>
      <c r="B687" s="2" t="s">
        <v>294</v>
      </c>
      <c r="C687" s="2">
        <v>19290</v>
      </c>
      <c r="D687" s="2">
        <v>28329</v>
      </c>
      <c r="E687" s="3">
        <v>44669</v>
      </c>
      <c r="F687" s="3">
        <v>44819</v>
      </c>
      <c r="G687" s="4">
        <v>62925</v>
      </c>
      <c r="H687" s="2">
        <v>0</v>
      </c>
      <c r="I687" s="2" t="s">
        <v>625</v>
      </c>
      <c r="J687" s="2" t="s">
        <v>24</v>
      </c>
    </row>
    <row r="688" spans="1:10" x14ac:dyDescent="0.3">
      <c r="A688" s="2" t="s">
        <v>959</v>
      </c>
      <c r="B688" s="2" t="s">
        <v>960</v>
      </c>
      <c r="C688" s="2">
        <v>18355</v>
      </c>
      <c r="D688" s="2">
        <v>27363</v>
      </c>
      <c r="E688" s="3">
        <v>44573</v>
      </c>
      <c r="F688" s="3">
        <v>44819</v>
      </c>
      <c r="G688" s="4">
        <v>54034</v>
      </c>
      <c r="H688" s="2">
        <v>0</v>
      </c>
      <c r="I688" s="2" t="s">
        <v>961</v>
      </c>
      <c r="J688" s="2" t="s">
        <v>655</v>
      </c>
    </row>
    <row r="689" spans="1:10" x14ac:dyDescent="0.3">
      <c r="A689" s="2" t="s">
        <v>624</v>
      </c>
      <c r="B689" s="2" t="s">
        <v>294</v>
      </c>
      <c r="C689" s="2">
        <v>19293</v>
      </c>
      <c r="D689" s="2">
        <v>28332</v>
      </c>
      <c r="E689" s="3">
        <v>44669</v>
      </c>
      <c r="F689" s="3">
        <v>44819</v>
      </c>
      <c r="G689" s="4">
        <v>47157.1</v>
      </c>
      <c r="H689" s="2">
        <v>0</v>
      </c>
      <c r="I689" s="2" t="s">
        <v>964</v>
      </c>
      <c r="J689" s="2" t="s">
        <v>24</v>
      </c>
    </row>
    <row r="690" spans="1:10" x14ac:dyDescent="0.3">
      <c r="A690" s="2" t="s">
        <v>114</v>
      </c>
      <c r="B690" s="2" t="s">
        <v>115</v>
      </c>
      <c r="C690" s="2">
        <v>19601</v>
      </c>
      <c r="D690" s="2">
        <v>28665</v>
      </c>
      <c r="E690" s="3">
        <v>44699</v>
      </c>
      <c r="F690" s="3">
        <v>44819</v>
      </c>
      <c r="G690" s="4">
        <v>12513.36</v>
      </c>
      <c r="H690" s="2">
        <v>0</v>
      </c>
      <c r="I690" s="2" t="s">
        <v>1143</v>
      </c>
      <c r="J690" s="2" t="s">
        <v>28</v>
      </c>
    </row>
    <row r="691" spans="1:10" x14ac:dyDescent="0.3">
      <c r="A691" s="2" t="s">
        <v>53</v>
      </c>
      <c r="B691" s="2" t="s">
        <v>54</v>
      </c>
      <c r="C691" s="2">
        <v>19474</v>
      </c>
      <c r="D691" s="2">
        <v>28527</v>
      </c>
      <c r="E691" s="3">
        <v>44685</v>
      </c>
      <c r="F691" s="3">
        <v>44820</v>
      </c>
      <c r="G691" s="4">
        <v>18583.48</v>
      </c>
      <c r="H691" s="2">
        <v>0</v>
      </c>
      <c r="I691" s="2" t="s">
        <v>303</v>
      </c>
      <c r="J691" s="2" t="s">
        <v>56</v>
      </c>
    </row>
    <row r="692" spans="1:10" x14ac:dyDescent="0.3">
      <c r="A692" s="2" t="s">
        <v>85</v>
      </c>
      <c r="B692" s="2" t="s">
        <v>83</v>
      </c>
      <c r="C692" s="2">
        <v>19319</v>
      </c>
      <c r="D692" s="2">
        <v>28357</v>
      </c>
      <c r="E692" s="3">
        <v>44670</v>
      </c>
      <c r="F692" s="3">
        <v>44820</v>
      </c>
      <c r="G692" s="4">
        <v>86630.25</v>
      </c>
      <c r="H692" s="2">
        <v>0</v>
      </c>
      <c r="I692" s="2" t="s">
        <v>324</v>
      </c>
      <c r="J692" s="2" t="s">
        <v>40</v>
      </c>
    </row>
    <row r="693" spans="1:10" x14ac:dyDescent="0.3">
      <c r="A693" s="2" t="s">
        <v>53</v>
      </c>
      <c r="B693" s="2" t="s">
        <v>54</v>
      </c>
      <c r="C693" s="2">
        <v>19473</v>
      </c>
      <c r="D693" s="2">
        <v>28526</v>
      </c>
      <c r="E693" s="3">
        <v>44685</v>
      </c>
      <c r="F693" s="3">
        <v>44820</v>
      </c>
      <c r="G693" s="4">
        <v>15889.54</v>
      </c>
      <c r="H693" s="2">
        <v>0</v>
      </c>
      <c r="I693" s="2" t="s">
        <v>334</v>
      </c>
      <c r="J693" s="2" t="s">
        <v>56</v>
      </c>
    </row>
    <row r="694" spans="1:10" x14ac:dyDescent="0.3">
      <c r="A694" s="2" t="s">
        <v>298</v>
      </c>
      <c r="B694" s="2" t="s">
        <v>79</v>
      </c>
      <c r="C694" s="2">
        <v>19939</v>
      </c>
      <c r="D694" s="2">
        <v>29008</v>
      </c>
      <c r="E694" s="3">
        <v>44760</v>
      </c>
      <c r="F694" s="3">
        <v>44820</v>
      </c>
      <c r="G694" s="4">
        <v>160826.85999999999</v>
      </c>
      <c r="H694" s="2">
        <v>0</v>
      </c>
      <c r="I694" s="2" t="s">
        <v>706</v>
      </c>
      <c r="J694" s="2" t="s">
        <v>81</v>
      </c>
    </row>
    <row r="695" spans="1:10" x14ac:dyDescent="0.3">
      <c r="A695" s="2" t="s">
        <v>68</v>
      </c>
      <c r="B695" s="2" t="s">
        <v>69</v>
      </c>
      <c r="C695" s="2">
        <v>19321</v>
      </c>
      <c r="D695" s="2">
        <v>28359</v>
      </c>
      <c r="E695" s="3">
        <v>44670</v>
      </c>
      <c r="F695" s="3">
        <v>44820</v>
      </c>
      <c r="G695" s="4">
        <v>89617.5</v>
      </c>
      <c r="H695" s="2">
        <v>0</v>
      </c>
      <c r="I695" s="2" t="s">
        <v>843</v>
      </c>
      <c r="J695" s="2" t="s">
        <v>40</v>
      </c>
    </row>
    <row r="696" spans="1:10" x14ac:dyDescent="0.3">
      <c r="A696" s="2" t="s">
        <v>53</v>
      </c>
      <c r="B696" s="2" t="s">
        <v>54</v>
      </c>
      <c r="C696" s="2">
        <v>19475</v>
      </c>
      <c r="D696" s="2">
        <v>28528</v>
      </c>
      <c r="E696" s="3">
        <v>44685</v>
      </c>
      <c r="F696" s="3">
        <v>44820</v>
      </c>
      <c r="G696" s="4">
        <v>18583.48</v>
      </c>
      <c r="H696" s="2">
        <v>0</v>
      </c>
      <c r="I696" s="2" t="s">
        <v>954</v>
      </c>
      <c r="J696" s="2" t="s">
        <v>56</v>
      </c>
    </row>
    <row r="697" spans="1:10" x14ac:dyDescent="0.3">
      <c r="A697" s="2" t="s">
        <v>48</v>
      </c>
      <c r="B697" s="2" t="s">
        <v>49</v>
      </c>
      <c r="C697" s="2">
        <v>19314</v>
      </c>
      <c r="D697" s="2">
        <v>28352</v>
      </c>
      <c r="E697" s="3">
        <v>44670</v>
      </c>
      <c r="F697" s="3">
        <v>44820</v>
      </c>
      <c r="G697" s="4">
        <v>80480</v>
      </c>
      <c r="H697" s="2">
        <v>0</v>
      </c>
      <c r="I697" s="2" t="s">
        <v>1001</v>
      </c>
      <c r="J697" s="2" t="s">
        <v>40</v>
      </c>
    </row>
    <row r="698" spans="1:10" x14ac:dyDescent="0.3">
      <c r="A698" s="2" t="s">
        <v>25</v>
      </c>
      <c r="B698" s="2" t="s">
        <v>26</v>
      </c>
      <c r="C698" s="2">
        <v>19308</v>
      </c>
      <c r="D698" s="2">
        <v>28348</v>
      </c>
      <c r="E698" s="3">
        <v>44670</v>
      </c>
      <c r="F698" s="3">
        <v>44820</v>
      </c>
      <c r="G698" s="4">
        <v>105300</v>
      </c>
      <c r="H698" s="2">
        <v>0</v>
      </c>
      <c r="I698" s="2" t="s">
        <v>1059</v>
      </c>
      <c r="J698" s="2" t="s">
        <v>28</v>
      </c>
    </row>
    <row r="699" spans="1:10" x14ac:dyDescent="0.3">
      <c r="A699" s="2" t="s">
        <v>809</v>
      </c>
      <c r="B699" s="2" t="s">
        <v>810</v>
      </c>
      <c r="C699" s="2">
        <v>19604</v>
      </c>
      <c r="D699" s="2">
        <v>28669</v>
      </c>
      <c r="E699" s="3">
        <v>44700</v>
      </c>
      <c r="F699" s="3">
        <v>44820</v>
      </c>
      <c r="G699" s="4">
        <v>30132</v>
      </c>
      <c r="H699" s="2">
        <v>0</v>
      </c>
      <c r="I699" s="2" t="s">
        <v>811</v>
      </c>
      <c r="J699" s="2" t="s">
        <v>24</v>
      </c>
    </row>
    <row r="700" spans="1:10" x14ac:dyDescent="0.3">
      <c r="A700" s="2" t="s">
        <v>85</v>
      </c>
      <c r="B700" s="2" t="s">
        <v>83</v>
      </c>
      <c r="C700" s="2">
        <v>19325</v>
      </c>
      <c r="D700" s="2">
        <v>28368</v>
      </c>
      <c r="E700" s="3">
        <v>44671</v>
      </c>
      <c r="F700" s="3">
        <v>44821</v>
      </c>
      <c r="G700" s="4">
        <v>32859.75</v>
      </c>
      <c r="H700" s="2">
        <v>0</v>
      </c>
      <c r="I700" s="2" t="s">
        <v>263</v>
      </c>
      <c r="J700" s="2" t="s">
        <v>40</v>
      </c>
    </row>
    <row r="701" spans="1:10" x14ac:dyDescent="0.3">
      <c r="A701" s="2" t="s">
        <v>311</v>
      </c>
      <c r="B701" s="2" t="s">
        <v>312</v>
      </c>
      <c r="C701" s="2"/>
      <c r="D701" s="2">
        <v>176646</v>
      </c>
      <c r="E701" s="3">
        <v>44547</v>
      </c>
      <c r="F701" s="3">
        <v>44821</v>
      </c>
      <c r="G701" s="4">
        <v>2400</v>
      </c>
      <c r="H701" s="2">
        <v>0</v>
      </c>
      <c r="I701" s="2" t="s">
        <v>313</v>
      </c>
      <c r="J701" s="2" t="s">
        <v>112</v>
      </c>
    </row>
    <row r="702" spans="1:10" x14ac:dyDescent="0.3">
      <c r="A702" s="2" t="s">
        <v>68</v>
      </c>
      <c r="B702" s="2" t="s">
        <v>69</v>
      </c>
      <c r="C702" s="2">
        <v>19322</v>
      </c>
      <c r="D702" s="2">
        <v>28363</v>
      </c>
      <c r="E702" s="3">
        <v>44671</v>
      </c>
      <c r="F702" s="3">
        <v>44821</v>
      </c>
      <c r="G702" s="4">
        <v>85627.5</v>
      </c>
      <c r="H702" s="2">
        <v>0</v>
      </c>
      <c r="I702" s="2" t="s">
        <v>562</v>
      </c>
      <c r="J702" s="2" t="s">
        <v>40</v>
      </c>
    </row>
    <row r="703" spans="1:10" x14ac:dyDescent="0.3">
      <c r="A703" s="2" t="s">
        <v>25</v>
      </c>
      <c r="B703" s="2" t="s">
        <v>26</v>
      </c>
      <c r="C703" s="2">
        <v>19326</v>
      </c>
      <c r="D703" s="2">
        <v>28369</v>
      </c>
      <c r="E703" s="3">
        <v>44671</v>
      </c>
      <c r="F703" s="3">
        <v>44821</v>
      </c>
      <c r="G703" s="4">
        <v>82972.25</v>
      </c>
      <c r="H703" s="2">
        <v>0</v>
      </c>
      <c r="I703" s="2" t="s">
        <v>757</v>
      </c>
      <c r="J703" s="2" t="s">
        <v>28</v>
      </c>
    </row>
    <row r="704" spans="1:10" x14ac:dyDescent="0.3">
      <c r="A704" s="2" t="s">
        <v>179</v>
      </c>
      <c r="B704" s="2" t="s">
        <v>180</v>
      </c>
      <c r="C704" s="2">
        <v>19778</v>
      </c>
      <c r="D704" s="2">
        <v>28842</v>
      </c>
      <c r="E704" s="3">
        <v>44732</v>
      </c>
      <c r="F704" s="3">
        <v>44822</v>
      </c>
      <c r="G704" s="4">
        <v>121590</v>
      </c>
      <c r="H704" s="2">
        <v>0</v>
      </c>
      <c r="I704" s="2" t="s">
        <v>1121</v>
      </c>
      <c r="J704" s="2" t="s">
        <v>40</v>
      </c>
    </row>
    <row r="705" spans="1:10" x14ac:dyDescent="0.3">
      <c r="A705" s="2" t="s">
        <v>48</v>
      </c>
      <c r="B705" s="2" t="s">
        <v>49</v>
      </c>
      <c r="C705" s="2">
        <v>18761</v>
      </c>
      <c r="D705" s="2">
        <v>27781</v>
      </c>
      <c r="E705" s="3">
        <v>44613</v>
      </c>
      <c r="F705" s="3">
        <v>44823</v>
      </c>
      <c r="G705" s="4">
        <v>4320</v>
      </c>
      <c r="H705" s="2">
        <v>0</v>
      </c>
      <c r="I705" s="2" t="s">
        <v>71</v>
      </c>
      <c r="J705" s="2" t="s">
        <v>40</v>
      </c>
    </row>
    <row r="706" spans="1:10" x14ac:dyDescent="0.3">
      <c r="A706" s="2" t="s">
        <v>48</v>
      </c>
      <c r="B706" s="2" t="s">
        <v>49</v>
      </c>
      <c r="C706" s="2">
        <v>18763</v>
      </c>
      <c r="D706" s="2">
        <v>27783</v>
      </c>
      <c r="E706" s="3">
        <v>44613</v>
      </c>
      <c r="F706" s="3">
        <v>44823</v>
      </c>
      <c r="G706" s="4">
        <v>40000</v>
      </c>
      <c r="H706" s="2">
        <v>0</v>
      </c>
      <c r="I706" s="2" t="s">
        <v>169</v>
      </c>
      <c r="J706" s="2" t="s">
        <v>40</v>
      </c>
    </row>
    <row r="707" spans="1:10" x14ac:dyDescent="0.3">
      <c r="A707" s="2" t="s">
        <v>48</v>
      </c>
      <c r="B707" s="2" t="s">
        <v>49</v>
      </c>
      <c r="C707" s="2">
        <v>18762</v>
      </c>
      <c r="D707" s="2">
        <v>27782</v>
      </c>
      <c r="E707" s="3">
        <v>44613</v>
      </c>
      <c r="F707" s="3">
        <v>44823</v>
      </c>
      <c r="G707" s="4">
        <v>11237.5</v>
      </c>
      <c r="H707" s="2">
        <v>0</v>
      </c>
      <c r="I707" s="2" t="s">
        <v>440</v>
      </c>
      <c r="J707" s="2" t="s">
        <v>40</v>
      </c>
    </row>
    <row r="708" spans="1:10" x14ac:dyDescent="0.3">
      <c r="A708" s="2" t="s">
        <v>48</v>
      </c>
      <c r="B708" s="2" t="s">
        <v>49</v>
      </c>
      <c r="C708" s="2">
        <v>19327</v>
      </c>
      <c r="D708" s="2">
        <v>28370</v>
      </c>
      <c r="E708" s="3">
        <v>44673</v>
      </c>
      <c r="F708" s="3">
        <v>44823</v>
      </c>
      <c r="G708" s="4">
        <v>59745</v>
      </c>
      <c r="H708" s="2">
        <v>0</v>
      </c>
      <c r="I708" s="2" t="s">
        <v>537</v>
      </c>
      <c r="J708" s="2" t="s">
        <v>40</v>
      </c>
    </row>
    <row r="709" spans="1:10" x14ac:dyDescent="0.3">
      <c r="A709" s="2" t="s">
        <v>48</v>
      </c>
      <c r="B709" s="2" t="s">
        <v>49</v>
      </c>
      <c r="C709" s="2">
        <v>18764</v>
      </c>
      <c r="D709" s="2">
        <v>27784</v>
      </c>
      <c r="E709" s="3">
        <v>44613</v>
      </c>
      <c r="F709" s="3">
        <v>44823</v>
      </c>
      <c r="G709" s="4">
        <v>23466.720000000001</v>
      </c>
      <c r="H709" s="2">
        <v>0</v>
      </c>
      <c r="I709" s="2" t="s">
        <v>570</v>
      </c>
      <c r="J709" s="2" t="s">
        <v>40</v>
      </c>
    </row>
    <row r="710" spans="1:10" x14ac:dyDescent="0.3">
      <c r="A710" s="2" t="s">
        <v>41</v>
      </c>
      <c r="B710" s="2" t="s">
        <v>42</v>
      </c>
      <c r="C710" s="2">
        <v>19795</v>
      </c>
      <c r="D710" s="2">
        <v>28858</v>
      </c>
      <c r="E710" s="3">
        <v>44733</v>
      </c>
      <c r="F710" s="3">
        <v>44823</v>
      </c>
      <c r="G710" s="4">
        <v>8640.6299999999992</v>
      </c>
      <c r="H710" s="2">
        <v>0</v>
      </c>
      <c r="I710" s="2" t="s">
        <v>1018</v>
      </c>
      <c r="J710" s="2" t="s">
        <v>44</v>
      </c>
    </row>
    <row r="711" spans="1:10" x14ac:dyDescent="0.3">
      <c r="A711" s="2" t="s">
        <v>174</v>
      </c>
      <c r="B711" s="2" t="s">
        <v>145</v>
      </c>
      <c r="C711" s="2">
        <v>18795</v>
      </c>
      <c r="D711" s="2">
        <v>27817</v>
      </c>
      <c r="E711" s="3">
        <v>44614</v>
      </c>
      <c r="F711" s="3">
        <v>44824</v>
      </c>
      <c r="G711" s="4">
        <v>258000</v>
      </c>
      <c r="H711" s="2">
        <v>0</v>
      </c>
      <c r="I711" s="2" t="s">
        <v>175</v>
      </c>
      <c r="J711" s="2" t="s">
        <v>147</v>
      </c>
    </row>
    <row r="712" spans="1:10" x14ac:dyDescent="0.3">
      <c r="A712" s="2" t="s">
        <v>192</v>
      </c>
      <c r="B712" s="2" t="s">
        <v>193</v>
      </c>
      <c r="C712" s="2">
        <v>18065</v>
      </c>
      <c r="D712" s="2">
        <v>27079</v>
      </c>
      <c r="E712" s="3">
        <v>44543</v>
      </c>
      <c r="F712" s="3">
        <v>44824</v>
      </c>
      <c r="G712" s="4">
        <v>83292</v>
      </c>
      <c r="H712" s="2">
        <v>0</v>
      </c>
      <c r="I712" s="2" t="s">
        <v>194</v>
      </c>
      <c r="J712" s="2" t="s">
        <v>164</v>
      </c>
    </row>
    <row r="713" spans="1:10" x14ac:dyDescent="0.3">
      <c r="A713" s="2" t="s">
        <v>82</v>
      </c>
      <c r="B713" s="2" t="s">
        <v>83</v>
      </c>
      <c r="C713" s="2">
        <v>18787</v>
      </c>
      <c r="D713" s="2">
        <v>27807</v>
      </c>
      <c r="E713" s="3">
        <v>44614</v>
      </c>
      <c r="F713" s="3">
        <v>44824</v>
      </c>
      <c r="G713" s="4">
        <v>27000</v>
      </c>
      <c r="H713" s="2">
        <v>0</v>
      </c>
      <c r="I713" s="2" t="s">
        <v>403</v>
      </c>
      <c r="J713" s="2" t="s">
        <v>40</v>
      </c>
    </row>
    <row r="714" spans="1:10" x14ac:dyDescent="0.3">
      <c r="A714" s="2" t="s">
        <v>48</v>
      </c>
      <c r="B714" s="2" t="s">
        <v>49</v>
      </c>
      <c r="C714" s="2">
        <v>19046</v>
      </c>
      <c r="D714" s="2">
        <v>28063</v>
      </c>
      <c r="E714" s="3">
        <v>44644</v>
      </c>
      <c r="F714" s="3">
        <v>44824</v>
      </c>
      <c r="G714" s="4">
        <v>54000</v>
      </c>
      <c r="H714" s="2">
        <v>0</v>
      </c>
      <c r="I714" s="2" t="s">
        <v>461</v>
      </c>
      <c r="J714" s="2" t="s">
        <v>40</v>
      </c>
    </row>
    <row r="715" spans="1:10" x14ac:dyDescent="0.3">
      <c r="A715" s="2" t="s">
        <v>237</v>
      </c>
      <c r="B715" s="2" t="s">
        <v>238</v>
      </c>
      <c r="C715" s="2">
        <v>19799</v>
      </c>
      <c r="D715" s="2">
        <v>28863</v>
      </c>
      <c r="E715" s="3">
        <v>44734</v>
      </c>
      <c r="F715" s="3">
        <v>44824</v>
      </c>
      <c r="G715" s="4">
        <v>4825.84</v>
      </c>
      <c r="H715" s="2">
        <v>0</v>
      </c>
      <c r="I715" s="2" t="s">
        <v>470</v>
      </c>
      <c r="J715" s="2" t="s">
        <v>157</v>
      </c>
    </row>
    <row r="716" spans="1:10" x14ac:dyDescent="0.3">
      <c r="A716" s="2" t="s">
        <v>29</v>
      </c>
      <c r="B716" s="2" t="s">
        <v>30</v>
      </c>
      <c r="C716" s="2">
        <v>19808</v>
      </c>
      <c r="D716" s="2">
        <v>28871</v>
      </c>
      <c r="E716" s="3">
        <v>44734</v>
      </c>
      <c r="F716" s="3">
        <v>44824</v>
      </c>
      <c r="G716" s="4">
        <v>16942.5</v>
      </c>
      <c r="H716" s="2">
        <v>0</v>
      </c>
      <c r="I716" s="2" t="s">
        <v>500</v>
      </c>
      <c r="J716" s="2" t="s">
        <v>32</v>
      </c>
    </row>
    <row r="717" spans="1:10" x14ac:dyDescent="0.3">
      <c r="A717" s="2" t="s">
        <v>25</v>
      </c>
      <c r="B717" s="2" t="s">
        <v>26</v>
      </c>
      <c r="C717" s="2">
        <v>19045</v>
      </c>
      <c r="D717" s="2">
        <v>28062</v>
      </c>
      <c r="E717" s="3">
        <v>44644</v>
      </c>
      <c r="F717" s="3">
        <v>44824</v>
      </c>
      <c r="G717" s="4">
        <v>103500</v>
      </c>
      <c r="H717" s="2">
        <v>0</v>
      </c>
      <c r="I717" s="2" t="s">
        <v>517</v>
      </c>
      <c r="J717" s="2" t="s">
        <v>28</v>
      </c>
    </row>
    <row r="718" spans="1:10" x14ac:dyDescent="0.3">
      <c r="A718" s="2" t="s">
        <v>264</v>
      </c>
      <c r="B718" s="2" t="s">
        <v>265</v>
      </c>
      <c r="C718" s="2">
        <v>19619</v>
      </c>
      <c r="D718" s="2">
        <v>28688</v>
      </c>
      <c r="E718" s="3">
        <v>44704</v>
      </c>
      <c r="F718" s="3">
        <v>44824</v>
      </c>
      <c r="G718" s="4">
        <v>17920</v>
      </c>
      <c r="H718" s="2">
        <v>0</v>
      </c>
      <c r="I718" s="2" t="s">
        <v>761</v>
      </c>
      <c r="J718" s="2" t="s">
        <v>24</v>
      </c>
    </row>
    <row r="719" spans="1:10" x14ac:dyDescent="0.3">
      <c r="A719" s="2" t="s">
        <v>25</v>
      </c>
      <c r="B719" s="2" t="s">
        <v>26</v>
      </c>
      <c r="C719" s="2">
        <v>19626</v>
      </c>
      <c r="D719" s="2">
        <v>28695</v>
      </c>
      <c r="E719" s="3">
        <v>44704</v>
      </c>
      <c r="F719" s="3">
        <v>44824</v>
      </c>
      <c r="G719" s="4">
        <v>36000</v>
      </c>
      <c r="H719" s="2">
        <v>0</v>
      </c>
      <c r="I719" s="2" t="s">
        <v>326</v>
      </c>
      <c r="J719" s="2" t="s">
        <v>28</v>
      </c>
    </row>
    <row r="720" spans="1:10" x14ac:dyDescent="0.3">
      <c r="A720" s="2" t="s">
        <v>136</v>
      </c>
      <c r="B720" s="2" t="s">
        <v>137</v>
      </c>
      <c r="C720" s="2">
        <v>18513</v>
      </c>
      <c r="D720" s="2">
        <v>27511</v>
      </c>
      <c r="E720" s="3">
        <v>44585</v>
      </c>
      <c r="F720" s="3">
        <v>44825</v>
      </c>
      <c r="G720" s="4">
        <v>175870</v>
      </c>
      <c r="H720" s="2">
        <v>0</v>
      </c>
      <c r="I720" s="2" t="s">
        <v>283</v>
      </c>
      <c r="J720" s="2" t="s">
        <v>81</v>
      </c>
    </row>
    <row r="721" spans="1:10" x14ac:dyDescent="0.3">
      <c r="A721" s="2" t="s">
        <v>25</v>
      </c>
      <c r="B721" s="2" t="s">
        <v>26</v>
      </c>
      <c r="C721" s="2">
        <v>19058</v>
      </c>
      <c r="D721" s="2">
        <v>28075</v>
      </c>
      <c r="E721" s="3">
        <v>44645</v>
      </c>
      <c r="F721" s="3">
        <v>44825</v>
      </c>
      <c r="G721" s="4">
        <v>86500</v>
      </c>
      <c r="H721" s="2">
        <v>0</v>
      </c>
      <c r="I721" s="2" t="s">
        <v>322</v>
      </c>
      <c r="J721" s="2" t="s">
        <v>28</v>
      </c>
    </row>
    <row r="722" spans="1:10" x14ac:dyDescent="0.3">
      <c r="A722" s="2" t="s">
        <v>53</v>
      </c>
      <c r="B722" s="2" t="s">
        <v>54</v>
      </c>
      <c r="C722" s="2">
        <v>19632</v>
      </c>
      <c r="D722" s="2">
        <v>28702</v>
      </c>
      <c r="E722" s="3">
        <v>44705</v>
      </c>
      <c r="F722" s="3">
        <v>44825</v>
      </c>
      <c r="G722" s="4">
        <v>62400</v>
      </c>
      <c r="H722" s="2">
        <v>0</v>
      </c>
      <c r="I722" s="2" t="s">
        <v>124</v>
      </c>
      <c r="J722" s="2" t="s">
        <v>56</v>
      </c>
    </row>
    <row r="723" spans="1:10" x14ac:dyDescent="0.3">
      <c r="A723" s="2" t="s">
        <v>85</v>
      </c>
      <c r="B723" s="2" t="s">
        <v>83</v>
      </c>
      <c r="C723" s="2">
        <v>19060</v>
      </c>
      <c r="D723" s="2">
        <v>28077</v>
      </c>
      <c r="E723" s="3">
        <v>44645</v>
      </c>
      <c r="F723" s="3">
        <v>44825</v>
      </c>
      <c r="G723" s="4">
        <v>60000</v>
      </c>
      <c r="H723" s="2">
        <v>0</v>
      </c>
      <c r="I723" s="2" t="s">
        <v>598</v>
      </c>
      <c r="J723" s="2" t="s">
        <v>40</v>
      </c>
    </row>
    <row r="724" spans="1:10" x14ac:dyDescent="0.3">
      <c r="A724" s="2" t="s">
        <v>25</v>
      </c>
      <c r="B724" s="2" t="s">
        <v>26</v>
      </c>
      <c r="C724" s="2">
        <v>19055</v>
      </c>
      <c r="D724" s="2">
        <v>28073</v>
      </c>
      <c r="E724" s="3">
        <v>44645</v>
      </c>
      <c r="F724" s="3">
        <v>44825</v>
      </c>
      <c r="G724" s="4">
        <v>28666.639999999999</v>
      </c>
      <c r="H724" s="2">
        <v>0</v>
      </c>
      <c r="I724" s="2" t="s">
        <v>1024</v>
      </c>
      <c r="J724" s="2" t="s">
        <v>28</v>
      </c>
    </row>
    <row r="725" spans="1:10" x14ac:dyDescent="0.3">
      <c r="A725" s="2" t="s">
        <v>48</v>
      </c>
      <c r="B725" s="2" t="s">
        <v>49</v>
      </c>
      <c r="C725" s="2">
        <v>19660</v>
      </c>
      <c r="D725" s="2">
        <v>28727</v>
      </c>
      <c r="E725" s="3">
        <v>44706</v>
      </c>
      <c r="F725" s="3">
        <v>44826</v>
      </c>
      <c r="G725" s="4">
        <v>16714.98</v>
      </c>
      <c r="H725" s="2">
        <v>0</v>
      </c>
      <c r="I725" s="2" t="s">
        <v>50</v>
      </c>
      <c r="J725" s="2" t="s">
        <v>40</v>
      </c>
    </row>
    <row r="726" spans="1:10" x14ac:dyDescent="0.3">
      <c r="A726" s="2" t="s">
        <v>48</v>
      </c>
      <c r="B726" s="2" t="s">
        <v>49</v>
      </c>
      <c r="C726" s="2">
        <v>19661</v>
      </c>
      <c r="D726" s="2">
        <v>28728</v>
      </c>
      <c r="E726" s="3">
        <v>44706</v>
      </c>
      <c r="F726" s="3">
        <v>44826</v>
      </c>
      <c r="G726" s="4">
        <v>22479.98</v>
      </c>
      <c r="H726" s="2">
        <v>0</v>
      </c>
      <c r="I726" s="2" t="s">
        <v>267</v>
      </c>
      <c r="J726" s="2" t="s">
        <v>40</v>
      </c>
    </row>
    <row r="727" spans="1:10" x14ac:dyDescent="0.3">
      <c r="A727" s="2" t="s">
        <v>405</v>
      </c>
      <c r="B727" s="2" t="s">
        <v>406</v>
      </c>
      <c r="C727" s="2">
        <v>19338</v>
      </c>
      <c r="D727" s="2">
        <v>28382</v>
      </c>
      <c r="E727" s="3">
        <v>44676</v>
      </c>
      <c r="F727" s="3">
        <v>44826</v>
      </c>
      <c r="G727" s="4">
        <v>141960</v>
      </c>
      <c r="H727" s="2">
        <v>0</v>
      </c>
      <c r="I727" s="2" t="s">
        <v>407</v>
      </c>
      <c r="J727" s="2" t="s">
        <v>112</v>
      </c>
    </row>
    <row r="728" spans="1:10" x14ac:dyDescent="0.3">
      <c r="A728" s="2" t="s">
        <v>405</v>
      </c>
      <c r="B728" s="2" t="s">
        <v>406</v>
      </c>
      <c r="C728" s="2">
        <v>19339</v>
      </c>
      <c r="D728" s="2">
        <v>28383</v>
      </c>
      <c r="E728" s="3">
        <v>44676</v>
      </c>
      <c r="F728" s="3">
        <v>44826</v>
      </c>
      <c r="G728" s="4">
        <v>141960</v>
      </c>
      <c r="H728" s="2">
        <v>0</v>
      </c>
      <c r="I728" s="2" t="s">
        <v>499</v>
      </c>
      <c r="J728" s="2" t="s">
        <v>112</v>
      </c>
    </row>
    <row r="729" spans="1:10" x14ac:dyDescent="0.3">
      <c r="A729" s="2" t="s">
        <v>405</v>
      </c>
      <c r="B729" s="2" t="s">
        <v>406</v>
      </c>
      <c r="C729" s="2">
        <v>19340</v>
      </c>
      <c r="D729" s="2">
        <v>28384</v>
      </c>
      <c r="E729" s="3">
        <v>44676</v>
      </c>
      <c r="F729" s="3">
        <v>44826</v>
      </c>
      <c r="G729" s="4">
        <v>141960</v>
      </c>
      <c r="H729" s="2">
        <v>0</v>
      </c>
      <c r="I729" s="2" t="s">
        <v>663</v>
      </c>
      <c r="J729" s="2" t="s">
        <v>112</v>
      </c>
    </row>
    <row r="730" spans="1:10" x14ac:dyDescent="0.3">
      <c r="A730" s="2" t="s">
        <v>144</v>
      </c>
      <c r="B730" s="2" t="s">
        <v>145</v>
      </c>
      <c r="C730" s="2">
        <v>18844</v>
      </c>
      <c r="D730" s="2">
        <v>27865</v>
      </c>
      <c r="E730" s="3">
        <v>44616</v>
      </c>
      <c r="F730" s="3">
        <v>44826</v>
      </c>
      <c r="G730" s="4">
        <v>56120</v>
      </c>
      <c r="H730" s="2">
        <v>0</v>
      </c>
      <c r="I730" s="2" t="s">
        <v>858</v>
      </c>
      <c r="J730" s="2" t="s">
        <v>147</v>
      </c>
    </row>
    <row r="731" spans="1:10" x14ac:dyDescent="0.3">
      <c r="A731" s="2" t="s">
        <v>25</v>
      </c>
      <c r="B731" s="2" t="s">
        <v>26</v>
      </c>
      <c r="C731" s="2">
        <v>19350</v>
      </c>
      <c r="D731" s="2">
        <v>28394</v>
      </c>
      <c r="E731" s="3">
        <v>44676</v>
      </c>
      <c r="F731" s="3">
        <v>44826</v>
      </c>
      <c r="G731" s="4">
        <v>74535</v>
      </c>
      <c r="H731" s="2">
        <v>0</v>
      </c>
      <c r="I731" s="2" t="s">
        <v>918</v>
      </c>
      <c r="J731" s="2" t="s">
        <v>28</v>
      </c>
    </row>
    <row r="732" spans="1:10" x14ac:dyDescent="0.3">
      <c r="A732" s="2" t="s">
        <v>68</v>
      </c>
      <c r="B732" s="2" t="s">
        <v>69</v>
      </c>
      <c r="C732" s="2">
        <v>19650</v>
      </c>
      <c r="D732" s="2">
        <v>28719</v>
      </c>
      <c r="E732" s="3">
        <v>44706</v>
      </c>
      <c r="F732" s="3">
        <v>44826</v>
      </c>
      <c r="G732" s="2">
        <v>997.2</v>
      </c>
      <c r="H732" s="2">
        <v>0</v>
      </c>
      <c r="I732" s="2" t="s">
        <v>1007</v>
      </c>
      <c r="J732" s="2" t="s">
        <v>40</v>
      </c>
    </row>
    <row r="733" spans="1:10" x14ac:dyDescent="0.3">
      <c r="A733" s="2" t="s">
        <v>405</v>
      </c>
      <c r="B733" s="2" t="s">
        <v>406</v>
      </c>
      <c r="C733" s="2">
        <v>19337</v>
      </c>
      <c r="D733" s="2">
        <v>28381</v>
      </c>
      <c r="E733" s="3">
        <v>44676</v>
      </c>
      <c r="F733" s="3">
        <v>44826</v>
      </c>
      <c r="G733" s="4">
        <v>141960</v>
      </c>
      <c r="H733" s="2">
        <v>0</v>
      </c>
      <c r="I733" s="2" t="s">
        <v>1026</v>
      </c>
      <c r="J733" s="2" t="s">
        <v>112</v>
      </c>
    </row>
    <row r="734" spans="1:10" x14ac:dyDescent="0.3">
      <c r="A734" s="2" t="s">
        <v>82</v>
      </c>
      <c r="B734" s="2" t="s">
        <v>83</v>
      </c>
      <c r="C734" s="2">
        <v>19642</v>
      </c>
      <c r="D734" s="2">
        <v>28712</v>
      </c>
      <c r="E734" s="3">
        <v>44706</v>
      </c>
      <c r="F734" s="3">
        <v>44826</v>
      </c>
      <c r="G734" s="4">
        <v>1322</v>
      </c>
      <c r="H734" s="2">
        <v>0</v>
      </c>
      <c r="I734" s="2" t="s">
        <v>402</v>
      </c>
      <c r="J734" s="2" t="s">
        <v>40</v>
      </c>
    </row>
    <row r="735" spans="1:10" x14ac:dyDescent="0.3">
      <c r="A735" s="2" t="s">
        <v>53</v>
      </c>
      <c r="B735" s="2" t="s">
        <v>54</v>
      </c>
      <c r="C735" s="2">
        <v>19759</v>
      </c>
      <c r="D735" s="2">
        <v>28820</v>
      </c>
      <c r="E735" s="3">
        <v>44722</v>
      </c>
      <c r="F735" s="3">
        <v>44827</v>
      </c>
      <c r="G735" s="4">
        <v>18583.48</v>
      </c>
      <c r="H735" s="2">
        <v>0</v>
      </c>
      <c r="I735" s="2" t="s">
        <v>160</v>
      </c>
      <c r="J735" s="2" t="s">
        <v>56</v>
      </c>
    </row>
    <row r="736" spans="1:10" x14ac:dyDescent="0.3">
      <c r="A736" s="2" t="s">
        <v>48</v>
      </c>
      <c r="B736" s="2" t="s">
        <v>49</v>
      </c>
      <c r="C736" s="2">
        <v>19367</v>
      </c>
      <c r="D736" s="2">
        <v>28411</v>
      </c>
      <c r="E736" s="3">
        <v>44677</v>
      </c>
      <c r="F736" s="3">
        <v>44827</v>
      </c>
      <c r="G736" s="4">
        <v>58590</v>
      </c>
      <c r="H736" s="2">
        <v>0</v>
      </c>
      <c r="I736" s="2" t="s">
        <v>432</v>
      </c>
      <c r="J736" s="2" t="s">
        <v>40</v>
      </c>
    </row>
    <row r="737" spans="1:10" x14ac:dyDescent="0.3">
      <c r="A737" s="2" t="s">
        <v>53</v>
      </c>
      <c r="B737" s="2" t="s">
        <v>54</v>
      </c>
      <c r="C737" s="2">
        <v>19760</v>
      </c>
      <c r="D737" s="2">
        <v>28821</v>
      </c>
      <c r="E737" s="3">
        <v>44722</v>
      </c>
      <c r="F737" s="3">
        <v>44827</v>
      </c>
      <c r="G737" s="4">
        <v>39721.379999999997</v>
      </c>
      <c r="H737" s="2">
        <v>0</v>
      </c>
      <c r="I737" s="2" t="s">
        <v>55</v>
      </c>
      <c r="J737" s="2" t="s">
        <v>56</v>
      </c>
    </row>
    <row r="738" spans="1:10" x14ac:dyDescent="0.3">
      <c r="A738" s="2" t="s">
        <v>25</v>
      </c>
      <c r="B738" s="2" t="s">
        <v>26</v>
      </c>
      <c r="C738" s="2">
        <v>19368</v>
      </c>
      <c r="D738" s="2">
        <v>28412</v>
      </c>
      <c r="E738" s="3">
        <v>44677</v>
      </c>
      <c r="F738" s="3">
        <v>44827</v>
      </c>
      <c r="G738" s="4">
        <v>2200</v>
      </c>
      <c r="H738" s="2">
        <v>0</v>
      </c>
      <c r="I738" s="2" t="s">
        <v>819</v>
      </c>
      <c r="J738" s="2" t="s">
        <v>28</v>
      </c>
    </row>
    <row r="739" spans="1:10" x14ac:dyDescent="0.3">
      <c r="A739" s="2" t="s">
        <v>824</v>
      </c>
      <c r="B739" s="2" t="s">
        <v>825</v>
      </c>
      <c r="C739" s="2">
        <v>19243</v>
      </c>
      <c r="D739" s="2">
        <v>28267</v>
      </c>
      <c r="E739" s="3">
        <v>44662</v>
      </c>
      <c r="F739" s="3">
        <v>44827</v>
      </c>
      <c r="G739" s="4">
        <v>27291.79</v>
      </c>
      <c r="H739" s="2">
        <v>0</v>
      </c>
      <c r="I739" s="2" t="s">
        <v>826</v>
      </c>
      <c r="J739" s="2" t="s">
        <v>36</v>
      </c>
    </row>
    <row r="740" spans="1:10" x14ac:dyDescent="0.3">
      <c r="A740" s="2" t="s">
        <v>48</v>
      </c>
      <c r="B740" s="2" t="s">
        <v>49</v>
      </c>
      <c r="C740" s="2">
        <v>19360</v>
      </c>
      <c r="D740" s="2">
        <v>28404</v>
      </c>
      <c r="E740" s="3">
        <v>44677</v>
      </c>
      <c r="F740" s="3">
        <v>44827</v>
      </c>
      <c r="G740" s="4">
        <v>59745</v>
      </c>
      <c r="H740" s="2">
        <v>0</v>
      </c>
      <c r="I740" s="2" t="s">
        <v>882</v>
      </c>
      <c r="J740" s="2" t="s">
        <v>40</v>
      </c>
    </row>
    <row r="741" spans="1:10" x14ac:dyDescent="0.3">
      <c r="A741" s="2" t="s">
        <v>906</v>
      </c>
      <c r="B741" s="2" t="s">
        <v>907</v>
      </c>
      <c r="C741" s="2">
        <v>19670</v>
      </c>
      <c r="D741" s="2">
        <v>28738</v>
      </c>
      <c r="E741" s="3">
        <v>44707</v>
      </c>
      <c r="F741" s="3">
        <v>44827</v>
      </c>
      <c r="G741" s="4">
        <v>9573.19</v>
      </c>
      <c r="H741" s="2">
        <v>0</v>
      </c>
      <c r="I741" s="2" t="s">
        <v>908</v>
      </c>
      <c r="J741" s="2" t="s">
        <v>173</v>
      </c>
    </row>
    <row r="742" spans="1:10" x14ac:dyDescent="0.3">
      <c r="A742" s="2" t="s">
        <v>73</v>
      </c>
      <c r="B742" s="2" t="s">
        <v>74</v>
      </c>
      <c r="C742" s="2">
        <v>19361</v>
      </c>
      <c r="D742" s="2">
        <v>28405</v>
      </c>
      <c r="E742" s="3">
        <v>44677</v>
      </c>
      <c r="F742" s="3">
        <v>44827</v>
      </c>
      <c r="G742" s="4">
        <v>40796.199999999997</v>
      </c>
      <c r="H742" s="2">
        <v>0</v>
      </c>
      <c r="I742" s="2" t="s">
        <v>952</v>
      </c>
      <c r="J742" s="2" t="s">
        <v>28</v>
      </c>
    </row>
    <row r="743" spans="1:10" x14ac:dyDescent="0.3">
      <c r="A743" s="2" t="s">
        <v>25</v>
      </c>
      <c r="B743" s="2" t="s">
        <v>26</v>
      </c>
      <c r="C743" s="2">
        <v>19369</v>
      </c>
      <c r="D743" s="2">
        <v>28413</v>
      </c>
      <c r="E743" s="3">
        <v>44677</v>
      </c>
      <c r="F743" s="3">
        <v>44827</v>
      </c>
      <c r="G743" s="4">
        <v>100050</v>
      </c>
      <c r="H743" s="2">
        <v>0</v>
      </c>
      <c r="I743" s="2" t="s">
        <v>1140</v>
      </c>
      <c r="J743" s="2" t="s">
        <v>28</v>
      </c>
    </row>
    <row r="744" spans="1:10" x14ac:dyDescent="0.3">
      <c r="A744" s="2" t="s">
        <v>114</v>
      </c>
      <c r="B744" s="2" t="s">
        <v>115</v>
      </c>
      <c r="C744" s="2">
        <v>19396</v>
      </c>
      <c r="D744" s="2">
        <v>28437</v>
      </c>
      <c r="E744" s="3">
        <v>44678</v>
      </c>
      <c r="F744" s="3">
        <v>44828</v>
      </c>
      <c r="G744" s="4">
        <v>13200</v>
      </c>
      <c r="H744" s="2">
        <v>0</v>
      </c>
      <c r="I744" s="2" t="s">
        <v>116</v>
      </c>
      <c r="J744" s="2" t="s">
        <v>28</v>
      </c>
    </row>
    <row r="745" spans="1:10" x14ac:dyDescent="0.3">
      <c r="A745" s="2" t="s">
        <v>21</v>
      </c>
      <c r="B745" s="2" t="s">
        <v>22</v>
      </c>
      <c r="C745" s="2">
        <v>19677</v>
      </c>
      <c r="D745" s="2">
        <v>28744</v>
      </c>
      <c r="E745" s="3">
        <v>44708</v>
      </c>
      <c r="F745" s="3">
        <v>44828</v>
      </c>
      <c r="G745" s="4">
        <v>5973.33</v>
      </c>
      <c r="H745" s="2">
        <v>0</v>
      </c>
      <c r="I745" s="2" t="s">
        <v>159</v>
      </c>
      <c r="J745" s="2" t="s">
        <v>24</v>
      </c>
    </row>
    <row r="746" spans="1:10" x14ac:dyDescent="0.3">
      <c r="A746" s="2" t="s">
        <v>140</v>
      </c>
      <c r="B746" s="2" t="s">
        <v>141</v>
      </c>
      <c r="C746" s="2">
        <v>19671</v>
      </c>
      <c r="D746" s="2">
        <v>28739</v>
      </c>
      <c r="E746" s="3">
        <v>44708</v>
      </c>
      <c r="F746" s="3">
        <v>44828</v>
      </c>
      <c r="G746" s="4">
        <v>75156</v>
      </c>
      <c r="H746" s="2">
        <v>0</v>
      </c>
      <c r="I746" s="2" t="s">
        <v>216</v>
      </c>
      <c r="J746" s="2" t="s">
        <v>40</v>
      </c>
    </row>
    <row r="747" spans="1:10" x14ac:dyDescent="0.3">
      <c r="A747" s="2" t="s">
        <v>237</v>
      </c>
      <c r="B747" s="2" t="s">
        <v>238</v>
      </c>
      <c r="C747" s="2">
        <v>19375</v>
      </c>
      <c r="D747" s="2">
        <v>28418</v>
      </c>
      <c r="E747" s="3">
        <v>44678</v>
      </c>
      <c r="F747" s="3">
        <v>44828</v>
      </c>
      <c r="G747" s="4">
        <v>5167.5200000000004</v>
      </c>
      <c r="H747" s="2">
        <v>0</v>
      </c>
      <c r="I747" s="2" t="s">
        <v>239</v>
      </c>
      <c r="J747" s="2" t="s">
        <v>157</v>
      </c>
    </row>
    <row r="748" spans="1:10" x14ac:dyDescent="0.3">
      <c r="A748" s="2" t="s">
        <v>48</v>
      </c>
      <c r="B748" s="2" t="s">
        <v>49</v>
      </c>
      <c r="C748" s="2">
        <v>19081</v>
      </c>
      <c r="D748" s="2">
        <v>28101</v>
      </c>
      <c r="E748" s="3">
        <v>44648</v>
      </c>
      <c r="F748" s="3">
        <v>44828</v>
      </c>
      <c r="G748" s="4">
        <v>54000</v>
      </c>
      <c r="H748" s="2">
        <v>0</v>
      </c>
      <c r="I748" s="2" t="s">
        <v>291</v>
      </c>
      <c r="J748" s="2" t="s">
        <v>40</v>
      </c>
    </row>
    <row r="749" spans="1:10" x14ac:dyDescent="0.3">
      <c r="A749" s="2" t="s">
        <v>82</v>
      </c>
      <c r="B749" s="2" t="s">
        <v>83</v>
      </c>
      <c r="C749" s="2">
        <v>19079</v>
      </c>
      <c r="D749" s="2">
        <v>28099</v>
      </c>
      <c r="E749" s="3">
        <v>44648</v>
      </c>
      <c r="F749" s="3">
        <v>44828</v>
      </c>
      <c r="G749" s="4">
        <v>60000</v>
      </c>
      <c r="H749" s="2">
        <v>0</v>
      </c>
      <c r="I749" s="2" t="s">
        <v>444</v>
      </c>
      <c r="J749" s="2" t="s">
        <v>40</v>
      </c>
    </row>
    <row r="750" spans="1:10" x14ac:dyDescent="0.3">
      <c r="A750" s="2" t="s">
        <v>85</v>
      </c>
      <c r="B750" s="2" t="s">
        <v>83</v>
      </c>
      <c r="C750" s="2">
        <v>19080</v>
      </c>
      <c r="D750" s="2">
        <v>28100</v>
      </c>
      <c r="E750" s="3">
        <v>44648</v>
      </c>
      <c r="F750" s="3">
        <v>44828</v>
      </c>
      <c r="G750" s="4">
        <v>60000</v>
      </c>
      <c r="H750" s="2">
        <v>0</v>
      </c>
      <c r="I750" s="2" t="s">
        <v>611</v>
      </c>
      <c r="J750" s="2" t="s">
        <v>40</v>
      </c>
    </row>
    <row r="751" spans="1:10" x14ac:dyDescent="0.3">
      <c r="A751" s="2" t="s">
        <v>68</v>
      </c>
      <c r="B751" s="2" t="s">
        <v>69</v>
      </c>
      <c r="C751" s="2">
        <v>19411</v>
      </c>
      <c r="D751" s="2">
        <v>28450</v>
      </c>
      <c r="E751" s="3">
        <v>44678</v>
      </c>
      <c r="F751" s="3">
        <v>44828</v>
      </c>
      <c r="G751" s="4">
        <v>58590</v>
      </c>
      <c r="H751" s="2">
        <v>0</v>
      </c>
      <c r="I751" s="2" t="s">
        <v>820</v>
      </c>
      <c r="J751" s="2" t="s">
        <v>40</v>
      </c>
    </row>
    <row r="752" spans="1:10" x14ac:dyDescent="0.3">
      <c r="A752" s="2" t="s">
        <v>21</v>
      </c>
      <c r="B752" s="2" t="s">
        <v>22</v>
      </c>
      <c r="C752" s="2">
        <v>19679</v>
      </c>
      <c r="D752" s="2">
        <v>28746</v>
      </c>
      <c r="E752" s="3">
        <v>44708</v>
      </c>
      <c r="F752" s="3">
        <v>44828</v>
      </c>
      <c r="G752" s="4">
        <v>3605</v>
      </c>
      <c r="H752" s="2">
        <v>0</v>
      </c>
      <c r="I752" s="2" t="s">
        <v>829</v>
      </c>
      <c r="J752" s="2" t="s">
        <v>24</v>
      </c>
    </row>
    <row r="753" spans="1:10" x14ac:dyDescent="0.3">
      <c r="A753" s="2" t="s">
        <v>48</v>
      </c>
      <c r="B753" s="2" t="s">
        <v>49</v>
      </c>
      <c r="C753" s="2">
        <v>19402</v>
      </c>
      <c r="D753" s="2">
        <v>28442</v>
      </c>
      <c r="E753" s="3">
        <v>44678</v>
      </c>
      <c r="F753" s="3">
        <v>44828</v>
      </c>
      <c r="G753" s="4">
        <v>59745</v>
      </c>
      <c r="H753" s="2">
        <v>0</v>
      </c>
      <c r="I753" s="2" t="s">
        <v>931</v>
      </c>
      <c r="J753" s="2" t="s">
        <v>40</v>
      </c>
    </row>
    <row r="754" spans="1:10" x14ac:dyDescent="0.3">
      <c r="A754" s="2" t="s">
        <v>82</v>
      </c>
      <c r="B754" s="2" t="s">
        <v>83</v>
      </c>
      <c r="C754" s="2">
        <v>19409</v>
      </c>
      <c r="D754" s="2">
        <v>28448</v>
      </c>
      <c r="E754" s="3">
        <v>44678</v>
      </c>
      <c r="F754" s="3">
        <v>44828</v>
      </c>
      <c r="G754" s="4">
        <v>93838.5</v>
      </c>
      <c r="H754" s="2">
        <v>0</v>
      </c>
      <c r="I754" s="2" t="s">
        <v>932</v>
      </c>
      <c r="J754" s="2" t="s">
        <v>40</v>
      </c>
    </row>
    <row r="755" spans="1:10" x14ac:dyDescent="0.3">
      <c r="A755" s="2" t="s">
        <v>21</v>
      </c>
      <c r="B755" s="2" t="s">
        <v>22</v>
      </c>
      <c r="C755" s="2">
        <v>19678</v>
      </c>
      <c r="D755" s="2">
        <v>28745</v>
      </c>
      <c r="E755" s="3">
        <v>44708</v>
      </c>
      <c r="F755" s="3">
        <v>44828</v>
      </c>
      <c r="G755" s="4">
        <v>26532.31</v>
      </c>
      <c r="H755" s="2">
        <v>0</v>
      </c>
      <c r="I755" s="2" t="s">
        <v>1158</v>
      </c>
      <c r="J755" s="2" t="s">
        <v>24</v>
      </c>
    </row>
    <row r="756" spans="1:10" x14ac:dyDescent="0.3">
      <c r="A756" s="2" t="s">
        <v>53</v>
      </c>
      <c r="B756" s="2" t="s">
        <v>54</v>
      </c>
      <c r="C756" s="2">
        <v>19131</v>
      </c>
      <c r="D756" s="2">
        <v>28150</v>
      </c>
      <c r="E756" s="3">
        <v>44649</v>
      </c>
      <c r="F756" s="3">
        <v>44829</v>
      </c>
      <c r="G756" s="4">
        <v>18583.66</v>
      </c>
      <c r="H756" s="2">
        <v>0</v>
      </c>
      <c r="I756" s="2" t="s">
        <v>77</v>
      </c>
      <c r="J756" s="2" t="s">
        <v>56</v>
      </c>
    </row>
    <row r="757" spans="1:10" x14ac:dyDescent="0.3">
      <c r="A757" s="2" t="s">
        <v>53</v>
      </c>
      <c r="B757" s="2" t="s">
        <v>54</v>
      </c>
      <c r="C757" s="2">
        <v>19130</v>
      </c>
      <c r="D757" s="2">
        <v>28149</v>
      </c>
      <c r="E757" s="3">
        <v>44649</v>
      </c>
      <c r="F757" s="3">
        <v>44829</v>
      </c>
      <c r="G757" s="4">
        <v>21839.64</v>
      </c>
      <c r="H757" s="2">
        <v>0</v>
      </c>
      <c r="I757" s="2" t="s">
        <v>357</v>
      </c>
      <c r="J757" s="2" t="s">
        <v>56</v>
      </c>
    </row>
    <row r="758" spans="1:10" x14ac:dyDescent="0.3">
      <c r="A758" s="2" t="s">
        <v>48</v>
      </c>
      <c r="B758" s="2" t="s">
        <v>49</v>
      </c>
      <c r="C758" s="2">
        <v>19128</v>
      </c>
      <c r="D758" s="2">
        <v>28147</v>
      </c>
      <c r="E758" s="3">
        <v>44649</v>
      </c>
      <c r="F758" s="3">
        <v>44829</v>
      </c>
      <c r="G758" s="4">
        <v>16562.96</v>
      </c>
      <c r="H758" s="2">
        <v>0</v>
      </c>
      <c r="I758" s="2" t="s">
        <v>518</v>
      </c>
      <c r="J758" s="2" t="s">
        <v>40</v>
      </c>
    </row>
    <row r="759" spans="1:10" x14ac:dyDescent="0.3">
      <c r="A759" s="2" t="s">
        <v>25</v>
      </c>
      <c r="B759" s="2" t="s">
        <v>26</v>
      </c>
      <c r="C759" s="2">
        <v>19415</v>
      </c>
      <c r="D759" s="2">
        <v>28456</v>
      </c>
      <c r="E759" s="3">
        <v>44679</v>
      </c>
      <c r="F759" s="3">
        <v>44829</v>
      </c>
      <c r="G759" s="4">
        <v>116400</v>
      </c>
      <c r="H759" s="2">
        <v>0</v>
      </c>
      <c r="I759" s="2" t="s">
        <v>525</v>
      </c>
      <c r="J759" s="2" t="s">
        <v>28</v>
      </c>
    </row>
    <row r="760" spans="1:10" x14ac:dyDescent="0.3">
      <c r="A760" s="2" t="s">
        <v>713</v>
      </c>
      <c r="B760" s="2" t="s">
        <v>714</v>
      </c>
      <c r="C760" s="2">
        <v>19414</v>
      </c>
      <c r="D760" s="2">
        <v>28455</v>
      </c>
      <c r="E760" s="3">
        <v>44679</v>
      </c>
      <c r="F760" s="3">
        <v>44829</v>
      </c>
      <c r="G760" s="4">
        <v>60795</v>
      </c>
      <c r="H760" s="2">
        <v>0</v>
      </c>
      <c r="I760" s="2" t="s">
        <v>715</v>
      </c>
      <c r="J760" s="2" t="s">
        <v>40</v>
      </c>
    </row>
    <row r="761" spans="1:10" x14ac:dyDescent="0.3">
      <c r="A761" s="2" t="s">
        <v>187</v>
      </c>
      <c r="B761" s="2" t="s">
        <v>188</v>
      </c>
      <c r="C761" s="2">
        <v>19119</v>
      </c>
      <c r="D761" s="2">
        <v>28139</v>
      </c>
      <c r="E761" s="3">
        <v>44649</v>
      </c>
      <c r="F761" s="3">
        <v>44829</v>
      </c>
      <c r="G761" s="4">
        <v>14288.4</v>
      </c>
      <c r="H761" s="2">
        <v>0</v>
      </c>
      <c r="I761" s="2" t="s">
        <v>189</v>
      </c>
      <c r="J761" s="2" t="s">
        <v>40</v>
      </c>
    </row>
    <row r="762" spans="1:10" x14ac:dyDescent="0.3">
      <c r="A762" s="2" t="s">
        <v>48</v>
      </c>
      <c r="B762" s="2" t="s">
        <v>49</v>
      </c>
      <c r="C762" s="2">
        <v>19126</v>
      </c>
      <c r="D762" s="2">
        <v>28145</v>
      </c>
      <c r="E762" s="3">
        <v>44649</v>
      </c>
      <c r="F762" s="3">
        <v>44829</v>
      </c>
      <c r="G762" s="4">
        <v>5416.68</v>
      </c>
      <c r="H762" s="2">
        <v>0</v>
      </c>
      <c r="I762" s="2" t="s">
        <v>640</v>
      </c>
      <c r="J762" s="2" t="s">
        <v>40</v>
      </c>
    </row>
    <row r="763" spans="1:10" x14ac:dyDescent="0.3">
      <c r="A763" s="2" t="s">
        <v>48</v>
      </c>
      <c r="B763" s="2" t="s">
        <v>49</v>
      </c>
      <c r="C763" s="2">
        <v>19416</v>
      </c>
      <c r="D763" s="2">
        <v>28463</v>
      </c>
      <c r="E763" s="3">
        <v>44679</v>
      </c>
      <c r="F763" s="3">
        <v>44829</v>
      </c>
      <c r="G763" s="4">
        <v>54000</v>
      </c>
      <c r="H763" s="2">
        <v>0</v>
      </c>
      <c r="I763" s="2" t="s">
        <v>860</v>
      </c>
      <c r="J763" s="2" t="s">
        <v>40</v>
      </c>
    </row>
    <row r="764" spans="1:10" x14ac:dyDescent="0.3">
      <c r="A764" s="2" t="s">
        <v>48</v>
      </c>
      <c r="B764" s="2" t="s">
        <v>49</v>
      </c>
      <c r="C764" s="2">
        <v>19127</v>
      </c>
      <c r="D764" s="2">
        <v>28146</v>
      </c>
      <c r="E764" s="3">
        <v>44649</v>
      </c>
      <c r="F764" s="3">
        <v>44829</v>
      </c>
      <c r="G764" s="4">
        <v>10833.36</v>
      </c>
      <c r="H764" s="2">
        <v>0</v>
      </c>
      <c r="I764" s="2" t="s">
        <v>904</v>
      </c>
      <c r="J764" s="2" t="s">
        <v>40</v>
      </c>
    </row>
    <row r="765" spans="1:10" x14ac:dyDescent="0.3">
      <c r="A765" s="2" t="s">
        <v>53</v>
      </c>
      <c r="B765" s="2" t="s">
        <v>54</v>
      </c>
      <c r="C765" s="2">
        <v>19136</v>
      </c>
      <c r="D765" s="2">
        <v>28153</v>
      </c>
      <c r="E765" s="3">
        <v>44649</v>
      </c>
      <c r="F765" s="3">
        <v>44829</v>
      </c>
      <c r="G765" s="4">
        <v>4571.12</v>
      </c>
      <c r="H765" s="2">
        <v>0</v>
      </c>
      <c r="I765" s="2" t="s">
        <v>724</v>
      </c>
      <c r="J765" s="2" t="s">
        <v>56</v>
      </c>
    </row>
    <row r="766" spans="1:10" x14ac:dyDescent="0.3">
      <c r="A766" s="2" t="s">
        <v>48</v>
      </c>
      <c r="B766" s="2" t="s">
        <v>49</v>
      </c>
      <c r="C766" s="2">
        <v>19125</v>
      </c>
      <c r="D766" s="2">
        <v>28144</v>
      </c>
      <c r="E766" s="3">
        <v>44649</v>
      </c>
      <c r="F766" s="3">
        <v>44829</v>
      </c>
      <c r="G766" s="4">
        <v>2599.4</v>
      </c>
      <c r="H766" s="2">
        <v>0</v>
      </c>
      <c r="I766" s="2" t="s">
        <v>950</v>
      </c>
      <c r="J766" s="2" t="s">
        <v>40</v>
      </c>
    </row>
    <row r="767" spans="1:10" x14ac:dyDescent="0.3">
      <c r="A767" s="2" t="s">
        <v>53</v>
      </c>
      <c r="B767" s="2" t="s">
        <v>54</v>
      </c>
      <c r="C767" s="2">
        <v>19137</v>
      </c>
      <c r="D767" s="2">
        <v>28154</v>
      </c>
      <c r="E767" s="3">
        <v>44649</v>
      </c>
      <c r="F767" s="3">
        <v>44829</v>
      </c>
      <c r="G767" s="4">
        <v>16477.919999999998</v>
      </c>
      <c r="H767" s="2">
        <v>0</v>
      </c>
      <c r="I767" s="2" t="s">
        <v>1067</v>
      </c>
      <c r="J767" s="2" t="s">
        <v>56</v>
      </c>
    </row>
    <row r="768" spans="1:10" x14ac:dyDescent="0.3">
      <c r="A768" s="2" t="s">
        <v>25</v>
      </c>
      <c r="B768" s="2" t="s">
        <v>26</v>
      </c>
      <c r="C768" s="2">
        <v>19138</v>
      </c>
      <c r="D768" s="2">
        <v>28155</v>
      </c>
      <c r="E768" s="3">
        <v>44649</v>
      </c>
      <c r="F768" s="3">
        <v>44829</v>
      </c>
      <c r="G768" s="4">
        <v>154188</v>
      </c>
      <c r="H768" s="2">
        <v>0</v>
      </c>
      <c r="I768" s="2" t="s">
        <v>1068</v>
      </c>
      <c r="J768" s="2" t="s">
        <v>28</v>
      </c>
    </row>
    <row r="769" spans="1:10" x14ac:dyDescent="0.3">
      <c r="A769" s="2" t="s">
        <v>234</v>
      </c>
      <c r="B769" s="2" t="s">
        <v>235</v>
      </c>
      <c r="C769" s="2">
        <v>19150</v>
      </c>
      <c r="D769" s="2">
        <v>28169</v>
      </c>
      <c r="E769" s="3">
        <v>44650</v>
      </c>
      <c r="F769" s="3">
        <v>44830</v>
      </c>
      <c r="G769" s="4">
        <v>13436</v>
      </c>
      <c r="H769" s="2">
        <v>0</v>
      </c>
      <c r="I769" s="2" t="s">
        <v>236</v>
      </c>
      <c r="J769" s="2" t="s">
        <v>56</v>
      </c>
    </row>
    <row r="770" spans="1:10" x14ac:dyDescent="0.3">
      <c r="A770" s="2" t="s">
        <v>68</v>
      </c>
      <c r="B770" s="2" t="s">
        <v>69</v>
      </c>
      <c r="C770" s="2">
        <v>19141</v>
      </c>
      <c r="D770" s="2">
        <v>28160</v>
      </c>
      <c r="E770" s="3">
        <v>44650</v>
      </c>
      <c r="F770" s="3">
        <v>44830</v>
      </c>
      <c r="G770" s="4">
        <v>60000</v>
      </c>
      <c r="H770" s="2">
        <v>0</v>
      </c>
      <c r="I770" s="2" t="s">
        <v>535</v>
      </c>
      <c r="J770" s="2" t="s">
        <v>40</v>
      </c>
    </row>
    <row r="771" spans="1:10" x14ac:dyDescent="0.3">
      <c r="A771" s="2" t="s">
        <v>25</v>
      </c>
      <c r="B771" s="2" t="s">
        <v>26</v>
      </c>
      <c r="C771" s="2">
        <v>19147</v>
      </c>
      <c r="D771" s="2">
        <v>28166</v>
      </c>
      <c r="E771" s="3">
        <v>44650</v>
      </c>
      <c r="F771" s="3">
        <v>44830</v>
      </c>
      <c r="G771" s="4">
        <v>54653.5</v>
      </c>
      <c r="H771" s="2">
        <v>0</v>
      </c>
      <c r="I771" s="2" t="s">
        <v>679</v>
      </c>
      <c r="J771" s="2" t="s">
        <v>28</v>
      </c>
    </row>
    <row r="772" spans="1:10" x14ac:dyDescent="0.3">
      <c r="A772" s="2" t="s">
        <v>234</v>
      </c>
      <c r="B772" s="2" t="s">
        <v>235</v>
      </c>
      <c r="C772" s="2">
        <v>19148</v>
      </c>
      <c r="D772" s="2">
        <v>28167</v>
      </c>
      <c r="E772" s="3">
        <v>44650</v>
      </c>
      <c r="F772" s="3">
        <v>44830</v>
      </c>
      <c r="G772" s="4">
        <v>17536.8</v>
      </c>
      <c r="H772" s="2">
        <v>0</v>
      </c>
      <c r="I772" s="2" t="s">
        <v>726</v>
      </c>
      <c r="J772" s="2" t="s">
        <v>56</v>
      </c>
    </row>
    <row r="773" spans="1:10" x14ac:dyDescent="0.3">
      <c r="A773" s="2" t="s">
        <v>85</v>
      </c>
      <c r="B773" s="2" t="s">
        <v>83</v>
      </c>
      <c r="C773" s="2">
        <v>19429</v>
      </c>
      <c r="D773" s="2">
        <v>28476</v>
      </c>
      <c r="E773" s="3">
        <v>44680</v>
      </c>
      <c r="F773" s="3">
        <v>44830</v>
      </c>
      <c r="G773" s="4">
        <v>58590</v>
      </c>
      <c r="H773" s="2">
        <v>0</v>
      </c>
      <c r="I773" s="2" t="s">
        <v>729</v>
      </c>
      <c r="J773" s="2" t="s">
        <v>40</v>
      </c>
    </row>
    <row r="774" spans="1:10" x14ac:dyDescent="0.3">
      <c r="A774" s="2" t="s">
        <v>234</v>
      </c>
      <c r="B774" s="2" t="s">
        <v>235</v>
      </c>
      <c r="C774" s="2">
        <v>19149</v>
      </c>
      <c r="D774" s="2">
        <v>28168</v>
      </c>
      <c r="E774" s="3">
        <v>44650</v>
      </c>
      <c r="F774" s="3">
        <v>44830</v>
      </c>
      <c r="G774" s="4">
        <v>61605.8</v>
      </c>
      <c r="H774" s="2">
        <v>0</v>
      </c>
      <c r="I774" s="2" t="s">
        <v>788</v>
      </c>
      <c r="J774" s="2" t="s">
        <v>56</v>
      </c>
    </row>
    <row r="775" spans="1:10" x14ac:dyDescent="0.3">
      <c r="A775" s="2" t="s">
        <v>25</v>
      </c>
      <c r="B775" s="2" t="s">
        <v>26</v>
      </c>
      <c r="C775" s="2">
        <v>19146</v>
      </c>
      <c r="D775" s="2">
        <v>28165</v>
      </c>
      <c r="E775" s="3">
        <v>44650</v>
      </c>
      <c r="F775" s="3">
        <v>44830</v>
      </c>
      <c r="G775" s="4">
        <v>14324.99</v>
      </c>
      <c r="H775" s="2">
        <v>0</v>
      </c>
      <c r="I775" s="2" t="s">
        <v>1000</v>
      </c>
      <c r="J775" s="2" t="s">
        <v>28</v>
      </c>
    </row>
    <row r="776" spans="1:10" x14ac:dyDescent="0.3">
      <c r="A776" s="2" t="s">
        <v>48</v>
      </c>
      <c r="B776" s="2" t="s">
        <v>49</v>
      </c>
      <c r="C776" s="2">
        <v>19424</v>
      </c>
      <c r="D776" s="2">
        <v>28471</v>
      </c>
      <c r="E776" s="3">
        <v>44680</v>
      </c>
      <c r="F776" s="3">
        <v>44830</v>
      </c>
      <c r="G776" s="4">
        <v>59745</v>
      </c>
      <c r="H776" s="2">
        <v>0</v>
      </c>
      <c r="I776" s="2" t="s">
        <v>1042</v>
      </c>
      <c r="J776" s="2" t="s">
        <v>40</v>
      </c>
    </row>
    <row r="777" spans="1:10" x14ac:dyDescent="0.3">
      <c r="A777" s="2" t="s">
        <v>630</v>
      </c>
      <c r="B777" s="2" t="s">
        <v>631</v>
      </c>
      <c r="C777" s="2">
        <v>19838</v>
      </c>
      <c r="D777" s="2">
        <v>28906</v>
      </c>
      <c r="E777" s="3">
        <v>44740</v>
      </c>
      <c r="F777" s="3">
        <v>44830</v>
      </c>
      <c r="G777" s="4">
        <v>37652.5</v>
      </c>
      <c r="H777" s="2">
        <v>0</v>
      </c>
      <c r="I777" s="2" t="s">
        <v>782</v>
      </c>
      <c r="J777" s="2" t="s">
        <v>32</v>
      </c>
    </row>
    <row r="778" spans="1:10" x14ac:dyDescent="0.3">
      <c r="A778" s="2" t="s">
        <v>48</v>
      </c>
      <c r="B778" s="2" t="s">
        <v>49</v>
      </c>
      <c r="C778" s="2">
        <v>19142</v>
      </c>
      <c r="D778" s="2">
        <v>28161</v>
      </c>
      <c r="E778" s="3">
        <v>44650</v>
      </c>
      <c r="F778" s="3">
        <v>44830</v>
      </c>
      <c r="G778" s="4">
        <v>54000</v>
      </c>
      <c r="H778" s="2">
        <v>0</v>
      </c>
      <c r="I778" s="2" t="s">
        <v>1139</v>
      </c>
      <c r="J778" s="2" t="s">
        <v>40</v>
      </c>
    </row>
    <row r="779" spans="1:10" x14ac:dyDescent="0.3">
      <c r="A779" s="2" t="s">
        <v>25</v>
      </c>
      <c r="B779" s="2" t="s">
        <v>26</v>
      </c>
      <c r="C779" s="2">
        <v>19164</v>
      </c>
      <c r="D779" s="2">
        <v>28181</v>
      </c>
      <c r="E779" s="3">
        <v>44651</v>
      </c>
      <c r="F779" s="3">
        <v>44831</v>
      </c>
      <c r="G779" s="4">
        <v>82367.25</v>
      </c>
      <c r="H779" s="2">
        <v>0</v>
      </c>
      <c r="I779" s="2" t="s">
        <v>292</v>
      </c>
      <c r="J779" s="2" t="s">
        <v>28</v>
      </c>
    </row>
    <row r="780" spans="1:10" x14ac:dyDescent="0.3">
      <c r="A780" s="2" t="s">
        <v>48</v>
      </c>
      <c r="B780" s="2" t="s">
        <v>49</v>
      </c>
      <c r="C780" s="2">
        <v>19166</v>
      </c>
      <c r="D780" s="2">
        <v>28183</v>
      </c>
      <c r="E780" s="3">
        <v>44651</v>
      </c>
      <c r="F780" s="3">
        <v>44831</v>
      </c>
      <c r="G780" s="4">
        <v>54000</v>
      </c>
      <c r="H780" s="2">
        <v>0</v>
      </c>
      <c r="I780" s="2" t="s">
        <v>980</v>
      </c>
      <c r="J780" s="2" t="s">
        <v>40</v>
      </c>
    </row>
    <row r="781" spans="1:10" x14ac:dyDescent="0.3">
      <c r="A781" s="2" t="s">
        <v>342</v>
      </c>
      <c r="B781" s="2" t="s">
        <v>343</v>
      </c>
      <c r="C781" s="2">
        <v>19845</v>
      </c>
      <c r="D781" s="2">
        <v>28913</v>
      </c>
      <c r="E781" s="3">
        <v>44741</v>
      </c>
      <c r="F781" s="3">
        <v>44831</v>
      </c>
      <c r="G781" s="4">
        <v>191304.58</v>
      </c>
      <c r="H781" s="2">
        <v>0</v>
      </c>
      <c r="I781" s="2" t="s">
        <v>987</v>
      </c>
      <c r="J781" s="2" t="s">
        <v>112</v>
      </c>
    </row>
    <row r="782" spans="1:10" x14ac:dyDescent="0.3">
      <c r="A782" s="2" t="s">
        <v>48</v>
      </c>
      <c r="B782" s="2" t="s">
        <v>49</v>
      </c>
      <c r="C782" s="2">
        <v>19167</v>
      </c>
      <c r="D782" s="2">
        <v>28184</v>
      </c>
      <c r="E782" s="3">
        <v>44651</v>
      </c>
      <c r="F782" s="3">
        <v>44831</v>
      </c>
      <c r="G782" s="4">
        <v>54000</v>
      </c>
      <c r="H782" s="2">
        <v>0</v>
      </c>
      <c r="I782" s="2" t="s">
        <v>1058</v>
      </c>
      <c r="J782" s="2" t="s">
        <v>40</v>
      </c>
    </row>
    <row r="783" spans="1:10" x14ac:dyDescent="0.3">
      <c r="A783" s="2" t="s">
        <v>85</v>
      </c>
      <c r="B783" s="2" t="s">
        <v>83</v>
      </c>
      <c r="C783" s="2">
        <v>19179</v>
      </c>
      <c r="D783" s="2">
        <v>28195</v>
      </c>
      <c r="E783" s="3">
        <v>44652</v>
      </c>
      <c r="F783" s="3">
        <v>44832</v>
      </c>
      <c r="G783" s="4">
        <v>20015.46</v>
      </c>
      <c r="H783" s="2">
        <v>0</v>
      </c>
      <c r="I783" s="2" t="s">
        <v>158</v>
      </c>
      <c r="J783" s="2" t="s">
        <v>40</v>
      </c>
    </row>
    <row r="784" spans="1:10" x14ac:dyDescent="0.3">
      <c r="A784" s="2" t="s">
        <v>25</v>
      </c>
      <c r="B784" s="2" t="s">
        <v>26</v>
      </c>
      <c r="C784" s="2">
        <v>19189</v>
      </c>
      <c r="D784" s="2">
        <v>28204</v>
      </c>
      <c r="E784" s="3">
        <v>44652</v>
      </c>
      <c r="F784" s="3">
        <v>44832</v>
      </c>
      <c r="G784" s="4">
        <v>79932.75</v>
      </c>
      <c r="H784" s="2">
        <v>0</v>
      </c>
      <c r="I784" s="2" t="s">
        <v>623</v>
      </c>
      <c r="J784" s="2" t="s">
        <v>28</v>
      </c>
    </row>
    <row r="785" spans="1:10" x14ac:dyDescent="0.3">
      <c r="A785" s="2" t="s">
        <v>25</v>
      </c>
      <c r="B785" s="2" t="s">
        <v>26</v>
      </c>
      <c r="C785" s="2">
        <v>19190</v>
      </c>
      <c r="D785" s="2">
        <v>28205</v>
      </c>
      <c r="E785" s="3">
        <v>44652</v>
      </c>
      <c r="F785" s="3">
        <v>44832</v>
      </c>
      <c r="G785" s="4">
        <v>14742.25</v>
      </c>
      <c r="H785" s="2">
        <v>0</v>
      </c>
      <c r="I785" s="2" t="s">
        <v>326</v>
      </c>
      <c r="J785" s="2" t="s">
        <v>28</v>
      </c>
    </row>
    <row r="786" spans="1:10" x14ac:dyDescent="0.3">
      <c r="A786" s="2" t="s">
        <v>68</v>
      </c>
      <c r="B786" s="2" t="s">
        <v>69</v>
      </c>
      <c r="C786" s="2">
        <v>19182</v>
      </c>
      <c r="D786" s="2">
        <v>28198</v>
      </c>
      <c r="E786" s="3">
        <v>44652</v>
      </c>
      <c r="F786" s="3">
        <v>44832</v>
      </c>
      <c r="G786" s="4">
        <v>24607.200000000001</v>
      </c>
      <c r="H786" s="2">
        <v>0</v>
      </c>
      <c r="I786" s="2" t="s">
        <v>411</v>
      </c>
      <c r="J786" s="2" t="s">
        <v>40</v>
      </c>
    </row>
    <row r="787" spans="1:10" x14ac:dyDescent="0.3">
      <c r="A787" s="2" t="s">
        <v>85</v>
      </c>
      <c r="B787" s="2" t="s">
        <v>83</v>
      </c>
      <c r="C787" s="2">
        <v>19177</v>
      </c>
      <c r="D787" s="2">
        <v>28193</v>
      </c>
      <c r="E787" s="3">
        <v>44652</v>
      </c>
      <c r="F787" s="3">
        <v>44832</v>
      </c>
      <c r="G787" s="4">
        <v>13720</v>
      </c>
      <c r="H787" s="2">
        <v>0</v>
      </c>
      <c r="I787" s="2" t="s">
        <v>1084</v>
      </c>
      <c r="J787" s="2" t="s">
        <v>40</v>
      </c>
    </row>
    <row r="788" spans="1:10" x14ac:dyDescent="0.3">
      <c r="A788" s="2" t="s">
        <v>48</v>
      </c>
      <c r="B788" s="2" t="s">
        <v>49</v>
      </c>
      <c r="C788" s="2">
        <v>19435</v>
      </c>
      <c r="D788" s="2">
        <v>28487</v>
      </c>
      <c r="E788" s="3">
        <v>44683</v>
      </c>
      <c r="F788" s="3">
        <v>44833</v>
      </c>
      <c r="G788" s="4">
        <v>59745</v>
      </c>
      <c r="H788" s="2">
        <v>0</v>
      </c>
      <c r="I788" s="2" t="s">
        <v>213</v>
      </c>
      <c r="J788" s="2" t="s">
        <v>40</v>
      </c>
    </row>
    <row r="789" spans="1:10" x14ac:dyDescent="0.3">
      <c r="A789" s="2" t="s">
        <v>25</v>
      </c>
      <c r="B789" s="2" t="s">
        <v>26</v>
      </c>
      <c r="C789" s="2">
        <v>18886</v>
      </c>
      <c r="D789" s="2">
        <v>27902</v>
      </c>
      <c r="E789" s="3">
        <v>44623</v>
      </c>
      <c r="F789" s="3">
        <v>44833</v>
      </c>
      <c r="G789" s="4">
        <v>30000</v>
      </c>
      <c r="H789" s="2">
        <v>0</v>
      </c>
      <c r="I789" s="2" t="s">
        <v>622</v>
      </c>
      <c r="J789" s="2" t="s">
        <v>28</v>
      </c>
    </row>
    <row r="790" spans="1:10" x14ac:dyDescent="0.3">
      <c r="A790" s="2" t="s">
        <v>25</v>
      </c>
      <c r="B790" s="2" t="s">
        <v>26</v>
      </c>
      <c r="C790" s="2">
        <v>18882</v>
      </c>
      <c r="D790" s="2">
        <v>27899</v>
      </c>
      <c r="E790" s="3">
        <v>44623</v>
      </c>
      <c r="F790" s="3">
        <v>44833</v>
      </c>
      <c r="G790" s="4">
        <v>13847.52</v>
      </c>
      <c r="H790" s="2">
        <v>0</v>
      </c>
      <c r="I790" s="2" t="s">
        <v>875</v>
      </c>
      <c r="J790" s="2" t="s">
        <v>28</v>
      </c>
    </row>
    <row r="791" spans="1:10" x14ac:dyDescent="0.3">
      <c r="A791" s="2" t="s">
        <v>82</v>
      </c>
      <c r="B791" s="2" t="s">
        <v>83</v>
      </c>
      <c r="C791" s="2">
        <v>19437</v>
      </c>
      <c r="D791" s="2">
        <v>28490</v>
      </c>
      <c r="E791" s="3">
        <v>44683</v>
      </c>
      <c r="F791" s="3">
        <v>44833</v>
      </c>
      <c r="G791" s="4">
        <v>89617.5</v>
      </c>
      <c r="H791" s="2">
        <v>0</v>
      </c>
      <c r="I791" s="2" t="s">
        <v>1118</v>
      </c>
      <c r="J791" s="2" t="s">
        <v>40</v>
      </c>
    </row>
    <row r="792" spans="1:10" x14ac:dyDescent="0.3">
      <c r="A792" s="2" t="s">
        <v>58</v>
      </c>
      <c r="B792" s="2" t="s">
        <v>59</v>
      </c>
      <c r="C792" s="2">
        <v>19565</v>
      </c>
      <c r="D792" s="2">
        <v>28620</v>
      </c>
      <c r="E792" s="3">
        <v>44691</v>
      </c>
      <c r="F792" s="3">
        <v>44834</v>
      </c>
      <c r="G792" s="4">
        <v>51611.5</v>
      </c>
      <c r="H792" s="2">
        <v>0</v>
      </c>
      <c r="I792" s="2" t="s">
        <v>87</v>
      </c>
      <c r="J792" s="2" t="s">
        <v>61</v>
      </c>
    </row>
    <row r="793" spans="1:10" x14ac:dyDescent="0.3">
      <c r="A793" s="2" t="s">
        <v>125</v>
      </c>
      <c r="B793" s="2" t="s">
        <v>126</v>
      </c>
      <c r="C793" s="2">
        <v>18095</v>
      </c>
      <c r="D793" s="2">
        <v>27107</v>
      </c>
      <c r="E793" s="3">
        <v>44544</v>
      </c>
      <c r="F793" s="3">
        <v>44834</v>
      </c>
      <c r="G793" s="4">
        <v>47446</v>
      </c>
      <c r="H793" s="2">
        <v>0</v>
      </c>
      <c r="I793" s="2" t="s">
        <v>166</v>
      </c>
      <c r="J793" s="2" t="s">
        <v>36</v>
      </c>
    </row>
    <row r="794" spans="1:10" x14ac:dyDescent="0.3">
      <c r="A794" s="2" t="s">
        <v>133</v>
      </c>
      <c r="B794" s="2" t="s">
        <v>134</v>
      </c>
      <c r="C794" s="2">
        <v>18474</v>
      </c>
      <c r="D794" s="2">
        <v>27472</v>
      </c>
      <c r="E794" s="3">
        <v>44580</v>
      </c>
      <c r="F794" s="3">
        <v>44834</v>
      </c>
      <c r="G794" s="4">
        <v>23460</v>
      </c>
      <c r="H794" s="2">
        <v>0</v>
      </c>
      <c r="I794" s="2" t="s">
        <v>195</v>
      </c>
      <c r="J794" s="2" t="s">
        <v>20</v>
      </c>
    </row>
    <row r="795" spans="1:10" x14ac:dyDescent="0.3">
      <c r="A795" s="2" t="s">
        <v>199</v>
      </c>
      <c r="B795" s="2" t="s">
        <v>200</v>
      </c>
      <c r="C795" s="2">
        <v>18576</v>
      </c>
      <c r="D795" s="2">
        <v>27584</v>
      </c>
      <c r="E795" s="3">
        <v>44592</v>
      </c>
      <c r="F795" s="3">
        <v>44834</v>
      </c>
      <c r="G795" s="4">
        <v>210000</v>
      </c>
      <c r="H795" s="2">
        <v>0</v>
      </c>
      <c r="I795" s="2" t="s">
        <v>201</v>
      </c>
      <c r="J795" s="2" t="s">
        <v>94</v>
      </c>
    </row>
    <row r="796" spans="1:10" x14ac:dyDescent="0.3">
      <c r="A796" s="2" t="s">
        <v>107</v>
      </c>
      <c r="B796" s="2" t="s">
        <v>108</v>
      </c>
      <c r="C796" s="2"/>
      <c r="D796" s="2">
        <v>170347</v>
      </c>
      <c r="E796" s="3">
        <v>44469</v>
      </c>
      <c r="F796" s="3">
        <v>44834</v>
      </c>
      <c r="G796" s="4">
        <v>4998.08</v>
      </c>
      <c r="H796" s="2">
        <v>0</v>
      </c>
      <c r="I796" s="2" t="s">
        <v>217</v>
      </c>
      <c r="J796" s="2" t="s">
        <v>109</v>
      </c>
    </row>
    <row r="797" spans="1:10" x14ac:dyDescent="0.3">
      <c r="A797" s="2" t="s">
        <v>125</v>
      </c>
      <c r="B797" s="2" t="s">
        <v>126</v>
      </c>
      <c r="C797" s="2">
        <v>18096</v>
      </c>
      <c r="D797" s="2">
        <v>27108</v>
      </c>
      <c r="E797" s="3">
        <v>44544</v>
      </c>
      <c r="F797" s="3">
        <v>44834</v>
      </c>
      <c r="G797" s="4">
        <v>4698</v>
      </c>
      <c r="H797" s="2">
        <v>0</v>
      </c>
      <c r="I797" s="2" t="s">
        <v>220</v>
      </c>
      <c r="J797" s="2" t="s">
        <v>36</v>
      </c>
    </row>
    <row r="798" spans="1:10" x14ac:dyDescent="0.3">
      <c r="A798" s="2" t="s">
        <v>245</v>
      </c>
      <c r="B798" s="2" t="s">
        <v>246</v>
      </c>
      <c r="C798" s="2">
        <v>17464</v>
      </c>
      <c r="D798" s="2">
        <v>26471</v>
      </c>
      <c r="E798" s="3">
        <v>44495</v>
      </c>
      <c r="F798" s="3">
        <v>44834</v>
      </c>
      <c r="G798" s="4">
        <v>33784</v>
      </c>
      <c r="H798" s="2">
        <v>0</v>
      </c>
      <c r="I798" s="2" t="s">
        <v>247</v>
      </c>
      <c r="J798" s="2" t="s">
        <v>36</v>
      </c>
    </row>
    <row r="799" spans="1:10" x14ac:dyDescent="0.3">
      <c r="A799" s="2" t="s">
        <v>25</v>
      </c>
      <c r="B799" s="2" t="s">
        <v>26</v>
      </c>
      <c r="C799" s="2">
        <v>18900</v>
      </c>
      <c r="D799" s="2">
        <v>27916</v>
      </c>
      <c r="E799" s="3">
        <v>44624</v>
      </c>
      <c r="F799" s="3">
        <v>44834</v>
      </c>
      <c r="G799" s="4">
        <v>25200.06</v>
      </c>
      <c r="H799" s="2">
        <v>0</v>
      </c>
      <c r="I799" s="2" t="s">
        <v>254</v>
      </c>
      <c r="J799" s="2" t="s">
        <v>28</v>
      </c>
    </row>
    <row r="800" spans="1:10" x14ac:dyDescent="0.3">
      <c r="A800" s="2" t="s">
        <v>82</v>
      </c>
      <c r="B800" s="2" t="s">
        <v>83</v>
      </c>
      <c r="C800" s="2">
        <v>19468</v>
      </c>
      <c r="D800" s="2">
        <v>28521</v>
      </c>
      <c r="E800" s="3">
        <v>44684</v>
      </c>
      <c r="F800" s="3">
        <v>44834</v>
      </c>
      <c r="G800" s="4">
        <v>17577</v>
      </c>
      <c r="H800" s="2">
        <v>0</v>
      </c>
      <c r="I800" s="2" t="s">
        <v>270</v>
      </c>
      <c r="J800" s="2" t="s">
        <v>40</v>
      </c>
    </row>
    <row r="801" spans="1:10" x14ac:dyDescent="0.3">
      <c r="A801" s="2" t="s">
        <v>274</v>
      </c>
      <c r="B801" s="2" t="s">
        <v>275</v>
      </c>
      <c r="C801" s="2">
        <v>17962</v>
      </c>
      <c r="D801" s="2">
        <v>26977</v>
      </c>
      <c r="E801" s="3">
        <v>44536</v>
      </c>
      <c r="F801" s="3">
        <v>44834</v>
      </c>
      <c r="G801" s="4">
        <v>13800</v>
      </c>
      <c r="H801" s="2">
        <v>0</v>
      </c>
      <c r="I801" s="2" t="s">
        <v>276</v>
      </c>
      <c r="J801" s="2" t="s">
        <v>36</v>
      </c>
    </row>
    <row r="802" spans="1:10" x14ac:dyDescent="0.3">
      <c r="A802" s="2" t="s">
        <v>279</v>
      </c>
      <c r="B802" s="2" t="s">
        <v>280</v>
      </c>
      <c r="C802" s="2">
        <v>18294</v>
      </c>
      <c r="D802" s="2">
        <v>27303</v>
      </c>
      <c r="E802" s="3">
        <v>44567</v>
      </c>
      <c r="F802" s="3">
        <v>44834</v>
      </c>
      <c r="G802" s="4">
        <v>174073.4</v>
      </c>
      <c r="H802" s="2">
        <v>0</v>
      </c>
      <c r="I802" s="2" t="s">
        <v>281</v>
      </c>
      <c r="J802" s="2" t="s">
        <v>13</v>
      </c>
    </row>
    <row r="803" spans="1:10" x14ac:dyDescent="0.3">
      <c r="A803" s="2" t="s">
        <v>58</v>
      </c>
      <c r="B803" s="2" t="s">
        <v>59</v>
      </c>
      <c r="C803" s="2">
        <v>19115</v>
      </c>
      <c r="D803" s="2">
        <v>28134</v>
      </c>
      <c r="E803" s="3">
        <v>44649</v>
      </c>
      <c r="F803" s="3">
        <v>44834</v>
      </c>
      <c r="G803" s="4">
        <v>136800</v>
      </c>
      <c r="H803" s="2">
        <v>0</v>
      </c>
      <c r="I803" s="2" t="s">
        <v>285</v>
      </c>
      <c r="J803" s="2" t="s">
        <v>61</v>
      </c>
    </row>
    <row r="804" spans="1:10" x14ac:dyDescent="0.3">
      <c r="A804" s="2" t="s">
        <v>199</v>
      </c>
      <c r="B804" s="2" t="s">
        <v>200</v>
      </c>
      <c r="C804" s="2">
        <v>18517</v>
      </c>
      <c r="D804" s="2">
        <v>27516</v>
      </c>
      <c r="E804" s="3">
        <v>44585</v>
      </c>
      <c r="F804" s="3">
        <v>44834</v>
      </c>
      <c r="G804" s="4">
        <v>105000</v>
      </c>
      <c r="H804" s="2">
        <v>0</v>
      </c>
      <c r="I804" s="2" t="s">
        <v>314</v>
      </c>
      <c r="J804" s="2" t="s">
        <v>94</v>
      </c>
    </row>
    <row r="805" spans="1:10" x14ac:dyDescent="0.3">
      <c r="A805" s="2" t="s">
        <v>279</v>
      </c>
      <c r="B805" s="2" t="s">
        <v>280</v>
      </c>
      <c r="C805" s="2">
        <v>17952</v>
      </c>
      <c r="D805" s="2">
        <v>26966</v>
      </c>
      <c r="E805" s="3">
        <v>44533</v>
      </c>
      <c r="F805" s="3">
        <v>44834</v>
      </c>
      <c r="G805" s="4">
        <v>60000</v>
      </c>
      <c r="H805" s="2">
        <v>0</v>
      </c>
      <c r="I805" s="2" t="s">
        <v>328</v>
      </c>
      <c r="J805" s="2" t="s">
        <v>13</v>
      </c>
    </row>
    <row r="806" spans="1:10" x14ac:dyDescent="0.3">
      <c r="A806" s="2" t="s">
        <v>279</v>
      </c>
      <c r="B806" s="2" t="s">
        <v>280</v>
      </c>
      <c r="C806" s="2">
        <v>16941</v>
      </c>
      <c r="D806" s="2">
        <v>25934</v>
      </c>
      <c r="E806" s="3">
        <v>44461</v>
      </c>
      <c r="F806" s="3">
        <v>44834</v>
      </c>
      <c r="G806" s="4">
        <v>83000</v>
      </c>
      <c r="H806" s="2">
        <v>0</v>
      </c>
      <c r="I806" s="2" t="s">
        <v>344</v>
      </c>
      <c r="J806" s="2" t="s">
        <v>13</v>
      </c>
    </row>
    <row r="807" spans="1:10" x14ac:dyDescent="0.3">
      <c r="A807" s="2" t="s">
        <v>125</v>
      </c>
      <c r="B807" s="2" t="s">
        <v>126</v>
      </c>
      <c r="C807" s="2">
        <v>17390</v>
      </c>
      <c r="D807" s="2">
        <v>26394</v>
      </c>
      <c r="E807" s="3">
        <v>44489</v>
      </c>
      <c r="F807" s="3">
        <v>44834</v>
      </c>
      <c r="G807" s="4">
        <v>38400</v>
      </c>
      <c r="H807" s="2">
        <v>0</v>
      </c>
      <c r="I807" s="2" t="s">
        <v>347</v>
      </c>
      <c r="J807" s="2" t="s">
        <v>36</v>
      </c>
    </row>
    <row r="808" spans="1:10" x14ac:dyDescent="0.3">
      <c r="A808" s="2" t="s">
        <v>255</v>
      </c>
      <c r="B808" s="2" t="s">
        <v>256</v>
      </c>
      <c r="C808" s="2">
        <v>18894</v>
      </c>
      <c r="D808" s="2">
        <v>27910</v>
      </c>
      <c r="E808" s="3">
        <v>44624</v>
      </c>
      <c r="F808" s="3">
        <v>44834</v>
      </c>
      <c r="G808" s="4">
        <v>101250</v>
      </c>
      <c r="H808" s="2">
        <v>0</v>
      </c>
      <c r="I808" s="2" t="s">
        <v>354</v>
      </c>
      <c r="J808" s="2" t="s">
        <v>173</v>
      </c>
    </row>
    <row r="809" spans="1:10" x14ac:dyDescent="0.3">
      <c r="A809" s="2" t="s">
        <v>199</v>
      </c>
      <c r="B809" s="2" t="s">
        <v>200</v>
      </c>
      <c r="C809" s="2">
        <v>18911</v>
      </c>
      <c r="D809" s="2">
        <v>27926</v>
      </c>
      <c r="E809" s="3">
        <v>44624</v>
      </c>
      <c r="F809" s="3">
        <v>44834</v>
      </c>
      <c r="G809" s="4">
        <v>151200</v>
      </c>
      <c r="H809" s="2">
        <v>0</v>
      </c>
      <c r="I809" s="2" t="s">
        <v>355</v>
      </c>
      <c r="J809" s="2" t="s">
        <v>94</v>
      </c>
    </row>
    <row r="810" spans="1:10" x14ac:dyDescent="0.3">
      <c r="A810" s="2" t="s">
        <v>199</v>
      </c>
      <c r="B810" s="2" t="s">
        <v>200</v>
      </c>
      <c r="C810" s="2">
        <v>18303</v>
      </c>
      <c r="D810" s="2">
        <v>27312</v>
      </c>
      <c r="E810" s="3">
        <v>44567</v>
      </c>
      <c r="F810" s="3">
        <v>44834</v>
      </c>
      <c r="G810" s="4">
        <v>184800</v>
      </c>
      <c r="H810" s="2">
        <v>0</v>
      </c>
      <c r="I810" s="2" t="s">
        <v>369</v>
      </c>
      <c r="J810" s="2" t="s">
        <v>94</v>
      </c>
    </row>
    <row r="811" spans="1:10" x14ac:dyDescent="0.3">
      <c r="A811" s="2" t="s">
        <v>245</v>
      </c>
      <c r="B811" s="2" t="s">
        <v>246</v>
      </c>
      <c r="C811" s="2">
        <v>17466</v>
      </c>
      <c r="D811" s="2">
        <v>26473</v>
      </c>
      <c r="E811" s="3">
        <v>44495</v>
      </c>
      <c r="F811" s="3">
        <v>44834</v>
      </c>
      <c r="G811" s="4">
        <v>103250</v>
      </c>
      <c r="H811" s="2">
        <v>0</v>
      </c>
      <c r="I811" s="2" t="s">
        <v>396</v>
      </c>
      <c r="J811" s="2" t="s">
        <v>36</v>
      </c>
    </row>
    <row r="812" spans="1:10" x14ac:dyDescent="0.3">
      <c r="A812" s="2" t="s">
        <v>10</v>
      </c>
      <c r="B812" s="2" t="s">
        <v>11</v>
      </c>
      <c r="C812" s="2">
        <v>19222</v>
      </c>
      <c r="D812" s="2">
        <v>28245</v>
      </c>
      <c r="E812" s="3">
        <v>44658</v>
      </c>
      <c r="F812" s="3">
        <v>44834</v>
      </c>
      <c r="G812" s="4">
        <v>134190</v>
      </c>
      <c r="H812" s="2">
        <v>0</v>
      </c>
      <c r="I812" s="2" t="s">
        <v>452</v>
      </c>
      <c r="J812" s="2" t="s">
        <v>13</v>
      </c>
    </row>
    <row r="813" spans="1:10" x14ac:dyDescent="0.3">
      <c r="A813" s="2" t="s">
        <v>315</v>
      </c>
      <c r="B813" s="2" t="s">
        <v>316</v>
      </c>
      <c r="C813" s="2">
        <v>19521</v>
      </c>
      <c r="D813" s="2">
        <v>28574</v>
      </c>
      <c r="E813" s="3">
        <v>44687</v>
      </c>
      <c r="F813" s="3">
        <v>44834</v>
      </c>
      <c r="G813" s="4">
        <v>11910</v>
      </c>
      <c r="H813" s="2">
        <v>0</v>
      </c>
      <c r="I813" s="2" t="s">
        <v>454</v>
      </c>
      <c r="J813" s="2" t="s">
        <v>81</v>
      </c>
    </row>
    <row r="814" spans="1:10" x14ac:dyDescent="0.3">
      <c r="A814" s="2" t="s">
        <v>426</v>
      </c>
      <c r="B814" s="2" t="s">
        <v>427</v>
      </c>
      <c r="C814" s="2">
        <v>19589</v>
      </c>
      <c r="D814" s="2">
        <v>28653</v>
      </c>
      <c r="E814" s="3">
        <v>44698</v>
      </c>
      <c r="F814" s="3">
        <v>44834</v>
      </c>
      <c r="G814" s="4">
        <v>11542</v>
      </c>
      <c r="H814" s="2">
        <v>0</v>
      </c>
      <c r="I814" s="2" t="s">
        <v>455</v>
      </c>
      <c r="J814" s="2" t="s">
        <v>28</v>
      </c>
    </row>
    <row r="815" spans="1:10" x14ac:dyDescent="0.3">
      <c r="A815" s="2" t="s">
        <v>58</v>
      </c>
      <c r="B815" s="2" t="s">
        <v>59</v>
      </c>
      <c r="C815" s="2">
        <v>19112</v>
      </c>
      <c r="D815" s="2">
        <v>28131</v>
      </c>
      <c r="E815" s="3">
        <v>44649</v>
      </c>
      <c r="F815" s="3">
        <v>44834</v>
      </c>
      <c r="G815" s="4">
        <v>140800</v>
      </c>
      <c r="H815" s="2">
        <v>0</v>
      </c>
      <c r="I815" s="2" t="s">
        <v>463</v>
      </c>
      <c r="J815" s="2" t="s">
        <v>61</v>
      </c>
    </row>
    <row r="816" spans="1:10" x14ac:dyDescent="0.3">
      <c r="A816" s="2" t="s">
        <v>199</v>
      </c>
      <c r="B816" s="2" t="s">
        <v>200</v>
      </c>
      <c r="C816" s="2">
        <v>19348</v>
      </c>
      <c r="D816" s="2">
        <v>28392</v>
      </c>
      <c r="E816" s="3">
        <v>44676</v>
      </c>
      <c r="F816" s="3">
        <v>44834</v>
      </c>
      <c r="G816" s="4">
        <v>63000</v>
      </c>
      <c r="H816" s="2">
        <v>0</v>
      </c>
      <c r="I816" s="2" t="s">
        <v>467</v>
      </c>
      <c r="J816" s="2" t="s">
        <v>94</v>
      </c>
    </row>
    <row r="817" spans="1:10" x14ac:dyDescent="0.3">
      <c r="A817" s="2" t="s">
        <v>125</v>
      </c>
      <c r="B817" s="2" t="s">
        <v>126</v>
      </c>
      <c r="C817" s="2">
        <v>19463</v>
      </c>
      <c r="D817" s="2">
        <v>28516</v>
      </c>
      <c r="E817" s="3">
        <v>44684</v>
      </c>
      <c r="F817" s="3">
        <v>44834</v>
      </c>
      <c r="G817" s="4">
        <v>42400</v>
      </c>
      <c r="H817" s="2">
        <v>0</v>
      </c>
      <c r="I817" s="2" t="s">
        <v>468</v>
      </c>
      <c r="J817" s="2" t="s">
        <v>36</v>
      </c>
    </row>
    <row r="818" spans="1:10" x14ac:dyDescent="0.3">
      <c r="A818" s="2" t="s">
        <v>279</v>
      </c>
      <c r="B818" s="2" t="s">
        <v>280</v>
      </c>
      <c r="C818" s="2">
        <v>17623</v>
      </c>
      <c r="D818" s="2">
        <v>26625</v>
      </c>
      <c r="E818" s="3">
        <v>44505</v>
      </c>
      <c r="F818" s="3">
        <v>44834</v>
      </c>
      <c r="G818" s="4">
        <v>52750</v>
      </c>
      <c r="H818" s="2">
        <v>0</v>
      </c>
      <c r="I818" s="2" t="s">
        <v>485</v>
      </c>
      <c r="J818" s="2" t="s">
        <v>13</v>
      </c>
    </row>
    <row r="819" spans="1:10" x14ac:dyDescent="0.3">
      <c r="A819" s="2" t="s">
        <v>199</v>
      </c>
      <c r="B819" s="2" t="s">
        <v>200</v>
      </c>
      <c r="C819" s="2">
        <v>18518</v>
      </c>
      <c r="D819" s="2">
        <v>27517</v>
      </c>
      <c r="E819" s="3">
        <v>44585</v>
      </c>
      <c r="F819" s="3">
        <v>44834</v>
      </c>
      <c r="G819" s="4">
        <v>184500</v>
      </c>
      <c r="H819" s="2">
        <v>0</v>
      </c>
      <c r="I819" s="2" t="s">
        <v>489</v>
      </c>
      <c r="J819" s="2" t="s">
        <v>94</v>
      </c>
    </row>
    <row r="820" spans="1:10" x14ac:dyDescent="0.3">
      <c r="A820" s="2" t="s">
        <v>279</v>
      </c>
      <c r="B820" s="2" t="s">
        <v>280</v>
      </c>
      <c r="C820" s="2">
        <v>17845</v>
      </c>
      <c r="D820" s="2">
        <v>26849</v>
      </c>
      <c r="E820" s="3">
        <v>44522</v>
      </c>
      <c r="F820" s="3">
        <v>44834</v>
      </c>
      <c r="G820" s="4">
        <v>12080</v>
      </c>
      <c r="H820" s="2">
        <v>0</v>
      </c>
      <c r="I820" s="2" t="s">
        <v>509</v>
      </c>
      <c r="J820" s="2" t="s">
        <v>13</v>
      </c>
    </row>
    <row r="821" spans="1:10" x14ac:dyDescent="0.3">
      <c r="A821" s="2" t="s">
        <v>58</v>
      </c>
      <c r="B821" s="2" t="s">
        <v>59</v>
      </c>
      <c r="C821" s="2">
        <v>18796</v>
      </c>
      <c r="D821" s="2">
        <v>27818</v>
      </c>
      <c r="E821" s="3">
        <v>44614</v>
      </c>
      <c r="F821" s="3">
        <v>44834</v>
      </c>
      <c r="G821" s="4">
        <v>370800</v>
      </c>
      <c r="H821" s="2">
        <v>0</v>
      </c>
      <c r="I821" s="2" t="s">
        <v>514</v>
      </c>
      <c r="J821" s="2" t="s">
        <v>61</v>
      </c>
    </row>
    <row r="822" spans="1:10" x14ac:dyDescent="0.3">
      <c r="A822" s="2" t="s">
        <v>315</v>
      </c>
      <c r="B822" s="2" t="s">
        <v>316</v>
      </c>
      <c r="C822" s="2">
        <v>19520</v>
      </c>
      <c r="D822" s="2">
        <v>28573</v>
      </c>
      <c r="E822" s="3">
        <v>44687</v>
      </c>
      <c r="F822" s="3">
        <v>44834</v>
      </c>
      <c r="G822" s="4">
        <v>84555</v>
      </c>
      <c r="H822" s="2">
        <v>0</v>
      </c>
      <c r="I822" s="2" t="s">
        <v>336</v>
      </c>
      <c r="J822" s="2" t="s">
        <v>81</v>
      </c>
    </row>
    <row r="823" spans="1:10" x14ac:dyDescent="0.3">
      <c r="A823" s="2" t="s">
        <v>125</v>
      </c>
      <c r="B823" s="2" t="s">
        <v>126</v>
      </c>
      <c r="C823" s="2">
        <v>17134</v>
      </c>
      <c r="D823" s="2">
        <v>26141</v>
      </c>
      <c r="E823" s="3">
        <v>44474</v>
      </c>
      <c r="F823" s="3">
        <v>44834</v>
      </c>
      <c r="G823" s="4">
        <v>118090</v>
      </c>
      <c r="H823" s="2">
        <v>0</v>
      </c>
      <c r="I823" s="2" t="s">
        <v>540</v>
      </c>
      <c r="J823" s="2" t="s">
        <v>36</v>
      </c>
    </row>
    <row r="824" spans="1:10" x14ac:dyDescent="0.3">
      <c r="A824" s="2" t="s">
        <v>199</v>
      </c>
      <c r="B824" s="2" t="s">
        <v>200</v>
      </c>
      <c r="C824" s="2">
        <v>18855</v>
      </c>
      <c r="D824" s="2">
        <v>27875</v>
      </c>
      <c r="E824" s="3">
        <v>44622</v>
      </c>
      <c r="F824" s="3">
        <v>44834</v>
      </c>
      <c r="G824" s="4">
        <v>56000</v>
      </c>
      <c r="H824" s="2">
        <v>0</v>
      </c>
      <c r="I824" s="2" t="s">
        <v>545</v>
      </c>
      <c r="J824" s="2" t="s">
        <v>94</v>
      </c>
    </row>
    <row r="825" spans="1:10" x14ac:dyDescent="0.3">
      <c r="A825" s="2" t="s">
        <v>125</v>
      </c>
      <c r="B825" s="2" t="s">
        <v>126</v>
      </c>
      <c r="C825" s="2">
        <v>19155</v>
      </c>
      <c r="D825" s="2">
        <v>28174</v>
      </c>
      <c r="E825" s="3">
        <v>44651</v>
      </c>
      <c r="F825" s="3">
        <v>44834</v>
      </c>
      <c r="G825" s="4">
        <v>68500</v>
      </c>
      <c r="H825" s="2">
        <v>0</v>
      </c>
      <c r="I825" s="2" t="s">
        <v>548</v>
      </c>
      <c r="J825" s="2" t="s">
        <v>36</v>
      </c>
    </row>
    <row r="826" spans="1:10" x14ac:dyDescent="0.3">
      <c r="A826" s="2" t="s">
        <v>271</v>
      </c>
      <c r="B826" s="2" t="s">
        <v>272</v>
      </c>
      <c r="C826" s="2">
        <v>18321</v>
      </c>
      <c r="D826" s="2">
        <v>27330</v>
      </c>
      <c r="E826" s="3">
        <v>44568</v>
      </c>
      <c r="F826" s="3">
        <v>44834</v>
      </c>
      <c r="G826" s="4">
        <v>51182</v>
      </c>
      <c r="H826" s="2">
        <v>0</v>
      </c>
      <c r="I826" s="2" t="s">
        <v>557</v>
      </c>
      <c r="J826" s="2" t="s">
        <v>13</v>
      </c>
    </row>
    <row r="827" spans="1:10" x14ac:dyDescent="0.3">
      <c r="A827" s="2" t="s">
        <v>48</v>
      </c>
      <c r="B827" s="2" t="s">
        <v>49</v>
      </c>
      <c r="C827" s="2">
        <v>19447</v>
      </c>
      <c r="D827" s="2">
        <v>28500</v>
      </c>
      <c r="E827" s="3">
        <v>44684</v>
      </c>
      <c r="F827" s="3">
        <v>44834</v>
      </c>
      <c r="G827" s="4">
        <v>59745</v>
      </c>
      <c r="H827" s="2">
        <v>0</v>
      </c>
      <c r="I827" s="2" t="s">
        <v>572</v>
      </c>
      <c r="J827" s="2" t="s">
        <v>40</v>
      </c>
    </row>
    <row r="828" spans="1:10" x14ac:dyDescent="0.3">
      <c r="A828" s="2" t="s">
        <v>616</v>
      </c>
      <c r="B828" s="2" t="s">
        <v>617</v>
      </c>
      <c r="C828" s="2">
        <v>17318</v>
      </c>
      <c r="D828" s="2">
        <v>26316</v>
      </c>
      <c r="E828" s="3">
        <v>44487</v>
      </c>
      <c r="F828" s="3">
        <v>44834</v>
      </c>
      <c r="G828" s="4">
        <v>50051.99</v>
      </c>
      <c r="H828" s="2">
        <v>0</v>
      </c>
      <c r="I828" s="2" t="s">
        <v>618</v>
      </c>
      <c r="J828" s="2" t="s">
        <v>36</v>
      </c>
    </row>
    <row r="829" spans="1:10" x14ac:dyDescent="0.3">
      <c r="A829" s="2" t="s">
        <v>199</v>
      </c>
      <c r="B829" s="2" t="s">
        <v>200</v>
      </c>
      <c r="C829" s="2">
        <v>18686</v>
      </c>
      <c r="D829" s="2">
        <v>27699</v>
      </c>
      <c r="E829" s="3">
        <v>44601</v>
      </c>
      <c r="F829" s="3">
        <v>44834</v>
      </c>
      <c r="G829" s="4">
        <v>214800</v>
      </c>
      <c r="H829" s="2">
        <v>0</v>
      </c>
      <c r="I829" s="2" t="s">
        <v>620</v>
      </c>
      <c r="J829" s="2" t="s">
        <v>94</v>
      </c>
    </row>
    <row r="830" spans="1:10" x14ac:dyDescent="0.3">
      <c r="A830" s="2" t="s">
        <v>58</v>
      </c>
      <c r="B830" s="2" t="s">
        <v>59</v>
      </c>
      <c r="C830" s="2">
        <v>18836</v>
      </c>
      <c r="D830" s="2">
        <v>27856</v>
      </c>
      <c r="E830" s="3">
        <v>44616</v>
      </c>
      <c r="F830" s="3">
        <v>44834</v>
      </c>
      <c r="G830" s="4">
        <v>135936</v>
      </c>
      <c r="H830" s="2">
        <v>0</v>
      </c>
      <c r="I830" s="2" t="s">
        <v>621</v>
      </c>
      <c r="J830" s="2" t="s">
        <v>61</v>
      </c>
    </row>
    <row r="831" spans="1:10" x14ac:dyDescent="0.3">
      <c r="A831" s="2" t="s">
        <v>125</v>
      </c>
      <c r="B831" s="2" t="s">
        <v>126</v>
      </c>
      <c r="C831" s="2">
        <v>17622</v>
      </c>
      <c r="D831" s="2">
        <v>26624</v>
      </c>
      <c r="E831" s="3">
        <v>44505</v>
      </c>
      <c r="F831" s="3">
        <v>44834</v>
      </c>
      <c r="G831" s="4">
        <v>7100</v>
      </c>
      <c r="H831" s="2">
        <v>0</v>
      </c>
      <c r="I831" s="2" t="s">
        <v>637</v>
      </c>
      <c r="J831" s="2" t="s">
        <v>36</v>
      </c>
    </row>
    <row r="832" spans="1:10" x14ac:dyDescent="0.3">
      <c r="A832" s="2" t="s">
        <v>279</v>
      </c>
      <c r="B832" s="2" t="s">
        <v>280</v>
      </c>
      <c r="C832" s="2">
        <v>16867</v>
      </c>
      <c r="D832" s="2">
        <v>25843</v>
      </c>
      <c r="E832" s="3">
        <v>44456</v>
      </c>
      <c r="F832" s="3">
        <v>44834</v>
      </c>
      <c r="G832" s="4">
        <v>95636</v>
      </c>
      <c r="H832" s="2">
        <v>0</v>
      </c>
      <c r="I832" s="2" t="s">
        <v>647</v>
      </c>
      <c r="J832" s="2" t="s">
        <v>13</v>
      </c>
    </row>
    <row r="833" spans="1:10" x14ac:dyDescent="0.3">
      <c r="A833" s="2" t="s">
        <v>648</v>
      </c>
      <c r="B833" s="2" t="s">
        <v>649</v>
      </c>
      <c r="C833" s="2">
        <v>17317</v>
      </c>
      <c r="D833" s="2">
        <v>26315</v>
      </c>
      <c r="E833" s="3">
        <v>44487</v>
      </c>
      <c r="F833" s="3">
        <v>44834</v>
      </c>
      <c r="G833" s="4">
        <v>23500</v>
      </c>
      <c r="H833" s="2">
        <v>0</v>
      </c>
      <c r="I833" s="2" t="s">
        <v>650</v>
      </c>
      <c r="J833" s="2" t="s">
        <v>36</v>
      </c>
    </row>
    <row r="834" spans="1:10" x14ac:dyDescent="0.3">
      <c r="A834" s="2" t="s">
        <v>245</v>
      </c>
      <c r="B834" s="2" t="s">
        <v>246</v>
      </c>
      <c r="C834" s="2">
        <v>17468</v>
      </c>
      <c r="D834" s="2">
        <v>26475</v>
      </c>
      <c r="E834" s="3">
        <v>44495</v>
      </c>
      <c r="F834" s="3">
        <v>44834</v>
      </c>
      <c r="G834" s="4">
        <v>6250</v>
      </c>
      <c r="H834" s="2">
        <v>0</v>
      </c>
      <c r="I834" s="2" t="s">
        <v>651</v>
      </c>
      <c r="J834" s="2" t="s">
        <v>36</v>
      </c>
    </row>
    <row r="835" spans="1:10" x14ac:dyDescent="0.3">
      <c r="A835" s="2" t="s">
        <v>315</v>
      </c>
      <c r="B835" s="2" t="s">
        <v>316</v>
      </c>
      <c r="C835" s="2">
        <v>19722</v>
      </c>
      <c r="D835" s="2">
        <v>28783</v>
      </c>
      <c r="E835" s="3">
        <v>44719</v>
      </c>
      <c r="F835" s="3">
        <v>44834</v>
      </c>
      <c r="G835" s="4">
        <v>46500</v>
      </c>
      <c r="H835" s="2">
        <v>0</v>
      </c>
      <c r="I835" s="2" t="s">
        <v>688</v>
      </c>
      <c r="J835" s="2" t="s">
        <v>81</v>
      </c>
    </row>
    <row r="836" spans="1:10" x14ac:dyDescent="0.3">
      <c r="A836" s="2" t="s">
        <v>616</v>
      </c>
      <c r="B836" s="2" t="s">
        <v>617</v>
      </c>
      <c r="C836" s="2">
        <v>18390</v>
      </c>
      <c r="D836" s="2">
        <v>27398</v>
      </c>
      <c r="E836" s="3">
        <v>44575</v>
      </c>
      <c r="F836" s="3">
        <v>44834</v>
      </c>
      <c r="G836" s="4">
        <v>19458</v>
      </c>
      <c r="H836" s="2">
        <v>0</v>
      </c>
      <c r="I836" s="2" t="s">
        <v>703</v>
      </c>
      <c r="J836" s="2" t="s">
        <v>36</v>
      </c>
    </row>
    <row r="837" spans="1:10" x14ac:dyDescent="0.3">
      <c r="A837" s="2" t="s">
        <v>73</v>
      </c>
      <c r="B837" s="2" t="s">
        <v>74</v>
      </c>
      <c r="C837" s="2">
        <v>16857</v>
      </c>
      <c r="D837" s="2">
        <v>25830</v>
      </c>
      <c r="E837" s="3">
        <v>44455</v>
      </c>
      <c r="F837" s="3">
        <v>44834</v>
      </c>
      <c r="G837" s="4">
        <v>158205.79999999999</v>
      </c>
      <c r="H837" s="2">
        <v>0</v>
      </c>
      <c r="I837" s="2" t="s">
        <v>707</v>
      </c>
      <c r="J837" s="2" t="s">
        <v>28</v>
      </c>
    </row>
    <row r="838" spans="1:10" x14ac:dyDescent="0.3">
      <c r="A838" s="2" t="s">
        <v>73</v>
      </c>
      <c r="B838" s="2" t="s">
        <v>74</v>
      </c>
      <c r="C838" s="2">
        <v>17342</v>
      </c>
      <c r="D838" s="2">
        <v>26346</v>
      </c>
      <c r="E838" s="3">
        <v>44488</v>
      </c>
      <c r="F838" s="3">
        <v>44834</v>
      </c>
      <c r="G838" s="4">
        <v>52633.84</v>
      </c>
      <c r="H838" s="2">
        <v>0</v>
      </c>
      <c r="I838" s="2" t="s">
        <v>102</v>
      </c>
      <c r="J838" s="2" t="s">
        <v>28</v>
      </c>
    </row>
    <row r="839" spans="1:10" x14ac:dyDescent="0.3">
      <c r="A839" s="2" t="s">
        <v>82</v>
      </c>
      <c r="B839" s="2" t="s">
        <v>83</v>
      </c>
      <c r="C839" s="2">
        <v>19446</v>
      </c>
      <c r="D839" s="2">
        <v>28499</v>
      </c>
      <c r="E839" s="3">
        <v>44684</v>
      </c>
      <c r="F839" s="3">
        <v>44834</v>
      </c>
      <c r="G839" s="4">
        <v>89617.5</v>
      </c>
      <c r="H839" s="2">
        <v>0</v>
      </c>
      <c r="I839" s="2" t="s">
        <v>716</v>
      </c>
      <c r="J839" s="2" t="s">
        <v>40</v>
      </c>
    </row>
    <row r="840" spans="1:10" x14ac:dyDescent="0.3">
      <c r="A840" s="2" t="s">
        <v>125</v>
      </c>
      <c r="B840" s="2" t="s">
        <v>126</v>
      </c>
      <c r="C840" s="2">
        <v>18768</v>
      </c>
      <c r="D840" s="2">
        <v>27789</v>
      </c>
      <c r="E840" s="3">
        <v>44613</v>
      </c>
      <c r="F840" s="3">
        <v>44834</v>
      </c>
      <c r="G840" s="4">
        <v>149110</v>
      </c>
      <c r="H840" s="2">
        <v>0</v>
      </c>
      <c r="I840" s="2" t="s">
        <v>723</v>
      </c>
      <c r="J840" s="2" t="s">
        <v>36</v>
      </c>
    </row>
    <row r="841" spans="1:10" x14ac:dyDescent="0.3">
      <c r="A841" s="2" t="s">
        <v>426</v>
      </c>
      <c r="B841" s="2" t="s">
        <v>427</v>
      </c>
      <c r="C841" s="2">
        <v>19704</v>
      </c>
      <c r="D841" s="2">
        <v>28768</v>
      </c>
      <c r="E841" s="3">
        <v>44714</v>
      </c>
      <c r="F841" s="3">
        <v>44834</v>
      </c>
      <c r="G841" s="4">
        <v>34232.160000000003</v>
      </c>
      <c r="H841" s="2">
        <v>0</v>
      </c>
      <c r="I841" s="2" t="s">
        <v>734</v>
      </c>
      <c r="J841" s="2" t="s">
        <v>28</v>
      </c>
    </row>
    <row r="842" spans="1:10" x14ac:dyDescent="0.3">
      <c r="A842" s="2" t="s">
        <v>274</v>
      </c>
      <c r="B842" s="2" t="s">
        <v>275</v>
      </c>
      <c r="C842" s="2">
        <v>17237</v>
      </c>
      <c r="D842" s="2">
        <v>26236</v>
      </c>
      <c r="E842" s="3">
        <v>44482</v>
      </c>
      <c r="F842" s="3">
        <v>44834</v>
      </c>
      <c r="G842" s="4">
        <v>2800</v>
      </c>
      <c r="H842" s="2">
        <v>0</v>
      </c>
      <c r="I842" s="2" t="s">
        <v>741</v>
      </c>
      <c r="J842" s="2" t="s">
        <v>36</v>
      </c>
    </row>
    <row r="843" spans="1:10" x14ac:dyDescent="0.3">
      <c r="A843" s="2" t="s">
        <v>271</v>
      </c>
      <c r="B843" s="2" t="s">
        <v>272</v>
      </c>
      <c r="C843" s="2">
        <v>18322</v>
      </c>
      <c r="D843" s="2">
        <v>27331</v>
      </c>
      <c r="E843" s="3">
        <v>44568</v>
      </c>
      <c r="F843" s="3">
        <v>44834</v>
      </c>
      <c r="G843" s="4">
        <v>23200</v>
      </c>
      <c r="H843" s="2">
        <v>0</v>
      </c>
      <c r="I843" s="2" t="s">
        <v>748</v>
      </c>
      <c r="J843" s="2" t="s">
        <v>13</v>
      </c>
    </row>
    <row r="844" spans="1:10" x14ac:dyDescent="0.3">
      <c r="A844" s="2" t="s">
        <v>648</v>
      </c>
      <c r="B844" s="2" t="s">
        <v>649</v>
      </c>
      <c r="C844" s="2">
        <v>17956</v>
      </c>
      <c r="D844" s="2">
        <v>26971</v>
      </c>
      <c r="E844" s="3">
        <v>44536</v>
      </c>
      <c r="F844" s="3">
        <v>44834</v>
      </c>
      <c r="G844" s="4">
        <v>21100</v>
      </c>
      <c r="H844" s="2">
        <v>0</v>
      </c>
      <c r="I844" s="2" t="s">
        <v>762</v>
      </c>
      <c r="J844" s="2" t="s">
        <v>36</v>
      </c>
    </row>
    <row r="845" spans="1:10" x14ac:dyDescent="0.3">
      <c r="A845" s="2" t="s">
        <v>279</v>
      </c>
      <c r="B845" s="2" t="s">
        <v>280</v>
      </c>
      <c r="C845" s="2">
        <v>17844</v>
      </c>
      <c r="D845" s="2">
        <v>26848</v>
      </c>
      <c r="E845" s="3">
        <v>44522</v>
      </c>
      <c r="F845" s="3">
        <v>44834</v>
      </c>
      <c r="G845" s="4">
        <v>159038.39999999999</v>
      </c>
      <c r="H845" s="2">
        <v>0</v>
      </c>
      <c r="I845" s="2" t="s">
        <v>787</v>
      </c>
      <c r="J845" s="2" t="s">
        <v>13</v>
      </c>
    </row>
    <row r="846" spans="1:10" x14ac:dyDescent="0.3">
      <c r="A846" s="2" t="s">
        <v>48</v>
      </c>
      <c r="B846" s="2" t="s">
        <v>49</v>
      </c>
      <c r="C846" s="2">
        <v>19460</v>
      </c>
      <c r="D846" s="2">
        <v>28513</v>
      </c>
      <c r="E846" s="3">
        <v>44684</v>
      </c>
      <c r="F846" s="3">
        <v>44834</v>
      </c>
      <c r="G846" s="4">
        <v>19689.580000000002</v>
      </c>
      <c r="H846" s="2">
        <v>0</v>
      </c>
      <c r="I846" s="2" t="s">
        <v>792</v>
      </c>
      <c r="J846" s="2" t="s">
        <v>40</v>
      </c>
    </row>
    <row r="847" spans="1:10" x14ac:dyDescent="0.3">
      <c r="A847" s="2" t="s">
        <v>125</v>
      </c>
      <c r="B847" s="2" t="s">
        <v>126</v>
      </c>
      <c r="C847" s="2">
        <v>18414</v>
      </c>
      <c r="D847" s="2">
        <v>27417</v>
      </c>
      <c r="E847" s="3">
        <v>44575</v>
      </c>
      <c r="F847" s="3">
        <v>44834</v>
      </c>
      <c r="G847" s="4">
        <v>6674</v>
      </c>
      <c r="H847" s="2">
        <v>0</v>
      </c>
      <c r="I847" s="2" t="s">
        <v>802</v>
      </c>
      <c r="J847" s="2" t="s">
        <v>36</v>
      </c>
    </row>
    <row r="848" spans="1:10" x14ac:dyDescent="0.3">
      <c r="A848" s="2" t="s">
        <v>804</v>
      </c>
      <c r="B848" s="2" t="s">
        <v>83</v>
      </c>
      <c r="C848" s="2">
        <v>19451</v>
      </c>
      <c r="D848" s="2">
        <v>28504</v>
      </c>
      <c r="E848" s="3">
        <v>44684</v>
      </c>
      <c r="F848" s="3">
        <v>44834</v>
      </c>
      <c r="G848" s="4">
        <v>17320</v>
      </c>
      <c r="H848" s="2">
        <v>0</v>
      </c>
      <c r="I848" s="2" t="s">
        <v>805</v>
      </c>
      <c r="J848" s="2" t="s">
        <v>40</v>
      </c>
    </row>
    <row r="849" spans="1:10" x14ac:dyDescent="0.3">
      <c r="A849" s="2" t="s">
        <v>225</v>
      </c>
      <c r="B849" s="2" t="s">
        <v>226</v>
      </c>
      <c r="C849" s="2">
        <v>18834</v>
      </c>
      <c r="D849" s="2">
        <v>27854</v>
      </c>
      <c r="E849" s="3">
        <v>44616</v>
      </c>
      <c r="F849" s="3">
        <v>44834</v>
      </c>
      <c r="G849" s="4">
        <v>22240</v>
      </c>
      <c r="H849" s="2">
        <v>0</v>
      </c>
      <c r="I849" s="2" t="s">
        <v>838</v>
      </c>
      <c r="J849" s="2" t="s">
        <v>61</v>
      </c>
    </row>
    <row r="850" spans="1:10" x14ac:dyDescent="0.3">
      <c r="A850" s="2" t="s">
        <v>125</v>
      </c>
      <c r="B850" s="2" t="s">
        <v>126</v>
      </c>
      <c r="C850" s="2">
        <v>19154</v>
      </c>
      <c r="D850" s="2">
        <v>28173</v>
      </c>
      <c r="E850" s="3">
        <v>44651</v>
      </c>
      <c r="F850" s="3">
        <v>44834</v>
      </c>
      <c r="G850" s="4">
        <v>25500</v>
      </c>
      <c r="H850" s="2">
        <v>0</v>
      </c>
      <c r="I850" s="2" t="s">
        <v>842</v>
      </c>
      <c r="J850" s="2" t="s">
        <v>36</v>
      </c>
    </row>
    <row r="851" spans="1:10" x14ac:dyDescent="0.3">
      <c r="A851" s="2" t="s">
        <v>245</v>
      </c>
      <c r="B851" s="2" t="s">
        <v>246</v>
      </c>
      <c r="C851" s="2">
        <v>16718</v>
      </c>
      <c r="D851" s="2">
        <v>25684</v>
      </c>
      <c r="E851" s="3">
        <v>44442</v>
      </c>
      <c r="F851" s="3">
        <v>44834</v>
      </c>
      <c r="G851" s="4">
        <v>15360</v>
      </c>
      <c r="H851" s="2">
        <v>0</v>
      </c>
      <c r="I851" s="2" t="s">
        <v>846</v>
      </c>
      <c r="J851" s="2" t="s">
        <v>36</v>
      </c>
    </row>
    <row r="852" spans="1:10" x14ac:dyDescent="0.3">
      <c r="A852" s="2" t="s">
        <v>125</v>
      </c>
      <c r="B852" s="2" t="s">
        <v>126</v>
      </c>
      <c r="C852" s="2">
        <v>17788</v>
      </c>
      <c r="D852" s="2">
        <v>26792</v>
      </c>
      <c r="E852" s="3">
        <v>44518</v>
      </c>
      <c r="F852" s="3">
        <v>44834</v>
      </c>
      <c r="G852" s="4">
        <v>18782</v>
      </c>
      <c r="H852" s="2">
        <v>0</v>
      </c>
      <c r="I852" s="2" t="s">
        <v>847</v>
      </c>
      <c r="J852" s="2" t="s">
        <v>36</v>
      </c>
    </row>
    <row r="853" spans="1:10" x14ac:dyDescent="0.3">
      <c r="A853" s="2" t="s">
        <v>245</v>
      </c>
      <c r="B853" s="2" t="s">
        <v>246</v>
      </c>
      <c r="C853" s="2">
        <v>17989</v>
      </c>
      <c r="D853" s="2">
        <v>27000</v>
      </c>
      <c r="E853" s="3">
        <v>44537</v>
      </c>
      <c r="F853" s="3">
        <v>44834</v>
      </c>
      <c r="G853" s="4">
        <v>25300</v>
      </c>
      <c r="H853" s="2">
        <v>0</v>
      </c>
      <c r="I853" s="2" t="s">
        <v>868</v>
      </c>
      <c r="J853" s="2" t="s">
        <v>36</v>
      </c>
    </row>
    <row r="854" spans="1:10" x14ac:dyDescent="0.3">
      <c r="A854" s="2" t="s">
        <v>872</v>
      </c>
      <c r="B854" s="2" t="s">
        <v>873</v>
      </c>
      <c r="C854" s="2">
        <v>18843</v>
      </c>
      <c r="D854" s="2">
        <v>27863</v>
      </c>
      <c r="E854" s="3">
        <v>44616</v>
      </c>
      <c r="F854" s="3">
        <v>44834</v>
      </c>
      <c r="G854" s="4">
        <v>44900</v>
      </c>
      <c r="H854" s="2">
        <v>0</v>
      </c>
      <c r="I854" s="2" t="s">
        <v>874</v>
      </c>
      <c r="J854" s="2" t="s">
        <v>61</v>
      </c>
    </row>
    <row r="855" spans="1:10" x14ac:dyDescent="0.3">
      <c r="A855" s="2" t="s">
        <v>73</v>
      </c>
      <c r="B855" s="2" t="s">
        <v>74</v>
      </c>
      <c r="C855" s="2">
        <v>18429</v>
      </c>
      <c r="D855" s="2">
        <v>27429</v>
      </c>
      <c r="E855" s="3">
        <v>44578</v>
      </c>
      <c r="F855" s="3">
        <v>44834</v>
      </c>
      <c r="G855" s="4">
        <v>17150</v>
      </c>
      <c r="H855" s="2">
        <v>0</v>
      </c>
      <c r="I855" s="2" t="s">
        <v>888</v>
      </c>
      <c r="J855" s="2" t="s">
        <v>28</v>
      </c>
    </row>
    <row r="856" spans="1:10" x14ac:dyDescent="0.3">
      <c r="A856" s="2" t="s">
        <v>199</v>
      </c>
      <c r="B856" s="2" t="s">
        <v>200</v>
      </c>
      <c r="C856" s="2">
        <v>18529</v>
      </c>
      <c r="D856" s="2">
        <v>27529</v>
      </c>
      <c r="E856" s="3">
        <v>44586</v>
      </c>
      <c r="F856" s="3">
        <v>44834</v>
      </c>
      <c r="G856" s="4">
        <v>147500</v>
      </c>
      <c r="H856" s="2">
        <v>0</v>
      </c>
      <c r="I856" s="2" t="s">
        <v>890</v>
      </c>
      <c r="J856" s="2" t="s">
        <v>94</v>
      </c>
    </row>
    <row r="857" spans="1:10" x14ac:dyDescent="0.3">
      <c r="A857" s="2" t="s">
        <v>279</v>
      </c>
      <c r="B857" s="2" t="s">
        <v>280</v>
      </c>
      <c r="C857" s="2">
        <v>18609</v>
      </c>
      <c r="D857" s="2">
        <v>27617</v>
      </c>
      <c r="E857" s="3">
        <v>44594</v>
      </c>
      <c r="F857" s="3">
        <v>44834</v>
      </c>
      <c r="G857" s="4">
        <v>54695</v>
      </c>
      <c r="H857" s="2">
        <v>0</v>
      </c>
      <c r="I857" s="2" t="s">
        <v>900</v>
      </c>
      <c r="J857" s="2" t="s">
        <v>13</v>
      </c>
    </row>
    <row r="858" spans="1:10" x14ac:dyDescent="0.3">
      <c r="A858" s="2" t="s">
        <v>315</v>
      </c>
      <c r="B858" s="2" t="s">
        <v>316</v>
      </c>
      <c r="C858" s="2">
        <v>19102</v>
      </c>
      <c r="D858" s="2">
        <v>28119</v>
      </c>
      <c r="E858" s="3">
        <v>44649</v>
      </c>
      <c r="F858" s="3">
        <v>44834</v>
      </c>
      <c r="G858" s="4">
        <v>133380</v>
      </c>
      <c r="H858" s="2">
        <v>0</v>
      </c>
      <c r="I858" s="2" t="s">
        <v>903</v>
      </c>
      <c r="J858" s="2" t="s">
        <v>81</v>
      </c>
    </row>
    <row r="859" spans="1:10" x14ac:dyDescent="0.3">
      <c r="A859" s="2" t="s">
        <v>279</v>
      </c>
      <c r="B859" s="2" t="s">
        <v>280</v>
      </c>
      <c r="C859" s="2">
        <v>17284</v>
      </c>
      <c r="D859" s="2">
        <v>26282</v>
      </c>
      <c r="E859" s="3">
        <v>44484</v>
      </c>
      <c r="F859" s="3">
        <v>44834</v>
      </c>
      <c r="G859" s="4">
        <v>37236</v>
      </c>
      <c r="H859" s="2">
        <v>0</v>
      </c>
      <c r="I859" s="2" t="s">
        <v>911</v>
      </c>
      <c r="J859" s="2" t="s">
        <v>13</v>
      </c>
    </row>
    <row r="860" spans="1:10" x14ac:dyDescent="0.3">
      <c r="A860" s="2" t="s">
        <v>279</v>
      </c>
      <c r="B860" s="2" t="s">
        <v>280</v>
      </c>
      <c r="C860" s="2">
        <v>17630</v>
      </c>
      <c r="D860" s="2">
        <v>26632</v>
      </c>
      <c r="E860" s="3">
        <v>44505</v>
      </c>
      <c r="F860" s="3">
        <v>44834</v>
      </c>
      <c r="G860" s="4">
        <v>38925</v>
      </c>
      <c r="H860" s="2">
        <v>0</v>
      </c>
      <c r="I860" s="2" t="s">
        <v>923</v>
      </c>
      <c r="J860" s="2" t="s">
        <v>13</v>
      </c>
    </row>
    <row r="861" spans="1:10" x14ac:dyDescent="0.3">
      <c r="A861" s="2" t="s">
        <v>426</v>
      </c>
      <c r="B861" s="2" t="s">
        <v>427</v>
      </c>
      <c r="C861" s="2">
        <v>18434</v>
      </c>
      <c r="D861" s="2">
        <v>27434</v>
      </c>
      <c r="E861" s="3">
        <v>44579</v>
      </c>
      <c r="F861" s="3">
        <v>44834</v>
      </c>
      <c r="G861" s="4">
        <v>25606</v>
      </c>
      <c r="H861" s="2">
        <v>0</v>
      </c>
      <c r="I861" s="2" t="s">
        <v>926</v>
      </c>
      <c r="J861" s="2" t="s">
        <v>28</v>
      </c>
    </row>
    <row r="862" spans="1:10" x14ac:dyDescent="0.3">
      <c r="A862" s="2" t="s">
        <v>315</v>
      </c>
      <c r="B862" s="2" t="s">
        <v>316</v>
      </c>
      <c r="C862" s="2">
        <v>19345</v>
      </c>
      <c r="D862" s="2">
        <v>28389</v>
      </c>
      <c r="E862" s="3">
        <v>44676</v>
      </c>
      <c r="F862" s="3">
        <v>44834</v>
      </c>
      <c r="G862" s="4">
        <v>263200</v>
      </c>
      <c r="H862" s="2">
        <v>0</v>
      </c>
      <c r="I862" s="2" t="s">
        <v>930</v>
      </c>
      <c r="J862" s="2" t="s">
        <v>81</v>
      </c>
    </row>
    <row r="863" spans="1:10" x14ac:dyDescent="0.3">
      <c r="A863" s="2" t="s">
        <v>199</v>
      </c>
      <c r="B863" s="2" t="s">
        <v>200</v>
      </c>
      <c r="C863" s="2">
        <v>18478</v>
      </c>
      <c r="D863" s="2">
        <v>27476</v>
      </c>
      <c r="E863" s="3">
        <v>44581</v>
      </c>
      <c r="F863" s="3">
        <v>44834</v>
      </c>
      <c r="G863" s="4">
        <v>144000</v>
      </c>
      <c r="H863" s="2">
        <v>0</v>
      </c>
      <c r="I863" s="2" t="s">
        <v>935</v>
      </c>
      <c r="J863" s="2" t="s">
        <v>94</v>
      </c>
    </row>
    <row r="864" spans="1:10" x14ac:dyDescent="0.3">
      <c r="A864" s="2" t="s">
        <v>58</v>
      </c>
      <c r="B864" s="2" t="s">
        <v>59</v>
      </c>
      <c r="C864" s="2">
        <v>19111</v>
      </c>
      <c r="D864" s="2">
        <v>28130</v>
      </c>
      <c r="E864" s="3">
        <v>44649</v>
      </c>
      <c r="F864" s="3">
        <v>44834</v>
      </c>
      <c r="G864" s="4">
        <v>77080</v>
      </c>
      <c r="H864" s="2">
        <v>0</v>
      </c>
      <c r="I864" s="2" t="s">
        <v>949</v>
      </c>
      <c r="J864" s="2" t="s">
        <v>61</v>
      </c>
    </row>
    <row r="865" spans="1:10" x14ac:dyDescent="0.3">
      <c r="A865" s="2" t="s">
        <v>225</v>
      </c>
      <c r="B865" s="2" t="s">
        <v>226</v>
      </c>
      <c r="C865" s="2">
        <v>18634</v>
      </c>
      <c r="D865" s="2">
        <v>27645</v>
      </c>
      <c r="E865" s="3">
        <v>44596</v>
      </c>
      <c r="F865" s="3">
        <v>44834</v>
      </c>
      <c r="G865" s="4">
        <v>131084</v>
      </c>
      <c r="H865" s="2">
        <v>0</v>
      </c>
      <c r="I865" s="2" t="s">
        <v>962</v>
      </c>
      <c r="J865" s="2" t="s">
        <v>61</v>
      </c>
    </row>
    <row r="866" spans="1:10" x14ac:dyDescent="0.3">
      <c r="A866" s="2" t="s">
        <v>199</v>
      </c>
      <c r="B866" s="2" t="s">
        <v>200</v>
      </c>
      <c r="C866" s="2">
        <v>18469</v>
      </c>
      <c r="D866" s="2">
        <v>27468</v>
      </c>
      <c r="E866" s="3">
        <v>44580</v>
      </c>
      <c r="F866" s="3">
        <v>44834</v>
      </c>
      <c r="G866" s="4">
        <v>250000</v>
      </c>
      <c r="H866" s="2">
        <v>0</v>
      </c>
      <c r="I866" s="2" t="s">
        <v>970</v>
      </c>
      <c r="J866" s="2" t="s">
        <v>94</v>
      </c>
    </row>
    <row r="867" spans="1:10" x14ac:dyDescent="0.3">
      <c r="A867" s="2" t="s">
        <v>199</v>
      </c>
      <c r="B867" s="2" t="s">
        <v>200</v>
      </c>
      <c r="C867" s="2">
        <v>18937</v>
      </c>
      <c r="D867" s="2">
        <v>27951</v>
      </c>
      <c r="E867" s="3">
        <v>44628</v>
      </c>
      <c r="F867" s="3">
        <v>44834</v>
      </c>
      <c r="G867" s="4">
        <v>237600</v>
      </c>
      <c r="H867" s="2">
        <v>0</v>
      </c>
      <c r="I867" s="2" t="s">
        <v>973</v>
      </c>
      <c r="J867" s="2" t="s">
        <v>94</v>
      </c>
    </row>
    <row r="868" spans="1:10" x14ac:dyDescent="0.3">
      <c r="A868" s="2" t="s">
        <v>48</v>
      </c>
      <c r="B868" s="2" t="s">
        <v>49</v>
      </c>
      <c r="C868" s="2">
        <v>19470</v>
      </c>
      <c r="D868" s="2">
        <v>28523</v>
      </c>
      <c r="E868" s="3">
        <v>44684</v>
      </c>
      <c r="F868" s="3">
        <v>44834</v>
      </c>
      <c r="G868" s="4">
        <v>20893.48</v>
      </c>
      <c r="H868" s="2">
        <v>0</v>
      </c>
      <c r="I868" s="2" t="s">
        <v>983</v>
      </c>
      <c r="J868" s="2" t="s">
        <v>40</v>
      </c>
    </row>
    <row r="869" spans="1:10" x14ac:dyDescent="0.3">
      <c r="A869" s="2" t="s">
        <v>271</v>
      </c>
      <c r="B869" s="2" t="s">
        <v>272</v>
      </c>
      <c r="C869" s="2">
        <v>18938</v>
      </c>
      <c r="D869" s="2">
        <v>27952</v>
      </c>
      <c r="E869" s="3">
        <v>44628</v>
      </c>
      <c r="F869" s="3">
        <v>44834</v>
      </c>
      <c r="G869" s="4">
        <v>120400</v>
      </c>
      <c r="H869" s="2">
        <v>0</v>
      </c>
      <c r="I869" s="2" t="s">
        <v>995</v>
      </c>
      <c r="J869" s="2" t="s">
        <v>13</v>
      </c>
    </row>
    <row r="870" spans="1:10" x14ac:dyDescent="0.3">
      <c r="A870" s="2" t="s">
        <v>199</v>
      </c>
      <c r="B870" s="2" t="s">
        <v>200</v>
      </c>
      <c r="C870" s="2">
        <v>19546</v>
      </c>
      <c r="D870" s="2">
        <v>28601</v>
      </c>
      <c r="E870" s="3">
        <v>44691</v>
      </c>
      <c r="F870" s="3">
        <v>44834</v>
      </c>
      <c r="G870" s="4">
        <v>15840</v>
      </c>
      <c r="H870" s="2">
        <v>0</v>
      </c>
      <c r="I870" s="2" t="s">
        <v>1003</v>
      </c>
      <c r="J870" s="2" t="s">
        <v>94</v>
      </c>
    </row>
    <row r="871" spans="1:10" x14ac:dyDescent="0.3">
      <c r="A871" s="2" t="s">
        <v>296</v>
      </c>
      <c r="B871" s="2" t="s">
        <v>294</v>
      </c>
      <c r="C871" s="2">
        <v>19702</v>
      </c>
      <c r="D871" s="2">
        <v>28766</v>
      </c>
      <c r="E871" s="3">
        <v>44714</v>
      </c>
      <c r="F871" s="3">
        <v>44834</v>
      </c>
      <c r="G871" s="4">
        <v>106701.36</v>
      </c>
      <c r="H871" s="2">
        <v>0</v>
      </c>
      <c r="I871" s="2" t="s">
        <v>297</v>
      </c>
      <c r="J871" s="2" t="s">
        <v>36</v>
      </c>
    </row>
    <row r="872" spans="1:10" x14ac:dyDescent="0.3">
      <c r="A872" s="2" t="s">
        <v>225</v>
      </c>
      <c r="B872" s="2" t="s">
        <v>226</v>
      </c>
      <c r="C872" s="2">
        <v>18837</v>
      </c>
      <c r="D872" s="2">
        <v>27857</v>
      </c>
      <c r="E872" s="3">
        <v>44616</v>
      </c>
      <c r="F872" s="3">
        <v>44834</v>
      </c>
      <c r="G872" s="4">
        <v>116110</v>
      </c>
      <c r="H872" s="2">
        <v>0</v>
      </c>
      <c r="I872" s="2" t="s">
        <v>1021</v>
      </c>
      <c r="J872" s="2" t="s">
        <v>61</v>
      </c>
    </row>
    <row r="873" spans="1:10" x14ac:dyDescent="0.3">
      <c r="A873" s="2" t="s">
        <v>144</v>
      </c>
      <c r="B873" s="2" t="s">
        <v>145</v>
      </c>
      <c r="C873" s="2">
        <v>18923</v>
      </c>
      <c r="D873" s="2">
        <v>27937</v>
      </c>
      <c r="E873" s="3">
        <v>44624</v>
      </c>
      <c r="F873" s="3">
        <v>44834</v>
      </c>
      <c r="G873" s="4">
        <v>223600</v>
      </c>
      <c r="H873" s="2">
        <v>0</v>
      </c>
      <c r="I873" s="2" t="s">
        <v>1023</v>
      </c>
      <c r="J873" s="2" t="s">
        <v>147</v>
      </c>
    </row>
    <row r="874" spans="1:10" x14ac:dyDescent="0.3">
      <c r="A874" s="2" t="s">
        <v>426</v>
      </c>
      <c r="B874" s="2" t="s">
        <v>427</v>
      </c>
      <c r="C874" s="2">
        <v>17774</v>
      </c>
      <c r="D874" s="2">
        <v>26778</v>
      </c>
      <c r="E874" s="3">
        <v>44517</v>
      </c>
      <c r="F874" s="3">
        <v>44834</v>
      </c>
      <c r="G874" s="4">
        <v>32952.6</v>
      </c>
      <c r="H874" s="2">
        <v>0</v>
      </c>
      <c r="I874" s="2" t="s">
        <v>1034</v>
      </c>
      <c r="J874" s="2" t="s">
        <v>28</v>
      </c>
    </row>
    <row r="875" spans="1:10" x14ac:dyDescent="0.3">
      <c r="A875" s="2" t="s">
        <v>225</v>
      </c>
      <c r="B875" s="2" t="s">
        <v>226</v>
      </c>
      <c r="C875" s="2">
        <v>18835</v>
      </c>
      <c r="D875" s="2">
        <v>27855</v>
      </c>
      <c r="E875" s="3">
        <v>44616</v>
      </c>
      <c r="F875" s="3">
        <v>44834</v>
      </c>
      <c r="G875" s="4">
        <v>16238.4</v>
      </c>
      <c r="H875" s="2">
        <v>0</v>
      </c>
      <c r="I875" s="2" t="s">
        <v>1040</v>
      </c>
      <c r="J875" s="2" t="s">
        <v>61</v>
      </c>
    </row>
    <row r="876" spans="1:10" x14ac:dyDescent="0.3">
      <c r="A876" s="2" t="s">
        <v>225</v>
      </c>
      <c r="B876" s="2" t="s">
        <v>226</v>
      </c>
      <c r="C876" s="2">
        <v>18633</v>
      </c>
      <c r="D876" s="2">
        <v>27644</v>
      </c>
      <c r="E876" s="3">
        <v>44596</v>
      </c>
      <c r="F876" s="3">
        <v>44834</v>
      </c>
      <c r="G876" s="4">
        <v>108179.8</v>
      </c>
      <c r="H876" s="2">
        <v>0</v>
      </c>
      <c r="I876" s="2" t="s">
        <v>1073</v>
      </c>
      <c r="J876" s="2" t="s">
        <v>61</v>
      </c>
    </row>
    <row r="877" spans="1:10" x14ac:dyDescent="0.3">
      <c r="A877" s="2" t="s">
        <v>82</v>
      </c>
      <c r="B877" s="2" t="s">
        <v>83</v>
      </c>
      <c r="C877" s="2">
        <v>19450</v>
      </c>
      <c r="D877" s="2">
        <v>28503</v>
      </c>
      <c r="E877" s="3">
        <v>44684</v>
      </c>
      <c r="F877" s="3">
        <v>44834</v>
      </c>
      <c r="G877" s="4">
        <v>2418</v>
      </c>
      <c r="H877" s="2">
        <v>0</v>
      </c>
      <c r="I877" s="2" t="s">
        <v>1076</v>
      </c>
      <c r="J877" s="2" t="s">
        <v>40</v>
      </c>
    </row>
    <row r="878" spans="1:10" x14ac:dyDescent="0.3">
      <c r="A878" s="2" t="s">
        <v>274</v>
      </c>
      <c r="B878" s="2" t="s">
        <v>275</v>
      </c>
      <c r="C878" s="2">
        <v>17012</v>
      </c>
      <c r="D878" s="2">
        <v>26021</v>
      </c>
      <c r="E878" s="3">
        <v>44467</v>
      </c>
      <c r="F878" s="3">
        <v>44834</v>
      </c>
      <c r="G878" s="4">
        <v>47800</v>
      </c>
      <c r="H878" s="2">
        <v>0</v>
      </c>
      <c r="I878" s="2" t="s">
        <v>1078</v>
      </c>
      <c r="J878" s="2" t="s">
        <v>36</v>
      </c>
    </row>
    <row r="879" spans="1:10" x14ac:dyDescent="0.3">
      <c r="A879" s="2" t="s">
        <v>199</v>
      </c>
      <c r="B879" s="2" t="s">
        <v>200</v>
      </c>
      <c r="C879" s="2">
        <v>19545</v>
      </c>
      <c r="D879" s="2">
        <v>28600</v>
      </c>
      <c r="E879" s="3">
        <v>44691</v>
      </c>
      <c r="F879" s="3">
        <v>44834</v>
      </c>
      <c r="G879" s="4">
        <v>90000</v>
      </c>
      <c r="H879" s="2">
        <v>0</v>
      </c>
      <c r="I879" s="2" t="s">
        <v>1090</v>
      </c>
      <c r="J879" s="2" t="s">
        <v>94</v>
      </c>
    </row>
    <row r="880" spans="1:10" x14ac:dyDescent="0.3">
      <c r="A880" s="2" t="s">
        <v>315</v>
      </c>
      <c r="B880" s="2" t="s">
        <v>316</v>
      </c>
      <c r="C880" s="2">
        <v>19344</v>
      </c>
      <c r="D880" s="2">
        <v>28388</v>
      </c>
      <c r="E880" s="3">
        <v>44676</v>
      </c>
      <c r="F880" s="3">
        <v>44834</v>
      </c>
      <c r="G880" s="4">
        <v>175953.6</v>
      </c>
      <c r="H880" s="2">
        <v>0</v>
      </c>
      <c r="I880" s="2" t="s">
        <v>1097</v>
      </c>
      <c r="J880" s="2" t="s">
        <v>81</v>
      </c>
    </row>
    <row r="881" spans="1:10" x14ac:dyDescent="0.3">
      <c r="A881" s="2" t="s">
        <v>25</v>
      </c>
      <c r="B881" s="2" t="s">
        <v>26</v>
      </c>
      <c r="C881" s="2">
        <v>18901</v>
      </c>
      <c r="D881" s="2">
        <v>27917</v>
      </c>
      <c r="E881" s="3">
        <v>44624</v>
      </c>
      <c r="F881" s="3">
        <v>44834</v>
      </c>
      <c r="G881" s="4">
        <v>20000</v>
      </c>
      <c r="H881" s="2">
        <v>0</v>
      </c>
      <c r="I881" s="2" t="s">
        <v>1138</v>
      </c>
      <c r="J881" s="2" t="s">
        <v>28</v>
      </c>
    </row>
    <row r="882" spans="1:10" x14ac:dyDescent="0.3">
      <c r="A882" s="2" t="s">
        <v>48</v>
      </c>
      <c r="B882" s="2" t="s">
        <v>49</v>
      </c>
      <c r="C882" s="2">
        <v>19469</v>
      </c>
      <c r="D882" s="2">
        <v>28522</v>
      </c>
      <c r="E882" s="3">
        <v>44684</v>
      </c>
      <c r="F882" s="3">
        <v>44834</v>
      </c>
      <c r="G882" s="4">
        <v>13275.78</v>
      </c>
      <c r="H882" s="2">
        <v>0</v>
      </c>
      <c r="I882" s="2" t="s">
        <v>1141</v>
      </c>
      <c r="J882" s="2" t="s">
        <v>40</v>
      </c>
    </row>
    <row r="883" spans="1:10" x14ac:dyDescent="0.3">
      <c r="A883" s="2" t="s">
        <v>274</v>
      </c>
      <c r="B883" s="2" t="s">
        <v>275</v>
      </c>
      <c r="C883" s="2">
        <v>17238</v>
      </c>
      <c r="D883" s="2">
        <v>26237</v>
      </c>
      <c r="E883" s="3">
        <v>44482</v>
      </c>
      <c r="F883" s="3">
        <v>44834</v>
      </c>
      <c r="G883" s="4">
        <v>77470</v>
      </c>
      <c r="H883" s="2">
        <v>0</v>
      </c>
      <c r="I883" s="2" t="s">
        <v>1147</v>
      </c>
      <c r="J883" s="2" t="s">
        <v>36</v>
      </c>
    </row>
    <row r="884" spans="1:10" x14ac:dyDescent="0.3">
      <c r="A884" s="2" t="s">
        <v>426</v>
      </c>
      <c r="B884" s="2" t="s">
        <v>427</v>
      </c>
      <c r="C884" s="2">
        <v>18433</v>
      </c>
      <c r="D884" s="2">
        <v>27433</v>
      </c>
      <c r="E884" s="3">
        <v>44579</v>
      </c>
      <c r="F884" s="3">
        <v>44834</v>
      </c>
      <c r="G884" s="4">
        <v>5424</v>
      </c>
      <c r="H884" s="2">
        <v>0</v>
      </c>
      <c r="I884" s="2" t="s">
        <v>1149</v>
      </c>
      <c r="J884" s="2" t="s">
        <v>28</v>
      </c>
    </row>
    <row r="885" spans="1:10" x14ac:dyDescent="0.3">
      <c r="A885" s="2" t="s">
        <v>10</v>
      </c>
      <c r="B885" s="2" t="s">
        <v>11</v>
      </c>
      <c r="C885" s="2">
        <v>19203</v>
      </c>
      <c r="D885" s="2">
        <v>28223</v>
      </c>
      <c r="E885" s="3">
        <v>44656</v>
      </c>
      <c r="F885" s="3">
        <v>44834</v>
      </c>
      <c r="G885" s="4">
        <v>35000</v>
      </c>
      <c r="H885" s="2">
        <v>0</v>
      </c>
      <c r="I885" s="2" t="s">
        <v>1154</v>
      </c>
      <c r="J885" s="2" t="s">
        <v>13</v>
      </c>
    </row>
    <row r="886" spans="1:10" x14ac:dyDescent="0.3">
      <c r="A886" s="2" t="s">
        <v>21</v>
      </c>
      <c r="B886" s="2" t="s">
        <v>22</v>
      </c>
      <c r="C886" s="2">
        <v>19481</v>
      </c>
      <c r="D886" s="2">
        <v>28533</v>
      </c>
      <c r="E886" s="3">
        <v>44685</v>
      </c>
      <c r="F886" s="3">
        <v>44835</v>
      </c>
      <c r="G886" s="4">
        <v>5931.66</v>
      </c>
      <c r="H886" s="2">
        <v>0</v>
      </c>
      <c r="I886" s="2" t="s">
        <v>117</v>
      </c>
      <c r="J886" s="2" t="s">
        <v>24</v>
      </c>
    </row>
    <row r="887" spans="1:10" x14ac:dyDescent="0.3">
      <c r="A887" s="2" t="s">
        <v>25</v>
      </c>
      <c r="B887" s="2" t="s">
        <v>26</v>
      </c>
      <c r="C887" s="2">
        <v>19201</v>
      </c>
      <c r="D887" s="2">
        <v>28221</v>
      </c>
      <c r="E887" s="3">
        <v>44655</v>
      </c>
      <c r="F887" s="3">
        <v>44835</v>
      </c>
      <c r="G887" s="4">
        <v>79626.75</v>
      </c>
      <c r="H887" s="2">
        <v>0</v>
      </c>
      <c r="I887" s="2" t="s">
        <v>208</v>
      </c>
      <c r="J887" s="2" t="s">
        <v>28</v>
      </c>
    </row>
    <row r="888" spans="1:10" x14ac:dyDescent="0.3">
      <c r="A888" s="2" t="s">
        <v>21</v>
      </c>
      <c r="B888" s="2" t="s">
        <v>22</v>
      </c>
      <c r="C888" s="2">
        <v>19478</v>
      </c>
      <c r="D888" s="2">
        <v>28531</v>
      </c>
      <c r="E888" s="3">
        <v>44685</v>
      </c>
      <c r="F888" s="3">
        <v>44835</v>
      </c>
      <c r="G888" s="4">
        <v>3917.09</v>
      </c>
      <c r="H888" s="2">
        <v>0</v>
      </c>
      <c r="I888" s="2" t="s">
        <v>214</v>
      </c>
      <c r="J888" s="2" t="s">
        <v>24</v>
      </c>
    </row>
    <row r="889" spans="1:10" x14ac:dyDescent="0.3">
      <c r="A889" s="2" t="s">
        <v>53</v>
      </c>
      <c r="B889" s="2" t="s">
        <v>54</v>
      </c>
      <c r="C889" s="2">
        <v>19474</v>
      </c>
      <c r="D889" s="2">
        <v>28527</v>
      </c>
      <c r="E889" s="3">
        <v>44685</v>
      </c>
      <c r="F889" s="3">
        <v>44835</v>
      </c>
      <c r="G889" s="4">
        <v>18583.48</v>
      </c>
      <c r="H889" s="2">
        <v>0</v>
      </c>
      <c r="I889" s="2" t="s">
        <v>303</v>
      </c>
      <c r="J889" s="2" t="s">
        <v>56</v>
      </c>
    </row>
    <row r="890" spans="1:10" x14ac:dyDescent="0.3">
      <c r="A890" s="2" t="s">
        <v>25</v>
      </c>
      <c r="B890" s="2" t="s">
        <v>26</v>
      </c>
      <c r="C890" s="2">
        <v>19194</v>
      </c>
      <c r="D890" s="2">
        <v>28213</v>
      </c>
      <c r="E890" s="3">
        <v>44655</v>
      </c>
      <c r="F890" s="3">
        <v>44835</v>
      </c>
      <c r="G890" s="4">
        <v>129600</v>
      </c>
      <c r="H890" s="2">
        <v>0</v>
      </c>
      <c r="I890" s="2" t="s">
        <v>323</v>
      </c>
      <c r="J890" s="2" t="s">
        <v>28</v>
      </c>
    </row>
    <row r="891" spans="1:10" x14ac:dyDescent="0.3">
      <c r="A891" s="2" t="s">
        <v>53</v>
      </c>
      <c r="B891" s="2" t="s">
        <v>54</v>
      </c>
      <c r="C891" s="2">
        <v>19473</v>
      </c>
      <c r="D891" s="2">
        <v>28526</v>
      </c>
      <c r="E891" s="3">
        <v>44685</v>
      </c>
      <c r="F891" s="3">
        <v>44835</v>
      </c>
      <c r="G891" s="4">
        <v>15889.54</v>
      </c>
      <c r="H891" s="2">
        <v>0</v>
      </c>
      <c r="I891" s="2" t="s">
        <v>334</v>
      </c>
      <c r="J891" s="2" t="s">
        <v>56</v>
      </c>
    </row>
    <row r="892" spans="1:10" x14ac:dyDescent="0.3">
      <c r="A892" s="2" t="s">
        <v>234</v>
      </c>
      <c r="B892" s="2" t="s">
        <v>235</v>
      </c>
      <c r="C892" s="2">
        <v>19472</v>
      </c>
      <c r="D892" s="2">
        <v>28525</v>
      </c>
      <c r="E892" s="3">
        <v>44685</v>
      </c>
      <c r="F892" s="3">
        <v>44835</v>
      </c>
      <c r="G892" s="4">
        <v>8213.84</v>
      </c>
      <c r="H892" s="2">
        <v>0</v>
      </c>
      <c r="I892" s="2" t="s">
        <v>387</v>
      </c>
      <c r="J892" s="2" t="s">
        <v>56</v>
      </c>
    </row>
    <row r="893" spans="1:10" x14ac:dyDescent="0.3">
      <c r="A893" s="2" t="s">
        <v>174</v>
      </c>
      <c r="B893" s="2" t="s">
        <v>145</v>
      </c>
      <c r="C893" s="2">
        <v>18930</v>
      </c>
      <c r="D893" s="2">
        <v>27941</v>
      </c>
      <c r="E893" s="3">
        <v>44625</v>
      </c>
      <c r="F893" s="3">
        <v>44835</v>
      </c>
      <c r="G893" s="4">
        <v>90850</v>
      </c>
      <c r="H893" s="2">
        <v>0</v>
      </c>
      <c r="I893" s="2" t="s">
        <v>442</v>
      </c>
      <c r="J893" s="2" t="s">
        <v>147</v>
      </c>
    </row>
    <row r="894" spans="1:10" x14ac:dyDescent="0.3">
      <c r="A894" s="2" t="s">
        <v>58</v>
      </c>
      <c r="B894" s="2" t="s">
        <v>59</v>
      </c>
      <c r="C894" s="2">
        <v>18605</v>
      </c>
      <c r="D894" s="2">
        <v>27613</v>
      </c>
      <c r="E894" s="3">
        <v>44594</v>
      </c>
      <c r="F894" s="3">
        <v>44835</v>
      </c>
      <c r="G894" s="4">
        <v>321602.5</v>
      </c>
      <c r="H894" s="2">
        <v>0</v>
      </c>
      <c r="I894" s="2" t="s">
        <v>543</v>
      </c>
      <c r="J894" s="2" t="s">
        <v>61</v>
      </c>
    </row>
    <row r="895" spans="1:10" x14ac:dyDescent="0.3">
      <c r="A895" s="2" t="s">
        <v>125</v>
      </c>
      <c r="B895" s="2" t="s">
        <v>126</v>
      </c>
      <c r="C895" s="2">
        <v>19708</v>
      </c>
      <c r="D895" s="2">
        <v>28771</v>
      </c>
      <c r="E895" s="3">
        <v>44715</v>
      </c>
      <c r="F895" s="3">
        <v>44835</v>
      </c>
      <c r="G895" s="4">
        <v>11485</v>
      </c>
      <c r="H895" s="2">
        <v>0</v>
      </c>
      <c r="I895" s="2" t="s">
        <v>634</v>
      </c>
      <c r="J895" s="2" t="s">
        <v>36</v>
      </c>
    </row>
    <row r="896" spans="1:10" x14ac:dyDescent="0.3">
      <c r="A896" s="2" t="s">
        <v>234</v>
      </c>
      <c r="B896" s="2" t="s">
        <v>235</v>
      </c>
      <c r="C896" s="2">
        <v>19485</v>
      </c>
      <c r="D896" s="2">
        <v>28537</v>
      </c>
      <c r="E896" s="3">
        <v>44685</v>
      </c>
      <c r="F896" s="3">
        <v>44835</v>
      </c>
      <c r="G896" s="4">
        <v>6200.02</v>
      </c>
      <c r="H896" s="2">
        <v>0</v>
      </c>
      <c r="I896" s="2" t="s">
        <v>793</v>
      </c>
      <c r="J896" s="2" t="s">
        <v>56</v>
      </c>
    </row>
    <row r="897" spans="1:10" x14ac:dyDescent="0.3">
      <c r="A897" s="2" t="s">
        <v>234</v>
      </c>
      <c r="B897" s="2" t="s">
        <v>235</v>
      </c>
      <c r="C897" s="2">
        <v>19471</v>
      </c>
      <c r="D897" s="2">
        <v>28524</v>
      </c>
      <c r="E897" s="3">
        <v>44685</v>
      </c>
      <c r="F897" s="3">
        <v>44835</v>
      </c>
      <c r="G897" s="4">
        <v>20196</v>
      </c>
      <c r="H897" s="2">
        <v>0</v>
      </c>
      <c r="I897" s="2" t="s">
        <v>844</v>
      </c>
      <c r="J897" s="2" t="s">
        <v>56</v>
      </c>
    </row>
    <row r="898" spans="1:10" x14ac:dyDescent="0.3">
      <c r="A898" s="2" t="s">
        <v>21</v>
      </c>
      <c r="B898" s="2" t="s">
        <v>22</v>
      </c>
      <c r="C898" s="2">
        <v>19482</v>
      </c>
      <c r="D898" s="2">
        <v>28534</v>
      </c>
      <c r="E898" s="3">
        <v>44685</v>
      </c>
      <c r="F898" s="3">
        <v>44835</v>
      </c>
      <c r="G898" s="4">
        <v>2880</v>
      </c>
      <c r="H898" s="2">
        <v>0</v>
      </c>
      <c r="I898" s="2" t="s">
        <v>861</v>
      </c>
      <c r="J898" s="2" t="s">
        <v>24</v>
      </c>
    </row>
    <row r="899" spans="1:10" x14ac:dyDescent="0.3">
      <c r="A899" s="2" t="s">
        <v>53</v>
      </c>
      <c r="B899" s="2" t="s">
        <v>54</v>
      </c>
      <c r="C899" s="2">
        <v>19475</v>
      </c>
      <c r="D899" s="2">
        <v>28528</v>
      </c>
      <c r="E899" s="3">
        <v>44685</v>
      </c>
      <c r="F899" s="3">
        <v>44835</v>
      </c>
      <c r="G899" s="4">
        <v>18583.48</v>
      </c>
      <c r="H899" s="2">
        <v>0</v>
      </c>
      <c r="I899" s="2" t="s">
        <v>954</v>
      </c>
      <c r="J899" s="2" t="s">
        <v>56</v>
      </c>
    </row>
    <row r="900" spans="1:10" x14ac:dyDescent="0.3">
      <c r="A900" s="2" t="s">
        <v>48</v>
      </c>
      <c r="B900" s="2" t="s">
        <v>49</v>
      </c>
      <c r="C900" s="2">
        <v>19476</v>
      </c>
      <c r="D900" s="2">
        <v>28529</v>
      </c>
      <c r="E900" s="3">
        <v>44685</v>
      </c>
      <c r="F900" s="3">
        <v>44835</v>
      </c>
      <c r="G900" s="4">
        <v>59745</v>
      </c>
      <c r="H900" s="2">
        <v>0</v>
      </c>
      <c r="I900" s="2" t="s">
        <v>1060</v>
      </c>
      <c r="J900" s="2" t="s">
        <v>40</v>
      </c>
    </row>
    <row r="901" spans="1:10" x14ac:dyDescent="0.3">
      <c r="A901" s="2" t="s">
        <v>21</v>
      </c>
      <c r="B901" s="2" t="s">
        <v>22</v>
      </c>
      <c r="C901" s="2">
        <v>19477</v>
      </c>
      <c r="D901" s="2">
        <v>28530</v>
      </c>
      <c r="E901" s="3">
        <v>44685</v>
      </c>
      <c r="F901" s="3">
        <v>44835</v>
      </c>
      <c r="G901" s="4">
        <v>4462.5</v>
      </c>
      <c r="H901" s="2">
        <v>0</v>
      </c>
      <c r="I901" s="2" t="s">
        <v>1088</v>
      </c>
      <c r="J901" s="2" t="s">
        <v>24</v>
      </c>
    </row>
    <row r="902" spans="1:10" x14ac:dyDescent="0.3">
      <c r="A902" s="2" t="s">
        <v>33</v>
      </c>
      <c r="B902" s="2" t="s">
        <v>34</v>
      </c>
      <c r="C902" s="2">
        <v>19709</v>
      </c>
      <c r="D902" s="2">
        <v>28772</v>
      </c>
      <c r="E902" s="3">
        <v>44715</v>
      </c>
      <c r="F902" s="3">
        <v>44835</v>
      </c>
      <c r="G902" s="4">
        <v>1666.67</v>
      </c>
      <c r="H902" s="2">
        <v>0</v>
      </c>
      <c r="I902" s="2" t="s">
        <v>1091</v>
      </c>
      <c r="J902" s="2" t="s">
        <v>36</v>
      </c>
    </row>
    <row r="903" spans="1:10" x14ac:dyDescent="0.3">
      <c r="A903" s="2" t="s">
        <v>21</v>
      </c>
      <c r="B903" s="2" t="s">
        <v>22</v>
      </c>
      <c r="C903" s="2">
        <v>19484</v>
      </c>
      <c r="D903" s="2">
        <v>28536</v>
      </c>
      <c r="E903" s="3">
        <v>44685</v>
      </c>
      <c r="F903" s="3">
        <v>44835</v>
      </c>
      <c r="G903" s="4">
        <v>10280.31</v>
      </c>
      <c r="H903" s="2">
        <v>0</v>
      </c>
      <c r="I903" s="2" t="s">
        <v>1126</v>
      </c>
      <c r="J903" s="2" t="s">
        <v>24</v>
      </c>
    </row>
    <row r="904" spans="1:10" x14ac:dyDescent="0.3">
      <c r="A904" s="2" t="s">
        <v>85</v>
      </c>
      <c r="B904" s="2" t="s">
        <v>83</v>
      </c>
      <c r="C904" s="2">
        <v>19507</v>
      </c>
      <c r="D904" s="2">
        <v>28560</v>
      </c>
      <c r="E904" s="3">
        <v>44686</v>
      </c>
      <c r="F904" s="3">
        <v>44836</v>
      </c>
      <c r="G904" s="4">
        <v>78240</v>
      </c>
      <c r="H904" s="2">
        <v>0</v>
      </c>
      <c r="I904" s="2" t="s">
        <v>453</v>
      </c>
      <c r="J904" s="2" t="s">
        <v>40</v>
      </c>
    </row>
    <row r="905" spans="1:10" x14ac:dyDescent="0.3">
      <c r="A905" s="2" t="s">
        <v>21</v>
      </c>
      <c r="B905" s="2" t="s">
        <v>22</v>
      </c>
      <c r="C905" s="2">
        <v>19860</v>
      </c>
      <c r="D905" s="2">
        <v>28929</v>
      </c>
      <c r="E905" s="3">
        <v>44746</v>
      </c>
      <c r="F905" s="3">
        <v>44836</v>
      </c>
      <c r="G905" s="4">
        <v>13963.32</v>
      </c>
      <c r="H905" s="2">
        <v>0</v>
      </c>
      <c r="I905" s="2" t="s">
        <v>550</v>
      </c>
      <c r="J905" s="2" t="s">
        <v>24</v>
      </c>
    </row>
    <row r="906" spans="1:10" x14ac:dyDescent="0.3">
      <c r="A906" s="2" t="s">
        <v>48</v>
      </c>
      <c r="B906" s="2" t="s">
        <v>49</v>
      </c>
      <c r="C906" s="2">
        <v>19207</v>
      </c>
      <c r="D906" s="2">
        <v>28227</v>
      </c>
      <c r="E906" s="3">
        <v>44656</v>
      </c>
      <c r="F906" s="3">
        <v>44836</v>
      </c>
      <c r="G906" s="4">
        <v>54000</v>
      </c>
      <c r="H906" s="2">
        <v>0</v>
      </c>
      <c r="I906" s="2" t="s">
        <v>583</v>
      </c>
      <c r="J906" s="2" t="s">
        <v>40</v>
      </c>
    </row>
    <row r="907" spans="1:10" x14ac:dyDescent="0.3">
      <c r="A907" s="2" t="s">
        <v>730</v>
      </c>
      <c r="B907" s="2" t="s">
        <v>731</v>
      </c>
      <c r="C907" s="2">
        <v>19499</v>
      </c>
      <c r="D907" s="2">
        <v>28551</v>
      </c>
      <c r="E907" s="3">
        <v>44686</v>
      </c>
      <c r="F907" s="3">
        <v>44836</v>
      </c>
      <c r="G907" s="4">
        <v>2280</v>
      </c>
      <c r="H907" s="2">
        <v>0</v>
      </c>
      <c r="I907" s="2" t="s">
        <v>732</v>
      </c>
      <c r="J907" s="2" t="s">
        <v>36</v>
      </c>
    </row>
    <row r="908" spans="1:10" x14ac:dyDescent="0.3">
      <c r="A908" s="2" t="s">
        <v>21</v>
      </c>
      <c r="B908" s="2" t="s">
        <v>22</v>
      </c>
      <c r="C908" s="2">
        <v>19858</v>
      </c>
      <c r="D908" s="2">
        <v>28927</v>
      </c>
      <c r="E908" s="3">
        <v>44746</v>
      </c>
      <c r="F908" s="3">
        <v>44836</v>
      </c>
      <c r="G908" s="4">
        <v>24450</v>
      </c>
      <c r="H908" s="2">
        <v>0</v>
      </c>
      <c r="I908" s="2" t="s">
        <v>845</v>
      </c>
      <c r="J908" s="2" t="s">
        <v>24</v>
      </c>
    </row>
    <row r="909" spans="1:10" x14ac:dyDescent="0.3">
      <c r="A909" s="2" t="s">
        <v>33</v>
      </c>
      <c r="B909" s="2" t="s">
        <v>34</v>
      </c>
      <c r="C909" s="2">
        <v>19500</v>
      </c>
      <c r="D909" s="2">
        <v>28552</v>
      </c>
      <c r="E909" s="3">
        <v>44686</v>
      </c>
      <c r="F909" s="3">
        <v>44836</v>
      </c>
      <c r="G909" s="4">
        <v>3750.4</v>
      </c>
      <c r="H909" s="2">
        <v>0</v>
      </c>
      <c r="I909" s="2" t="s">
        <v>919</v>
      </c>
      <c r="J909" s="2" t="s">
        <v>36</v>
      </c>
    </row>
    <row r="910" spans="1:10" x14ac:dyDescent="0.3">
      <c r="A910" s="2" t="s">
        <v>21</v>
      </c>
      <c r="B910" s="2" t="s">
        <v>22</v>
      </c>
      <c r="C910" s="2">
        <v>19859</v>
      </c>
      <c r="D910" s="2">
        <v>28928</v>
      </c>
      <c r="E910" s="3">
        <v>44746</v>
      </c>
      <c r="F910" s="3">
        <v>44836</v>
      </c>
      <c r="G910" s="4">
        <v>7020</v>
      </c>
      <c r="H910" s="2">
        <v>0</v>
      </c>
      <c r="I910" s="2" t="s">
        <v>1045</v>
      </c>
      <c r="J910" s="2" t="s">
        <v>24</v>
      </c>
    </row>
    <row r="911" spans="1:10" x14ac:dyDescent="0.3">
      <c r="A911" s="2" t="s">
        <v>114</v>
      </c>
      <c r="B911" s="2" t="s">
        <v>115</v>
      </c>
      <c r="C911" s="2">
        <v>19871</v>
      </c>
      <c r="D911" s="2">
        <v>28941</v>
      </c>
      <c r="E911" s="3">
        <v>44746</v>
      </c>
      <c r="F911" s="3">
        <v>44836</v>
      </c>
      <c r="G911" s="4">
        <v>49799.95</v>
      </c>
      <c r="H911" s="2">
        <v>0</v>
      </c>
      <c r="I911" s="2" t="s">
        <v>1099</v>
      </c>
      <c r="J911" s="2" t="s">
        <v>28</v>
      </c>
    </row>
    <row r="912" spans="1:10" x14ac:dyDescent="0.3">
      <c r="A912" s="2" t="s">
        <v>114</v>
      </c>
      <c r="B912" s="2" t="s">
        <v>115</v>
      </c>
      <c r="C912" s="2">
        <v>19870</v>
      </c>
      <c r="D912" s="2">
        <v>28940</v>
      </c>
      <c r="E912" s="3">
        <v>44746</v>
      </c>
      <c r="F912" s="3">
        <v>44836</v>
      </c>
      <c r="G912" s="4">
        <v>4393.6499999999996</v>
      </c>
      <c r="H912" s="2">
        <v>0</v>
      </c>
      <c r="I912" s="2" t="s">
        <v>1130</v>
      </c>
      <c r="J912" s="2" t="s">
        <v>28</v>
      </c>
    </row>
    <row r="913" spans="1:10" x14ac:dyDescent="0.3">
      <c r="A913" s="2" t="s">
        <v>25</v>
      </c>
      <c r="B913" s="2" t="s">
        <v>26</v>
      </c>
      <c r="C913" s="2">
        <v>19205</v>
      </c>
      <c r="D913" s="2">
        <v>28225</v>
      </c>
      <c r="E913" s="3">
        <v>44656</v>
      </c>
      <c r="F913" s="3">
        <v>44836</v>
      </c>
      <c r="G913" s="4">
        <v>117000</v>
      </c>
      <c r="H913" s="2">
        <v>0</v>
      </c>
      <c r="I913" s="2" t="s">
        <v>549</v>
      </c>
      <c r="J913" s="2" t="s">
        <v>28</v>
      </c>
    </row>
    <row r="914" spans="1:10" x14ac:dyDescent="0.3">
      <c r="A914" s="2" t="s">
        <v>48</v>
      </c>
      <c r="B914" s="2" t="s">
        <v>49</v>
      </c>
      <c r="C914" s="2">
        <v>19505</v>
      </c>
      <c r="D914" s="2">
        <v>28558</v>
      </c>
      <c r="E914" s="3">
        <v>44686</v>
      </c>
      <c r="F914" s="3">
        <v>44836</v>
      </c>
      <c r="G914" s="4">
        <v>54000</v>
      </c>
      <c r="H914" s="2">
        <v>0</v>
      </c>
      <c r="I914" s="2" t="s">
        <v>1145</v>
      </c>
      <c r="J914" s="2" t="s">
        <v>40</v>
      </c>
    </row>
    <row r="915" spans="1:10" x14ac:dyDescent="0.3">
      <c r="A915" s="2" t="s">
        <v>82</v>
      </c>
      <c r="B915" s="2" t="s">
        <v>83</v>
      </c>
      <c r="C915" s="2">
        <v>19214</v>
      </c>
      <c r="D915" s="2">
        <v>28235</v>
      </c>
      <c r="E915" s="3">
        <v>44657</v>
      </c>
      <c r="F915" s="3">
        <v>44837</v>
      </c>
      <c r="G915" s="4">
        <v>30348.5</v>
      </c>
      <c r="H915" s="2">
        <v>0</v>
      </c>
      <c r="I915" s="2" t="s">
        <v>84</v>
      </c>
      <c r="J915" s="2" t="s">
        <v>40</v>
      </c>
    </row>
    <row r="916" spans="1:10" x14ac:dyDescent="0.3">
      <c r="A916" s="2" t="s">
        <v>85</v>
      </c>
      <c r="B916" s="2" t="s">
        <v>83</v>
      </c>
      <c r="C916" s="2">
        <v>19516</v>
      </c>
      <c r="D916" s="2">
        <v>28569</v>
      </c>
      <c r="E916" s="3">
        <v>44687</v>
      </c>
      <c r="F916" s="3">
        <v>44837</v>
      </c>
      <c r="G916" s="4">
        <v>61125</v>
      </c>
      <c r="H916" s="2">
        <v>0</v>
      </c>
      <c r="I916" s="2" t="s">
        <v>86</v>
      </c>
      <c r="J916" s="2" t="s">
        <v>40</v>
      </c>
    </row>
    <row r="917" spans="1:10" x14ac:dyDescent="0.3">
      <c r="A917" s="2" t="s">
        <v>82</v>
      </c>
      <c r="B917" s="2" t="s">
        <v>83</v>
      </c>
      <c r="C917" s="2">
        <v>19215</v>
      </c>
      <c r="D917" s="2">
        <v>28236</v>
      </c>
      <c r="E917" s="3">
        <v>44657</v>
      </c>
      <c r="F917" s="3">
        <v>44837</v>
      </c>
      <c r="G917" s="4">
        <v>3332</v>
      </c>
      <c r="H917" s="2">
        <v>0</v>
      </c>
      <c r="I917" s="2" t="s">
        <v>113</v>
      </c>
      <c r="J917" s="2" t="s">
        <v>40</v>
      </c>
    </row>
    <row r="918" spans="1:10" x14ac:dyDescent="0.3">
      <c r="A918" s="2" t="s">
        <v>48</v>
      </c>
      <c r="B918" s="2" t="s">
        <v>49</v>
      </c>
      <c r="C918" s="2">
        <v>19524</v>
      </c>
      <c r="D918" s="2">
        <v>28578</v>
      </c>
      <c r="E918" s="3">
        <v>44687</v>
      </c>
      <c r="F918" s="3">
        <v>44837</v>
      </c>
      <c r="G918" s="4">
        <v>59745</v>
      </c>
      <c r="H918" s="2">
        <v>0</v>
      </c>
      <c r="I918" s="2" t="s">
        <v>337</v>
      </c>
      <c r="J918" s="2" t="s">
        <v>40</v>
      </c>
    </row>
    <row r="919" spans="1:10" x14ac:dyDescent="0.3">
      <c r="A919" s="2" t="s">
        <v>48</v>
      </c>
      <c r="B919" s="2" t="s">
        <v>49</v>
      </c>
      <c r="C919" s="2">
        <v>19220</v>
      </c>
      <c r="D919" s="2">
        <v>28242</v>
      </c>
      <c r="E919" s="3">
        <v>44657</v>
      </c>
      <c r="F919" s="3">
        <v>44837</v>
      </c>
      <c r="G919" s="4">
        <v>54000</v>
      </c>
      <c r="H919" s="2">
        <v>0</v>
      </c>
      <c r="I919" s="2" t="s">
        <v>404</v>
      </c>
      <c r="J919" s="2" t="s">
        <v>40</v>
      </c>
    </row>
    <row r="920" spans="1:10" x14ac:dyDescent="0.3">
      <c r="A920" s="2" t="s">
        <v>68</v>
      </c>
      <c r="B920" s="2" t="s">
        <v>69</v>
      </c>
      <c r="C920" s="2">
        <v>19517</v>
      </c>
      <c r="D920" s="2">
        <v>28570</v>
      </c>
      <c r="E920" s="3">
        <v>44687</v>
      </c>
      <c r="F920" s="3">
        <v>44837</v>
      </c>
      <c r="G920" s="4">
        <v>17115</v>
      </c>
      <c r="H920" s="2">
        <v>0</v>
      </c>
      <c r="I920" s="2" t="s">
        <v>806</v>
      </c>
      <c r="J920" s="2" t="s">
        <v>40</v>
      </c>
    </row>
    <row r="921" spans="1:10" x14ac:dyDescent="0.3">
      <c r="A921" s="2" t="s">
        <v>140</v>
      </c>
      <c r="B921" s="2" t="s">
        <v>141</v>
      </c>
      <c r="C921" s="2">
        <v>19211</v>
      </c>
      <c r="D921" s="2">
        <v>28232</v>
      </c>
      <c r="E921" s="3">
        <v>44657</v>
      </c>
      <c r="F921" s="3">
        <v>44837</v>
      </c>
      <c r="G921" s="4">
        <v>52873</v>
      </c>
      <c r="H921" s="2">
        <v>0</v>
      </c>
      <c r="I921" s="2" t="s">
        <v>963</v>
      </c>
      <c r="J921" s="2" t="s">
        <v>40</v>
      </c>
    </row>
    <row r="922" spans="1:10" x14ac:dyDescent="0.3">
      <c r="A922" s="2" t="s">
        <v>25</v>
      </c>
      <c r="B922" s="2" t="s">
        <v>26</v>
      </c>
      <c r="C922" s="2">
        <v>19224</v>
      </c>
      <c r="D922" s="2">
        <v>28247</v>
      </c>
      <c r="E922" s="3">
        <v>44658</v>
      </c>
      <c r="F922" s="3">
        <v>44838</v>
      </c>
      <c r="G922" s="4">
        <v>93865.25</v>
      </c>
      <c r="H922" s="2">
        <v>0</v>
      </c>
      <c r="I922" s="2" t="s">
        <v>300</v>
      </c>
      <c r="J922" s="2" t="s">
        <v>28</v>
      </c>
    </row>
    <row r="923" spans="1:10" x14ac:dyDescent="0.3">
      <c r="A923" s="2" t="s">
        <v>48</v>
      </c>
      <c r="B923" s="2" t="s">
        <v>49</v>
      </c>
      <c r="C923" s="2">
        <v>19239</v>
      </c>
      <c r="D923" s="2">
        <v>28263</v>
      </c>
      <c r="E923" s="3">
        <v>44659</v>
      </c>
      <c r="F923" s="3">
        <v>44839</v>
      </c>
      <c r="G923" s="4">
        <v>54000</v>
      </c>
      <c r="H923" s="2">
        <v>0</v>
      </c>
      <c r="I923" s="2" t="s">
        <v>496</v>
      </c>
      <c r="J923" s="2" t="s">
        <v>40</v>
      </c>
    </row>
    <row r="924" spans="1:10" x14ac:dyDescent="0.3">
      <c r="A924" s="2" t="s">
        <v>82</v>
      </c>
      <c r="B924" s="2" t="s">
        <v>83</v>
      </c>
      <c r="C924" s="2">
        <v>19240</v>
      </c>
      <c r="D924" s="2">
        <v>28264</v>
      </c>
      <c r="E924" s="3">
        <v>44659</v>
      </c>
      <c r="F924" s="3">
        <v>44839</v>
      </c>
      <c r="G924" s="4">
        <v>72000</v>
      </c>
      <c r="H924" s="2">
        <v>0</v>
      </c>
      <c r="I924" s="2" t="s">
        <v>497</v>
      </c>
      <c r="J924" s="2" t="s">
        <v>40</v>
      </c>
    </row>
    <row r="925" spans="1:10" x14ac:dyDescent="0.3">
      <c r="A925" s="2" t="s">
        <v>48</v>
      </c>
      <c r="B925" s="2" t="s">
        <v>49</v>
      </c>
      <c r="C925" s="2">
        <v>19541</v>
      </c>
      <c r="D925" s="2">
        <v>28596</v>
      </c>
      <c r="E925" s="3">
        <v>44690</v>
      </c>
      <c r="F925" s="3">
        <v>44840</v>
      </c>
      <c r="G925" s="4">
        <v>59745</v>
      </c>
      <c r="H925" s="2">
        <v>0</v>
      </c>
      <c r="I925" s="2" t="s">
        <v>305</v>
      </c>
      <c r="J925" s="2" t="s">
        <v>40</v>
      </c>
    </row>
    <row r="926" spans="1:10" x14ac:dyDescent="0.3">
      <c r="A926" s="2" t="s">
        <v>48</v>
      </c>
      <c r="B926" s="2" t="s">
        <v>49</v>
      </c>
      <c r="C926" s="2">
        <v>19525</v>
      </c>
      <c r="D926" s="2">
        <v>28581</v>
      </c>
      <c r="E926" s="3">
        <v>44690</v>
      </c>
      <c r="F926" s="3">
        <v>44840</v>
      </c>
      <c r="G926" s="4">
        <v>55755</v>
      </c>
      <c r="H926" s="2">
        <v>0</v>
      </c>
      <c r="I926" s="2" t="s">
        <v>965</v>
      </c>
      <c r="J926" s="2" t="s">
        <v>40</v>
      </c>
    </row>
    <row r="927" spans="1:10" x14ac:dyDescent="0.3">
      <c r="A927" s="2" t="s">
        <v>480</v>
      </c>
      <c r="B927" s="2" t="s">
        <v>481</v>
      </c>
      <c r="C927" s="2">
        <v>19542</v>
      </c>
      <c r="D927" s="2">
        <v>28597</v>
      </c>
      <c r="E927" s="3">
        <v>44690</v>
      </c>
      <c r="F927" s="3">
        <v>44840</v>
      </c>
      <c r="G927" s="4">
        <v>30337.8</v>
      </c>
      <c r="H927" s="2">
        <v>0</v>
      </c>
      <c r="I927" s="2" t="s">
        <v>1142</v>
      </c>
      <c r="J927" s="2" t="s">
        <v>56</v>
      </c>
    </row>
    <row r="928" spans="1:10" x14ac:dyDescent="0.3">
      <c r="A928" s="2" t="s">
        <v>41</v>
      </c>
      <c r="B928" s="2" t="s">
        <v>42</v>
      </c>
      <c r="C928" s="2">
        <v>19560</v>
      </c>
      <c r="D928" s="2">
        <v>28615</v>
      </c>
      <c r="E928" s="3">
        <v>44691</v>
      </c>
      <c r="F928" s="3">
        <v>44841</v>
      </c>
      <c r="G928" s="4">
        <v>8979.92</v>
      </c>
      <c r="H928" s="2">
        <v>0</v>
      </c>
      <c r="I928" s="2" t="s">
        <v>43</v>
      </c>
      <c r="J928" s="2" t="s">
        <v>44</v>
      </c>
    </row>
    <row r="929" spans="1:10" x14ac:dyDescent="0.3">
      <c r="A929" s="2" t="s">
        <v>45</v>
      </c>
      <c r="B929" s="2" t="s">
        <v>46</v>
      </c>
      <c r="C929" s="2">
        <v>19562</v>
      </c>
      <c r="D929" s="2">
        <v>28617</v>
      </c>
      <c r="E929" s="3">
        <v>44691</v>
      </c>
      <c r="F929" s="3">
        <v>44841</v>
      </c>
      <c r="G929" s="4">
        <v>1565.25</v>
      </c>
      <c r="H929" s="2">
        <v>0</v>
      </c>
      <c r="I929" s="2" t="s">
        <v>47</v>
      </c>
      <c r="J929" s="2" t="s">
        <v>44</v>
      </c>
    </row>
    <row r="930" spans="1:10" x14ac:dyDescent="0.3">
      <c r="A930" s="2" t="s">
        <v>48</v>
      </c>
      <c r="B930" s="2" t="s">
        <v>49</v>
      </c>
      <c r="C930" s="2">
        <v>18964</v>
      </c>
      <c r="D930" s="2">
        <v>27977</v>
      </c>
      <c r="E930" s="3">
        <v>44631</v>
      </c>
      <c r="F930" s="3">
        <v>44841</v>
      </c>
      <c r="G930" s="4">
        <v>13250.6</v>
      </c>
      <c r="H930" s="2">
        <v>0</v>
      </c>
      <c r="I930" s="2" t="s">
        <v>290</v>
      </c>
      <c r="J930" s="2" t="s">
        <v>40</v>
      </c>
    </row>
    <row r="931" spans="1:10" x14ac:dyDescent="0.3">
      <c r="A931" s="2" t="s">
        <v>264</v>
      </c>
      <c r="B931" s="2" t="s">
        <v>265</v>
      </c>
      <c r="C931" s="2">
        <v>19742</v>
      </c>
      <c r="D931" s="2">
        <v>28802</v>
      </c>
      <c r="E931" s="3">
        <v>44721</v>
      </c>
      <c r="F931" s="3">
        <v>44841</v>
      </c>
      <c r="G931" s="4">
        <v>65520</v>
      </c>
      <c r="H931" s="2">
        <v>0</v>
      </c>
      <c r="I931" s="2" t="s">
        <v>341</v>
      </c>
      <c r="J931" s="2" t="s">
        <v>24</v>
      </c>
    </row>
    <row r="932" spans="1:10" x14ac:dyDescent="0.3">
      <c r="A932" s="2" t="s">
        <v>48</v>
      </c>
      <c r="B932" s="2" t="s">
        <v>49</v>
      </c>
      <c r="C932" s="2">
        <v>18965</v>
      </c>
      <c r="D932" s="2">
        <v>27978</v>
      </c>
      <c r="E932" s="3">
        <v>44631</v>
      </c>
      <c r="F932" s="3">
        <v>44841</v>
      </c>
      <c r="G932" s="4">
        <v>29866.720000000001</v>
      </c>
      <c r="H932" s="2">
        <v>0</v>
      </c>
      <c r="I932" s="2" t="s">
        <v>1095</v>
      </c>
      <c r="J932" s="2" t="s">
        <v>40</v>
      </c>
    </row>
    <row r="933" spans="1:10" x14ac:dyDescent="0.3">
      <c r="A933" s="2" t="s">
        <v>53</v>
      </c>
      <c r="B933" s="2" t="s">
        <v>54</v>
      </c>
      <c r="C933" s="2">
        <v>19759</v>
      </c>
      <c r="D933" s="2">
        <v>28820</v>
      </c>
      <c r="E933" s="3">
        <v>44722</v>
      </c>
      <c r="F933" s="3">
        <v>44842</v>
      </c>
      <c r="G933" s="4">
        <v>18583.48</v>
      </c>
      <c r="H933" s="2">
        <v>0</v>
      </c>
      <c r="I933" s="2" t="s">
        <v>160</v>
      </c>
      <c r="J933" s="2" t="s">
        <v>56</v>
      </c>
    </row>
    <row r="934" spans="1:10" x14ac:dyDescent="0.3">
      <c r="A934" s="2" t="s">
        <v>179</v>
      </c>
      <c r="B934" s="2" t="s">
        <v>180</v>
      </c>
      <c r="C934" s="2">
        <v>19750</v>
      </c>
      <c r="D934" s="2">
        <v>28812</v>
      </c>
      <c r="E934" s="3">
        <v>44722</v>
      </c>
      <c r="F934" s="3">
        <v>44842</v>
      </c>
      <c r="G934" s="4">
        <v>2237.7600000000002</v>
      </c>
      <c r="H934" s="2">
        <v>0</v>
      </c>
      <c r="I934" s="2" t="s">
        <v>190</v>
      </c>
      <c r="J934" s="2" t="s">
        <v>40</v>
      </c>
    </row>
    <row r="935" spans="1:10" x14ac:dyDescent="0.3">
      <c r="A935" s="2" t="s">
        <v>53</v>
      </c>
      <c r="B935" s="2" t="s">
        <v>54</v>
      </c>
      <c r="C935" s="2">
        <v>19760</v>
      </c>
      <c r="D935" s="2">
        <v>28821</v>
      </c>
      <c r="E935" s="3">
        <v>44722</v>
      </c>
      <c r="F935" s="3">
        <v>44842</v>
      </c>
      <c r="G935" s="4">
        <v>39721.379999999997</v>
      </c>
      <c r="H935" s="2">
        <v>0</v>
      </c>
      <c r="I935" s="2" t="s">
        <v>55</v>
      </c>
      <c r="J935" s="2" t="s">
        <v>56</v>
      </c>
    </row>
    <row r="936" spans="1:10" x14ac:dyDescent="0.3">
      <c r="A936" s="2" t="s">
        <v>480</v>
      </c>
      <c r="B936" s="2" t="s">
        <v>481</v>
      </c>
      <c r="C936" s="2">
        <v>19568</v>
      </c>
      <c r="D936" s="2">
        <v>28623</v>
      </c>
      <c r="E936" s="3">
        <v>44692</v>
      </c>
      <c r="F936" s="3">
        <v>44842</v>
      </c>
      <c r="G936" s="2">
        <v>360</v>
      </c>
      <c r="H936" s="2">
        <v>0</v>
      </c>
      <c r="I936" s="2" t="s">
        <v>482</v>
      </c>
      <c r="J936" s="2" t="s">
        <v>56</v>
      </c>
    </row>
    <row r="937" spans="1:10" x14ac:dyDescent="0.3">
      <c r="A937" s="2" t="s">
        <v>179</v>
      </c>
      <c r="B937" s="2" t="s">
        <v>180</v>
      </c>
      <c r="C937" s="2">
        <v>19747</v>
      </c>
      <c r="D937" s="2">
        <v>28809</v>
      </c>
      <c r="E937" s="3">
        <v>44722</v>
      </c>
      <c r="F937" s="3">
        <v>44842</v>
      </c>
      <c r="G937" s="4">
        <v>37469.5</v>
      </c>
      <c r="H937" s="2">
        <v>0</v>
      </c>
      <c r="I937" s="2" t="s">
        <v>190</v>
      </c>
      <c r="J937" s="2" t="s">
        <v>40</v>
      </c>
    </row>
    <row r="938" spans="1:10" x14ac:dyDescent="0.3">
      <c r="A938" s="2" t="s">
        <v>48</v>
      </c>
      <c r="B938" s="2" t="s">
        <v>49</v>
      </c>
      <c r="C938" s="2">
        <v>19247</v>
      </c>
      <c r="D938" s="2">
        <v>28271</v>
      </c>
      <c r="E938" s="3">
        <v>44662</v>
      </c>
      <c r="F938" s="3">
        <v>44842</v>
      </c>
      <c r="G938" s="4">
        <v>54000</v>
      </c>
      <c r="H938" s="2">
        <v>0</v>
      </c>
      <c r="I938" s="2" t="s">
        <v>524</v>
      </c>
      <c r="J938" s="2" t="s">
        <v>40</v>
      </c>
    </row>
    <row r="939" spans="1:10" x14ac:dyDescent="0.3">
      <c r="A939" s="2" t="s">
        <v>25</v>
      </c>
      <c r="B939" s="2" t="s">
        <v>26</v>
      </c>
      <c r="C939" s="2">
        <v>19249</v>
      </c>
      <c r="D939" s="2">
        <v>28273</v>
      </c>
      <c r="E939" s="3">
        <v>44662</v>
      </c>
      <c r="F939" s="3">
        <v>44842</v>
      </c>
      <c r="G939" s="4">
        <v>110092.5</v>
      </c>
      <c r="H939" s="2">
        <v>0</v>
      </c>
      <c r="I939" s="2" t="s">
        <v>697</v>
      </c>
      <c r="J939" s="2" t="s">
        <v>28</v>
      </c>
    </row>
    <row r="940" spans="1:10" x14ac:dyDescent="0.3">
      <c r="A940" s="2" t="s">
        <v>187</v>
      </c>
      <c r="B940" s="2" t="s">
        <v>188</v>
      </c>
      <c r="C940" s="2">
        <v>19753</v>
      </c>
      <c r="D940" s="2">
        <v>28815</v>
      </c>
      <c r="E940" s="3">
        <v>44722</v>
      </c>
      <c r="F940" s="3">
        <v>44842</v>
      </c>
      <c r="G940" s="4">
        <v>5465.6</v>
      </c>
      <c r="H940" s="2">
        <v>0</v>
      </c>
      <c r="I940" s="2" t="s">
        <v>189</v>
      </c>
      <c r="J940" s="2" t="s">
        <v>40</v>
      </c>
    </row>
    <row r="941" spans="1:10" x14ac:dyDescent="0.3">
      <c r="A941" s="2" t="s">
        <v>824</v>
      </c>
      <c r="B941" s="2" t="s">
        <v>825</v>
      </c>
      <c r="C941" s="2">
        <v>19243</v>
      </c>
      <c r="D941" s="2">
        <v>28267</v>
      </c>
      <c r="E941" s="3">
        <v>44662</v>
      </c>
      <c r="F941" s="3">
        <v>44842</v>
      </c>
      <c r="G941" s="4">
        <v>27292.1</v>
      </c>
      <c r="H941" s="2">
        <v>0</v>
      </c>
      <c r="I941" s="2" t="s">
        <v>826</v>
      </c>
      <c r="J941" s="2" t="s">
        <v>36</v>
      </c>
    </row>
    <row r="942" spans="1:10" x14ac:dyDescent="0.3">
      <c r="A942" s="2" t="s">
        <v>1052</v>
      </c>
      <c r="B942" s="2" t="s">
        <v>1053</v>
      </c>
      <c r="C942" s="2">
        <v>18699</v>
      </c>
      <c r="D942" s="2">
        <v>27712</v>
      </c>
      <c r="E942" s="3">
        <v>44602</v>
      </c>
      <c r="F942" s="3">
        <v>44842</v>
      </c>
      <c r="G942" s="4">
        <v>39121.199999999997</v>
      </c>
      <c r="H942" s="2">
        <v>0</v>
      </c>
      <c r="I942" s="2" t="s">
        <v>1054</v>
      </c>
      <c r="J942" s="2" t="s">
        <v>132</v>
      </c>
    </row>
    <row r="943" spans="1:10" x14ac:dyDescent="0.3">
      <c r="A943" s="2" t="s">
        <v>48</v>
      </c>
      <c r="B943" s="2" t="s">
        <v>49</v>
      </c>
      <c r="C943" s="2">
        <v>19570</v>
      </c>
      <c r="D943" s="2">
        <v>28628</v>
      </c>
      <c r="E943" s="3">
        <v>44692</v>
      </c>
      <c r="F943" s="3">
        <v>44842</v>
      </c>
      <c r="G943" s="4">
        <v>59745</v>
      </c>
      <c r="H943" s="2">
        <v>0</v>
      </c>
      <c r="I943" s="2" t="s">
        <v>1128</v>
      </c>
      <c r="J943" s="2" t="s">
        <v>40</v>
      </c>
    </row>
    <row r="944" spans="1:10" x14ac:dyDescent="0.3">
      <c r="A944" s="2" t="s">
        <v>48</v>
      </c>
      <c r="B944" s="2" t="s">
        <v>49</v>
      </c>
      <c r="C944" s="2">
        <v>19903</v>
      </c>
      <c r="D944" s="2">
        <v>28974</v>
      </c>
      <c r="E944" s="3">
        <v>44753</v>
      </c>
      <c r="F944" s="3">
        <v>44843</v>
      </c>
      <c r="G944" s="4">
        <v>122220</v>
      </c>
      <c r="H944" s="2">
        <v>0</v>
      </c>
      <c r="I944" s="2" t="s">
        <v>241</v>
      </c>
      <c r="J944" s="2" t="s">
        <v>40</v>
      </c>
    </row>
    <row r="945" spans="1:10" x14ac:dyDescent="0.3">
      <c r="A945" s="2" t="s">
        <v>48</v>
      </c>
      <c r="B945" s="2" t="s">
        <v>49</v>
      </c>
      <c r="C945" s="2">
        <v>19261</v>
      </c>
      <c r="D945" s="2">
        <v>28288</v>
      </c>
      <c r="E945" s="3">
        <v>44663</v>
      </c>
      <c r="F945" s="3">
        <v>44843</v>
      </c>
      <c r="G945" s="4">
        <v>54000</v>
      </c>
      <c r="H945" s="2">
        <v>0</v>
      </c>
      <c r="I945" s="2" t="s">
        <v>262</v>
      </c>
      <c r="J945" s="2" t="s">
        <v>40</v>
      </c>
    </row>
    <row r="946" spans="1:10" x14ac:dyDescent="0.3">
      <c r="A946" s="2" t="s">
        <v>85</v>
      </c>
      <c r="B946" s="2" t="s">
        <v>83</v>
      </c>
      <c r="C946" s="2">
        <v>19573</v>
      </c>
      <c r="D946" s="2">
        <v>28632</v>
      </c>
      <c r="E946" s="3">
        <v>44693</v>
      </c>
      <c r="F946" s="3">
        <v>44843</v>
      </c>
      <c r="G946" s="4">
        <v>2929.5</v>
      </c>
      <c r="H946" s="2">
        <v>0</v>
      </c>
      <c r="I946" s="2" t="s">
        <v>306</v>
      </c>
      <c r="J946" s="2" t="s">
        <v>40</v>
      </c>
    </row>
    <row r="947" spans="1:10" x14ac:dyDescent="0.3">
      <c r="A947" s="2" t="s">
        <v>242</v>
      </c>
      <c r="B947" s="2" t="s">
        <v>243</v>
      </c>
      <c r="C947" s="2">
        <v>19911</v>
      </c>
      <c r="D947" s="2">
        <v>28981</v>
      </c>
      <c r="E947" s="3">
        <v>44753</v>
      </c>
      <c r="F947" s="3">
        <v>44843</v>
      </c>
      <c r="G947" s="4">
        <v>34000</v>
      </c>
      <c r="H947" s="2">
        <v>0</v>
      </c>
      <c r="I947" s="2" t="s">
        <v>484</v>
      </c>
      <c r="J947" s="2" t="s">
        <v>40</v>
      </c>
    </row>
    <row r="948" spans="1:10" x14ac:dyDescent="0.3">
      <c r="A948" s="2" t="s">
        <v>48</v>
      </c>
      <c r="B948" s="2" t="s">
        <v>49</v>
      </c>
      <c r="C948" s="2">
        <v>19260</v>
      </c>
      <c r="D948" s="2">
        <v>28287</v>
      </c>
      <c r="E948" s="3">
        <v>44663</v>
      </c>
      <c r="F948" s="3">
        <v>44843</v>
      </c>
      <c r="G948" s="4">
        <v>117720</v>
      </c>
      <c r="H948" s="2">
        <v>0</v>
      </c>
      <c r="I948" s="2" t="s">
        <v>881</v>
      </c>
      <c r="J948" s="2" t="s">
        <v>40</v>
      </c>
    </row>
    <row r="949" spans="1:10" x14ac:dyDescent="0.3">
      <c r="A949" s="2" t="s">
        <v>255</v>
      </c>
      <c r="B949" s="2" t="s">
        <v>256</v>
      </c>
      <c r="C949" s="2">
        <v>18709</v>
      </c>
      <c r="D949" s="2">
        <v>27723</v>
      </c>
      <c r="E949" s="3">
        <v>44603</v>
      </c>
      <c r="F949" s="3">
        <v>44843</v>
      </c>
      <c r="G949" s="4">
        <v>178480</v>
      </c>
      <c r="H949" s="2">
        <v>0</v>
      </c>
      <c r="I949" s="2" t="s">
        <v>927</v>
      </c>
      <c r="J949" s="2" t="s">
        <v>173</v>
      </c>
    </row>
    <row r="950" spans="1:10" x14ac:dyDescent="0.3">
      <c r="A950" s="2" t="s">
        <v>480</v>
      </c>
      <c r="B950" s="2" t="s">
        <v>481</v>
      </c>
      <c r="C950" s="2">
        <v>19902</v>
      </c>
      <c r="D950" s="2">
        <v>28972</v>
      </c>
      <c r="E950" s="3">
        <v>44753</v>
      </c>
      <c r="F950" s="3">
        <v>44843</v>
      </c>
      <c r="G950" s="4">
        <v>15206.1</v>
      </c>
      <c r="H950" s="2">
        <v>0</v>
      </c>
      <c r="I950" s="2" t="s">
        <v>966</v>
      </c>
      <c r="J950" s="2" t="s">
        <v>56</v>
      </c>
    </row>
    <row r="951" spans="1:10" x14ac:dyDescent="0.3">
      <c r="A951" s="2" t="s">
        <v>48</v>
      </c>
      <c r="B951" s="2" t="s">
        <v>49</v>
      </c>
      <c r="C951" s="2">
        <v>19577</v>
      </c>
      <c r="D951" s="2">
        <v>28636</v>
      </c>
      <c r="E951" s="3">
        <v>44693</v>
      </c>
      <c r="F951" s="3">
        <v>44843</v>
      </c>
      <c r="G951" s="4">
        <v>59745</v>
      </c>
      <c r="H951" s="2">
        <v>0</v>
      </c>
      <c r="I951" s="2" t="s">
        <v>1017</v>
      </c>
      <c r="J951" s="2" t="s">
        <v>40</v>
      </c>
    </row>
    <row r="952" spans="1:10" x14ac:dyDescent="0.3">
      <c r="A952" s="2" t="s">
        <v>25</v>
      </c>
      <c r="B952" s="2" t="s">
        <v>26</v>
      </c>
      <c r="C952" s="2">
        <v>19256</v>
      </c>
      <c r="D952" s="2">
        <v>28283</v>
      </c>
      <c r="E952" s="3">
        <v>44663</v>
      </c>
      <c r="F952" s="3">
        <v>44843</v>
      </c>
      <c r="G952" s="4">
        <v>125280</v>
      </c>
      <c r="H952" s="2">
        <v>0</v>
      </c>
      <c r="I952" s="2" t="s">
        <v>326</v>
      </c>
      <c r="J952" s="2" t="s">
        <v>28</v>
      </c>
    </row>
    <row r="953" spans="1:10" x14ac:dyDescent="0.3">
      <c r="A953" s="2" t="s">
        <v>82</v>
      </c>
      <c r="B953" s="2" t="s">
        <v>83</v>
      </c>
      <c r="C953" s="2">
        <v>19266</v>
      </c>
      <c r="D953" s="2">
        <v>28296</v>
      </c>
      <c r="E953" s="3">
        <v>44664</v>
      </c>
      <c r="F953" s="3">
        <v>44844</v>
      </c>
      <c r="G953" s="4">
        <v>78240</v>
      </c>
      <c r="H953" s="2">
        <v>0</v>
      </c>
      <c r="I953" s="2" t="s">
        <v>149</v>
      </c>
      <c r="J953" s="2" t="s">
        <v>40</v>
      </c>
    </row>
    <row r="954" spans="1:10" x14ac:dyDescent="0.3">
      <c r="A954" s="2" t="s">
        <v>48</v>
      </c>
      <c r="B954" s="2" t="s">
        <v>49</v>
      </c>
      <c r="C954" s="2">
        <v>19265</v>
      </c>
      <c r="D954" s="2">
        <v>28295</v>
      </c>
      <c r="E954" s="3">
        <v>44664</v>
      </c>
      <c r="F954" s="3">
        <v>44844</v>
      </c>
      <c r="G954" s="4">
        <v>54000</v>
      </c>
      <c r="H954" s="2">
        <v>0</v>
      </c>
      <c r="I954" s="2" t="s">
        <v>182</v>
      </c>
      <c r="J954" s="2" t="s">
        <v>40</v>
      </c>
    </row>
    <row r="955" spans="1:10" x14ac:dyDescent="0.3">
      <c r="A955" s="2" t="s">
        <v>48</v>
      </c>
      <c r="B955" s="2" t="s">
        <v>49</v>
      </c>
      <c r="C955" s="2">
        <v>19580</v>
      </c>
      <c r="D955" s="2">
        <v>28639</v>
      </c>
      <c r="E955" s="3">
        <v>44694</v>
      </c>
      <c r="F955" s="3">
        <v>44844</v>
      </c>
      <c r="G955" s="4">
        <v>55755</v>
      </c>
      <c r="H955" s="2">
        <v>0</v>
      </c>
      <c r="I955" s="2" t="s">
        <v>327</v>
      </c>
      <c r="J955" s="2" t="s">
        <v>40</v>
      </c>
    </row>
    <row r="956" spans="1:10" x14ac:dyDescent="0.3">
      <c r="A956" s="2" t="s">
        <v>234</v>
      </c>
      <c r="B956" s="2" t="s">
        <v>235</v>
      </c>
      <c r="C956" s="2">
        <v>19263</v>
      </c>
      <c r="D956" s="2">
        <v>28290</v>
      </c>
      <c r="E956" s="3">
        <v>44664</v>
      </c>
      <c r="F956" s="3">
        <v>44844</v>
      </c>
      <c r="G956" s="4">
        <v>55904.800000000003</v>
      </c>
      <c r="H956" s="2">
        <v>0</v>
      </c>
      <c r="I956" s="2" t="s">
        <v>464</v>
      </c>
      <c r="J956" s="2" t="s">
        <v>56</v>
      </c>
    </row>
    <row r="957" spans="1:10" x14ac:dyDescent="0.3">
      <c r="A957" s="2" t="s">
        <v>119</v>
      </c>
      <c r="B957" s="2" t="s">
        <v>120</v>
      </c>
      <c r="C957" s="2">
        <v>19731</v>
      </c>
      <c r="D957" s="2">
        <v>28792</v>
      </c>
      <c r="E957" s="3">
        <v>44719</v>
      </c>
      <c r="F957" s="3">
        <v>44844</v>
      </c>
      <c r="G957" s="4">
        <v>93497.4</v>
      </c>
      <c r="H957" s="2">
        <v>0</v>
      </c>
      <c r="I957" s="2" t="s">
        <v>863</v>
      </c>
      <c r="J957" s="2" t="s">
        <v>36</v>
      </c>
    </row>
    <row r="958" spans="1:10" x14ac:dyDescent="0.3">
      <c r="A958" s="2" t="s">
        <v>68</v>
      </c>
      <c r="B958" s="2" t="s">
        <v>69</v>
      </c>
      <c r="C958" s="2">
        <v>19268</v>
      </c>
      <c r="D958" s="2">
        <v>28298</v>
      </c>
      <c r="E958" s="3">
        <v>44664</v>
      </c>
      <c r="F958" s="3">
        <v>44844</v>
      </c>
      <c r="G958" s="4">
        <v>24000</v>
      </c>
      <c r="H958" s="2">
        <v>0</v>
      </c>
      <c r="I958" s="2" t="s">
        <v>951</v>
      </c>
      <c r="J958" s="2" t="s">
        <v>40</v>
      </c>
    </row>
    <row r="959" spans="1:10" x14ac:dyDescent="0.3">
      <c r="A959" s="2" t="s">
        <v>68</v>
      </c>
      <c r="B959" s="2" t="s">
        <v>69</v>
      </c>
      <c r="C959" s="2">
        <v>19270</v>
      </c>
      <c r="D959" s="2">
        <v>28300</v>
      </c>
      <c r="E959" s="3">
        <v>44664</v>
      </c>
      <c r="F959" s="3">
        <v>44844</v>
      </c>
      <c r="G959" s="4">
        <v>36000</v>
      </c>
      <c r="H959" s="2">
        <v>0</v>
      </c>
      <c r="I959" s="2" t="s">
        <v>1041</v>
      </c>
      <c r="J959" s="2" t="s">
        <v>40</v>
      </c>
    </row>
    <row r="960" spans="1:10" x14ac:dyDescent="0.3">
      <c r="A960" s="2" t="s">
        <v>82</v>
      </c>
      <c r="B960" s="2" t="s">
        <v>83</v>
      </c>
      <c r="C960" s="2">
        <v>19269</v>
      </c>
      <c r="D960" s="2">
        <v>28299</v>
      </c>
      <c r="E960" s="3">
        <v>44664</v>
      </c>
      <c r="F960" s="3">
        <v>44844</v>
      </c>
      <c r="G960" s="4">
        <v>12000</v>
      </c>
      <c r="H960" s="2">
        <v>0</v>
      </c>
      <c r="I960" s="2" t="s">
        <v>1117</v>
      </c>
      <c r="J960" s="2" t="s">
        <v>40</v>
      </c>
    </row>
    <row r="961" spans="1:10" x14ac:dyDescent="0.3">
      <c r="A961" s="2" t="s">
        <v>48</v>
      </c>
      <c r="B961" s="2" t="s">
        <v>49</v>
      </c>
      <c r="C961" s="2">
        <v>19281</v>
      </c>
      <c r="D961" s="2">
        <v>28318</v>
      </c>
      <c r="E961" s="3">
        <v>44665</v>
      </c>
      <c r="F961" s="3">
        <v>44845</v>
      </c>
      <c r="G961" s="4">
        <v>54000</v>
      </c>
      <c r="H961" s="2">
        <v>0</v>
      </c>
      <c r="I961" s="2" t="s">
        <v>358</v>
      </c>
      <c r="J961" s="2" t="s">
        <v>40</v>
      </c>
    </row>
    <row r="962" spans="1:10" x14ac:dyDescent="0.3">
      <c r="A962" s="2" t="s">
        <v>630</v>
      </c>
      <c r="B962" s="2" t="s">
        <v>631</v>
      </c>
      <c r="C962" s="2">
        <v>19917</v>
      </c>
      <c r="D962" s="2">
        <v>28987</v>
      </c>
      <c r="E962" s="3">
        <v>44755</v>
      </c>
      <c r="F962" s="3">
        <v>44845</v>
      </c>
      <c r="G962" s="4">
        <v>26690</v>
      </c>
      <c r="H962" s="2">
        <v>0</v>
      </c>
      <c r="I962" s="2" t="s">
        <v>684</v>
      </c>
      <c r="J962" s="2" t="s">
        <v>32</v>
      </c>
    </row>
    <row r="963" spans="1:10" x14ac:dyDescent="0.3">
      <c r="A963" s="2" t="s">
        <v>630</v>
      </c>
      <c r="B963" s="2" t="s">
        <v>631</v>
      </c>
      <c r="C963" s="2">
        <v>19926</v>
      </c>
      <c r="D963" s="2">
        <v>28993</v>
      </c>
      <c r="E963" s="3">
        <v>44755</v>
      </c>
      <c r="F963" s="3">
        <v>44845</v>
      </c>
      <c r="G963" s="4">
        <v>4177.5</v>
      </c>
      <c r="H963" s="2">
        <v>0</v>
      </c>
      <c r="I963" s="2" t="s">
        <v>782</v>
      </c>
      <c r="J963" s="2" t="s">
        <v>32</v>
      </c>
    </row>
    <row r="964" spans="1:10" x14ac:dyDescent="0.3">
      <c r="A964" s="2" t="s">
        <v>264</v>
      </c>
      <c r="B964" s="2" t="s">
        <v>265</v>
      </c>
      <c r="C964" s="2">
        <v>19921</v>
      </c>
      <c r="D964" s="2">
        <v>28990</v>
      </c>
      <c r="E964" s="3">
        <v>44755</v>
      </c>
      <c r="F964" s="3">
        <v>44845</v>
      </c>
      <c r="G964" s="4">
        <v>129078.9</v>
      </c>
      <c r="H964" s="2">
        <v>0</v>
      </c>
      <c r="I964" s="2" t="s">
        <v>795</v>
      </c>
      <c r="J964" s="2" t="s">
        <v>24</v>
      </c>
    </row>
    <row r="965" spans="1:10" x14ac:dyDescent="0.3">
      <c r="A965" s="2" t="s">
        <v>48</v>
      </c>
      <c r="B965" s="2" t="s">
        <v>49</v>
      </c>
      <c r="C965" s="2">
        <v>19927</v>
      </c>
      <c r="D965" s="2">
        <v>28994</v>
      </c>
      <c r="E965" s="3">
        <v>44755</v>
      </c>
      <c r="F965" s="3">
        <v>44845</v>
      </c>
      <c r="G965" s="4">
        <v>122220</v>
      </c>
      <c r="H965" s="2">
        <v>0</v>
      </c>
      <c r="I965" s="2" t="s">
        <v>1131</v>
      </c>
      <c r="J965" s="2" t="s">
        <v>40</v>
      </c>
    </row>
    <row r="966" spans="1:10" x14ac:dyDescent="0.3">
      <c r="A966" s="2" t="s">
        <v>25</v>
      </c>
      <c r="B966" s="2" t="s">
        <v>26</v>
      </c>
      <c r="C966" s="2">
        <v>19008</v>
      </c>
      <c r="D966" s="2">
        <v>28018</v>
      </c>
      <c r="E966" s="3">
        <v>44636</v>
      </c>
      <c r="F966" s="3">
        <v>44846</v>
      </c>
      <c r="G966" s="4">
        <v>6050</v>
      </c>
      <c r="H966" s="2">
        <v>0</v>
      </c>
      <c r="I966" s="2" t="s">
        <v>1096</v>
      </c>
      <c r="J966" s="2" t="s">
        <v>28</v>
      </c>
    </row>
    <row r="967" spans="1:10" x14ac:dyDescent="0.3">
      <c r="A967" s="2" t="s">
        <v>25</v>
      </c>
      <c r="B967" s="2" t="s">
        <v>26</v>
      </c>
      <c r="C967" s="2">
        <v>19009</v>
      </c>
      <c r="D967" s="2">
        <v>28019</v>
      </c>
      <c r="E967" s="3">
        <v>44636</v>
      </c>
      <c r="F967" s="3">
        <v>44846</v>
      </c>
      <c r="G967" s="4">
        <v>172240</v>
      </c>
      <c r="H967" s="2">
        <v>0</v>
      </c>
      <c r="I967" s="2" t="s">
        <v>1123</v>
      </c>
      <c r="J967" s="2" t="s">
        <v>28</v>
      </c>
    </row>
    <row r="968" spans="1:10" x14ac:dyDescent="0.3">
      <c r="A968" s="2" t="s">
        <v>68</v>
      </c>
      <c r="B968" s="2" t="s">
        <v>69</v>
      </c>
      <c r="C968" s="2">
        <v>19581</v>
      </c>
      <c r="D968" s="2">
        <v>28641</v>
      </c>
      <c r="E968" s="3">
        <v>44697</v>
      </c>
      <c r="F968" s="3">
        <v>44847</v>
      </c>
      <c r="G968" s="4">
        <v>61125</v>
      </c>
      <c r="H968" s="2">
        <v>0</v>
      </c>
      <c r="I968" s="2" t="s">
        <v>682</v>
      </c>
      <c r="J968" s="2" t="s">
        <v>40</v>
      </c>
    </row>
    <row r="969" spans="1:10" x14ac:dyDescent="0.3">
      <c r="A969" s="2" t="s">
        <v>48</v>
      </c>
      <c r="B969" s="2" t="s">
        <v>49</v>
      </c>
      <c r="C969" s="2">
        <v>19584</v>
      </c>
      <c r="D969" s="2">
        <v>28645</v>
      </c>
      <c r="E969" s="3">
        <v>44697</v>
      </c>
      <c r="F969" s="3">
        <v>44847</v>
      </c>
      <c r="G969" s="4">
        <v>55755</v>
      </c>
      <c r="H969" s="2">
        <v>0</v>
      </c>
      <c r="I969" s="2" t="s">
        <v>1061</v>
      </c>
      <c r="J969" s="2" t="s">
        <v>40</v>
      </c>
    </row>
    <row r="970" spans="1:10" x14ac:dyDescent="0.3">
      <c r="A970" s="2" t="s">
        <v>68</v>
      </c>
      <c r="B970" s="2" t="s">
        <v>69</v>
      </c>
      <c r="C970" s="2">
        <v>19596</v>
      </c>
      <c r="D970" s="2">
        <v>28661</v>
      </c>
      <c r="E970" s="3">
        <v>44698</v>
      </c>
      <c r="F970" s="3">
        <v>44848</v>
      </c>
      <c r="G970" s="4">
        <v>78240</v>
      </c>
      <c r="H970" s="2">
        <v>0</v>
      </c>
      <c r="I970" s="2" t="s">
        <v>487</v>
      </c>
      <c r="J970" s="2" t="s">
        <v>40</v>
      </c>
    </row>
    <row r="971" spans="1:10" x14ac:dyDescent="0.3">
      <c r="A971" s="2" t="s">
        <v>21</v>
      </c>
      <c r="B971" s="2" t="s">
        <v>22</v>
      </c>
      <c r="C971" s="2">
        <v>19600</v>
      </c>
      <c r="D971" s="2">
        <v>28664</v>
      </c>
      <c r="E971" s="3">
        <v>44699</v>
      </c>
      <c r="F971" s="3">
        <v>44849</v>
      </c>
      <c r="G971" s="4">
        <v>22757.72</v>
      </c>
      <c r="H971" s="2">
        <v>0</v>
      </c>
      <c r="I971" s="2" t="s">
        <v>123</v>
      </c>
      <c r="J971" s="2" t="s">
        <v>24</v>
      </c>
    </row>
    <row r="972" spans="1:10" x14ac:dyDescent="0.3">
      <c r="A972" s="2" t="s">
        <v>53</v>
      </c>
      <c r="B972" s="2" t="s">
        <v>54</v>
      </c>
      <c r="C972" s="2">
        <v>19474</v>
      </c>
      <c r="D972" s="2">
        <v>28527</v>
      </c>
      <c r="E972" s="3">
        <v>44685</v>
      </c>
      <c r="F972" s="3">
        <v>44850</v>
      </c>
      <c r="G972" s="4">
        <v>18583.48</v>
      </c>
      <c r="H972" s="2">
        <v>0</v>
      </c>
      <c r="I972" s="2" t="s">
        <v>303</v>
      </c>
      <c r="J972" s="2" t="s">
        <v>56</v>
      </c>
    </row>
    <row r="973" spans="1:10" x14ac:dyDescent="0.3">
      <c r="A973" s="2" t="s">
        <v>85</v>
      </c>
      <c r="B973" s="2" t="s">
        <v>83</v>
      </c>
      <c r="C973" s="2">
        <v>19319</v>
      </c>
      <c r="D973" s="2">
        <v>28357</v>
      </c>
      <c r="E973" s="3">
        <v>44670</v>
      </c>
      <c r="F973" s="3">
        <v>44850</v>
      </c>
      <c r="G973" s="4">
        <v>86630.25</v>
      </c>
      <c r="H973" s="2">
        <v>0</v>
      </c>
      <c r="I973" s="2" t="s">
        <v>324</v>
      </c>
      <c r="J973" s="2" t="s">
        <v>40</v>
      </c>
    </row>
    <row r="974" spans="1:10" x14ac:dyDescent="0.3">
      <c r="A974" s="2" t="s">
        <v>53</v>
      </c>
      <c r="B974" s="2" t="s">
        <v>54</v>
      </c>
      <c r="C974" s="2">
        <v>19473</v>
      </c>
      <c r="D974" s="2">
        <v>28526</v>
      </c>
      <c r="E974" s="3">
        <v>44685</v>
      </c>
      <c r="F974" s="3">
        <v>44850</v>
      </c>
      <c r="G974" s="4">
        <v>15889.54</v>
      </c>
      <c r="H974" s="2">
        <v>0</v>
      </c>
      <c r="I974" s="2" t="s">
        <v>334</v>
      </c>
      <c r="J974" s="2" t="s">
        <v>56</v>
      </c>
    </row>
    <row r="975" spans="1:10" x14ac:dyDescent="0.3">
      <c r="A975" s="2" t="s">
        <v>587</v>
      </c>
      <c r="B975" s="2" t="s">
        <v>588</v>
      </c>
      <c r="C975" s="2">
        <v>19940</v>
      </c>
      <c r="D975" s="2">
        <v>29009</v>
      </c>
      <c r="E975" s="3">
        <v>44760</v>
      </c>
      <c r="F975" s="3">
        <v>44850</v>
      </c>
      <c r="G975" s="4">
        <v>3527.5</v>
      </c>
      <c r="H975" s="2">
        <v>0</v>
      </c>
      <c r="I975" s="2" t="s">
        <v>589</v>
      </c>
      <c r="J975" s="2" t="s">
        <v>157</v>
      </c>
    </row>
    <row r="976" spans="1:10" x14ac:dyDescent="0.3">
      <c r="A976" s="2" t="s">
        <v>68</v>
      </c>
      <c r="B976" s="2" t="s">
        <v>69</v>
      </c>
      <c r="C976" s="2">
        <v>19321</v>
      </c>
      <c r="D976" s="2">
        <v>28359</v>
      </c>
      <c r="E976" s="3">
        <v>44670</v>
      </c>
      <c r="F976" s="3">
        <v>44850</v>
      </c>
      <c r="G976" s="4">
        <v>89617.5</v>
      </c>
      <c r="H976" s="2">
        <v>0</v>
      </c>
      <c r="I976" s="2" t="s">
        <v>843</v>
      </c>
      <c r="J976" s="2" t="s">
        <v>40</v>
      </c>
    </row>
    <row r="977" spans="1:10" x14ac:dyDescent="0.3">
      <c r="A977" s="2" t="s">
        <v>53</v>
      </c>
      <c r="B977" s="2" t="s">
        <v>54</v>
      </c>
      <c r="C977" s="2">
        <v>19475</v>
      </c>
      <c r="D977" s="2">
        <v>28528</v>
      </c>
      <c r="E977" s="3">
        <v>44685</v>
      </c>
      <c r="F977" s="3">
        <v>44850</v>
      </c>
      <c r="G977" s="4">
        <v>18583.48</v>
      </c>
      <c r="H977" s="2">
        <v>0</v>
      </c>
      <c r="I977" s="2" t="s">
        <v>954</v>
      </c>
      <c r="J977" s="2" t="s">
        <v>56</v>
      </c>
    </row>
    <row r="978" spans="1:10" x14ac:dyDescent="0.3">
      <c r="A978" s="2" t="s">
        <v>758</v>
      </c>
      <c r="B978" s="2" t="s">
        <v>759</v>
      </c>
      <c r="C978" s="2">
        <v>19938</v>
      </c>
      <c r="D978" s="2">
        <v>29007</v>
      </c>
      <c r="E978" s="3">
        <v>44760</v>
      </c>
      <c r="F978" s="3">
        <v>44850</v>
      </c>
      <c r="G978" s="4">
        <v>22403.3</v>
      </c>
      <c r="H978" s="2">
        <v>0</v>
      </c>
      <c r="I978" s="2" t="s">
        <v>760</v>
      </c>
      <c r="J978" s="2" t="s">
        <v>32</v>
      </c>
    </row>
    <row r="979" spans="1:10" x14ac:dyDescent="0.3">
      <c r="A979" s="2" t="s">
        <v>48</v>
      </c>
      <c r="B979" s="2" t="s">
        <v>49</v>
      </c>
      <c r="C979" s="2">
        <v>19314</v>
      </c>
      <c r="D979" s="2">
        <v>28352</v>
      </c>
      <c r="E979" s="3">
        <v>44670</v>
      </c>
      <c r="F979" s="3">
        <v>44850</v>
      </c>
      <c r="G979" s="4">
        <v>80480</v>
      </c>
      <c r="H979" s="2">
        <v>0</v>
      </c>
      <c r="I979" s="2" t="s">
        <v>1001</v>
      </c>
      <c r="J979" s="2" t="s">
        <v>40</v>
      </c>
    </row>
    <row r="980" spans="1:10" x14ac:dyDescent="0.3">
      <c r="A980" s="2" t="s">
        <v>25</v>
      </c>
      <c r="B980" s="2" t="s">
        <v>26</v>
      </c>
      <c r="C980" s="2">
        <v>19308</v>
      </c>
      <c r="D980" s="2">
        <v>28348</v>
      </c>
      <c r="E980" s="3">
        <v>44670</v>
      </c>
      <c r="F980" s="3">
        <v>44850</v>
      </c>
      <c r="G980" s="4">
        <v>105300</v>
      </c>
      <c r="H980" s="2">
        <v>0</v>
      </c>
      <c r="I980" s="2" t="s">
        <v>1059</v>
      </c>
      <c r="J980" s="2" t="s">
        <v>28</v>
      </c>
    </row>
    <row r="981" spans="1:10" x14ac:dyDescent="0.3">
      <c r="A981" s="2" t="s">
        <v>48</v>
      </c>
      <c r="B981" s="2" t="s">
        <v>49</v>
      </c>
      <c r="C981" s="2">
        <v>19603</v>
      </c>
      <c r="D981" s="2">
        <v>28667</v>
      </c>
      <c r="E981" s="3">
        <v>44700</v>
      </c>
      <c r="F981" s="3">
        <v>44850</v>
      </c>
      <c r="G981" s="4">
        <v>55755</v>
      </c>
      <c r="H981" s="2">
        <v>0</v>
      </c>
      <c r="I981" s="2" t="s">
        <v>1119</v>
      </c>
      <c r="J981" s="2" t="s">
        <v>40</v>
      </c>
    </row>
    <row r="982" spans="1:10" x14ac:dyDescent="0.3">
      <c r="A982" s="2" t="s">
        <v>85</v>
      </c>
      <c r="B982" s="2" t="s">
        <v>83</v>
      </c>
      <c r="C982" s="2">
        <v>19325</v>
      </c>
      <c r="D982" s="2">
        <v>28368</v>
      </c>
      <c r="E982" s="3">
        <v>44671</v>
      </c>
      <c r="F982" s="3">
        <v>44851</v>
      </c>
      <c r="G982" s="4">
        <v>32859.75</v>
      </c>
      <c r="H982" s="2">
        <v>0</v>
      </c>
      <c r="I982" s="2" t="s">
        <v>263</v>
      </c>
      <c r="J982" s="2" t="s">
        <v>40</v>
      </c>
    </row>
    <row r="983" spans="1:10" x14ac:dyDescent="0.3">
      <c r="A983" s="2" t="s">
        <v>25</v>
      </c>
      <c r="B983" s="2" t="s">
        <v>26</v>
      </c>
      <c r="C983" s="2">
        <v>19617</v>
      </c>
      <c r="D983" s="2">
        <v>28683</v>
      </c>
      <c r="E983" s="3">
        <v>44701</v>
      </c>
      <c r="F983" s="3">
        <v>44851</v>
      </c>
      <c r="G983" s="4">
        <v>58350</v>
      </c>
      <c r="H983" s="2">
        <v>0</v>
      </c>
      <c r="I983" s="2" t="s">
        <v>326</v>
      </c>
      <c r="J983" s="2" t="s">
        <v>28</v>
      </c>
    </row>
    <row r="984" spans="1:10" x14ac:dyDescent="0.3">
      <c r="A984" s="2" t="s">
        <v>68</v>
      </c>
      <c r="B984" s="2" t="s">
        <v>69</v>
      </c>
      <c r="C984" s="2">
        <v>19322</v>
      </c>
      <c r="D984" s="2">
        <v>28363</v>
      </c>
      <c r="E984" s="3">
        <v>44671</v>
      </c>
      <c r="F984" s="3">
        <v>44851</v>
      </c>
      <c r="G984" s="4">
        <v>85627.5</v>
      </c>
      <c r="H984" s="2">
        <v>0</v>
      </c>
      <c r="I984" s="2" t="s">
        <v>562</v>
      </c>
      <c r="J984" s="2" t="s">
        <v>40</v>
      </c>
    </row>
    <row r="985" spans="1:10" x14ac:dyDescent="0.3">
      <c r="A985" s="2" t="s">
        <v>25</v>
      </c>
      <c r="B985" s="2" t="s">
        <v>26</v>
      </c>
      <c r="C985" s="2">
        <v>19326</v>
      </c>
      <c r="D985" s="2">
        <v>28369</v>
      </c>
      <c r="E985" s="3">
        <v>44671</v>
      </c>
      <c r="F985" s="3">
        <v>44851</v>
      </c>
      <c r="G985" s="4">
        <v>82972.25</v>
      </c>
      <c r="H985" s="2">
        <v>0</v>
      </c>
      <c r="I985" s="2" t="s">
        <v>757</v>
      </c>
      <c r="J985" s="2" t="s">
        <v>28</v>
      </c>
    </row>
    <row r="986" spans="1:10" x14ac:dyDescent="0.3">
      <c r="A986" s="2" t="s">
        <v>48</v>
      </c>
      <c r="B986" s="2" t="s">
        <v>49</v>
      </c>
      <c r="C986" s="2">
        <v>19605</v>
      </c>
      <c r="D986" s="2">
        <v>28670</v>
      </c>
      <c r="E986" s="3">
        <v>44701</v>
      </c>
      <c r="F986" s="3">
        <v>44851</v>
      </c>
      <c r="G986" s="4">
        <v>58590</v>
      </c>
      <c r="H986" s="2">
        <v>0</v>
      </c>
      <c r="I986" s="2" t="s">
        <v>1103</v>
      </c>
      <c r="J986" s="2" t="s">
        <v>40</v>
      </c>
    </row>
    <row r="987" spans="1:10" x14ac:dyDescent="0.3">
      <c r="A987" s="2" t="s">
        <v>293</v>
      </c>
      <c r="B987" s="2" t="s">
        <v>294</v>
      </c>
      <c r="C987" s="2">
        <v>19785</v>
      </c>
      <c r="D987" s="2">
        <v>28851</v>
      </c>
      <c r="E987" s="3">
        <v>44732</v>
      </c>
      <c r="F987" s="3">
        <v>44852</v>
      </c>
      <c r="G987" s="4">
        <v>1061.4000000000001</v>
      </c>
      <c r="H987" s="2">
        <v>0</v>
      </c>
      <c r="I987" s="2" t="s">
        <v>885</v>
      </c>
      <c r="J987" s="2" t="s">
        <v>24</v>
      </c>
    </row>
    <row r="988" spans="1:10" x14ac:dyDescent="0.3">
      <c r="A988" s="2" t="s">
        <v>170</v>
      </c>
      <c r="B988" s="2" t="s">
        <v>171</v>
      </c>
      <c r="C988" s="2">
        <v>18780</v>
      </c>
      <c r="D988" s="2">
        <v>27800</v>
      </c>
      <c r="E988" s="3">
        <v>44613</v>
      </c>
      <c r="F988" s="3">
        <v>44853</v>
      </c>
      <c r="G988" s="4">
        <v>287728</v>
      </c>
      <c r="H988" s="2">
        <v>0</v>
      </c>
      <c r="I988" s="2" t="s">
        <v>172</v>
      </c>
      <c r="J988" s="2" t="s">
        <v>173</v>
      </c>
    </row>
    <row r="989" spans="1:10" x14ac:dyDescent="0.3">
      <c r="A989" s="2" t="s">
        <v>48</v>
      </c>
      <c r="B989" s="2" t="s">
        <v>49</v>
      </c>
      <c r="C989" s="2">
        <v>19327</v>
      </c>
      <c r="D989" s="2">
        <v>28370</v>
      </c>
      <c r="E989" s="3">
        <v>44673</v>
      </c>
      <c r="F989" s="3">
        <v>44853</v>
      </c>
      <c r="G989" s="4">
        <v>59745</v>
      </c>
      <c r="H989" s="2">
        <v>0</v>
      </c>
      <c r="I989" s="2" t="s">
        <v>537</v>
      </c>
      <c r="J989" s="2" t="s">
        <v>40</v>
      </c>
    </row>
    <row r="990" spans="1:10" x14ac:dyDescent="0.3">
      <c r="A990" s="2" t="s">
        <v>73</v>
      </c>
      <c r="B990" s="2" t="s">
        <v>74</v>
      </c>
      <c r="C990" s="2">
        <v>19797</v>
      </c>
      <c r="D990" s="2">
        <v>28860</v>
      </c>
      <c r="E990" s="3">
        <v>44733</v>
      </c>
      <c r="F990" s="3">
        <v>44853</v>
      </c>
      <c r="G990" s="4">
        <v>2826</v>
      </c>
      <c r="H990" s="2">
        <v>0</v>
      </c>
      <c r="I990" s="2" t="s">
        <v>864</v>
      </c>
      <c r="J990" s="2" t="s">
        <v>28</v>
      </c>
    </row>
    <row r="991" spans="1:10" x14ac:dyDescent="0.3">
      <c r="A991" s="2" t="s">
        <v>41</v>
      </c>
      <c r="B991" s="2" t="s">
        <v>42</v>
      </c>
      <c r="C991" s="2">
        <v>19795</v>
      </c>
      <c r="D991" s="2">
        <v>28858</v>
      </c>
      <c r="E991" s="3">
        <v>44733</v>
      </c>
      <c r="F991" s="3">
        <v>44853</v>
      </c>
      <c r="G991" s="4">
        <v>8640.6299999999992</v>
      </c>
      <c r="H991" s="2">
        <v>0</v>
      </c>
      <c r="I991" s="2" t="s">
        <v>1018</v>
      </c>
      <c r="J991" s="2" t="s">
        <v>44</v>
      </c>
    </row>
    <row r="992" spans="1:10" x14ac:dyDescent="0.3">
      <c r="A992" s="2" t="s">
        <v>25</v>
      </c>
      <c r="B992" s="2" t="s">
        <v>26</v>
      </c>
      <c r="C992" s="2">
        <v>19631</v>
      </c>
      <c r="D992" s="2">
        <v>28699</v>
      </c>
      <c r="E992" s="3">
        <v>44704</v>
      </c>
      <c r="F992" s="3">
        <v>44854</v>
      </c>
      <c r="G992" s="4">
        <v>58350</v>
      </c>
      <c r="H992" s="2">
        <v>0</v>
      </c>
      <c r="I992" s="2" t="s">
        <v>186</v>
      </c>
      <c r="J992" s="2" t="s">
        <v>28</v>
      </c>
    </row>
    <row r="993" spans="1:10" x14ac:dyDescent="0.3">
      <c r="A993" s="2" t="s">
        <v>174</v>
      </c>
      <c r="B993" s="2" t="s">
        <v>145</v>
      </c>
      <c r="C993" s="2">
        <v>19043</v>
      </c>
      <c r="D993" s="2">
        <v>28059</v>
      </c>
      <c r="E993" s="3">
        <v>44644</v>
      </c>
      <c r="F993" s="3">
        <v>44854</v>
      </c>
      <c r="G993" s="4">
        <v>136000</v>
      </c>
      <c r="H993" s="2">
        <v>0</v>
      </c>
      <c r="I993" s="2" t="s">
        <v>232</v>
      </c>
      <c r="J993" s="2" t="s">
        <v>147</v>
      </c>
    </row>
    <row r="994" spans="1:10" x14ac:dyDescent="0.3">
      <c r="A994" s="2" t="s">
        <v>25</v>
      </c>
      <c r="B994" s="2" t="s">
        <v>26</v>
      </c>
      <c r="C994" s="2">
        <v>19624</v>
      </c>
      <c r="D994" s="2">
        <v>28693</v>
      </c>
      <c r="E994" s="3">
        <v>44704</v>
      </c>
      <c r="F994" s="3">
        <v>44854</v>
      </c>
      <c r="G994" s="4">
        <v>50316</v>
      </c>
      <c r="H994" s="2">
        <v>0</v>
      </c>
      <c r="I994" s="2" t="s">
        <v>307</v>
      </c>
      <c r="J994" s="2" t="s">
        <v>28</v>
      </c>
    </row>
    <row r="995" spans="1:10" x14ac:dyDescent="0.3">
      <c r="A995" s="2" t="s">
        <v>82</v>
      </c>
      <c r="B995" s="2" t="s">
        <v>83</v>
      </c>
      <c r="C995" s="2">
        <v>18787</v>
      </c>
      <c r="D995" s="2">
        <v>27807</v>
      </c>
      <c r="E995" s="3">
        <v>44614</v>
      </c>
      <c r="F995" s="3">
        <v>44854</v>
      </c>
      <c r="G995" s="4">
        <v>27000</v>
      </c>
      <c r="H995" s="2">
        <v>0</v>
      </c>
      <c r="I995" s="2" t="s">
        <v>403</v>
      </c>
      <c r="J995" s="2" t="s">
        <v>40</v>
      </c>
    </row>
    <row r="996" spans="1:10" x14ac:dyDescent="0.3">
      <c r="A996" s="2" t="s">
        <v>237</v>
      </c>
      <c r="B996" s="2" t="s">
        <v>238</v>
      </c>
      <c r="C996" s="2">
        <v>19799</v>
      </c>
      <c r="D996" s="2">
        <v>28863</v>
      </c>
      <c r="E996" s="3">
        <v>44734</v>
      </c>
      <c r="F996" s="3">
        <v>44854</v>
      </c>
      <c r="G996" s="4">
        <v>4825.84</v>
      </c>
      <c r="H996" s="2">
        <v>0</v>
      </c>
      <c r="I996" s="2" t="s">
        <v>470</v>
      </c>
      <c r="J996" s="2" t="s">
        <v>157</v>
      </c>
    </row>
    <row r="997" spans="1:10" x14ac:dyDescent="0.3">
      <c r="A997" s="2" t="s">
        <v>25</v>
      </c>
      <c r="B997" s="2" t="s">
        <v>26</v>
      </c>
      <c r="C997" s="2">
        <v>19630</v>
      </c>
      <c r="D997" s="2">
        <v>28698</v>
      </c>
      <c r="E997" s="3">
        <v>44704</v>
      </c>
      <c r="F997" s="3">
        <v>44854</v>
      </c>
      <c r="G997" s="4">
        <v>58350</v>
      </c>
      <c r="H997" s="2">
        <v>0</v>
      </c>
      <c r="I997" s="2" t="s">
        <v>683</v>
      </c>
      <c r="J997" s="2" t="s">
        <v>28</v>
      </c>
    </row>
    <row r="998" spans="1:10" x14ac:dyDescent="0.3">
      <c r="A998" s="2" t="s">
        <v>144</v>
      </c>
      <c r="B998" s="2" t="s">
        <v>145</v>
      </c>
      <c r="C998" s="2">
        <v>19044</v>
      </c>
      <c r="D998" s="2">
        <v>28060</v>
      </c>
      <c r="E998" s="3">
        <v>44644</v>
      </c>
      <c r="F998" s="3">
        <v>44854</v>
      </c>
      <c r="G998" s="4">
        <v>136000</v>
      </c>
      <c r="H998" s="2">
        <v>0</v>
      </c>
      <c r="I998" s="2" t="s">
        <v>1153</v>
      </c>
      <c r="J998" s="2" t="s">
        <v>147</v>
      </c>
    </row>
    <row r="999" spans="1:10" x14ac:dyDescent="0.3">
      <c r="A999" s="2" t="s">
        <v>25</v>
      </c>
      <c r="B999" s="2" t="s">
        <v>26</v>
      </c>
      <c r="C999" s="2">
        <v>19055</v>
      </c>
      <c r="D999" s="2">
        <v>28073</v>
      </c>
      <c r="E999" s="3">
        <v>44645</v>
      </c>
      <c r="F999" s="3">
        <v>44855</v>
      </c>
      <c r="G999" s="4">
        <v>28666.720000000001</v>
      </c>
      <c r="H999" s="2">
        <v>0</v>
      </c>
      <c r="I999" s="2" t="s">
        <v>1024</v>
      </c>
      <c r="J999" s="2" t="s">
        <v>28</v>
      </c>
    </row>
    <row r="1000" spans="1:10" x14ac:dyDescent="0.3">
      <c r="A1000" s="2" t="s">
        <v>245</v>
      </c>
      <c r="B1000" s="2" t="s">
        <v>246</v>
      </c>
      <c r="C1000" s="2">
        <v>17465</v>
      </c>
      <c r="D1000" s="2">
        <v>26472</v>
      </c>
      <c r="E1000" s="3">
        <v>44495</v>
      </c>
      <c r="F1000" s="3">
        <v>44855</v>
      </c>
      <c r="G1000" s="4">
        <v>99500</v>
      </c>
      <c r="H1000" s="2">
        <v>0</v>
      </c>
      <c r="I1000" s="2" t="s">
        <v>1092</v>
      </c>
      <c r="J1000" s="2" t="s">
        <v>36</v>
      </c>
    </row>
    <row r="1001" spans="1:10" x14ac:dyDescent="0.3">
      <c r="A1001" s="2" t="s">
        <v>48</v>
      </c>
      <c r="B1001" s="2" t="s">
        <v>49</v>
      </c>
      <c r="C1001" s="2">
        <v>19660</v>
      </c>
      <c r="D1001" s="2">
        <v>28727</v>
      </c>
      <c r="E1001" s="3">
        <v>44706</v>
      </c>
      <c r="F1001" s="3">
        <v>44856</v>
      </c>
      <c r="G1001" s="4">
        <v>16715.04</v>
      </c>
      <c r="H1001" s="2">
        <v>0</v>
      </c>
      <c r="I1001" s="2" t="s">
        <v>50</v>
      </c>
      <c r="J1001" s="2" t="s">
        <v>40</v>
      </c>
    </row>
    <row r="1002" spans="1:10" x14ac:dyDescent="0.3">
      <c r="A1002" s="2" t="s">
        <v>48</v>
      </c>
      <c r="B1002" s="2" t="s">
        <v>49</v>
      </c>
      <c r="C1002" s="2">
        <v>19661</v>
      </c>
      <c r="D1002" s="2">
        <v>28728</v>
      </c>
      <c r="E1002" s="3">
        <v>44706</v>
      </c>
      <c r="F1002" s="3">
        <v>44856</v>
      </c>
      <c r="G1002" s="4">
        <v>22480.04</v>
      </c>
      <c r="H1002" s="2">
        <v>0</v>
      </c>
      <c r="I1002" s="2" t="s">
        <v>267</v>
      </c>
      <c r="J1002" s="2" t="s">
        <v>40</v>
      </c>
    </row>
    <row r="1003" spans="1:10" x14ac:dyDescent="0.3">
      <c r="A1003" s="2" t="s">
        <v>48</v>
      </c>
      <c r="B1003" s="2" t="s">
        <v>49</v>
      </c>
      <c r="C1003" s="2">
        <v>19639</v>
      </c>
      <c r="D1003" s="2">
        <v>28709</v>
      </c>
      <c r="E1003" s="3">
        <v>44706</v>
      </c>
      <c r="F1003" s="3">
        <v>44856</v>
      </c>
      <c r="G1003" s="4">
        <v>55755</v>
      </c>
      <c r="H1003" s="2">
        <v>0</v>
      </c>
      <c r="I1003" s="2" t="s">
        <v>389</v>
      </c>
      <c r="J1003" s="2" t="s">
        <v>40</v>
      </c>
    </row>
    <row r="1004" spans="1:10" x14ac:dyDescent="0.3">
      <c r="A1004" s="2" t="s">
        <v>82</v>
      </c>
      <c r="B1004" s="2" t="s">
        <v>83</v>
      </c>
      <c r="C1004" s="2">
        <v>19647</v>
      </c>
      <c r="D1004" s="2">
        <v>28716</v>
      </c>
      <c r="E1004" s="3">
        <v>44706</v>
      </c>
      <c r="F1004" s="3">
        <v>44856</v>
      </c>
      <c r="G1004" s="4">
        <v>8552</v>
      </c>
      <c r="H1004" s="2">
        <v>0</v>
      </c>
      <c r="I1004" s="2" t="s">
        <v>402</v>
      </c>
      <c r="J1004" s="2" t="s">
        <v>40</v>
      </c>
    </row>
    <row r="1005" spans="1:10" x14ac:dyDescent="0.3">
      <c r="A1005" s="2" t="s">
        <v>85</v>
      </c>
      <c r="B1005" s="2" t="s">
        <v>83</v>
      </c>
      <c r="C1005" s="2">
        <v>19646</v>
      </c>
      <c r="D1005" s="2">
        <v>28715</v>
      </c>
      <c r="E1005" s="3">
        <v>44706</v>
      </c>
      <c r="F1005" s="3">
        <v>44856</v>
      </c>
      <c r="G1005" s="4">
        <v>8858</v>
      </c>
      <c r="H1005" s="2">
        <v>0</v>
      </c>
      <c r="I1005" s="2" t="s">
        <v>158</v>
      </c>
      <c r="J1005" s="2" t="s">
        <v>40</v>
      </c>
    </row>
    <row r="1006" spans="1:10" x14ac:dyDescent="0.3">
      <c r="A1006" s="2" t="s">
        <v>25</v>
      </c>
      <c r="B1006" s="2" t="s">
        <v>26</v>
      </c>
      <c r="C1006" s="2">
        <v>19350</v>
      </c>
      <c r="D1006" s="2">
        <v>28394</v>
      </c>
      <c r="E1006" s="3">
        <v>44676</v>
      </c>
      <c r="F1006" s="3">
        <v>44856</v>
      </c>
      <c r="G1006" s="4">
        <v>74535</v>
      </c>
      <c r="H1006" s="2">
        <v>0</v>
      </c>
      <c r="I1006" s="2" t="s">
        <v>918</v>
      </c>
      <c r="J1006" s="2" t="s">
        <v>28</v>
      </c>
    </row>
    <row r="1007" spans="1:10" x14ac:dyDescent="0.3">
      <c r="A1007" s="2" t="s">
        <v>68</v>
      </c>
      <c r="B1007" s="2" t="s">
        <v>69</v>
      </c>
      <c r="C1007" s="2">
        <v>19654</v>
      </c>
      <c r="D1007" s="2">
        <v>28722</v>
      </c>
      <c r="E1007" s="3">
        <v>44706</v>
      </c>
      <c r="F1007" s="3">
        <v>44856</v>
      </c>
      <c r="G1007" s="4">
        <v>24246</v>
      </c>
      <c r="H1007" s="2">
        <v>0</v>
      </c>
      <c r="I1007" s="2" t="s">
        <v>411</v>
      </c>
      <c r="J1007" s="2" t="s">
        <v>40</v>
      </c>
    </row>
    <row r="1008" spans="1:10" x14ac:dyDescent="0.3">
      <c r="A1008" s="2" t="s">
        <v>136</v>
      </c>
      <c r="B1008" s="2" t="s">
        <v>137</v>
      </c>
      <c r="C1008" s="2">
        <v>19667</v>
      </c>
      <c r="D1008" s="2">
        <v>28735</v>
      </c>
      <c r="E1008" s="3">
        <v>44707</v>
      </c>
      <c r="F1008" s="3">
        <v>44857</v>
      </c>
      <c r="G1008" s="4">
        <v>29120</v>
      </c>
      <c r="H1008" s="2">
        <v>0</v>
      </c>
      <c r="I1008" s="2" t="s">
        <v>215</v>
      </c>
      <c r="J1008" s="2" t="s">
        <v>81</v>
      </c>
    </row>
    <row r="1009" spans="1:10" x14ac:dyDescent="0.3">
      <c r="A1009" s="2" t="s">
        <v>48</v>
      </c>
      <c r="B1009" s="2" t="s">
        <v>49</v>
      </c>
      <c r="C1009" s="2">
        <v>19367</v>
      </c>
      <c r="D1009" s="2">
        <v>28411</v>
      </c>
      <c r="E1009" s="3">
        <v>44677</v>
      </c>
      <c r="F1009" s="3">
        <v>44857</v>
      </c>
      <c r="G1009" s="4">
        <v>58590</v>
      </c>
      <c r="H1009" s="2">
        <v>0</v>
      </c>
      <c r="I1009" s="2" t="s">
        <v>432</v>
      </c>
      <c r="J1009" s="2" t="s">
        <v>40</v>
      </c>
    </row>
    <row r="1010" spans="1:10" x14ac:dyDescent="0.3">
      <c r="A1010" s="2" t="s">
        <v>53</v>
      </c>
      <c r="B1010" s="2" t="s">
        <v>54</v>
      </c>
      <c r="C1010" s="2">
        <v>19760</v>
      </c>
      <c r="D1010" s="2">
        <v>28821</v>
      </c>
      <c r="E1010" s="3">
        <v>44722</v>
      </c>
      <c r="F1010" s="3">
        <v>44857</v>
      </c>
      <c r="G1010" s="4">
        <v>39721.379999999997</v>
      </c>
      <c r="H1010" s="2">
        <v>0</v>
      </c>
      <c r="I1010" s="2" t="s">
        <v>55</v>
      </c>
      <c r="J1010" s="2" t="s">
        <v>56</v>
      </c>
    </row>
    <row r="1011" spans="1:10" x14ac:dyDescent="0.3">
      <c r="A1011" s="2" t="s">
        <v>405</v>
      </c>
      <c r="B1011" s="2" t="s">
        <v>406</v>
      </c>
      <c r="C1011" s="2">
        <v>19668</v>
      </c>
      <c r="D1011" s="2">
        <v>28736</v>
      </c>
      <c r="E1011" s="3">
        <v>44707</v>
      </c>
      <c r="F1011" s="3">
        <v>44857</v>
      </c>
      <c r="G1011" s="4">
        <v>145059</v>
      </c>
      <c r="H1011" s="2">
        <v>0</v>
      </c>
      <c r="I1011" s="2" t="s">
        <v>483</v>
      </c>
      <c r="J1011" s="2" t="s">
        <v>112</v>
      </c>
    </row>
    <row r="1012" spans="1:10" x14ac:dyDescent="0.3">
      <c r="A1012" s="2" t="s">
        <v>53</v>
      </c>
      <c r="B1012" s="2" t="s">
        <v>54</v>
      </c>
      <c r="C1012" s="2">
        <v>19759</v>
      </c>
      <c r="D1012" s="2">
        <v>28820</v>
      </c>
      <c r="E1012" s="3">
        <v>44722</v>
      </c>
      <c r="F1012" s="3">
        <v>44857</v>
      </c>
      <c r="G1012" s="4">
        <v>18583.48</v>
      </c>
      <c r="H1012" s="2">
        <v>0</v>
      </c>
      <c r="I1012" s="2" t="s">
        <v>160</v>
      </c>
      <c r="J1012" s="2" t="s">
        <v>56</v>
      </c>
    </row>
    <row r="1013" spans="1:10" x14ac:dyDescent="0.3">
      <c r="A1013" s="2" t="s">
        <v>48</v>
      </c>
      <c r="B1013" s="2" t="s">
        <v>49</v>
      </c>
      <c r="C1013" s="2">
        <v>19662</v>
      </c>
      <c r="D1013" s="2">
        <v>28729</v>
      </c>
      <c r="E1013" s="3">
        <v>44707</v>
      </c>
      <c r="F1013" s="3">
        <v>44857</v>
      </c>
      <c r="G1013" s="4">
        <v>59745</v>
      </c>
      <c r="H1013" s="2">
        <v>0</v>
      </c>
      <c r="I1013" s="2" t="s">
        <v>605</v>
      </c>
      <c r="J1013" s="2" t="s">
        <v>40</v>
      </c>
    </row>
    <row r="1014" spans="1:10" x14ac:dyDescent="0.3">
      <c r="A1014" s="2" t="s">
        <v>25</v>
      </c>
      <c r="B1014" s="2" t="s">
        <v>26</v>
      </c>
      <c r="C1014" s="2">
        <v>19368</v>
      </c>
      <c r="D1014" s="2">
        <v>28412</v>
      </c>
      <c r="E1014" s="3">
        <v>44677</v>
      </c>
      <c r="F1014" s="3">
        <v>44857</v>
      </c>
      <c r="G1014" s="4">
        <v>2200</v>
      </c>
      <c r="H1014" s="2">
        <v>0</v>
      </c>
      <c r="I1014" s="2" t="s">
        <v>819</v>
      </c>
      <c r="J1014" s="2" t="s">
        <v>28</v>
      </c>
    </row>
    <row r="1015" spans="1:10" x14ac:dyDescent="0.3">
      <c r="A1015" s="2" t="s">
        <v>48</v>
      </c>
      <c r="B1015" s="2" t="s">
        <v>49</v>
      </c>
      <c r="C1015" s="2">
        <v>19360</v>
      </c>
      <c r="D1015" s="2">
        <v>28404</v>
      </c>
      <c r="E1015" s="3">
        <v>44677</v>
      </c>
      <c r="F1015" s="3">
        <v>44857</v>
      </c>
      <c r="G1015" s="4">
        <v>59745</v>
      </c>
      <c r="H1015" s="2">
        <v>0</v>
      </c>
      <c r="I1015" s="2" t="s">
        <v>882</v>
      </c>
      <c r="J1015" s="2" t="s">
        <v>40</v>
      </c>
    </row>
    <row r="1016" spans="1:10" x14ac:dyDescent="0.3">
      <c r="A1016" s="2" t="s">
        <v>906</v>
      </c>
      <c r="B1016" s="2" t="s">
        <v>907</v>
      </c>
      <c r="C1016" s="2">
        <v>19670</v>
      </c>
      <c r="D1016" s="2">
        <v>28738</v>
      </c>
      <c r="E1016" s="3">
        <v>44707</v>
      </c>
      <c r="F1016" s="3">
        <v>44857</v>
      </c>
      <c r="G1016" s="4">
        <v>9573.2199999999993</v>
      </c>
      <c r="H1016" s="2">
        <v>0</v>
      </c>
      <c r="I1016" s="2" t="s">
        <v>908</v>
      </c>
      <c r="J1016" s="2" t="s">
        <v>173</v>
      </c>
    </row>
    <row r="1017" spans="1:10" x14ac:dyDescent="0.3">
      <c r="A1017" s="2" t="s">
        <v>405</v>
      </c>
      <c r="B1017" s="2" t="s">
        <v>406</v>
      </c>
      <c r="C1017" s="2">
        <v>19669</v>
      </c>
      <c r="D1017" s="2">
        <v>28737</v>
      </c>
      <c r="E1017" s="3">
        <v>44707</v>
      </c>
      <c r="F1017" s="3">
        <v>44857</v>
      </c>
      <c r="G1017" s="4">
        <v>145059</v>
      </c>
      <c r="H1017" s="2">
        <v>0</v>
      </c>
      <c r="I1017" s="2" t="s">
        <v>1075</v>
      </c>
      <c r="J1017" s="2" t="s">
        <v>112</v>
      </c>
    </row>
    <row r="1018" spans="1:10" x14ac:dyDescent="0.3">
      <c r="A1018" s="2" t="s">
        <v>21</v>
      </c>
      <c r="B1018" s="2" t="s">
        <v>22</v>
      </c>
      <c r="C1018" s="2">
        <v>19677</v>
      </c>
      <c r="D1018" s="2">
        <v>28744</v>
      </c>
      <c r="E1018" s="3">
        <v>44708</v>
      </c>
      <c r="F1018" s="3">
        <v>44858</v>
      </c>
      <c r="G1018" s="4">
        <v>5973.33</v>
      </c>
      <c r="H1018" s="2">
        <v>0</v>
      </c>
      <c r="I1018" s="2" t="s">
        <v>159</v>
      </c>
      <c r="J1018" s="2" t="s">
        <v>24</v>
      </c>
    </row>
    <row r="1019" spans="1:10" x14ac:dyDescent="0.3">
      <c r="A1019" s="2" t="s">
        <v>48</v>
      </c>
      <c r="B1019" s="2" t="s">
        <v>49</v>
      </c>
      <c r="C1019" s="2">
        <v>19675</v>
      </c>
      <c r="D1019" s="2">
        <v>28742</v>
      </c>
      <c r="E1019" s="3">
        <v>44708</v>
      </c>
      <c r="F1019" s="3">
        <v>44858</v>
      </c>
      <c r="G1019" s="4">
        <v>59745</v>
      </c>
      <c r="H1019" s="2">
        <v>0</v>
      </c>
      <c r="I1019" s="2" t="s">
        <v>456</v>
      </c>
      <c r="J1019" s="2" t="s">
        <v>40</v>
      </c>
    </row>
    <row r="1020" spans="1:10" x14ac:dyDescent="0.3">
      <c r="A1020" s="2" t="s">
        <v>48</v>
      </c>
      <c r="B1020" s="2" t="s">
        <v>49</v>
      </c>
      <c r="C1020" s="2">
        <v>19402</v>
      </c>
      <c r="D1020" s="2">
        <v>28442</v>
      </c>
      <c r="E1020" s="3">
        <v>44678</v>
      </c>
      <c r="F1020" s="3">
        <v>44858</v>
      </c>
      <c r="G1020" s="4">
        <v>59745</v>
      </c>
      <c r="H1020" s="2">
        <v>0</v>
      </c>
      <c r="I1020" s="2" t="s">
        <v>931</v>
      </c>
      <c r="J1020" s="2" t="s">
        <v>40</v>
      </c>
    </row>
    <row r="1021" spans="1:10" x14ac:dyDescent="0.3">
      <c r="A1021" s="2" t="s">
        <v>82</v>
      </c>
      <c r="B1021" s="2" t="s">
        <v>83</v>
      </c>
      <c r="C1021" s="2">
        <v>19409</v>
      </c>
      <c r="D1021" s="2">
        <v>28448</v>
      </c>
      <c r="E1021" s="3">
        <v>44678</v>
      </c>
      <c r="F1021" s="3">
        <v>44858</v>
      </c>
      <c r="G1021" s="4">
        <v>93838.5</v>
      </c>
      <c r="H1021" s="2">
        <v>0</v>
      </c>
      <c r="I1021" s="2" t="s">
        <v>932</v>
      </c>
      <c r="J1021" s="2" t="s">
        <v>40</v>
      </c>
    </row>
    <row r="1022" spans="1:10" x14ac:dyDescent="0.3">
      <c r="A1022" s="2" t="s">
        <v>480</v>
      </c>
      <c r="B1022" s="2" t="s">
        <v>481</v>
      </c>
      <c r="C1022" s="2">
        <v>19902</v>
      </c>
      <c r="D1022" s="2">
        <v>28972</v>
      </c>
      <c r="E1022" s="3">
        <v>44753</v>
      </c>
      <c r="F1022" s="3">
        <v>44858</v>
      </c>
      <c r="G1022" s="4">
        <v>15206.1</v>
      </c>
      <c r="H1022" s="2">
        <v>0</v>
      </c>
      <c r="I1022" s="2" t="s">
        <v>966</v>
      </c>
      <c r="J1022" s="2" t="s">
        <v>56</v>
      </c>
    </row>
    <row r="1023" spans="1:10" x14ac:dyDescent="0.3">
      <c r="A1023" s="2" t="s">
        <v>68</v>
      </c>
      <c r="B1023" s="2" t="s">
        <v>69</v>
      </c>
      <c r="C1023" s="2">
        <v>19411</v>
      </c>
      <c r="D1023" s="2">
        <v>28450</v>
      </c>
      <c r="E1023" s="3">
        <v>44678</v>
      </c>
      <c r="F1023" s="3">
        <v>44858</v>
      </c>
      <c r="G1023" s="4">
        <v>58590</v>
      </c>
      <c r="H1023" s="2">
        <v>0</v>
      </c>
      <c r="I1023" s="2" t="s">
        <v>820</v>
      </c>
      <c r="J1023" s="2" t="s">
        <v>40</v>
      </c>
    </row>
    <row r="1024" spans="1:10" x14ac:dyDescent="0.3">
      <c r="A1024" s="2" t="s">
        <v>21</v>
      </c>
      <c r="B1024" s="2" t="s">
        <v>22</v>
      </c>
      <c r="C1024" s="2">
        <v>19676</v>
      </c>
      <c r="D1024" s="2">
        <v>28743</v>
      </c>
      <c r="E1024" s="3">
        <v>44708</v>
      </c>
      <c r="F1024" s="3">
        <v>44858</v>
      </c>
      <c r="G1024" s="4">
        <v>11850</v>
      </c>
      <c r="H1024" s="2">
        <v>0</v>
      </c>
      <c r="I1024" s="2" t="s">
        <v>1157</v>
      </c>
      <c r="J1024" s="2" t="s">
        <v>24</v>
      </c>
    </row>
    <row r="1025" spans="1:10" x14ac:dyDescent="0.3">
      <c r="A1025" s="2" t="s">
        <v>21</v>
      </c>
      <c r="B1025" s="2" t="s">
        <v>22</v>
      </c>
      <c r="C1025" s="2">
        <v>19678</v>
      </c>
      <c r="D1025" s="2">
        <v>28745</v>
      </c>
      <c r="E1025" s="3">
        <v>44708</v>
      </c>
      <c r="F1025" s="3">
        <v>44858</v>
      </c>
      <c r="G1025" s="4">
        <v>26532.38</v>
      </c>
      <c r="H1025" s="2">
        <v>0</v>
      </c>
      <c r="I1025" s="2" t="s">
        <v>1158</v>
      </c>
      <c r="J1025" s="2" t="s">
        <v>24</v>
      </c>
    </row>
    <row r="1026" spans="1:10" x14ac:dyDescent="0.3">
      <c r="A1026" s="2" t="s">
        <v>25</v>
      </c>
      <c r="B1026" s="2" t="s">
        <v>26</v>
      </c>
      <c r="C1026" s="2">
        <v>19415</v>
      </c>
      <c r="D1026" s="2">
        <v>28456</v>
      </c>
      <c r="E1026" s="3">
        <v>44679</v>
      </c>
      <c r="F1026" s="3">
        <v>44859</v>
      </c>
      <c r="G1026" s="4">
        <v>116400</v>
      </c>
      <c r="H1026" s="2">
        <v>0</v>
      </c>
      <c r="I1026" s="2" t="s">
        <v>525</v>
      </c>
      <c r="J1026" s="2" t="s">
        <v>28</v>
      </c>
    </row>
    <row r="1027" spans="1:10" x14ac:dyDescent="0.3">
      <c r="A1027" s="2" t="s">
        <v>713</v>
      </c>
      <c r="B1027" s="2" t="s">
        <v>714</v>
      </c>
      <c r="C1027" s="2">
        <v>19414</v>
      </c>
      <c r="D1027" s="2">
        <v>28455</v>
      </c>
      <c r="E1027" s="3">
        <v>44679</v>
      </c>
      <c r="F1027" s="3">
        <v>44859</v>
      </c>
      <c r="G1027" s="4">
        <v>60795</v>
      </c>
      <c r="H1027" s="2">
        <v>0</v>
      </c>
      <c r="I1027" s="2" t="s">
        <v>715</v>
      </c>
      <c r="J1027" s="2" t="s">
        <v>40</v>
      </c>
    </row>
    <row r="1028" spans="1:10" x14ac:dyDescent="0.3">
      <c r="A1028" s="2" t="s">
        <v>48</v>
      </c>
      <c r="B1028" s="2" t="s">
        <v>49</v>
      </c>
      <c r="C1028" s="2">
        <v>19416</v>
      </c>
      <c r="D1028" s="2">
        <v>28463</v>
      </c>
      <c r="E1028" s="3">
        <v>44679</v>
      </c>
      <c r="F1028" s="3">
        <v>44859</v>
      </c>
      <c r="G1028" s="4">
        <v>54000</v>
      </c>
      <c r="H1028" s="2">
        <v>0</v>
      </c>
      <c r="I1028" s="2" t="s">
        <v>860</v>
      </c>
      <c r="J1028" s="2" t="s">
        <v>40</v>
      </c>
    </row>
    <row r="1029" spans="1:10" x14ac:dyDescent="0.3">
      <c r="A1029" s="2" t="s">
        <v>144</v>
      </c>
      <c r="B1029" s="2" t="s">
        <v>145</v>
      </c>
      <c r="C1029" s="2">
        <v>19117</v>
      </c>
      <c r="D1029" s="2">
        <v>28136</v>
      </c>
      <c r="E1029" s="3">
        <v>44649</v>
      </c>
      <c r="F1029" s="3">
        <v>44859</v>
      </c>
      <c r="G1029" s="4">
        <v>57160</v>
      </c>
      <c r="H1029" s="2">
        <v>0</v>
      </c>
      <c r="I1029" s="2" t="s">
        <v>877</v>
      </c>
      <c r="J1029" s="2" t="s">
        <v>147</v>
      </c>
    </row>
    <row r="1030" spans="1:10" x14ac:dyDescent="0.3">
      <c r="A1030" s="2" t="s">
        <v>144</v>
      </c>
      <c r="B1030" s="2" t="s">
        <v>145</v>
      </c>
      <c r="C1030" s="2">
        <v>19116</v>
      </c>
      <c r="D1030" s="2">
        <v>28135</v>
      </c>
      <c r="E1030" s="3">
        <v>44649</v>
      </c>
      <c r="F1030" s="3">
        <v>44859</v>
      </c>
      <c r="G1030" s="4">
        <v>364780</v>
      </c>
      <c r="H1030" s="2">
        <v>0</v>
      </c>
      <c r="I1030" s="2" t="s">
        <v>929</v>
      </c>
      <c r="J1030" s="2" t="s">
        <v>147</v>
      </c>
    </row>
    <row r="1031" spans="1:10" x14ac:dyDescent="0.3">
      <c r="A1031" s="2" t="s">
        <v>48</v>
      </c>
      <c r="B1031" s="2" t="s">
        <v>49</v>
      </c>
      <c r="C1031" s="2">
        <v>19125</v>
      </c>
      <c r="D1031" s="2">
        <v>28144</v>
      </c>
      <c r="E1031" s="3">
        <v>44649</v>
      </c>
      <c r="F1031" s="3">
        <v>44859</v>
      </c>
      <c r="G1031" s="4">
        <v>2599.4</v>
      </c>
      <c r="H1031" s="2">
        <v>0</v>
      </c>
      <c r="I1031" s="2" t="s">
        <v>950</v>
      </c>
      <c r="J1031" s="2" t="s">
        <v>40</v>
      </c>
    </row>
    <row r="1032" spans="1:10" x14ac:dyDescent="0.3">
      <c r="A1032" s="2" t="s">
        <v>85</v>
      </c>
      <c r="B1032" s="2" t="s">
        <v>83</v>
      </c>
      <c r="C1032" s="2">
        <v>19429</v>
      </c>
      <c r="D1032" s="2">
        <v>28476</v>
      </c>
      <c r="E1032" s="3">
        <v>44680</v>
      </c>
      <c r="F1032" s="3">
        <v>44860</v>
      </c>
      <c r="G1032" s="4">
        <v>58590</v>
      </c>
      <c r="H1032" s="2">
        <v>0</v>
      </c>
      <c r="I1032" s="2" t="s">
        <v>729</v>
      </c>
      <c r="J1032" s="2" t="s">
        <v>40</v>
      </c>
    </row>
    <row r="1033" spans="1:10" x14ac:dyDescent="0.3">
      <c r="A1033" s="2" t="s">
        <v>25</v>
      </c>
      <c r="B1033" s="2" t="s">
        <v>26</v>
      </c>
      <c r="C1033" s="2">
        <v>19146</v>
      </c>
      <c r="D1033" s="2">
        <v>28165</v>
      </c>
      <c r="E1033" s="3">
        <v>44650</v>
      </c>
      <c r="F1033" s="3">
        <v>44860</v>
      </c>
      <c r="G1033" s="4">
        <v>14325.02</v>
      </c>
      <c r="H1033" s="2">
        <v>0</v>
      </c>
      <c r="I1033" s="2" t="s">
        <v>1000</v>
      </c>
      <c r="J1033" s="2" t="s">
        <v>28</v>
      </c>
    </row>
    <row r="1034" spans="1:10" x14ac:dyDescent="0.3">
      <c r="A1034" s="2" t="s">
        <v>48</v>
      </c>
      <c r="B1034" s="2" t="s">
        <v>49</v>
      </c>
      <c r="C1034" s="2">
        <v>19424</v>
      </c>
      <c r="D1034" s="2">
        <v>28471</v>
      </c>
      <c r="E1034" s="3">
        <v>44680</v>
      </c>
      <c r="F1034" s="3">
        <v>44860</v>
      </c>
      <c r="G1034" s="4">
        <v>59745</v>
      </c>
      <c r="H1034" s="2">
        <v>0</v>
      </c>
      <c r="I1034" s="2" t="s">
        <v>1042</v>
      </c>
      <c r="J1034" s="2" t="s">
        <v>40</v>
      </c>
    </row>
    <row r="1035" spans="1:10" x14ac:dyDescent="0.3">
      <c r="A1035" s="2" t="s">
        <v>48</v>
      </c>
      <c r="B1035" s="2" t="s">
        <v>49</v>
      </c>
      <c r="C1035" s="2">
        <v>19681</v>
      </c>
      <c r="D1035" s="2">
        <v>28751</v>
      </c>
      <c r="E1035" s="3">
        <v>44711</v>
      </c>
      <c r="F1035" s="3">
        <v>44861</v>
      </c>
      <c r="G1035" s="4">
        <v>54000</v>
      </c>
      <c r="H1035" s="2">
        <v>0</v>
      </c>
      <c r="I1035" s="2" t="s">
        <v>448</v>
      </c>
      <c r="J1035" s="2" t="s">
        <v>40</v>
      </c>
    </row>
    <row r="1036" spans="1:10" x14ac:dyDescent="0.3">
      <c r="A1036" s="2" t="s">
        <v>25</v>
      </c>
      <c r="B1036" s="2" t="s">
        <v>26</v>
      </c>
      <c r="C1036" s="2">
        <v>19680</v>
      </c>
      <c r="D1036" s="2">
        <v>28750</v>
      </c>
      <c r="E1036" s="3">
        <v>44711</v>
      </c>
      <c r="F1036" s="3">
        <v>44861</v>
      </c>
      <c r="G1036" s="4">
        <v>88593</v>
      </c>
      <c r="H1036" s="2">
        <v>0</v>
      </c>
      <c r="I1036" s="2" t="s">
        <v>717</v>
      </c>
      <c r="J1036" s="2" t="s">
        <v>28</v>
      </c>
    </row>
    <row r="1037" spans="1:10" x14ac:dyDescent="0.3">
      <c r="A1037" s="2" t="s">
        <v>144</v>
      </c>
      <c r="B1037" s="2" t="s">
        <v>145</v>
      </c>
      <c r="C1037" s="2">
        <v>19191</v>
      </c>
      <c r="D1037" s="2">
        <v>28206</v>
      </c>
      <c r="E1037" s="3">
        <v>44652</v>
      </c>
      <c r="F1037" s="3">
        <v>44862</v>
      </c>
      <c r="G1037" s="4">
        <v>428700</v>
      </c>
      <c r="H1037" s="2">
        <v>0</v>
      </c>
      <c r="I1037" s="2" t="s">
        <v>146</v>
      </c>
      <c r="J1037" s="2" t="s">
        <v>147</v>
      </c>
    </row>
    <row r="1038" spans="1:10" x14ac:dyDescent="0.3">
      <c r="A1038" s="2" t="s">
        <v>48</v>
      </c>
      <c r="B1038" s="2" t="s">
        <v>49</v>
      </c>
      <c r="C1038" s="2">
        <v>19688</v>
      </c>
      <c r="D1038" s="2">
        <v>28757</v>
      </c>
      <c r="E1038" s="3">
        <v>44712</v>
      </c>
      <c r="F1038" s="3">
        <v>44862</v>
      </c>
      <c r="G1038" s="4">
        <v>54000</v>
      </c>
      <c r="H1038" s="2">
        <v>0</v>
      </c>
      <c r="I1038" s="2" t="s">
        <v>1104</v>
      </c>
      <c r="J1038" s="2" t="s">
        <v>40</v>
      </c>
    </row>
    <row r="1039" spans="1:10" x14ac:dyDescent="0.3">
      <c r="A1039" s="2" t="s">
        <v>48</v>
      </c>
      <c r="B1039" s="2" t="s">
        <v>49</v>
      </c>
      <c r="C1039" s="2">
        <v>19435</v>
      </c>
      <c r="D1039" s="2">
        <v>28487</v>
      </c>
      <c r="E1039" s="3">
        <v>44683</v>
      </c>
      <c r="F1039" s="3">
        <v>44863</v>
      </c>
      <c r="G1039" s="4">
        <v>59745</v>
      </c>
      <c r="H1039" s="2">
        <v>0</v>
      </c>
      <c r="I1039" s="2" t="s">
        <v>213</v>
      </c>
      <c r="J1039" s="2" t="s">
        <v>40</v>
      </c>
    </row>
    <row r="1040" spans="1:10" x14ac:dyDescent="0.3">
      <c r="A1040" s="2" t="s">
        <v>78</v>
      </c>
      <c r="B1040" s="2" t="s">
        <v>79</v>
      </c>
      <c r="C1040" s="2">
        <v>19857</v>
      </c>
      <c r="D1040" s="2">
        <v>28924</v>
      </c>
      <c r="E1040" s="3">
        <v>44743</v>
      </c>
      <c r="F1040" s="3">
        <v>44863</v>
      </c>
      <c r="G1040" s="4">
        <v>14107.5</v>
      </c>
      <c r="H1040" s="2">
        <v>0</v>
      </c>
      <c r="I1040" s="2" t="s">
        <v>501</v>
      </c>
      <c r="J1040" s="2" t="s">
        <v>81</v>
      </c>
    </row>
    <row r="1041" spans="1:10" x14ac:dyDescent="0.3">
      <c r="A1041" s="2" t="s">
        <v>48</v>
      </c>
      <c r="B1041" s="2" t="s">
        <v>49</v>
      </c>
      <c r="C1041" s="2">
        <v>19694</v>
      </c>
      <c r="D1041" s="2">
        <v>28763</v>
      </c>
      <c r="E1041" s="3">
        <v>44713</v>
      </c>
      <c r="F1041" s="3">
        <v>44863</v>
      </c>
      <c r="G1041" s="4">
        <v>54000</v>
      </c>
      <c r="H1041" s="2">
        <v>0</v>
      </c>
      <c r="I1041" s="2" t="s">
        <v>794</v>
      </c>
      <c r="J1041" s="2" t="s">
        <v>40</v>
      </c>
    </row>
    <row r="1042" spans="1:10" x14ac:dyDescent="0.3">
      <c r="A1042" s="2" t="s">
        <v>82</v>
      </c>
      <c r="B1042" s="2" t="s">
        <v>83</v>
      </c>
      <c r="C1042" s="2">
        <v>19437</v>
      </c>
      <c r="D1042" s="2">
        <v>28490</v>
      </c>
      <c r="E1042" s="3">
        <v>44683</v>
      </c>
      <c r="F1042" s="3">
        <v>44863</v>
      </c>
      <c r="G1042" s="4">
        <v>89617.5</v>
      </c>
      <c r="H1042" s="2">
        <v>0</v>
      </c>
      <c r="I1042" s="2" t="s">
        <v>1118</v>
      </c>
      <c r="J1042" s="2" t="s">
        <v>40</v>
      </c>
    </row>
    <row r="1043" spans="1:10" x14ac:dyDescent="0.3">
      <c r="A1043" s="2" t="s">
        <v>78</v>
      </c>
      <c r="B1043" s="2" t="s">
        <v>79</v>
      </c>
      <c r="C1043" s="2">
        <v>19195</v>
      </c>
      <c r="D1043" s="2">
        <v>28214</v>
      </c>
      <c r="E1043" s="3">
        <v>44655</v>
      </c>
      <c r="F1043" s="3">
        <v>44864</v>
      </c>
      <c r="G1043" s="4">
        <v>451500</v>
      </c>
      <c r="H1043" s="2">
        <v>0</v>
      </c>
      <c r="I1043" s="2" t="s">
        <v>80</v>
      </c>
      <c r="J1043" s="2" t="s">
        <v>81</v>
      </c>
    </row>
    <row r="1044" spans="1:10" x14ac:dyDescent="0.3">
      <c r="A1044" s="2" t="s">
        <v>73</v>
      </c>
      <c r="B1044" s="2" t="s">
        <v>74</v>
      </c>
      <c r="C1044" s="2">
        <v>18426</v>
      </c>
      <c r="D1044" s="2">
        <v>27427</v>
      </c>
      <c r="E1044" s="3">
        <v>44578</v>
      </c>
      <c r="F1044" s="3">
        <v>44864</v>
      </c>
      <c r="G1044" s="4">
        <v>17150</v>
      </c>
      <c r="H1044" s="2">
        <v>0</v>
      </c>
      <c r="I1044" s="2" t="s">
        <v>102</v>
      </c>
      <c r="J1044" s="2" t="s">
        <v>28</v>
      </c>
    </row>
    <row r="1045" spans="1:10" x14ac:dyDescent="0.3">
      <c r="A1045" s="2" t="s">
        <v>150</v>
      </c>
      <c r="B1045" s="2" t="s">
        <v>151</v>
      </c>
      <c r="C1045" s="2">
        <v>19284</v>
      </c>
      <c r="D1045" s="2">
        <v>28322</v>
      </c>
      <c r="E1045" s="3">
        <v>44669</v>
      </c>
      <c r="F1045" s="3">
        <v>44864</v>
      </c>
      <c r="G1045" s="4">
        <v>296750</v>
      </c>
      <c r="H1045" s="2">
        <v>0</v>
      </c>
      <c r="I1045" s="2" t="s">
        <v>152</v>
      </c>
      <c r="J1045" s="2" t="s">
        <v>61</v>
      </c>
    </row>
    <row r="1046" spans="1:10" x14ac:dyDescent="0.3">
      <c r="A1046" s="2" t="s">
        <v>150</v>
      </c>
      <c r="B1046" s="2" t="s">
        <v>151</v>
      </c>
      <c r="C1046" s="2">
        <v>19425</v>
      </c>
      <c r="D1046" s="2">
        <v>28472</v>
      </c>
      <c r="E1046" s="3">
        <v>44680</v>
      </c>
      <c r="F1046" s="3">
        <v>44864</v>
      </c>
      <c r="G1046" s="4">
        <v>50310</v>
      </c>
      <c r="H1046" s="2">
        <v>0</v>
      </c>
      <c r="I1046" s="2" t="s">
        <v>240</v>
      </c>
      <c r="J1046" s="2" t="s">
        <v>61</v>
      </c>
    </row>
    <row r="1047" spans="1:10" x14ac:dyDescent="0.3">
      <c r="A1047" s="2" t="s">
        <v>73</v>
      </c>
      <c r="B1047" s="2" t="s">
        <v>74</v>
      </c>
      <c r="C1047" s="2">
        <v>18092</v>
      </c>
      <c r="D1047" s="2">
        <v>27104</v>
      </c>
      <c r="E1047" s="3">
        <v>44544</v>
      </c>
      <c r="F1047" s="3">
        <v>44864</v>
      </c>
      <c r="G1047" s="4">
        <v>61698</v>
      </c>
      <c r="H1047" s="2">
        <v>0</v>
      </c>
      <c r="I1047" s="2" t="s">
        <v>278</v>
      </c>
      <c r="J1047" s="2" t="s">
        <v>28</v>
      </c>
    </row>
    <row r="1048" spans="1:10" x14ac:dyDescent="0.3">
      <c r="A1048" s="2" t="s">
        <v>279</v>
      </c>
      <c r="B1048" s="2" t="s">
        <v>280</v>
      </c>
      <c r="C1048" s="2">
        <v>18611</v>
      </c>
      <c r="D1048" s="2">
        <v>27619</v>
      </c>
      <c r="E1048" s="3">
        <v>44594</v>
      </c>
      <c r="F1048" s="3">
        <v>44864</v>
      </c>
      <c r="G1048" s="4">
        <v>235450</v>
      </c>
      <c r="H1048" s="2">
        <v>0</v>
      </c>
      <c r="I1048" s="2" t="s">
        <v>286</v>
      </c>
      <c r="J1048" s="2" t="s">
        <v>13</v>
      </c>
    </row>
    <row r="1049" spans="1:10" x14ac:dyDescent="0.3">
      <c r="A1049" s="2" t="s">
        <v>150</v>
      </c>
      <c r="B1049" s="2" t="s">
        <v>151</v>
      </c>
      <c r="C1049" s="2">
        <v>19358</v>
      </c>
      <c r="D1049" s="2">
        <v>28402</v>
      </c>
      <c r="E1049" s="3">
        <v>44677</v>
      </c>
      <c r="F1049" s="3">
        <v>44864</v>
      </c>
      <c r="G1049" s="4">
        <v>296750</v>
      </c>
      <c r="H1049" s="2">
        <v>0</v>
      </c>
      <c r="I1049" s="2" t="s">
        <v>325</v>
      </c>
      <c r="J1049" s="2" t="s">
        <v>61</v>
      </c>
    </row>
    <row r="1050" spans="1:10" x14ac:dyDescent="0.3">
      <c r="A1050" s="2" t="s">
        <v>279</v>
      </c>
      <c r="B1050" s="2" t="s">
        <v>280</v>
      </c>
      <c r="C1050" s="2">
        <v>19088</v>
      </c>
      <c r="D1050" s="2">
        <v>28107</v>
      </c>
      <c r="E1050" s="3">
        <v>44648</v>
      </c>
      <c r="F1050" s="3">
        <v>44864</v>
      </c>
      <c r="G1050" s="4">
        <v>222000</v>
      </c>
      <c r="H1050" s="2">
        <v>0</v>
      </c>
      <c r="I1050" s="2" t="s">
        <v>333</v>
      </c>
      <c r="J1050" s="2" t="s">
        <v>13</v>
      </c>
    </row>
    <row r="1051" spans="1:10" x14ac:dyDescent="0.3">
      <c r="A1051" s="2" t="s">
        <v>150</v>
      </c>
      <c r="B1051" s="2" t="s">
        <v>151</v>
      </c>
      <c r="C1051" s="2">
        <v>19491</v>
      </c>
      <c r="D1051" s="2">
        <v>28543</v>
      </c>
      <c r="E1051" s="3">
        <v>44685</v>
      </c>
      <c r="F1051" s="3">
        <v>44864</v>
      </c>
      <c r="G1051" s="4">
        <v>279110.8</v>
      </c>
      <c r="H1051" s="2">
        <v>0</v>
      </c>
      <c r="I1051" s="2" t="s">
        <v>335</v>
      </c>
      <c r="J1051" s="2" t="s">
        <v>61</v>
      </c>
    </row>
    <row r="1052" spans="1:10" x14ac:dyDescent="0.3">
      <c r="A1052" s="2" t="s">
        <v>68</v>
      </c>
      <c r="B1052" s="2" t="s">
        <v>69</v>
      </c>
      <c r="C1052" s="2">
        <v>19456</v>
      </c>
      <c r="D1052" s="2">
        <v>28509</v>
      </c>
      <c r="E1052" s="3">
        <v>44684</v>
      </c>
      <c r="F1052" s="3">
        <v>44864</v>
      </c>
      <c r="G1052" s="4">
        <v>30003.200000000001</v>
      </c>
      <c r="H1052" s="2">
        <v>0</v>
      </c>
      <c r="I1052" s="2" t="s">
        <v>409</v>
      </c>
      <c r="J1052" s="2" t="s">
        <v>40</v>
      </c>
    </row>
    <row r="1053" spans="1:10" x14ac:dyDescent="0.3">
      <c r="A1053" s="2" t="s">
        <v>78</v>
      </c>
      <c r="B1053" s="2" t="s">
        <v>79</v>
      </c>
      <c r="C1053" s="2">
        <v>19313</v>
      </c>
      <c r="D1053" s="2">
        <v>28351</v>
      </c>
      <c r="E1053" s="3">
        <v>44670</v>
      </c>
      <c r="F1053" s="3">
        <v>44864</v>
      </c>
      <c r="G1053" s="4">
        <v>112000</v>
      </c>
      <c r="H1053" s="2">
        <v>0</v>
      </c>
      <c r="I1053" s="2" t="s">
        <v>446</v>
      </c>
      <c r="J1053" s="2" t="s">
        <v>81</v>
      </c>
    </row>
    <row r="1054" spans="1:10" x14ac:dyDescent="0.3">
      <c r="A1054" s="2" t="s">
        <v>78</v>
      </c>
      <c r="B1054" s="2" t="s">
        <v>79</v>
      </c>
      <c r="C1054" s="2">
        <v>19315</v>
      </c>
      <c r="D1054" s="2">
        <v>28353</v>
      </c>
      <c r="E1054" s="3">
        <v>44670</v>
      </c>
      <c r="F1054" s="3">
        <v>44864</v>
      </c>
      <c r="G1054" s="4">
        <v>111000</v>
      </c>
      <c r="H1054" s="2">
        <v>0</v>
      </c>
      <c r="I1054" s="2" t="s">
        <v>447</v>
      </c>
      <c r="J1054" s="2" t="s">
        <v>81</v>
      </c>
    </row>
    <row r="1055" spans="1:10" x14ac:dyDescent="0.3">
      <c r="A1055" s="2" t="s">
        <v>78</v>
      </c>
      <c r="B1055" s="2" t="s">
        <v>79</v>
      </c>
      <c r="C1055" s="2">
        <v>19312</v>
      </c>
      <c r="D1055" s="2">
        <v>28350</v>
      </c>
      <c r="E1055" s="3">
        <v>44670</v>
      </c>
      <c r="F1055" s="3">
        <v>44864</v>
      </c>
      <c r="G1055" s="4">
        <v>380000</v>
      </c>
      <c r="H1055" s="2">
        <v>0</v>
      </c>
      <c r="I1055" s="2" t="s">
        <v>408</v>
      </c>
      <c r="J1055" s="2" t="s">
        <v>81</v>
      </c>
    </row>
    <row r="1056" spans="1:10" x14ac:dyDescent="0.3">
      <c r="A1056" s="2" t="s">
        <v>73</v>
      </c>
      <c r="B1056" s="2" t="s">
        <v>74</v>
      </c>
      <c r="C1056" s="2">
        <v>17657</v>
      </c>
      <c r="D1056" s="2">
        <v>26655</v>
      </c>
      <c r="E1056" s="3">
        <v>44508</v>
      </c>
      <c r="F1056" s="3">
        <v>44864</v>
      </c>
      <c r="G1056" s="2">
        <v>760</v>
      </c>
      <c r="H1056" s="2">
        <v>0</v>
      </c>
      <c r="I1056" s="2" t="s">
        <v>472</v>
      </c>
      <c r="J1056" s="2" t="s">
        <v>28</v>
      </c>
    </row>
    <row r="1057" spans="1:10" x14ac:dyDescent="0.3">
      <c r="A1057" s="2" t="s">
        <v>170</v>
      </c>
      <c r="B1057" s="2" t="s">
        <v>171</v>
      </c>
      <c r="C1057" s="2">
        <v>18922</v>
      </c>
      <c r="D1057" s="2">
        <v>27936</v>
      </c>
      <c r="E1057" s="3">
        <v>44624</v>
      </c>
      <c r="F1057" s="3">
        <v>44864</v>
      </c>
      <c r="G1057" s="4">
        <v>386400</v>
      </c>
      <c r="H1057" s="2">
        <v>0</v>
      </c>
      <c r="I1057" s="2" t="s">
        <v>494</v>
      </c>
      <c r="J1057" s="2" t="s">
        <v>173</v>
      </c>
    </row>
    <row r="1058" spans="1:10" x14ac:dyDescent="0.3">
      <c r="A1058" s="2" t="s">
        <v>150</v>
      </c>
      <c r="B1058" s="2" t="s">
        <v>151</v>
      </c>
      <c r="C1058" s="2">
        <v>19271</v>
      </c>
      <c r="D1058" s="2">
        <v>28301</v>
      </c>
      <c r="E1058" s="3">
        <v>44664</v>
      </c>
      <c r="F1058" s="3">
        <v>44864</v>
      </c>
      <c r="G1058" s="4">
        <v>255671</v>
      </c>
      <c r="H1058" s="2">
        <v>0</v>
      </c>
      <c r="I1058" s="2" t="s">
        <v>335</v>
      </c>
      <c r="J1058" s="2" t="s">
        <v>61</v>
      </c>
    </row>
    <row r="1059" spans="1:10" x14ac:dyDescent="0.3">
      <c r="A1059" s="2" t="s">
        <v>150</v>
      </c>
      <c r="B1059" s="2" t="s">
        <v>151</v>
      </c>
      <c r="C1059" s="2">
        <v>19257</v>
      </c>
      <c r="D1059" s="2">
        <v>28284</v>
      </c>
      <c r="E1059" s="3">
        <v>44663</v>
      </c>
      <c r="F1059" s="3">
        <v>44864</v>
      </c>
      <c r="G1059" s="4">
        <v>30000</v>
      </c>
      <c r="H1059" s="2">
        <v>0</v>
      </c>
      <c r="I1059" s="2" t="s">
        <v>561</v>
      </c>
      <c r="J1059" s="2" t="s">
        <v>61</v>
      </c>
    </row>
    <row r="1060" spans="1:10" x14ac:dyDescent="0.3">
      <c r="A1060" s="2" t="s">
        <v>48</v>
      </c>
      <c r="B1060" s="2" t="s">
        <v>49</v>
      </c>
      <c r="C1060" s="2">
        <v>19447</v>
      </c>
      <c r="D1060" s="2">
        <v>28500</v>
      </c>
      <c r="E1060" s="3">
        <v>44684</v>
      </c>
      <c r="F1060" s="3">
        <v>44864</v>
      </c>
      <c r="G1060" s="4">
        <v>59745</v>
      </c>
      <c r="H1060" s="2">
        <v>0</v>
      </c>
      <c r="I1060" s="2" t="s">
        <v>572</v>
      </c>
      <c r="J1060" s="2" t="s">
        <v>40</v>
      </c>
    </row>
    <row r="1061" spans="1:10" x14ac:dyDescent="0.3">
      <c r="A1061" s="2" t="s">
        <v>78</v>
      </c>
      <c r="B1061" s="2" t="s">
        <v>79</v>
      </c>
      <c r="C1061" s="2">
        <v>19078</v>
      </c>
      <c r="D1061" s="2">
        <v>28098</v>
      </c>
      <c r="E1061" s="3">
        <v>44648</v>
      </c>
      <c r="F1061" s="3">
        <v>44864</v>
      </c>
      <c r="G1061" s="4">
        <v>277500</v>
      </c>
      <c r="H1061" s="2">
        <v>0</v>
      </c>
      <c r="I1061" s="2" t="s">
        <v>408</v>
      </c>
      <c r="J1061" s="2" t="s">
        <v>81</v>
      </c>
    </row>
    <row r="1062" spans="1:10" x14ac:dyDescent="0.3">
      <c r="A1062" s="2" t="s">
        <v>150</v>
      </c>
      <c r="B1062" s="2" t="s">
        <v>151</v>
      </c>
      <c r="C1062" s="2">
        <v>19390</v>
      </c>
      <c r="D1062" s="2">
        <v>28431</v>
      </c>
      <c r="E1062" s="3">
        <v>44678</v>
      </c>
      <c r="F1062" s="3">
        <v>44864</v>
      </c>
      <c r="G1062" s="4">
        <v>225530</v>
      </c>
      <c r="H1062" s="2">
        <v>0</v>
      </c>
      <c r="I1062" s="2" t="s">
        <v>626</v>
      </c>
      <c r="J1062" s="2" t="s">
        <v>61</v>
      </c>
    </row>
    <row r="1063" spans="1:10" x14ac:dyDescent="0.3">
      <c r="A1063" s="2" t="s">
        <v>136</v>
      </c>
      <c r="B1063" s="2" t="s">
        <v>137</v>
      </c>
      <c r="C1063" s="2">
        <v>19196</v>
      </c>
      <c r="D1063" s="2">
        <v>28215</v>
      </c>
      <c r="E1063" s="3">
        <v>44655</v>
      </c>
      <c r="F1063" s="3">
        <v>44864</v>
      </c>
      <c r="G1063" s="4">
        <v>225700</v>
      </c>
      <c r="H1063" s="2">
        <v>0</v>
      </c>
      <c r="I1063" s="2" t="s">
        <v>680</v>
      </c>
      <c r="J1063" s="2" t="s">
        <v>81</v>
      </c>
    </row>
    <row r="1064" spans="1:10" x14ac:dyDescent="0.3">
      <c r="A1064" s="2" t="s">
        <v>140</v>
      </c>
      <c r="B1064" s="2" t="s">
        <v>141</v>
      </c>
      <c r="C1064" s="2">
        <v>19449</v>
      </c>
      <c r="D1064" s="2">
        <v>28502</v>
      </c>
      <c r="E1064" s="3">
        <v>44684</v>
      </c>
      <c r="F1064" s="3">
        <v>44864</v>
      </c>
      <c r="G1064" s="4">
        <v>108000</v>
      </c>
      <c r="H1064" s="2">
        <v>0</v>
      </c>
      <c r="I1064" s="2" t="s">
        <v>142</v>
      </c>
      <c r="J1064" s="2" t="s">
        <v>40</v>
      </c>
    </row>
    <row r="1065" spans="1:10" x14ac:dyDescent="0.3">
      <c r="A1065" s="2" t="s">
        <v>255</v>
      </c>
      <c r="B1065" s="2" t="s">
        <v>256</v>
      </c>
      <c r="C1065" s="2">
        <v>18895</v>
      </c>
      <c r="D1065" s="2">
        <v>27911</v>
      </c>
      <c r="E1065" s="3">
        <v>44624</v>
      </c>
      <c r="F1065" s="3">
        <v>44864</v>
      </c>
      <c r="G1065" s="4">
        <v>304650</v>
      </c>
      <c r="H1065" s="2">
        <v>0</v>
      </c>
      <c r="I1065" s="2" t="s">
        <v>710</v>
      </c>
      <c r="J1065" s="2" t="s">
        <v>173</v>
      </c>
    </row>
    <row r="1066" spans="1:10" x14ac:dyDescent="0.3">
      <c r="A1066" s="2" t="s">
        <v>150</v>
      </c>
      <c r="B1066" s="2" t="s">
        <v>151</v>
      </c>
      <c r="C1066" s="2">
        <v>19280</v>
      </c>
      <c r="D1066" s="2">
        <v>28309</v>
      </c>
      <c r="E1066" s="3">
        <v>44665</v>
      </c>
      <c r="F1066" s="3">
        <v>44864</v>
      </c>
      <c r="G1066" s="4">
        <v>225530</v>
      </c>
      <c r="H1066" s="2">
        <v>0</v>
      </c>
      <c r="I1066" s="2" t="s">
        <v>712</v>
      </c>
      <c r="J1066" s="2" t="s">
        <v>61</v>
      </c>
    </row>
    <row r="1067" spans="1:10" x14ac:dyDescent="0.3">
      <c r="A1067" s="2" t="s">
        <v>82</v>
      </c>
      <c r="B1067" s="2" t="s">
        <v>83</v>
      </c>
      <c r="C1067" s="2">
        <v>19446</v>
      </c>
      <c r="D1067" s="2">
        <v>28499</v>
      </c>
      <c r="E1067" s="3">
        <v>44684</v>
      </c>
      <c r="F1067" s="3">
        <v>44864</v>
      </c>
      <c r="G1067" s="4">
        <v>89617.5</v>
      </c>
      <c r="H1067" s="2">
        <v>0</v>
      </c>
      <c r="I1067" s="2" t="s">
        <v>716</v>
      </c>
      <c r="J1067" s="2" t="s">
        <v>40</v>
      </c>
    </row>
    <row r="1068" spans="1:10" x14ac:dyDescent="0.3">
      <c r="A1068" s="2" t="s">
        <v>150</v>
      </c>
      <c r="B1068" s="2" t="s">
        <v>151</v>
      </c>
      <c r="C1068" s="2">
        <v>19282</v>
      </c>
      <c r="D1068" s="2">
        <v>28319</v>
      </c>
      <c r="E1068" s="3">
        <v>44665</v>
      </c>
      <c r="F1068" s="3">
        <v>44864</v>
      </c>
      <c r="G1068" s="4">
        <v>213660</v>
      </c>
      <c r="H1068" s="2">
        <v>0</v>
      </c>
      <c r="I1068" s="2" t="s">
        <v>727</v>
      </c>
      <c r="J1068" s="2" t="s">
        <v>61</v>
      </c>
    </row>
    <row r="1069" spans="1:10" x14ac:dyDescent="0.3">
      <c r="A1069" s="2" t="s">
        <v>82</v>
      </c>
      <c r="B1069" s="2" t="s">
        <v>83</v>
      </c>
      <c r="C1069" s="2">
        <v>19468</v>
      </c>
      <c r="D1069" s="2">
        <v>28521</v>
      </c>
      <c r="E1069" s="3">
        <v>44684</v>
      </c>
      <c r="F1069" s="3">
        <v>44864</v>
      </c>
      <c r="G1069" s="4">
        <v>17577</v>
      </c>
      <c r="H1069" s="2">
        <v>0</v>
      </c>
      <c r="I1069" s="2" t="s">
        <v>270</v>
      </c>
      <c r="J1069" s="2" t="s">
        <v>40</v>
      </c>
    </row>
    <row r="1070" spans="1:10" x14ac:dyDescent="0.3">
      <c r="A1070" s="2" t="s">
        <v>85</v>
      </c>
      <c r="B1070" s="2" t="s">
        <v>83</v>
      </c>
      <c r="C1070" s="2">
        <v>19454</v>
      </c>
      <c r="D1070" s="2">
        <v>28507</v>
      </c>
      <c r="E1070" s="3">
        <v>44684</v>
      </c>
      <c r="F1070" s="3">
        <v>44864</v>
      </c>
      <c r="G1070" s="4">
        <v>23440</v>
      </c>
      <c r="H1070" s="2">
        <v>0</v>
      </c>
      <c r="I1070" s="2" t="s">
        <v>158</v>
      </c>
      <c r="J1070" s="2" t="s">
        <v>40</v>
      </c>
    </row>
    <row r="1071" spans="1:10" x14ac:dyDescent="0.3">
      <c r="A1071" s="2" t="s">
        <v>78</v>
      </c>
      <c r="B1071" s="2" t="s">
        <v>79</v>
      </c>
      <c r="C1071" s="2">
        <v>18992</v>
      </c>
      <c r="D1071" s="2">
        <v>28001</v>
      </c>
      <c r="E1071" s="3">
        <v>44634</v>
      </c>
      <c r="F1071" s="3">
        <v>44864</v>
      </c>
      <c r="G1071" s="4">
        <v>190000</v>
      </c>
      <c r="H1071" s="2">
        <v>0</v>
      </c>
      <c r="I1071" s="2" t="s">
        <v>754</v>
      </c>
      <c r="J1071" s="2" t="s">
        <v>81</v>
      </c>
    </row>
    <row r="1072" spans="1:10" x14ac:dyDescent="0.3">
      <c r="A1072" s="2" t="s">
        <v>150</v>
      </c>
      <c r="B1072" s="2" t="s">
        <v>151</v>
      </c>
      <c r="C1072" s="2">
        <v>19258</v>
      </c>
      <c r="D1072" s="2">
        <v>28285</v>
      </c>
      <c r="E1072" s="3">
        <v>44663</v>
      </c>
      <c r="F1072" s="3">
        <v>44864</v>
      </c>
      <c r="G1072" s="4">
        <v>436702</v>
      </c>
      <c r="H1072" s="2">
        <v>0</v>
      </c>
      <c r="I1072" s="2" t="s">
        <v>335</v>
      </c>
      <c r="J1072" s="2" t="s">
        <v>61</v>
      </c>
    </row>
    <row r="1073" spans="1:10" x14ac:dyDescent="0.3">
      <c r="A1073" s="2" t="s">
        <v>150</v>
      </c>
      <c r="B1073" s="2" t="s">
        <v>151</v>
      </c>
      <c r="C1073" s="2">
        <v>19285</v>
      </c>
      <c r="D1073" s="2">
        <v>28323</v>
      </c>
      <c r="E1073" s="3">
        <v>44669</v>
      </c>
      <c r="F1073" s="3">
        <v>44864</v>
      </c>
      <c r="G1073" s="4">
        <v>296750</v>
      </c>
      <c r="H1073" s="2">
        <v>0</v>
      </c>
      <c r="I1073" s="2" t="s">
        <v>771</v>
      </c>
      <c r="J1073" s="2" t="s">
        <v>61</v>
      </c>
    </row>
    <row r="1074" spans="1:10" x14ac:dyDescent="0.3">
      <c r="A1074" s="2" t="s">
        <v>136</v>
      </c>
      <c r="B1074" s="2" t="s">
        <v>137</v>
      </c>
      <c r="C1074" s="2">
        <v>19419</v>
      </c>
      <c r="D1074" s="2">
        <v>28466</v>
      </c>
      <c r="E1074" s="3">
        <v>44680</v>
      </c>
      <c r="F1074" s="3">
        <v>44864</v>
      </c>
      <c r="G1074" s="4">
        <v>150080</v>
      </c>
      <c r="H1074" s="2">
        <v>0</v>
      </c>
      <c r="I1074" s="2" t="s">
        <v>789</v>
      </c>
      <c r="J1074" s="2" t="s">
        <v>81</v>
      </c>
    </row>
    <row r="1075" spans="1:10" x14ac:dyDescent="0.3">
      <c r="A1075" s="2" t="s">
        <v>150</v>
      </c>
      <c r="B1075" s="2" t="s">
        <v>151</v>
      </c>
      <c r="C1075" s="2">
        <v>19426</v>
      </c>
      <c r="D1075" s="2">
        <v>28473</v>
      </c>
      <c r="E1075" s="3">
        <v>44680</v>
      </c>
      <c r="F1075" s="3">
        <v>44864</v>
      </c>
      <c r="G1075" s="4">
        <v>178050</v>
      </c>
      <c r="H1075" s="2">
        <v>0</v>
      </c>
      <c r="I1075" s="2" t="s">
        <v>790</v>
      </c>
      <c r="J1075" s="2" t="s">
        <v>61</v>
      </c>
    </row>
    <row r="1076" spans="1:10" x14ac:dyDescent="0.3">
      <c r="A1076" s="2" t="s">
        <v>37</v>
      </c>
      <c r="B1076" s="2" t="s">
        <v>38</v>
      </c>
      <c r="C1076" s="2">
        <v>19458</v>
      </c>
      <c r="D1076" s="2">
        <v>28511</v>
      </c>
      <c r="E1076" s="3">
        <v>44684</v>
      </c>
      <c r="F1076" s="3">
        <v>44864</v>
      </c>
      <c r="G1076" s="4">
        <v>76364.7</v>
      </c>
      <c r="H1076" s="2">
        <v>0</v>
      </c>
      <c r="I1076" s="2" t="s">
        <v>791</v>
      </c>
      <c r="J1076" s="2" t="s">
        <v>40</v>
      </c>
    </row>
    <row r="1077" spans="1:10" x14ac:dyDescent="0.3">
      <c r="A1077" s="2" t="s">
        <v>48</v>
      </c>
      <c r="B1077" s="2" t="s">
        <v>49</v>
      </c>
      <c r="C1077" s="2">
        <v>19460</v>
      </c>
      <c r="D1077" s="2">
        <v>28513</v>
      </c>
      <c r="E1077" s="3">
        <v>44684</v>
      </c>
      <c r="F1077" s="3">
        <v>44864</v>
      </c>
      <c r="G1077" s="4">
        <v>19689.64</v>
      </c>
      <c r="H1077" s="2">
        <v>0</v>
      </c>
      <c r="I1077" s="2" t="s">
        <v>792</v>
      </c>
      <c r="J1077" s="2" t="s">
        <v>40</v>
      </c>
    </row>
    <row r="1078" spans="1:10" x14ac:dyDescent="0.3">
      <c r="A1078" s="2" t="s">
        <v>804</v>
      </c>
      <c r="B1078" s="2" t="s">
        <v>83</v>
      </c>
      <c r="C1078" s="2">
        <v>19451</v>
      </c>
      <c r="D1078" s="2">
        <v>28504</v>
      </c>
      <c r="E1078" s="3">
        <v>44684</v>
      </c>
      <c r="F1078" s="3">
        <v>44864</v>
      </c>
      <c r="G1078" s="4">
        <v>17320</v>
      </c>
      <c r="H1078" s="2">
        <v>0</v>
      </c>
      <c r="I1078" s="2" t="s">
        <v>805</v>
      </c>
      <c r="J1078" s="2" t="s">
        <v>40</v>
      </c>
    </row>
    <row r="1079" spans="1:10" x14ac:dyDescent="0.3">
      <c r="A1079" s="2" t="s">
        <v>150</v>
      </c>
      <c r="B1079" s="2" t="s">
        <v>151</v>
      </c>
      <c r="C1079" s="2">
        <v>19286</v>
      </c>
      <c r="D1079" s="2">
        <v>28324</v>
      </c>
      <c r="E1079" s="3">
        <v>44669</v>
      </c>
      <c r="F1079" s="3">
        <v>44864</v>
      </c>
      <c r="G1079" s="4">
        <v>296750</v>
      </c>
      <c r="H1079" s="2">
        <v>0</v>
      </c>
      <c r="I1079" s="2" t="s">
        <v>818</v>
      </c>
      <c r="J1079" s="2" t="s">
        <v>61</v>
      </c>
    </row>
    <row r="1080" spans="1:10" x14ac:dyDescent="0.3">
      <c r="A1080" s="2" t="s">
        <v>73</v>
      </c>
      <c r="B1080" s="2" t="s">
        <v>74</v>
      </c>
      <c r="C1080" s="2">
        <v>17662</v>
      </c>
      <c r="D1080" s="2">
        <v>26659</v>
      </c>
      <c r="E1080" s="3">
        <v>44508</v>
      </c>
      <c r="F1080" s="3">
        <v>44864</v>
      </c>
      <c r="G1080" s="4">
        <v>115096.64</v>
      </c>
      <c r="H1080" s="2">
        <v>0</v>
      </c>
      <c r="I1080" s="2" t="s">
        <v>832</v>
      </c>
      <c r="J1080" s="2" t="s">
        <v>28</v>
      </c>
    </row>
    <row r="1081" spans="1:10" x14ac:dyDescent="0.3">
      <c r="A1081" s="2" t="s">
        <v>136</v>
      </c>
      <c r="B1081" s="2" t="s">
        <v>137</v>
      </c>
      <c r="C1081" s="2">
        <v>18990</v>
      </c>
      <c r="D1081" s="2">
        <v>27999</v>
      </c>
      <c r="E1081" s="3">
        <v>44634</v>
      </c>
      <c r="F1081" s="3">
        <v>44864</v>
      </c>
      <c r="G1081" s="4">
        <v>333000</v>
      </c>
      <c r="H1081" s="2">
        <v>0</v>
      </c>
      <c r="I1081" s="2" t="s">
        <v>261</v>
      </c>
      <c r="J1081" s="2" t="s">
        <v>81</v>
      </c>
    </row>
    <row r="1082" spans="1:10" x14ac:dyDescent="0.3">
      <c r="A1082" s="2" t="s">
        <v>73</v>
      </c>
      <c r="B1082" s="2" t="s">
        <v>74</v>
      </c>
      <c r="C1082" s="2">
        <v>17927</v>
      </c>
      <c r="D1082" s="2">
        <v>26941</v>
      </c>
      <c r="E1082" s="3">
        <v>44532</v>
      </c>
      <c r="F1082" s="3">
        <v>44864</v>
      </c>
      <c r="G1082" s="4">
        <v>30150</v>
      </c>
      <c r="H1082" s="2">
        <v>0</v>
      </c>
      <c r="I1082" s="2" t="s">
        <v>853</v>
      </c>
      <c r="J1082" s="2" t="s">
        <v>28</v>
      </c>
    </row>
    <row r="1083" spans="1:10" x14ac:dyDescent="0.3">
      <c r="A1083" s="2" t="s">
        <v>78</v>
      </c>
      <c r="B1083" s="2" t="s">
        <v>79</v>
      </c>
      <c r="C1083" s="2">
        <v>19192</v>
      </c>
      <c r="D1083" s="2">
        <v>28207</v>
      </c>
      <c r="E1083" s="3">
        <v>44652</v>
      </c>
      <c r="F1083" s="3">
        <v>44864</v>
      </c>
      <c r="G1083" s="4">
        <v>150750</v>
      </c>
      <c r="H1083" s="2">
        <v>0</v>
      </c>
      <c r="I1083" s="2" t="s">
        <v>408</v>
      </c>
      <c r="J1083" s="2" t="s">
        <v>81</v>
      </c>
    </row>
    <row r="1084" spans="1:10" x14ac:dyDescent="0.3">
      <c r="A1084" s="2" t="s">
        <v>48</v>
      </c>
      <c r="B1084" s="2" t="s">
        <v>49</v>
      </c>
      <c r="C1084" s="2">
        <v>19459</v>
      </c>
      <c r="D1084" s="2">
        <v>28512</v>
      </c>
      <c r="E1084" s="3">
        <v>44684</v>
      </c>
      <c r="F1084" s="3">
        <v>44864</v>
      </c>
      <c r="G1084" s="4">
        <v>4148</v>
      </c>
      <c r="H1084" s="2">
        <v>0</v>
      </c>
      <c r="I1084" s="2" t="s">
        <v>488</v>
      </c>
      <c r="J1084" s="2" t="s">
        <v>40</v>
      </c>
    </row>
    <row r="1085" spans="1:10" x14ac:dyDescent="0.3">
      <c r="A1085" s="2" t="s">
        <v>136</v>
      </c>
      <c r="B1085" s="2" t="s">
        <v>137</v>
      </c>
      <c r="C1085" s="2">
        <v>19077</v>
      </c>
      <c r="D1085" s="2">
        <v>28097</v>
      </c>
      <c r="E1085" s="3">
        <v>44648</v>
      </c>
      <c r="F1085" s="3">
        <v>44864</v>
      </c>
      <c r="G1085" s="4">
        <v>6688</v>
      </c>
      <c r="H1085" s="2">
        <v>0</v>
      </c>
      <c r="I1085" s="2" t="s">
        <v>261</v>
      </c>
      <c r="J1085" s="2" t="s">
        <v>81</v>
      </c>
    </row>
    <row r="1086" spans="1:10" x14ac:dyDescent="0.3">
      <c r="A1086" s="2" t="s">
        <v>82</v>
      </c>
      <c r="B1086" s="2" t="s">
        <v>83</v>
      </c>
      <c r="C1086" s="2">
        <v>19452</v>
      </c>
      <c r="D1086" s="2">
        <v>28505</v>
      </c>
      <c r="E1086" s="3">
        <v>44684</v>
      </c>
      <c r="F1086" s="3">
        <v>44864</v>
      </c>
      <c r="G1086" s="4">
        <v>17814.400000000001</v>
      </c>
      <c r="H1086" s="2">
        <v>0</v>
      </c>
      <c r="I1086" s="2" t="s">
        <v>402</v>
      </c>
      <c r="J1086" s="2" t="s">
        <v>40</v>
      </c>
    </row>
    <row r="1087" spans="1:10" x14ac:dyDescent="0.3">
      <c r="A1087" s="2" t="s">
        <v>150</v>
      </c>
      <c r="B1087" s="2" t="s">
        <v>151</v>
      </c>
      <c r="C1087" s="2">
        <v>19259</v>
      </c>
      <c r="D1087" s="2">
        <v>28286</v>
      </c>
      <c r="E1087" s="3">
        <v>44663</v>
      </c>
      <c r="F1087" s="3">
        <v>44864</v>
      </c>
      <c r="G1087" s="2">
        <v>800</v>
      </c>
      <c r="H1087" s="2">
        <v>0</v>
      </c>
      <c r="I1087" s="2" t="s">
        <v>981</v>
      </c>
      <c r="J1087" s="2" t="s">
        <v>61</v>
      </c>
    </row>
    <row r="1088" spans="1:10" x14ac:dyDescent="0.3">
      <c r="A1088" s="2" t="s">
        <v>48</v>
      </c>
      <c r="B1088" s="2" t="s">
        <v>49</v>
      </c>
      <c r="C1088" s="2">
        <v>19470</v>
      </c>
      <c r="D1088" s="2">
        <v>28523</v>
      </c>
      <c r="E1088" s="3">
        <v>44684</v>
      </c>
      <c r="F1088" s="3">
        <v>44864</v>
      </c>
      <c r="G1088" s="4">
        <v>20893.54</v>
      </c>
      <c r="H1088" s="2">
        <v>0</v>
      </c>
      <c r="I1088" s="2" t="s">
        <v>983</v>
      </c>
      <c r="J1088" s="2" t="s">
        <v>40</v>
      </c>
    </row>
    <row r="1089" spans="1:10" x14ac:dyDescent="0.3">
      <c r="A1089" s="2" t="s">
        <v>73</v>
      </c>
      <c r="B1089" s="2" t="s">
        <v>74</v>
      </c>
      <c r="C1089" s="2">
        <v>17663</v>
      </c>
      <c r="D1089" s="2">
        <v>26660</v>
      </c>
      <c r="E1089" s="3">
        <v>44508</v>
      </c>
      <c r="F1089" s="3">
        <v>44864</v>
      </c>
      <c r="G1089" s="4">
        <v>5200</v>
      </c>
      <c r="H1089" s="2">
        <v>0</v>
      </c>
      <c r="I1089" s="2" t="s">
        <v>1047</v>
      </c>
      <c r="J1089" s="2" t="s">
        <v>28</v>
      </c>
    </row>
    <row r="1090" spans="1:10" x14ac:dyDescent="0.3">
      <c r="A1090" s="2" t="s">
        <v>82</v>
      </c>
      <c r="B1090" s="2" t="s">
        <v>83</v>
      </c>
      <c r="C1090" s="2">
        <v>19450</v>
      </c>
      <c r="D1090" s="2">
        <v>28503</v>
      </c>
      <c r="E1090" s="3">
        <v>44684</v>
      </c>
      <c r="F1090" s="3">
        <v>44864</v>
      </c>
      <c r="G1090" s="4">
        <v>2418</v>
      </c>
      <c r="H1090" s="2">
        <v>0</v>
      </c>
      <c r="I1090" s="2" t="s">
        <v>1076</v>
      </c>
      <c r="J1090" s="2" t="s">
        <v>40</v>
      </c>
    </row>
    <row r="1091" spans="1:10" x14ac:dyDescent="0.3">
      <c r="A1091" s="2" t="s">
        <v>136</v>
      </c>
      <c r="B1091" s="2" t="s">
        <v>137</v>
      </c>
      <c r="C1091" s="2">
        <v>18866</v>
      </c>
      <c r="D1091" s="2">
        <v>27885</v>
      </c>
      <c r="E1091" s="3">
        <v>44622</v>
      </c>
      <c r="F1091" s="3">
        <v>44864</v>
      </c>
      <c r="G1091" s="4">
        <v>339080</v>
      </c>
      <c r="H1091" s="2">
        <v>0</v>
      </c>
      <c r="I1091" s="2" t="s">
        <v>1081</v>
      </c>
      <c r="J1091" s="2" t="s">
        <v>81</v>
      </c>
    </row>
    <row r="1092" spans="1:10" x14ac:dyDescent="0.3">
      <c r="A1092" s="2" t="s">
        <v>48</v>
      </c>
      <c r="B1092" s="2" t="s">
        <v>49</v>
      </c>
      <c r="C1092" s="2">
        <v>19703</v>
      </c>
      <c r="D1092" s="2">
        <v>28767</v>
      </c>
      <c r="E1092" s="3">
        <v>44714</v>
      </c>
      <c r="F1092" s="3">
        <v>44864</v>
      </c>
      <c r="G1092" s="4">
        <v>54000</v>
      </c>
      <c r="H1092" s="2">
        <v>0</v>
      </c>
      <c r="I1092" s="2" t="s">
        <v>1098</v>
      </c>
      <c r="J1092" s="2" t="s">
        <v>40</v>
      </c>
    </row>
    <row r="1093" spans="1:10" x14ac:dyDescent="0.3">
      <c r="A1093" s="2" t="s">
        <v>136</v>
      </c>
      <c r="B1093" s="2" t="s">
        <v>137</v>
      </c>
      <c r="C1093" s="2">
        <v>19076</v>
      </c>
      <c r="D1093" s="2">
        <v>28096</v>
      </c>
      <c r="E1093" s="3">
        <v>44648</v>
      </c>
      <c r="F1093" s="3">
        <v>44864</v>
      </c>
      <c r="G1093" s="4">
        <v>83600</v>
      </c>
      <c r="H1093" s="2">
        <v>0</v>
      </c>
      <c r="I1093" s="2" t="s">
        <v>1113</v>
      </c>
      <c r="J1093" s="2" t="s">
        <v>81</v>
      </c>
    </row>
    <row r="1094" spans="1:10" x14ac:dyDescent="0.3">
      <c r="A1094" s="2" t="s">
        <v>78</v>
      </c>
      <c r="B1094" s="2" t="s">
        <v>79</v>
      </c>
      <c r="C1094" s="2">
        <v>19316</v>
      </c>
      <c r="D1094" s="2">
        <v>28354</v>
      </c>
      <c r="E1094" s="3">
        <v>44670</v>
      </c>
      <c r="F1094" s="3">
        <v>44864</v>
      </c>
      <c r="G1094" s="4">
        <v>222000</v>
      </c>
      <c r="H1094" s="2">
        <v>0</v>
      </c>
      <c r="I1094" s="2" t="s">
        <v>1124</v>
      </c>
      <c r="J1094" s="2" t="s">
        <v>81</v>
      </c>
    </row>
    <row r="1095" spans="1:10" x14ac:dyDescent="0.3">
      <c r="A1095" s="2" t="s">
        <v>48</v>
      </c>
      <c r="B1095" s="2" t="s">
        <v>49</v>
      </c>
      <c r="C1095" s="2">
        <v>19469</v>
      </c>
      <c r="D1095" s="2">
        <v>28522</v>
      </c>
      <c r="E1095" s="3">
        <v>44684</v>
      </c>
      <c r="F1095" s="3">
        <v>44864</v>
      </c>
      <c r="G1095" s="4">
        <v>13275.78</v>
      </c>
      <c r="H1095" s="2">
        <v>0</v>
      </c>
      <c r="I1095" s="2" t="s">
        <v>1141</v>
      </c>
      <c r="J1095" s="2" t="s">
        <v>40</v>
      </c>
    </row>
    <row r="1096" spans="1:10" x14ac:dyDescent="0.3">
      <c r="A1096" s="2" t="s">
        <v>136</v>
      </c>
      <c r="B1096" s="2" t="s">
        <v>137</v>
      </c>
      <c r="C1096" s="2">
        <v>18867</v>
      </c>
      <c r="D1096" s="2">
        <v>27886</v>
      </c>
      <c r="E1096" s="3">
        <v>44622</v>
      </c>
      <c r="F1096" s="3">
        <v>44864</v>
      </c>
      <c r="G1096" s="4">
        <v>46300</v>
      </c>
      <c r="H1096" s="2">
        <v>0</v>
      </c>
      <c r="I1096" s="2" t="s">
        <v>1151</v>
      </c>
      <c r="J1096" s="2" t="s">
        <v>81</v>
      </c>
    </row>
    <row r="1097" spans="1:10" x14ac:dyDescent="0.3">
      <c r="A1097" s="2" t="s">
        <v>21</v>
      </c>
      <c r="B1097" s="2" t="s">
        <v>22</v>
      </c>
      <c r="C1097" s="2">
        <v>19481</v>
      </c>
      <c r="D1097" s="2">
        <v>28533</v>
      </c>
      <c r="E1097" s="3">
        <v>44685</v>
      </c>
      <c r="F1097" s="3">
        <v>44865</v>
      </c>
      <c r="G1097" s="4">
        <v>5931.68</v>
      </c>
      <c r="H1097" s="2">
        <v>0</v>
      </c>
      <c r="I1097" s="2" t="s">
        <v>117</v>
      </c>
      <c r="J1097" s="2" t="s">
        <v>24</v>
      </c>
    </row>
    <row r="1098" spans="1:10" x14ac:dyDescent="0.3">
      <c r="A1098" s="2" t="s">
        <v>107</v>
      </c>
      <c r="B1098" s="2" t="s">
        <v>108</v>
      </c>
      <c r="C1098" s="2"/>
      <c r="D1098" s="2">
        <v>172705</v>
      </c>
      <c r="E1098" s="3">
        <v>44500</v>
      </c>
      <c r="F1098" s="3">
        <v>44865</v>
      </c>
      <c r="G1098" s="4">
        <v>5612.84</v>
      </c>
      <c r="H1098" s="2">
        <v>0</v>
      </c>
      <c r="I1098" s="2" t="s">
        <v>165</v>
      </c>
      <c r="J1098" s="2" t="s">
        <v>109</v>
      </c>
    </row>
    <row r="1099" spans="1:10" x14ac:dyDescent="0.3">
      <c r="A1099" s="2" t="s">
        <v>53</v>
      </c>
      <c r="B1099" s="2" t="s">
        <v>54</v>
      </c>
      <c r="C1099" s="2">
        <v>19474</v>
      </c>
      <c r="D1099" s="2">
        <v>28527</v>
      </c>
      <c r="E1099" s="3">
        <v>44685</v>
      </c>
      <c r="F1099" s="3">
        <v>44865</v>
      </c>
      <c r="G1099" s="4">
        <v>18583.66</v>
      </c>
      <c r="H1099" s="2">
        <v>0</v>
      </c>
      <c r="I1099" s="2" t="s">
        <v>303</v>
      </c>
      <c r="J1099" s="2" t="s">
        <v>56</v>
      </c>
    </row>
    <row r="1100" spans="1:10" x14ac:dyDescent="0.3">
      <c r="A1100" s="2" t="s">
        <v>53</v>
      </c>
      <c r="B1100" s="2" t="s">
        <v>54</v>
      </c>
      <c r="C1100" s="2">
        <v>19473</v>
      </c>
      <c r="D1100" s="2">
        <v>28526</v>
      </c>
      <c r="E1100" s="3">
        <v>44685</v>
      </c>
      <c r="F1100" s="3">
        <v>44865</v>
      </c>
      <c r="G1100" s="4">
        <v>15889.68</v>
      </c>
      <c r="H1100" s="2">
        <v>0</v>
      </c>
      <c r="I1100" s="2" t="s">
        <v>334</v>
      </c>
      <c r="J1100" s="2" t="s">
        <v>56</v>
      </c>
    </row>
    <row r="1101" spans="1:10" x14ac:dyDescent="0.3">
      <c r="A1101" s="2" t="s">
        <v>234</v>
      </c>
      <c r="B1101" s="2" t="s">
        <v>235</v>
      </c>
      <c r="C1101" s="2">
        <v>19472</v>
      </c>
      <c r="D1101" s="2">
        <v>28525</v>
      </c>
      <c r="E1101" s="3">
        <v>44685</v>
      </c>
      <c r="F1101" s="3">
        <v>44865</v>
      </c>
      <c r="G1101" s="4">
        <v>8213.84</v>
      </c>
      <c r="H1101" s="2">
        <v>0</v>
      </c>
      <c r="I1101" s="2" t="s">
        <v>387</v>
      </c>
      <c r="J1101" s="2" t="s">
        <v>56</v>
      </c>
    </row>
    <row r="1102" spans="1:10" x14ac:dyDescent="0.3">
      <c r="A1102" s="2" t="s">
        <v>234</v>
      </c>
      <c r="B1102" s="2" t="s">
        <v>235</v>
      </c>
      <c r="C1102" s="2">
        <v>19471</v>
      </c>
      <c r="D1102" s="2">
        <v>28524</v>
      </c>
      <c r="E1102" s="3">
        <v>44685</v>
      </c>
      <c r="F1102" s="3">
        <v>44865</v>
      </c>
      <c r="G1102" s="4">
        <v>20196</v>
      </c>
      <c r="H1102" s="2">
        <v>0</v>
      </c>
      <c r="I1102" s="2" t="s">
        <v>844</v>
      </c>
      <c r="J1102" s="2" t="s">
        <v>56</v>
      </c>
    </row>
    <row r="1103" spans="1:10" x14ac:dyDescent="0.3">
      <c r="A1103" s="2" t="s">
        <v>53</v>
      </c>
      <c r="B1103" s="2" t="s">
        <v>54</v>
      </c>
      <c r="C1103" s="2">
        <v>19475</v>
      </c>
      <c r="D1103" s="2">
        <v>28528</v>
      </c>
      <c r="E1103" s="3">
        <v>44685</v>
      </c>
      <c r="F1103" s="3">
        <v>44865</v>
      </c>
      <c r="G1103" s="4">
        <v>18583.66</v>
      </c>
      <c r="H1103" s="2">
        <v>0</v>
      </c>
      <c r="I1103" s="2" t="s">
        <v>954</v>
      </c>
      <c r="J1103" s="2" t="s">
        <v>56</v>
      </c>
    </row>
    <row r="1104" spans="1:10" x14ac:dyDescent="0.3">
      <c r="A1104" s="2" t="s">
        <v>21</v>
      </c>
      <c r="B1104" s="2" t="s">
        <v>22</v>
      </c>
      <c r="C1104" s="2">
        <v>19477</v>
      </c>
      <c r="D1104" s="2">
        <v>28530</v>
      </c>
      <c r="E1104" s="3">
        <v>44685</v>
      </c>
      <c r="F1104" s="3">
        <v>44865</v>
      </c>
      <c r="G1104" s="4">
        <v>4462.5</v>
      </c>
      <c r="H1104" s="2">
        <v>0</v>
      </c>
      <c r="I1104" s="2" t="s">
        <v>1088</v>
      </c>
      <c r="J1104" s="2" t="s">
        <v>24</v>
      </c>
    </row>
    <row r="1105" spans="1:10" x14ac:dyDescent="0.3">
      <c r="A1105" s="2" t="s">
        <v>33</v>
      </c>
      <c r="B1105" s="2" t="s">
        <v>34</v>
      </c>
      <c r="C1105" s="2">
        <v>19709</v>
      </c>
      <c r="D1105" s="2">
        <v>28772</v>
      </c>
      <c r="E1105" s="3">
        <v>44715</v>
      </c>
      <c r="F1105" s="3">
        <v>44865</v>
      </c>
      <c r="G1105" s="4">
        <v>1666.66</v>
      </c>
      <c r="H1105" s="2">
        <v>0</v>
      </c>
      <c r="I1105" s="2" t="s">
        <v>1091</v>
      </c>
      <c r="J1105" s="2" t="s">
        <v>36</v>
      </c>
    </row>
    <row r="1106" spans="1:10" x14ac:dyDescent="0.3">
      <c r="A1106" s="2" t="s">
        <v>48</v>
      </c>
      <c r="B1106" s="2" t="s">
        <v>49</v>
      </c>
      <c r="C1106" s="2">
        <v>19476</v>
      </c>
      <c r="D1106" s="2">
        <v>28529</v>
      </c>
      <c r="E1106" s="3">
        <v>44685</v>
      </c>
      <c r="F1106" s="3">
        <v>44865</v>
      </c>
      <c r="G1106" s="4">
        <v>59745</v>
      </c>
      <c r="H1106" s="2">
        <v>0</v>
      </c>
      <c r="I1106" s="2" t="s">
        <v>1060</v>
      </c>
      <c r="J1106" s="2" t="s">
        <v>40</v>
      </c>
    </row>
    <row r="1107" spans="1:10" x14ac:dyDescent="0.3">
      <c r="A1107" s="2" t="s">
        <v>85</v>
      </c>
      <c r="B1107" s="2" t="s">
        <v>83</v>
      </c>
      <c r="C1107" s="2">
        <v>19507</v>
      </c>
      <c r="D1107" s="2">
        <v>28560</v>
      </c>
      <c r="E1107" s="3">
        <v>44686</v>
      </c>
      <c r="F1107" s="3">
        <v>44866</v>
      </c>
      <c r="G1107" s="4">
        <v>78240</v>
      </c>
      <c r="H1107" s="2">
        <v>0</v>
      </c>
      <c r="I1107" s="2" t="s">
        <v>453</v>
      </c>
      <c r="J1107" s="2" t="s">
        <v>40</v>
      </c>
    </row>
    <row r="1108" spans="1:10" x14ac:dyDescent="0.3">
      <c r="A1108" s="2" t="s">
        <v>21</v>
      </c>
      <c r="B1108" s="2" t="s">
        <v>22</v>
      </c>
      <c r="C1108" s="2">
        <v>19860</v>
      </c>
      <c r="D1108" s="2">
        <v>28929</v>
      </c>
      <c r="E1108" s="3">
        <v>44746</v>
      </c>
      <c r="F1108" s="3">
        <v>44866</v>
      </c>
      <c r="G1108" s="4">
        <v>13963.32</v>
      </c>
      <c r="H1108" s="2">
        <v>0</v>
      </c>
      <c r="I1108" s="2" t="s">
        <v>550</v>
      </c>
      <c r="J1108" s="2" t="s">
        <v>24</v>
      </c>
    </row>
    <row r="1109" spans="1:10" x14ac:dyDescent="0.3">
      <c r="A1109" s="2" t="s">
        <v>21</v>
      </c>
      <c r="B1109" s="2" t="s">
        <v>22</v>
      </c>
      <c r="C1109" s="2">
        <v>19861</v>
      </c>
      <c r="D1109" s="2">
        <v>28930</v>
      </c>
      <c r="E1109" s="3">
        <v>44746</v>
      </c>
      <c r="F1109" s="3">
        <v>44866</v>
      </c>
      <c r="G1109" s="4">
        <v>4144.8</v>
      </c>
      <c r="H1109" s="2">
        <v>0</v>
      </c>
      <c r="I1109" s="2" t="s">
        <v>740</v>
      </c>
      <c r="J1109" s="2" t="s">
        <v>24</v>
      </c>
    </row>
    <row r="1110" spans="1:10" x14ac:dyDescent="0.3">
      <c r="A1110" s="2" t="s">
        <v>506</v>
      </c>
      <c r="B1110" s="2" t="s">
        <v>507</v>
      </c>
      <c r="C1110" s="2">
        <v>19867</v>
      </c>
      <c r="D1110" s="2">
        <v>28937</v>
      </c>
      <c r="E1110" s="3">
        <v>44746</v>
      </c>
      <c r="F1110" s="3">
        <v>44866</v>
      </c>
      <c r="G1110" s="4">
        <v>10866.5</v>
      </c>
      <c r="H1110" s="2">
        <v>0</v>
      </c>
      <c r="I1110" s="2" t="s">
        <v>508</v>
      </c>
      <c r="J1110" s="2" t="s">
        <v>40</v>
      </c>
    </row>
    <row r="1111" spans="1:10" x14ac:dyDescent="0.3">
      <c r="A1111" s="2" t="s">
        <v>21</v>
      </c>
      <c r="B1111" s="2" t="s">
        <v>22</v>
      </c>
      <c r="C1111" s="2">
        <v>19859</v>
      </c>
      <c r="D1111" s="2">
        <v>28928</v>
      </c>
      <c r="E1111" s="3">
        <v>44746</v>
      </c>
      <c r="F1111" s="3">
        <v>44866</v>
      </c>
      <c r="G1111" s="4">
        <v>7020</v>
      </c>
      <c r="H1111" s="2">
        <v>0</v>
      </c>
      <c r="I1111" s="2" t="s">
        <v>1045</v>
      </c>
      <c r="J1111" s="2" t="s">
        <v>24</v>
      </c>
    </row>
    <row r="1112" spans="1:10" x14ac:dyDescent="0.3">
      <c r="A1112" s="2" t="s">
        <v>114</v>
      </c>
      <c r="B1112" s="2" t="s">
        <v>115</v>
      </c>
      <c r="C1112" s="2">
        <v>19871</v>
      </c>
      <c r="D1112" s="2">
        <v>28941</v>
      </c>
      <c r="E1112" s="3">
        <v>44746</v>
      </c>
      <c r="F1112" s="3">
        <v>44866</v>
      </c>
      <c r="G1112" s="4">
        <v>49800.1</v>
      </c>
      <c r="H1112" s="2">
        <v>0</v>
      </c>
      <c r="I1112" s="2" t="s">
        <v>1099</v>
      </c>
      <c r="J1112" s="2" t="s">
        <v>28</v>
      </c>
    </row>
    <row r="1113" spans="1:10" x14ac:dyDescent="0.3">
      <c r="A1113" s="2" t="s">
        <v>114</v>
      </c>
      <c r="B1113" s="2" t="s">
        <v>115</v>
      </c>
      <c r="C1113" s="2">
        <v>19870</v>
      </c>
      <c r="D1113" s="2">
        <v>28940</v>
      </c>
      <c r="E1113" s="3">
        <v>44746</v>
      </c>
      <c r="F1113" s="3">
        <v>44866</v>
      </c>
      <c r="G1113" s="4">
        <v>4393.6499999999996</v>
      </c>
      <c r="H1113" s="2">
        <v>0</v>
      </c>
      <c r="I1113" s="2" t="s">
        <v>1130</v>
      </c>
      <c r="J1113" s="2" t="s">
        <v>28</v>
      </c>
    </row>
    <row r="1114" spans="1:10" x14ac:dyDescent="0.3">
      <c r="A1114" s="2" t="s">
        <v>48</v>
      </c>
      <c r="B1114" s="2" t="s">
        <v>49</v>
      </c>
      <c r="C1114" s="2">
        <v>19505</v>
      </c>
      <c r="D1114" s="2">
        <v>28558</v>
      </c>
      <c r="E1114" s="3">
        <v>44686</v>
      </c>
      <c r="F1114" s="3">
        <v>44866</v>
      </c>
      <c r="G1114" s="4">
        <v>54000</v>
      </c>
      <c r="H1114" s="2">
        <v>0</v>
      </c>
      <c r="I1114" s="2" t="s">
        <v>1145</v>
      </c>
      <c r="J1114" s="2" t="s">
        <v>40</v>
      </c>
    </row>
    <row r="1115" spans="1:10" x14ac:dyDescent="0.3">
      <c r="A1115" s="2" t="s">
        <v>85</v>
      </c>
      <c r="B1115" s="2" t="s">
        <v>83</v>
      </c>
      <c r="C1115" s="2">
        <v>19516</v>
      </c>
      <c r="D1115" s="2">
        <v>28569</v>
      </c>
      <c r="E1115" s="3">
        <v>44687</v>
      </c>
      <c r="F1115" s="3">
        <v>44867</v>
      </c>
      <c r="G1115" s="4">
        <v>61125</v>
      </c>
      <c r="H1115" s="2">
        <v>0</v>
      </c>
      <c r="I1115" s="2" t="s">
        <v>86</v>
      </c>
      <c r="J1115" s="2" t="s">
        <v>40</v>
      </c>
    </row>
    <row r="1116" spans="1:10" x14ac:dyDescent="0.3">
      <c r="A1116" s="2" t="s">
        <v>48</v>
      </c>
      <c r="B1116" s="2" t="s">
        <v>49</v>
      </c>
      <c r="C1116" s="2">
        <v>19524</v>
      </c>
      <c r="D1116" s="2">
        <v>28578</v>
      </c>
      <c r="E1116" s="3">
        <v>44687</v>
      </c>
      <c r="F1116" s="3">
        <v>44867</v>
      </c>
      <c r="G1116" s="4">
        <v>59745</v>
      </c>
      <c r="H1116" s="2">
        <v>0</v>
      </c>
      <c r="I1116" s="2" t="s">
        <v>337</v>
      </c>
      <c r="J1116" s="2" t="s">
        <v>40</v>
      </c>
    </row>
    <row r="1117" spans="1:10" x14ac:dyDescent="0.3">
      <c r="A1117" s="2" t="s">
        <v>170</v>
      </c>
      <c r="B1117" s="2" t="s">
        <v>171</v>
      </c>
      <c r="C1117" s="2">
        <v>19210</v>
      </c>
      <c r="D1117" s="2">
        <v>28231</v>
      </c>
      <c r="E1117" s="3">
        <v>44657</v>
      </c>
      <c r="F1117" s="3">
        <v>44867</v>
      </c>
      <c r="G1117" s="4">
        <v>67200</v>
      </c>
      <c r="H1117" s="2">
        <v>0</v>
      </c>
      <c r="I1117" s="2" t="s">
        <v>431</v>
      </c>
      <c r="J1117" s="2" t="s">
        <v>173</v>
      </c>
    </row>
    <row r="1118" spans="1:10" x14ac:dyDescent="0.3">
      <c r="A1118" s="2" t="s">
        <v>264</v>
      </c>
      <c r="B1118" s="2" t="s">
        <v>265</v>
      </c>
      <c r="C1118" s="2">
        <v>19874</v>
      </c>
      <c r="D1118" s="2">
        <v>28945</v>
      </c>
      <c r="E1118" s="3">
        <v>44747</v>
      </c>
      <c r="F1118" s="3">
        <v>44867</v>
      </c>
      <c r="G1118" s="4">
        <v>14960</v>
      </c>
      <c r="H1118" s="2">
        <v>0</v>
      </c>
      <c r="I1118" s="2" t="s">
        <v>670</v>
      </c>
      <c r="J1118" s="2" t="s">
        <v>24</v>
      </c>
    </row>
    <row r="1119" spans="1:10" x14ac:dyDescent="0.3">
      <c r="A1119" s="2" t="s">
        <v>68</v>
      </c>
      <c r="B1119" s="2" t="s">
        <v>69</v>
      </c>
      <c r="C1119" s="2">
        <v>19517</v>
      </c>
      <c r="D1119" s="2">
        <v>28570</v>
      </c>
      <c r="E1119" s="3">
        <v>44687</v>
      </c>
      <c r="F1119" s="3">
        <v>44867</v>
      </c>
      <c r="G1119" s="4">
        <v>17115</v>
      </c>
      <c r="H1119" s="2">
        <v>0</v>
      </c>
      <c r="I1119" s="2" t="s">
        <v>806</v>
      </c>
      <c r="J1119" s="2" t="s">
        <v>40</v>
      </c>
    </row>
    <row r="1120" spans="1:10" x14ac:dyDescent="0.3">
      <c r="A1120" s="2" t="s">
        <v>170</v>
      </c>
      <c r="B1120" s="2" t="s">
        <v>171</v>
      </c>
      <c r="C1120" s="2">
        <v>19209</v>
      </c>
      <c r="D1120" s="2">
        <v>28230</v>
      </c>
      <c r="E1120" s="3">
        <v>44657</v>
      </c>
      <c r="F1120" s="3">
        <v>44867</v>
      </c>
      <c r="G1120" s="4">
        <v>566400</v>
      </c>
      <c r="H1120" s="2">
        <v>0</v>
      </c>
      <c r="I1120" s="2" t="s">
        <v>905</v>
      </c>
      <c r="J1120" s="2" t="s">
        <v>173</v>
      </c>
    </row>
    <row r="1121" spans="1:10" x14ac:dyDescent="0.3">
      <c r="A1121" s="2" t="s">
        <v>48</v>
      </c>
      <c r="B1121" s="2" t="s">
        <v>49</v>
      </c>
      <c r="C1121" s="2">
        <v>19719</v>
      </c>
      <c r="D1121" s="2">
        <v>28779</v>
      </c>
      <c r="E1121" s="3">
        <v>44718</v>
      </c>
      <c r="F1121" s="3">
        <v>44868</v>
      </c>
      <c r="G1121" s="4">
        <v>58590</v>
      </c>
      <c r="H1121" s="2">
        <v>0</v>
      </c>
      <c r="I1121" s="2" t="s">
        <v>777</v>
      </c>
      <c r="J1121" s="2" t="s">
        <v>40</v>
      </c>
    </row>
    <row r="1122" spans="1:10" x14ac:dyDescent="0.3">
      <c r="A1122" s="2" t="s">
        <v>25</v>
      </c>
      <c r="B1122" s="2" t="s">
        <v>26</v>
      </c>
      <c r="C1122" s="2">
        <v>19720</v>
      </c>
      <c r="D1122" s="2">
        <v>28781</v>
      </c>
      <c r="E1122" s="3">
        <v>44718</v>
      </c>
      <c r="F1122" s="3">
        <v>44868</v>
      </c>
      <c r="G1122" s="4">
        <v>124050</v>
      </c>
      <c r="H1122" s="2">
        <v>0</v>
      </c>
      <c r="I1122" s="2" t="s">
        <v>1129</v>
      </c>
      <c r="J1122" s="2" t="s">
        <v>28</v>
      </c>
    </row>
    <row r="1123" spans="1:10" x14ac:dyDescent="0.3">
      <c r="A1123" s="2" t="s">
        <v>296</v>
      </c>
      <c r="B1123" s="2" t="s">
        <v>294</v>
      </c>
      <c r="C1123" s="2">
        <v>19886</v>
      </c>
      <c r="D1123" s="2">
        <v>28958</v>
      </c>
      <c r="E1123" s="3">
        <v>44749</v>
      </c>
      <c r="F1123" s="3">
        <v>44869</v>
      </c>
      <c r="G1123" s="4">
        <v>6240</v>
      </c>
      <c r="H1123" s="2">
        <v>0</v>
      </c>
      <c r="I1123" s="2" t="s">
        <v>297</v>
      </c>
      <c r="J1123" s="2" t="s">
        <v>36</v>
      </c>
    </row>
    <row r="1124" spans="1:10" x14ac:dyDescent="0.3">
      <c r="A1124" s="2" t="s">
        <v>144</v>
      </c>
      <c r="B1124" s="2" t="s">
        <v>145</v>
      </c>
      <c r="C1124" s="2">
        <v>19234</v>
      </c>
      <c r="D1124" s="2">
        <v>28259</v>
      </c>
      <c r="E1124" s="3">
        <v>44659</v>
      </c>
      <c r="F1124" s="3">
        <v>44869</v>
      </c>
      <c r="G1124" s="4">
        <v>90850</v>
      </c>
      <c r="H1124" s="2">
        <v>0</v>
      </c>
      <c r="I1124" s="2" t="s">
        <v>536</v>
      </c>
      <c r="J1124" s="2" t="s">
        <v>147</v>
      </c>
    </row>
    <row r="1125" spans="1:10" x14ac:dyDescent="0.3">
      <c r="A1125" s="2" t="s">
        <v>48</v>
      </c>
      <c r="B1125" s="2" t="s">
        <v>49</v>
      </c>
      <c r="C1125" s="2">
        <v>19732</v>
      </c>
      <c r="D1125" s="2">
        <v>28793</v>
      </c>
      <c r="E1125" s="3">
        <v>44719</v>
      </c>
      <c r="F1125" s="3">
        <v>44869</v>
      </c>
      <c r="G1125" s="4">
        <v>58590</v>
      </c>
      <c r="H1125" s="2">
        <v>0</v>
      </c>
      <c r="I1125" s="2" t="s">
        <v>700</v>
      </c>
      <c r="J1125" s="2" t="s">
        <v>40</v>
      </c>
    </row>
    <row r="1126" spans="1:10" x14ac:dyDescent="0.3">
      <c r="A1126" s="2" t="s">
        <v>48</v>
      </c>
      <c r="B1126" s="2" t="s">
        <v>49</v>
      </c>
      <c r="C1126" s="2">
        <v>19726</v>
      </c>
      <c r="D1126" s="2">
        <v>28787</v>
      </c>
      <c r="E1126" s="3">
        <v>44719</v>
      </c>
      <c r="F1126" s="3">
        <v>44869</v>
      </c>
      <c r="G1126" s="4">
        <v>58590</v>
      </c>
      <c r="H1126" s="2">
        <v>0</v>
      </c>
      <c r="I1126" s="2" t="s">
        <v>807</v>
      </c>
      <c r="J1126" s="2" t="s">
        <v>40</v>
      </c>
    </row>
    <row r="1127" spans="1:10" x14ac:dyDescent="0.3">
      <c r="A1127" s="2" t="s">
        <v>48</v>
      </c>
      <c r="B1127" s="2" t="s">
        <v>49</v>
      </c>
      <c r="C1127" s="2">
        <v>19736</v>
      </c>
      <c r="D1127" s="2">
        <v>28796</v>
      </c>
      <c r="E1127" s="3">
        <v>44720</v>
      </c>
      <c r="F1127" s="3">
        <v>44870</v>
      </c>
      <c r="G1127" s="4">
        <v>58590</v>
      </c>
      <c r="H1127" s="2">
        <v>0</v>
      </c>
      <c r="I1127" s="2" t="s">
        <v>268</v>
      </c>
      <c r="J1127" s="2" t="s">
        <v>40</v>
      </c>
    </row>
    <row r="1128" spans="1:10" x14ac:dyDescent="0.3">
      <c r="A1128" s="2" t="s">
        <v>48</v>
      </c>
      <c r="B1128" s="2" t="s">
        <v>49</v>
      </c>
      <c r="C1128" s="2">
        <v>19541</v>
      </c>
      <c r="D1128" s="2">
        <v>28596</v>
      </c>
      <c r="E1128" s="3">
        <v>44690</v>
      </c>
      <c r="F1128" s="3">
        <v>44870</v>
      </c>
      <c r="G1128" s="4">
        <v>59745</v>
      </c>
      <c r="H1128" s="2">
        <v>0</v>
      </c>
      <c r="I1128" s="2" t="s">
        <v>305</v>
      </c>
      <c r="J1128" s="2" t="s">
        <v>40</v>
      </c>
    </row>
    <row r="1129" spans="1:10" x14ac:dyDescent="0.3">
      <c r="A1129" s="2" t="s">
        <v>48</v>
      </c>
      <c r="B1129" s="2" t="s">
        <v>49</v>
      </c>
      <c r="C1129" s="2">
        <v>19525</v>
      </c>
      <c r="D1129" s="2">
        <v>28581</v>
      </c>
      <c r="E1129" s="3">
        <v>44690</v>
      </c>
      <c r="F1129" s="3">
        <v>44870</v>
      </c>
      <c r="G1129" s="4">
        <v>55755</v>
      </c>
      <c r="H1129" s="2">
        <v>0</v>
      </c>
      <c r="I1129" s="2" t="s">
        <v>965</v>
      </c>
      <c r="J1129" s="2" t="s">
        <v>40</v>
      </c>
    </row>
    <row r="1130" spans="1:10" x14ac:dyDescent="0.3">
      <c r="A1130" s="2" t="s">
        <v>48</v>
      </c>
      <c r="B1130" s="2" t="s">
        <v>49</v>
      </c>
      <c r="C1130" s="2">
        <v>19738</v>
      </c>
      <c r="D1130" s="2">
        <v>28798</v>
      </c>
      <c r="E1130" s="3">
        <v>44720</v>
      </c>
      <c r="F1130" s="3">
        <v>44870</v>
      </c>
      <c r="G1130" s="4">
        <v>58590</v>
      </c>
      <c r="H1130" s="2">
        <v>0</v>
      </c>
      <c r="I1130" s="2" t="s">
        <v>1070</v>
      </c>
      <c r="J1130" s="2" t="s">
        <v>40</v>
      </c>
    </row>
    <row r="1131" spans="1:10" x14ac:dyDescent="0.3">
      <c r="A1131" s="2" t="s">
        <v>45</v>
      </c>
      <c r="B1131" s="2" t="s">
        <v>46</v>
      </c>
      <c r="C1131" s="2">
        <v>19562</v>
      </c>
      <c r="D1131" s="2">
        <v>28617</v>
      </c>
      <c r="E1131" s="3">
        <v>44691</v>
      </c>
      <c r="F1131" s="3">
        <v>44871</v>
      </c>
      <c r="G1131" s="4">
        <v>1565.25</v>
      </c>
      <c r="H1131" s="2">
        <v>0</v>
      </c>
      <c r="I1131" s="2" t="s">
        <v>47</v>
      </c>
      <c r="J1131" s="2" t="s">
        <v>44</v>
      </c>
    </row>
    <row r="1132" spans="1:10" x14ac:dyDescent="0.3">
      <c r="A1132" s="2" t="s">
        <v>48</v>
      </c>
      <c r="B1132" s="2" t="s">
        <v>49</v>
      </c>
      <c r="C1132" s="2">
        <v>19744</v>
      </c>
      <c r="D1132" s="2">
        <v>28806</v>
      </c>
      <c r="E1132" s="3">
        <v>44721</v>
      </c>
      <c r="F1132" s="3">
        <v>44871</v>
      </c>
      <c r="G1132" s="4">
        <v>58590</v>
      </c>
      <c r="H1132" s="2">
        <v>0</v>
      </c>
      <c r="I1132" s="2" t="s">
        <v>1120</v>
      </c>
      <c r="J1132" s="2" t="s">
        <v>40</v>
      </c>
    </row>
    <row r="1133" spans="1:10" x14ac:dyDescent="0.3">
      <c r="A1133" s="2" t="s">
        <v>48</v>
      </c>
      <c r="B1133" s="2" t="s">
        <v>49</v>
      </c>
      <c r="C1133" s="2">
        <v>19757</v>
      </c>
      <c r="D1133" s="2">
        <v>28818</v>
      </c>
      <c r="E1133" s="3">
        <v>44722</v>
      </c>
      <c r="F1133" s="3">
        <v>44872</v>
      </c>
      <c r="G1133" s="4">
        <v>58590</v>
      </c>
      <c r="H1133" s="2">
        <v>0</v>
      </c>
      <c r="I1133" s="2" t="s">
        <v>457</v>
      </c>
      <c r="J1133" s="2" t="s">
        <v>40</v>
      </c>
    </row>
    <row r="1134" spans="1:10" x14ac:dyDescent="0.3">
      <c r="A1134" s="2" t="s">
        <v>53</v>
      </c>
      <c r="B1134" s="2" t="s">
        <v>54</v>
      </c>
      <c r="C1134" s="2">
        <v>19760</v>
      </c>
      <c r="D1134" s="2">
        <v>28821</v>
      </c>
      <c r="E1134" s="3">
        <v>44722</v>
      </c>
      <c r="F1134" s="3">
        <v>44872</v>
      </c>
      <c r="G1134" s="4">
        <v>39721.379999999997</v>
      </c>
      <c r="H1134" s="2">
        <v>0</v>
      </c>
      <c r="I1134" s="2" t="s">
        <v>55</v>
      </c>
      <c r="J1134" s="2" t="s">
        <v>56</v>
      </c>
    </row>
    <row r="1135" spans="1:10" x14ac:dyDescent="0.3">
      <c r="A1135" s="2" t="s">
        <v>53</v>
      </c>
      <c r="B1135" s="2" t="s">
        <v>54</v>
      </c>
      <c r="C1135" s="2">
        <v>19759</v>
      </c>
      <c r="D1135" s="2">
        <v>28820</v>
      </c>
      <c r="E1135" s="3">
        <v>44722</v>
      </c>
      <c r="F1135" s="3">
        <v>44872</v>
      </c>
      <c r="G1135" s="4">
        <v>18583.48</v>
      </c>
      <c r="H1135" s="2">
        <v>0</v>
      </c>
      <c r="I1135" s="2" t="s">
        <v>160</v>
      </c>
      <c r="J1135" s="2" t="s">
        <v>56</v>
      </c>
    </row>
    <row r="1136" spans="1:10" x14ac:dyDescent="0.3">
      <c r="A1136" s="2" t="s">
        <v>48</v>
      </c>
      <c r="B1136" s="2" t="s">
        <v>49</v>
      </c>
      <c r="C1136" s="2">
        <v>19570</v>
      </c>
      <c r="D1136" s="2">
        <v>28628</v>
      </c>
      <c r="E1136" s="3">
        <v>44692</v>
      </c>
      <c r="F1136" s="3">
        <v>44872</v>
      </c>
      <c r="G1136" s="4">
        <v>59745</v>
      </c>
      <c r="H1136" s="2">
        <v>0</v>
      </c>
      <c r="I1136" s="2" t="s">
        <v>1128</v>
      </c>
      <c r="J1136" s="2" t="s">
        <v>40</v>
      </c>
    </row>
    <row r="1137" spans="1:10" x14ac:dyDescent="0.3">
      <c r="A1137" s="2" t="s">
        <v>242</v>
      </c>
      <c r="B1137" s="2" t="s">
        <v>243</v>
      </c>
      <c r="C1137" s="2">
        <v>19912</v>
      </c>
      <c r="D1137" s="2">
        <v>28982</v>
      </c>
      <c r="E1137" s="3">
        <v>44753</v>
      </c>
      <c r="F1137" s="3">
        <v>44873</v>
      </c>
      <c r="G1137" s="4">
        <v>261624</v>
      </c>
      <c r="H1137" s="2">
        <v>0</v>
      </c>
      <c r="I1137" s="2" t="s">
        <v>244</v>
      </c>
      <c r="J1137" s="2" t="s">
        <v>40</v>
      </c>
    </row>
    <row r="1138" spans="1:10" x14ac:dyDescent="0.3">
      <c r="A1138" s="2" t="s">
        <v>85</v>
      </c>
      <c r="B1138" s="2" t="s">
        <v>83</v>
      </c>
      <c r="C1138" s="2">
        <v>19573</v>
      </c>
      <c r="D1138" s="2">
        <v>28632</v>
      </c>
      <c r="E1138" s="3">
        <v>44693</v>
      </c>
      <c r="F1138" s="3">
        <v>44873</v>
      </c>
      <c r="G1138" s="4">
        <v>2929.5</v>
      </c>
      <c r="H1138" s="2">
        <v>0</v>
      </c>
      <c r="I1138" s="2" t="s">
        <v>306</v>
      </c>
      <c r="J1138" s="2" t="s">
        <v>40</v>
      </c>
    </row>
    <row r="1139" spans="1:10" x14ac:dyDescent="0.3">
      <c r="A1139" s="2" t="s">
        <v>480</v>
      </c>
      <c r="B1139" s="2" t="s">
        <v>481</v>
      </c>
      <c r="C1139" s="2">
        <v>19902</v>
      </c>
      <c r="D1139" s="2">
        <v>28972</v>
      </c>
      <c r="E1139" s="3">
        <v>44753</v>
      </c>
      <c r="F1139" s="3">
        <v>44873</v>
      </c>
      <c r="G1139" s="4">
        <v>15206.1</v>
      </c>
      <c r="H1139" s="2">
        <v>0</v>
      </c>
      <c r="I1139" s="2" t="s">
        <v>966</v>
      </c>
      <c r="J1139" s="2" t="s">
        <v>56</v>
      </c>
    </row>
    <row r="1140" spans="1:10" x14ac:dyDescent="0.3">
      <c r="A1140" s="2" t="s">
        <v>48</v>
      </c>
      <c r="B1140" s="2" t="s">
        <v>49</v>
      </c>
      <c r="C1140" s="2">
        <v>19577</v>
      </c>
      <c r="D1140" s="2">
        <v>28636</v>
      </c>
      <c r="E1140" s="3">
        <v>44693</v>
      </c>
      <c r="F1140" s="3">
        <v>44873</v>
      </c>
      <c r="G1140" s="4">
        <v>59745</v>
      </c>
      <c r="H1140" s="2">
        <v>0</v>
      </c>
      <c r="I1140" s="2" t="s">
        <v>1017</v>
      </c>
      <c r="J1140" s="2" t="s">
        <v>40</v>
      </c>
    </row>
    <row r="1141" spans="1:10" x14ac:dyDescent="0.3">
      <c r="A1141" s="2" t="s">
        <v>179</v>
      </c>
      <c r="B1141" s="2" t="s">
        <v>180</v>
      </c>
      <c r="C1141" s="2">
        <v>19895</v>
      </c>
      <c r="D1141" s="2">
        <v>28967</v>
      </c>
      <c r="E1141" s="3">
        <v>44753</v>
      </c>
      <c r="F1141" s="3">
        <v>44873</v>
      </c>
      <c r="G1141" s="4">
        <v>5180.8</v>
      </c>
      <c r="H1141" s="2">
        <v>0</v>
      </c>
      <c r="I1141" s="2" t="s">
        <v>190</v>
      </c>
      <c r="J1141" s="2" t="s">
        <v>40</v>
      </c>
    </row>
    <row r="1142" spans="1:10" x14ac:dyDescent="0.3">
      <c r="A1142" s="2" t="s">
        <v>255</v>
      </c>
      <c r="B1142" s="2" t="s">
        <v>256</v>
      </c>
      <c r="C1142" s="2">
        <v>18989</v>
      </c>
      <c r="D1142" s="2">
        <v>27998</v>
      </c>
      <c r="E1142" s="3">
        <v>44634</v>
      </c>
      <c r="F1142" s="3">
        <v>44874</v>
      </c>
      <c r="G1142" s="4">
        <v>408700</v>
      </c>
      <c r="H1142" s="2">
        <v>0</v>
      </c>
      <c r="I1142" s="2" t="s">
        <v>376</v>
      </c>
      <c r="J1142" s="2" t="s">
        <v>173</v>
      </c>
    </row>
    <row r="1143" spans="1:10" x14ac:dyDescent="0.3">
      <c r="A1143" s="2" t="s">
        <v>48</v>
      </c>
      <c r="B1143" s="2" t="s">
        <v>49</v>
      </c>
      <c r="C1143" s="2">
        <v>19915</v>
      </c>
      <c r="D1143" s="2">
        <v>28985</v>
      </c>
      <c r="E1143" s="3">
        <v>44754</v>
      </c>
      <c r="F1143" s="3">
        <v>44874</v>
      </c>
      <c r="G1143" s="2">
        <v>419.73</v>
      </c>
      <c r="H1143" s="2">
        <v>0</v>
      </c>
      <c r="I1143" s="2" t="s">
        <v>645</v>
      </c>
      <c r="J1143" s="2" t="s">
        <v>40</v>
      </c>
    </row>
    <row r="1144" spans="1:10" x14ac:dyDescent="0.3">
      <c r="A1144" s="2" t="s">
        <v>21</v>
      </c>
      <c r="B1144" s="2" t="s">
        <v>22</v>
      </c>
      <c r="C1144" s="2">
        <v>19914</v>
      </c>
      <c r="D1144" s="2">
        <v>28984</v>
      </c>
      <c r="E1144" s="3">
        <v>44754</v>
      </c>
      <c r="F1144" s="3">
        <v>44874</v>
      </c>
      <c r="G1144" s="4">
        <v>22152.98</v>
      </c>
      <c r="H1144" s="2">
        <v>0</v>
      </c>
      <c r="I1144" s="2" t="s">
        <v>718</v>
      </c>
      <c r="J1144" s="2" t="s">
        <v>24</v>
      </c>
    </row>
    <row r="1145" spans="1:10" x14ac:dyDescent="0.3">
      <c r="A1145" s="2" t="s">
        <v>48</v>
      </c>
      <c r="B1145" s="2" t="s">
        <v>49</v>
      </c>
      <c r="C1145" s="2">
        <v>19580</v>
      </c>
      <c r="D1145" s="2">
        <v>28639</v>
      </c>
      <c r="E1145" s="3">
        <v>44694</v>
      </c>
      <c r="F1145" s="3">
        <v>44874</v>
      </c>
      <c r="G1145" s="4">
        <v>55755</v>
      </c>
      <c r="H1145" s="2">
        <v>0</v>
      </c>
      <c r="I1145" s="2" t="s">
        <v>327</v>
      </c>
      <c r="J1145" s="2" t="s">
        <v>40</v>
      </c>
    </row>
    <row r="1146" spans="1:10" x14ac:dyDescent="0.3">
      <c r="A1146" s="2" t="s">
        <v>170</v>
      </c>
      <c r="B1146" s="2" t="s">
        <v>171</v>
      </c>
      <c r="C1146" s="2">
        <v>19274</v>
      </c>
      <c r="D1146" s="2">
        <v>28304</v>
      </c>
      <c r="E1146" s="3">
        <v>44664</v>
      </c>
      <c r="F1146" s="3">
        <v>44874</v>
      </c>
      <c r="G1146" s="4">
        <v>453120</v>
      </c>
      <c r="H1146" s="2">
        <v>0</v>
      </c>
      <c r="I1146" s="2" t="s">
        <v>435</v>
      </c>
      <c r="J1146" s="2" t="s">
        <v>173</v>
      </c>
    </row>
    <row r="1147" spans="1:10" x14ac:dyDescent="0.3">
      <c r="A1147" s="2" t="s">
        <v>719</v>
      </c>
      <c r="B1147" s="2" t="s">
        <v>720</v>
      </c>
      <c r="C1147" s="2">
        <v>19916</v>
      </c>
      <c r="D1147" s="2">
        <v>28986</v>
      </c>
      <c r="E1147" s="3">
        <v>44755</v>
      </c>
      <c r="F1147" s="3">
        <v>44875</v>
      </c>
      <c r="G1147" s="4">
        <v>79222.899999999994</v>
      </c>
      <c r="H1147" s="2">
        <v>0</v>
      </c>
      <c r="I1147" s="2" t="s">
        <v>721</v>
      </c>
      <c r="J1147" s="2" t="s">
        <v>112</v>
      </c>
    </row>
    <row r="1148" spans="1:10" x14ac:dyDescent="0.3">
      <c r="A1148" s="2" t="s">
        <v>48</v>
      </c>
      <c r="B1148" s="2" t="s">
        <v>49</v>
      </c>
      <c r="C1148" s="2">
        <v>19762</v>
      </c>
      <c r="D1148" s="2">
        <v>28825</v>
      </c>
      <c r="E1148" s="3">
        <v>44725</v>
      </c>
      <c r="F1148" s="3">
        <v>44875</v>
      </c>
      <c r="G1148" s="4">
        <v>58590</v>
      </c>
      <c r="H1148" s="2">
        <v>0</v>
      </c>
      <c r="I1148" s="2" t="s">
        <v>778</v>
      </c>
      <c r="J1148" s="2" t="s">
        <v>40</v>
      </c>
    </row>
    <row r="1149" spans="1:10" x14ac:dyDescent="0.3">
      <c r="A1149" s="2" t="s">
        <v>48</v>
      </c>
      <c r="B1149" s="2" t="s">
        <v>49</v>
      </c>
      <c r="C1149" s="2">
        <v>19766</v>
      </c>
      <c r="D1149" s="2">
        <v>28830</v>
      </c>
      <c r="E1149" s="3">
        <v>44726</v>
      </c>
      <c r="F1149" s="3">
        <v>44876</v>
      </c>
      <c r="G1149" s="4">
        <v>59745</v>
      </c>
      <c r="H1149" s="2">
        <v>0</v>
      </c>
      <c r="I1149" s="2" t="s">
        <v>551</v>
      </c>
      <c r="J1149" s="2" t="s">
        <v>40</v>
      </c>
    </row>
    <row r="1150" spans="1:10" x14ac:dyDescent="0.3">
      <c r="A1150" s="2" t="s">
        <v>170</v>
      </c>
      <c r="B1150" s="2" t="s">
        <v>171</v>
      </c>
      <c r="C1150" s="2">
        <v>19011</v>
      </c>
      <c r="D1150" s="2">
        <v>28023</v>
      </c>
      <c r="E1150" s="3">
        <v>44637</v>
      </c>
      <c r="F1150" s="3">
        <v>44877</v>
      </c>
      <c r="G1150" s="4">
        <v>225784</v>
      </c>
      <c r="H1150" s="2">
        <v>0</v>
      </c>
      <c r="I1150" s="2" t="s">
        <v>443</v>
      </c>
      <c r="J1150" s="2" t="s">
        <v>173</v>
      </c>
    </row>
    <row r="1151" spans="1:10" x14ac:dyDescent="0.3">
      <c r="A1151" s="2" t="s">
        <v>68</v>
      </c>
      <c r="B1151" s="2" t="s">
        <v>69</v>
      </c>
      <c r="C1151" s="2">
        <v>19581</v>
      </c>
      <c r="D1151" s="2">
        <v>28641</v>
      </c>
      <c r="E1151" s="3">
        <v>44697</v>
      </c>
      <c r="F1151" s="3">
        <v>44877</v>
      </c>
      <c r="G1151" s="4">
        <v>61125</v>
      </c>
      <c r="H1151" s="2">
        <v>0</v>
      </c>
      <c r="I1151" s="2" t="s">
        <v>682</v>
      </c>
      <c r="J1151" s="2" t="s">
        <v>40</v>
      </c>
    </row>
    <row r="1152" spans="1:10" x14ac:dyDescent="0.3">
      <c r="A1152" s="2" t="s">
        <v>48</v>
      </c>
      <c r="B1152" s="2" t="s">
        <v>49</v>
      </c>
      <c r="C1152" s="2">
        <v>19584</v>
      </c>
      <c r="D1152" s="2">
        <v>28645</v>
      </c>
      <c r="E1152" s="3">
        <v>44697</v>
      </c>
      <c r="F1152" s="3">
        <v>44877</v>
      </c>
      <c r="G1152" s="4">
        <v>55755</v>
      </c>
      <c r="H1152" s="2">
        <v>0</v>
      </c>
      <c r="I1152" s="2" t="s">
        <v>1061</v>
      </c>
      <c r="J1152" s="2" t="s">
        <v>40</v>
      </c>
    </row>
    <row r="1153" spans="1:10" x14ac:dyDescent="0.3">
      <c r="A1153" s="2" t="s">
        <v>25</v>
      </c>
      <c r="B1153" s="2" t="s">
        <v>26</v>
      </c>
      <c r="C1153" s="2">
        <v>19769</v>
      </c>
      <c r="D1153" s="2">
        <v>28834</v>
      </c>
      <c r="E1153" s="3">
        <v>44727</v>
      </c>
      <c r="F1153" s="3">
        <v>44877</v>
      </c>
      <c r="G1153" s="4">
        <v>58350</v>
      </c>
      <c r="H1153" s="2">
        <v>0</v>
      </c>
      <c r="I1153" s="2" t="s">
        <v>1135</v>
      </c>
      <c r="J1153" s="2" t="s">
        <v>28</v>
      </c>
    </row>
    <row r="1154" spans="1:10" x14ac:dyDescent="0.3">
      <c r="A1154" s="2" t="s">
        <v>68</v>
      </c>
      <c r="B1154" s="2" t="s">
        <v>69</v>
      </c>
      <c r="C1154" s="2">
        <v>19596</v>
      </c>
      <c r="D1154" s="2">
        <v>28661</v>
      </c>
      <c r="E1154" s="3">
        <v>44698</v>
      </c>
      <c r="F1154" s="3">
        <v>44878</v>
      </c>
      <c r="G1154" s="4">
        <v>78240</v>
      </c>
      <c r="H1154" s="2">
        <v>0</v>
      </c>
      <c r="I1154" s="2" t="s">
        <v>487</v>
      </c>
      <c r="J1154" s="2" t="s">
        <v>40</v>
      </c>
    </row>
    <row r="1155" spans="1:10" x14ac:dyDescent="0.3">
      <c r="A1155" s="2" t="s">
        <v>82</v>
      </c>
      <c r="B1155" s="2" t="s">
        <v>83</v>
      </c>
      <c r="C1155" s="2">
        <v>19595</v>
      </c>
      <c r="D1155" s="2">
        <v>28659</v>
      </c>
      <c r="E1155" s="3">
        <v>44698</v>
      </c>
      <c r="F1155" s="3">
        <v>44878</v>
      </c>
      <c r="G1155" s="4">
        <v>5625.6</v>
      </c>
      <c r="H1155" s="2">
        <v>0</v>
      </c>
      <c r="I1155" s="2" t="s">
        <v>984</v>
      </c>
      <c r="J1155" s="2" t="s">
        <v>40</v>
      </c>
    </row>
    <row r="1156" spans="1:10" x14ac:dyDescent="0.3">
      <c r="A1156" s="2" t="s">
        <v>48</v>
      </c>
      <c r="B1156" s="2" t="s">
        <v>49</v>
      </c>
      <c r="C1156" s="2">
        <v>19772</v>
      </c>
      <c r="D1156" s="2">
        <v>28836</v>
      </c>
      <c r="E1156" s="3">
        <v>44729</v>
      </c>
      <c r="F1156" s="3">
        <v>44879</v>
      </c>
      <c r="G1156" s="4">
        <v>58590</v>
      </c>
      <c r="H1156" s="2">
        <v>0</v>
      </c>
      <c r="I1156" s="2" t="s">
        <v>563</v>
      </c>
      <c r="J1156" s="2" t="s">
        <v>40</v>
      </c>
    </row>
    <row r="1157" spans="1:10" x14ac:dyDescent="0.3">
      <c r="A1157" s="2" t="s">
        <v>587</v>
      </c>
      <c r="B1157" s="2" t="s">
        <v>588</v>
      </c>
      <c r="C1157" s="2">
        <v>19940</v>
      </c>
      <c r="D1157" s="2">
        <v>29009</v>
      </c>
      <c r="E1157" s="3">
        <v>44760</v>
      </c>
      <c r="F1157" s="3">
        <v>44880</v>
      </c>
      <c r="G1157" s="4">
        <v>3527.5</v>
      </c>
      <c r="H1157" s="2">
        <v>0</v>
      </c>
      <c r="I1157" s="2" t="s">
        <v>589</v>
      </c>
      <c r="J1157" s="2" t="s">
        <v>157</v>
      </c>
    </row>
    <row r="1158" spans="1:10" x14ac:dyDescent="0.3">
      <c r="A1158" s="2" t="s">
        <v>48</v>
      </c>
      <c r="B1158" s="2" t="s">
        <v>49</v>
      </c>
      <c r="C1158" s="2">
        <v>19603</v>
      </c>
      <c r="D1158" s="2">
        <v>28667</v>
      </c>
      <c r="E1158" s="3">
        <v>44700</v>
      </c>
      <c r="F1158" s="3">
        <v>44880</v>
      </c>
      <c r="G1158" s="4">
        <v>55755</v>
      </c>
      <c r="H1158" s="2">
        <v>0</v>
      </c>
      <c r="I1158" s="2" t="s">
        <v>1119</v>
      </c>
      <c r="J1158" s="2" t="s">
        <v>40</v>
      </c>
    </row>
    <row r="1159" spans="1:10" x14ac:dyDescent="0.3">
      <c r="A1159" s="2" t="s">
        <v>25</v>
      </c>
      <c r="B1159" s="2" t="s">
        <v>26</v>
      </c>
      <c r="C1159" s="2">
        <v>19617</v>
      </c>
      <c r="D1159" s="2">
        <v>28683</v>
      </c>
      <c r="E1159" s="3">
        <v>44701</v>
      </c>
      <c r="F1159" s="3">
        <v>44881</v>
      </c>
      <c r="G1159" s="4">
        <v>58350</v>
      </c>
      <c r="H1159" s="2">
        <v>0</v>
      </c>
      <c r="I1159" s="2" t="s">
        <v>326</v>
      </c>
      <c r="J1159" s="2" t="s">
        <v>28</v>
      </c>
    </row>
    <row r="1160" spans="1:10" x14ac:dyDescent="0.3">
      <c r="A1160" s="2" t="s">
        <v>255</v>
      </c>
      <c r="B1160" s="2" t="s">
        <v>256</v>
      </c>
      <c r="C1160" s="2">
        <v>19026</v>
      </c>
      <c r="D1160" s="2">
        <v>28039</v>
      </c>
      <c r="E1160" s="3">
        <v>44641</v>
      </c>
      <c r="F1160" s="3">
        <v>44881</v>
      </c>
      <c r="G1160" s="4">
        <v>220710</v>
      </c>
      <c r="H1160" s="2">
        <v>0</v>
      </c>
      <c r="I1160" s="2" t="s">
        <v>376</v>
      </c>
      <c r="J1160" s="2" t="s">
        <v>173</v>
      </c>
    </row>
    <row r="1161" spans="1:10" x14ac:dyDescent="0.3">
      <c r="A1161" s="2" t="s">
        <v>48</v>
      </c>
      <c r="B1161" s="2" t="s">
        <v>49</v>
      </c>
      <c r="C1161" s="2">
        <v>19605</v>
      </c>
      <c r="D1161" s="2">
        <v>28670</v>
      </c>
      <c r="E1161" s="3">
        <v>44701</v>
      </c>
      <c r="F1161" s="3">
        <v>44881</v>
      </c>
      <c r="G1161" s="4">
        <v>58590</v>
      </c>
      <c r="H1161" s="2">
        <v>0</v>
      </c>
      <c r="I1161" s="2" t="s">
        <v>1103</v>
      </c>
      <c r="J1161" s="2" t="s">
        <v>40</v>
      </c>
    </row>
    <row r="1162" spans="1:10" x14ac:dyDescent="0.3">
      <c r="A1162" s="2" t="s">
        <v>255</v>
      </c>
      <c r="B1162" s="2" t="s">
        <v>256</v>
      </c>
      <c r="C1162" s="2">
        <v>19032</v>
      </c>
      <c r="D1162" s="2">
        <v>28048</v>
      </c>
      <c r="E1162" s="3">
        <v>44642</v>
      </c>
      <c r="F1162" s="3">
        <v>44882</v>
      </c>
      <c r="G1162" s="4">
        <v>398460</v>
      </c>
      <c r="H1162" s="2">
        <v>0</v>
      </c>
      <c r="I1162" s="2" t="s">
        <v>257</v>
      </c>
      <c r="J1162" s="2" t="s">
        <v>173</v>
      </c>
    </row>
    <row r="1163" spans="1:10" x14ac:dyDescent="0.3">
      <c r="A1163" s="2" t="s">
        <v>293</v>
      </c>
      <c r="B1163" s="2" t="s">
        <v>294</v>
      </c>
      <c r="C1163" s="2">
        <v>19786</v>
      </c>
      <c r="D1163" s="2">
        <v>28852</v>
      </c>
      <c r="E1163" s="3">
        <v>44732</v>
      </c>
      <c r="F1163" s="3">
        <v>44882</v>
      </c>
      <c r="G1163" s="4">
        <v>75800</v>
      </c>
      <c r="H1163" s="2">
        <v>0</v>
      </c>
      <c r="I1163" s="2" t="s">
        <v>295</v>
      </c>
      <c r="J1163" s="2" t="s">
        <v>24</v>
      </c>
    </row>
    <row r="1164" spans="1:10" x14ac:dyDescent="0.3">
      <c r="A1164" s="2" t="s">
        <v>48</v>
      </c>
      <c r="B1164" s="2" t="s">
        <v>49</v>
      </c>
      <c r="C1164" s="2">
        <v>19792</v>
      </c>
      <c r="D1164" s="2">
        <v>28856</v>
      </c>
      <c r="E1164" s="3">
        <v>44733</v>
      </c>
      <c r="F1164" s="3">
        <v>44883</v>
      </c>
      <c r="G1164" s="4">
        <v>54000</v>
      </c>
      <c r="H1164" s="2">
        <v>0</v>
      </c>
      <c r="I1164" s="2" t="s">
        <v>412</v>
      </c>
      <c r="J1164" s="2" t="s">
        <v>40</v>
      </c>
    </row>
    <row r="1165" spans="1:10" x14ac:dyDescent="0.3">
      <c r="A1165" s="2" t="s">
        <v>170</v>
      </c>
      <c r="B1165" s="2" t="s">
        <v>171</v>
      </c>
      <c r="C1165" s="2">
        <v>19331</v>
      </c>
      <c r="D1165" s="2">
        <v>28373</v>
      </c>
      <c r="E1165" s="3">
        <v>44673</v>
      </c>
      <c r="F1165" s="3">
        <v>44883</v>
      </c>
      <c r="G1165" s="4">
        <v>566400</v>
      </c>
      <c r="H1165" s="2">
        <v>0</v>
      </c>
      <c r="I1165" s="2" t="s">
        <v>465</v>
      </c>
      <c r="J1165" s="2" t="s">
        <v>173</v>
      </c>
    </row>
    <row r="1166" spans="1:10" x14ac:dyDescent="0.3">
      <c r="A1166" s="2" t="s">
        <v>170</v>
      </c>
      <c r="B1166" s="2" t="s">
        <v>171</v>
      </c>
      <c r="C1166" s="2">
        <v>19332</v>
      </c>
      <c r="D1166" s="2">
        <v>28374</v>
      </c>
      <c r="E1166" s="3">
        <v>44673</v>
      </c>
      <c r="F1166" s="3">
        <v>44883</v>
      </c>
      <c r="G1166" s="4">
        <v>161480</v>
      </c>
      <c r="H1166" s="2">
        <v>0</v>
      </c>
      <c r="I1166" s="2" t="s">
        <v>571</v>
      </c>
      <c r="J1166" s="2" t="s">
        <v>173</v>
      </c>
    </row>
    <row r="1167" spans="1:10" x14ac:dyDescent="0.3">
      <c r="A1167" s="2" t="s">
        <v>41</v>
      </c>
      <c r="B1167" s="2" t="s">
        <v>42</v>
      </c>
      <c r="C1167" s="2">
        <v>19795</v>
      </c>
      <c r="D1167" s="2">
        <v>28858</v>
      </c>
      <c r="E1167" s="3">
        <v>44733</v>
      </c>
      <c r="F1167" s="3">
        <v>44883</v>
      </c>
      <c r="G1167" s="4">
        <v>8640.6299999999992</v>
      </c>
      <c r="H1167" s="2">
        <v>0</v>
      </c>
      <c r="I1167" s="2" t="s">
        <v>1018</v>
      </c>
      <c r="J1167" s="2" t="s">
        <v>44</v>
      </c>
    </row>
    <row r="1168" spans="1:10" x14ac:dyDescent="0.3">
      <c r="A1168" s="2" t="s">
        <v>25</v>
      </c>
      <c r="B1168" s="2" t="s">
        <v>26</v>
      </c>
      <c r="C1168" s="2">
        <v>19631</v>
      </c>
      <c r="D1168" s="2">
        <v>28699</v>
      </c>
      <c r="E1168" s="3">
        <v>44704</v>
      </c>
      <c r="F1168" s="3">
        <v>44884</v>
      </c>
      <c r="G1168" s="4">
        <v>58350</v>
      </c>
      <c r="H1168" s="2">
        <v>0</v>
      </c>
      <c r="I1168" s="2" t="s">
        <v>186</v>
      </c>
      <c r="J1168" s="2" t="s">
        <v>28</v>
      </c>
    </row>
    <row r="1169" spans="1:10" x14ac:dyDescent="0.3">
      <c r="A1169" s="2" t="s">
        <v>237</v>
      </c>
      <c r="B1169" s="2" t="s">
        <v>238</v>
      </c>
      <c r="C1169" s="2">
        <v>19799</v>
      </c>
      <c r="D1169" s="2">
        <v>28863</v>
      </c>
      <c r="E1169" s="3">
        <v>44734</v>
      </c>
      <c r="F1169" s="3">
        <v>44884</v>
      </c>
      <c r="G1169" s="4">
        <v>4825.84</v>
      </c>
      <c r="H1169" s="2">
        <v>0</v>
      </c>
      <c r="I1169" s="2" t="s">
        <v>470</v>
      </c>
      <c r="J1169" s="2" t="s">
        <v>157</v>
      </c>
    </row>
    <row r="1170" spans="1:10" x14ac:dyDescent="0.3">
      <c r="A1170" s="2" t="s">
        <v>48</v>
      </c>
      <c r="B1170" s="2" t="s">
        <v>49</v>
      </c>
      <c r="C1170" s="2">
        <v>19798</v>
      </c>
      <c r="D1170" s="2">
        <v>28861</v>
      </c>
      <c r="E1170" s="3">
        <v>44734</v>
      </c>
      <c r="F1170" s="3">
        <v>44884</v>
      </c>
      <c r="G1170" s="4">
        <v>54000</v>
      </c>
      <c r="H1170" s="2">
        <v>0</v>
      </c>
      <c r="I1170" s="2" t="s">
        <v>552</v>
      </c>
      <c r="J1170" s="2" t="s">
        <v>40</v>
      </c>
    </row>
    <row r="1171" spans="1:10" x14ac:dyDescent="0.3">
      <c r="A1171" s="2" t="s">
        <v>136</v>
      </c>
      <c r="B1171" s="2" t="s">
        <v>137</v>
      </c>
      <c r="C1171" s="2">
        <v>19807</v>
      </c>
      <c r="D1171" s="2">
        <v>28870</v>
      </c>
      <c r="E1171" s="3">
        <v>44734</v>
      </c>
      <c r="F1171" s="3">
        <v>44884</v>
      </c>
      <c r="G1171" s="4">
        <v>230880</v>
      </c>
      <c r="H1171" s="2">
        <v>0</v>
      </c>
      <c r="I1171" s="2" t="s">
        <v>564</v>
      </c>
      <c r="J1171" s="2" t="s">
        <v>81</v>
      </c>
    </row>
    <row r="1172" spans="1:10" x14ac:dyDescent="0.3">
      <c r="A1172" s="2" t="s">
        <v>25</v>
      </c>
      <c r="B1172" s="2" t="s">
        <v>26</v>
      </c>
      <c r="C1172" s="2">
        <v>19624</v>
      </c>
      <c r="D1172" s="2">
        <v>28693</v>
      </c>
      <c r="E1172" s="3">
        <v>44704</v>
      </c>
      <c r="F1172" s="3">
        <v>44884</v>
      </c>
      <c r="G1172" s="4">
        <v>50316</v>
      </c>
      <c r="H1172" s="2">
        <v>0</v>
      </c>
      <c r="I1172" s="2" t="s">
        <v>307</v>
      </c>
      <c r="J1172" s="2" t="s">
        <v>28</v>
      </c>
    </row>
    <row r="1173" spans="1:10" x14ac:dyDescent="0.3">
      <c r="A1173" s="2" t="s">
        <v>25</v>
      </c>
      <c r="B1173" s="2" t="s">
        <v>26</v>
      </c>
      <c r="C1173" s="2">
        <v>19630</v>
      </c>
      <c r="D1173" s="2">
        <v>28698</v>
      </c>
      <c r="E1173" s="3">
        <v>44704</v>
      </c>
      <c r="F1173" s="3">
        <v>44884</v>
      </c>
      <c r="G1173" s="4">
        <v>58350</v>
      </c>
      <c r="H1173" s="2">
        <v>0</v>
      </c>
      <c r="I1173" s="2" t="s">
        <v>683</v>
      </c>
      <c r="J1173" s="2" t="s">
        <v>28</v>
      </c>
    </row>
    <row r="1174" spans="1:10" x14ac:dyDescent="0.3">
      <c r="A1174" s="2" t="s">
        <v>48</v>
      </c>
      <c r="B1174" s="2" t="s">
        <v>49</v>
      </c>
      <c r="C1174" s="2">
        <v>19809</v>
      </c>
      <c r="D1174" s="2">
        <v>28873</v>
      </c>
      <c r="E1174" s="3">
        <v>44735</v>
      </c>
      <c r="F1174" s="3">
        <v>44884</v>
      </c>
      <c r="G1174" s="4">
        <v>54000</v>
      </c>
      <c r="H1174" s="2">
        <v>0</v>
      </c>
      <c r="I1174" s="2" t="s">
        <v>986</v>
      </c>
      <c r="J1174" s="2" t="s">
        <v>40</v>
      </c>
    </row>
    <row r="1175" spans="1:10" x14ac:dyDescent="0.3">
      <c r="A1175" s="2" t="s">
        <v>25</v>
      </c>
      <c r="B1175" s="2" t="s">
        <v>26</v>
      </c>
      <c r="C1175" s="2">
        <v>19810</v>
      </c>
      <c r="D1175" s="2">
        <v>28874</v>
      </c>
      <c r="E1175" s="3">
        <v>44735</v>
      </c>
      <c r="F1175" s="3">
        <v>44885</v>
      </c>
      <c r="G1175" s="4">
        <v>58350</v>
      </c>
      <c r="H1175" s="2">
        <v>0</v>
      </c>
      <c r="I1175" s="2" t="s">
        <v>436</v>
      </c>
      <c r="J1175" s="2" t="s">
        <v>28</v>
      </c>
    </row>
    <row r="1176" spans="1:10" x14ac:dyDescent="0.3">
      <c r="A1176" s="2" t="s">
        <v>616</v>
      </c>
      <c r="B1176" s="2" t="s">
        <v>617</v>
      </c>
      <c r="C1176" s="2">
        <v>19636</v>
      </c>
      <c r="D1176" s="2">
        <v>28706</v>
      </c>
      <c r="E1176" s="3">
        <v>44705</v>
      </c>
      <c r="F1176" s="3">
        <v>44885</v>
      </c>
      <c r="G1176" s="4">
        <v>8739.15</v>
      </c>
      <c r="H1176" s="2">
        <v>0</v>
      </c>
      <c r="I1176" s="2" t="s">
        <v>812</v>
      </c>
      <c r="J1176" s="2" t="s">
        <v>36</v>
      </c>
    </row>
    <row r="1177" spans="1:10" x14ac:dyDescent="0.3">
      <c r="A1177" s="2" t="s">
        <v>85</v>
      </c>
      <c r="B1177" s="2" t="s">
        <v>83</v>
      </c>
      <c r="C1177" s="2">
        <v>19645</v>
      </c>
      <c r="D1177" s="2">
        <v>28714</v>
      </c>
      <c r="E1177" s="3">
        <v>44706</v>
      </c>
      <c r="F1177" s="3">
        <v>44886</v>
      </c>
      <c r="G1177" s="4">
        <v>17191.5</v>
      </c>
      <c r="H1177" s="2">
        <v>0</v>
      </c>
      <c r="I1177" s="2" t="s">
        <v>158</v>
      </c>
      <c r="J1177" s="2" t="s">
        <v>40</v>
      </c>
    </row>
    <row r="1178" spans="1:10" x14ac:dyDescent="0.3">
      <c r="A1178" s="2" t="s">
        <v>48</v>
      </c>
      <c r="B1178" s="2" t="s">
        <v>49</v>
      </c>
      <c r="C1178" s="2">
        <v>19639</v>
      </c>
      <c r="D1178" s="2">
        <v>28709</v>
      </c>
      <c r="E1178" s="3">
        <v>44706</v>
      </c>
      <c r="F1178" s="3">
        <v>44886</v>
      </c>
      <c r="G1178" s="4">
        <v>55755</v>
      </c>
      <c r="H1178" s="2">
        <v>0</v>
      </c>
      <c r="I1178" s="2" t="s">
        <v>389</v>
      </c>
      <c r="J1178" s="2" t="s">
        <v>40</v>
      </c>
    </row>
    <row r="1179" spans="1:10" x14ac:dyDescent="0.3">
      <c r="A1179" s="2" t="s">
        <v>140</v>
      </c>
      <c r="B1179" s="2" t="s">
        <v>141</v>
      </c>
      <c r="C1179" s="2">
        <v>19641</v>
      </c>
      <c r="D1179" s="2">
        <v>28711</v>
      </c>
      <c r="E1179" s="3">
        <v>44706</v>
      </c>
      <c r="F1179" s="3">
        <v>44886</v>
      </c>
      <c r="G1179" s="4">
        <v>108000</v>
      </c>
      <c r="H1179" s="2">
        <v>0</v>
      </c>
      <c r="I1179" s="2" t="s">
        <v>410</v>
      </c>
      <c r="J1179" s="2" t="s">
        <v>40</v>
      </c>
    </row>
    <row r="1180" spans="1:10" x14ac:dyDescent="0.3">
      <c r="A1180" s="2" t="s">
        <v>68</v>
      </c>
      <c r="B1180" s="2" t="s">
        <v>69</v>
      </c>
      <c r="C1180" s="2">
        <v>19655</v>
      </c>
      <c r="D1180" s="2">
        <v>28723</v>
      </c>
      <c r="E1180" s="3">
        <v>44706</v>
      </c>
      <c r="F1180" s="3">
        <v>44886</v>
      </c>
      <c r="G1180" s="4">
        <v>68524</v>
      </c>
      <c r="H1180" s="2">
        <v>0</v>
      </c>
      <c r="I1180" s="2" t="s">
        <v>411</v>
      </c>
      <c r="J1180" s="2" t="s">
        <v>40</v>
      </c>
    </row>
    <row r="1181" spans="1:10" x14ac:dyDescent="0.3">
      <c r="A1181" s="2" t="s">
        <v>85</v>
      </c>
      <c r="B1181" s="2" t="s">
        <v>83</v>
      </c>
      <c r="C1181" s="2">
        <v>19649</v>
      </c>
      <c r="D1181" s="2">
        <v>28718</v>
      </c>
      <c r="E1181" s="3">
        <v>44706</v>
      </c>
      <c r="F1181" s="3">
        <v>44886</v>
      </c>
      <c r="G1181" s="4">
        <v>68524</v>
      </c>
      <c r="H1181" s="2">
        <v>0</v>
      </c>
      <c r="I1181" s="2" t="s">
        <v>158</v>
      </c>
      <c r="J1181" s="2" t="s">
        <v>40</v>
      </c>
    </row>
    <row r="1182" spans="1:10" x14ac:dyDescent="0.3">
      <c r="A1182" s="2" t="s">
        <v>82</v>
      </c>
      <c r="B1182" s="2" t="s">
        <v>83</v>
      </c>
      <c r="C1182" s="2">
        <v>19648</v>
      </c>
      <c r="D1182" s="2">
        <v>28717</v>
      </c>
      <c r="E1182" s="3">
        <v>44706</v>
      </c>
      <c r="F1182" s="3">
        <v>44886</v>
      </c>
      <c r="G1182" s="4">
        <v>6249.9</v>
      </c>
      <c r="H1182" s="2">
        <v>0</v>
      </c>
      <c r="I1182" s="2" t="s">
        <v>402</v>
      </c>
      <c r="J1182" s="2" t="s">
        <v>40</v>
      </c>
    </row>
    <row r="1183" spans="1:10" x14ac:dyDescent="0.3">
      <c r="A1183" s="2" t="s">
        <v>53</v>
      </c>
      <c r="B1183" s="2" t="s">
        <v>54</v>
      </c>
      <c r="C1183" s="2">
        <v>19760</v>
      </c>
      <c r="D1183" s="2">
        <v>28821</v>
      </c>
      <c r="E1183" s="3">
        <v>44722</v>
      </c>
      <c r="F1183" s="3">
        <v>44887</v>
      </c>
      <c r="G1183" s="4">
        <v>39721.379999999997</v>
      </c>
      <c r="H1183" s="2">
        <v>0</v>
      </c>
      <c r="I1183" s="2" t="s">
        <v>55</v>
      </c>
      <c r="J1183" s="2" t="s">
        <v>56</v>
      </c>
    </row>
    <row r="1184" spans="1:10" x14ac:dyDescent="0.3">
      <c r="A1184" s="2" t="s">
        <v>48</v>
      </c>
      <c r="B1184" s="2" t="s">
        <v>49</v>
      </c>
      <c r="C1184" s="2">
        <v>19662</v>
      </c>
      <c r="D1184" s="2">
        <v>28729</v>
      </c>
      <c r="E1184" s="3">
        <v>44707</v>
      </c>
      <c r="F1184" s="3">
        <v>44887</v>
      </c>
      <c r="G1184" s="4">
        <v>59745</v>
      </c>
      <c r="H1184" s="2">
        <v>0</v>
      </c>
      <c r="I1184" s="2" t="s">
        <v>605</v>
      </c>
      <c r="J1184" s="2" t="s">
        <v>40</v>
      </c>
    </row>
    <row r="1185" spans="1:10" x14ac:dyDescent="0.3">
      <c r="A1185" s="2" t="s">
        <v>25</v>
      </c>
      <c r="B1185" s="2" t="s">
        <v>26</v>
      </c>
      <c r="C1185" s="2">
        <v>19368</v>
      </c>
      <c r="D1185" s="2">
        <v>28412</v>
      </c>
      <c r="E1185" s="3">
        <v>44677</v>
      </c>
      <c r="F1185" s="3">
        <v>44887</v>
      </c>
      <c r="G1185" s="4">
        <v>2200</v>
      </c>
      <c r="H1185" s="2">
        <v>0</v>
      </c>
      <c r="I1185" s="2" t="s">
        <v>819</v>
      </c>
      <c r="J1185" s="2" t="s">
        <v>28</v>
      </c>
    </row>
    <row r="1186" spans="1:10" x14ac:dyDescent="0.3">
      <c r="A1186" s="2" t="s">
        <v>53</v>
      </c>
      <c r="B1186" s="2" t="s">
        <v>54</v>
      </c>
      <c r="C1186" s="2">
        <v>19759</v>
      </c>
      <c r="D1186" s="2">
        <v>28820</v>
      </c>
      <c r="E1186" s="3">
        <v>44722</v>
      </c>
      <c r="F1186" s="3">
        <v>44887</v>
      </c>
      <c r="G1186" s="4">
        <v>18583.48</v>
      </c>
      <c r="H1186" s="2">
        <v>0</v>
      </c>
      <c r="I1186" s="2" t="s">
        <v>160</v>
      </c>
      <c r="J1186" s="2" t="s">
        <v>56</v>
      </c>
    </row>
    <row r="1187" spans="1:10" x14ac:dyDescent="0.3">
      <c r="A1187" s="2" t="s">
        <v>25</v>
      </c>
      <c r="B1187" s="2" t="s">
        <v>26</v>
      </c>
      <c r="C1187" s="2">
        <v>19369</v>
      </c>
      <c r="D1187" s="2">
        <v>28413</v>
      </c>
      <c r="E1187" s="3">
        <v>44677</v>
      </c>
      <c r="F1187" s="3">
        <v>44887</v>
      </c>
      <c r="G1187" s="4">
        <v>100050</v>
      </c>
      <c r="H1187" s="2">
        <v>0</v>
      </c>
      <c r="I1187" s="2" t="s">
        <v>1140</v>
      </c>
      <c r="J1187" s="2" t="s">
        <v>28</v>
      </c>
    </row>
    <row r="1188" spans="1:10" x14ac:dyDescent="0.3">
      <c r="A1188" s="2" t="s">
        <v>21</v>
      </c>
      <c r="B1188" s="2" t="s">
        <v>22</v>
      </c>
      <c r="C1188" s="2">
        <v>19677</v>
      </c>
      <c r="D1188" s="2">
        <v>28744</v>
      </c>
      <c r="E1188" s="3">
        <v>44708</v>
      </c>
      <c r="F1188" s="3">
        <v>44888</v>
      </c>
      <c r="G1188" s="4">
        <v>5973.34</v>
      </c>
      <c r="H1188" s="2">
        <v>0</v>
      </c>
      <c r="I1188" s="2" t="s">
        <v>159</v>
      </c>
      <c r="J1188" s="2" t="s">
        <v>24</v>
      </c>
    </row>
    <row r="1189" spans="1:10" x14ac:dyDescent="0.3">
      <c r="A1189" s="2" t="s">
        <v>48</v>
      </c>
      <c r="B1189" s="2" t="s">
        <v>49</v>
      </c>
      <c r="C1189" s="2">
        <v>19675</v>
      </c>
      <c r="D1189" s="2">
        <v>28742</v>
      </c>
      <c r="E1189" s="3">
        <v>44708</v>
      </c>
      <c r="F1189" s="3">
        <v>44888</v>
      </c>
      <c r="G1189" s="4">
        <v>59745</v>
      </c>
      <c r="H1189" s="2">
        <v>0</v>
      </c>
      <c r="I1189" s="2" t="s">
        <v>456</v>
      </c>
      <c r="J1189" s="2" t="s">
        <v>40</v>
      </c>
    </row>
    <row r="1190" spans="1:10" x14ac:dyDescent="0.3">
      <c r="A1190" s="2" t="s">
        <v>480</v>
      </c>
      <c r="B1190" s="2" t="s">
        <v>481</v>
      </c>
      <c r="C1190" s="2">
        <v>19902</v>
      </c>
      <c r="D1190" s="2">
        <v>28972</v>
      </c>
      <c r="E1190" s="3">
        <v>44753</v>
      </c>
      <c r="F1190" s="3">
        <v>44888</v>
      </c>
      <c r="G1190" s="4">
        <v>15206.1</v>
      </c>
      <c r="H1190" s="2">
        <v>0</v>
      </c>
      <c r="I1190" s="2" t="s">
        <v>966</v>
      </c>
      <c r="J1190" s="2" t="s">
        <v>56</v>
      </c>
    </row>
    <row r="1191" spans="1:10" x14ac:dyDescent="0.3">
      <c r="A1191" s="2" t="s">
        <v>170</v>
      </c>
      <c r="B1191" s="2" t="s">
        <v>171</v>
      </c>
      <c r="C1191" s="2">
        <v>19395</v>
      </c>
      <c r="D1191" s="2">
        <v>28436</v>
      </c>
      <c r="E1191" s="3">
        <v>44678</v>
      </c>
      <c r="F1191" s="3">
        <v>44888</v>
      </c>
      <c r="G1191" s="4">
        <v>238500</v>
      </c>
      <c r="H1191" s="2">
        <v>0</v>
      </c>
      <c r="I1191" s="2" t="s">
        <v>1087</v>
      </c>
      <c r="J1191" s="2" t="s">
        <v>173</v>
      </c>
    </row>
    <row r="1192" spans="1:10" x14ac:dyDescent="0.3">
      <c r="A1192" s="2" t="s">
        <v>170</v>
      </c>
      <c r="B1192" s="2" t="s">
        <v>171</v>
      </c>
      <c r="C1192" s="2">
        <v>19413</v>
      </c>
      <c r="D1192" s="2">
        <v>28454</v>
      </c>
      <c r="E1192" s="3">
        <v>44679</v>
      </c>
      <c r="F1192" s="3">
        <v>44889</v>
      </c>
      <c r="G1192" s="4">
        <v>328600</v>
      </c>
      <c r="H1192" s="2">
        <v>0</v>
      </c>
      <c r="I1192" s="2" t="s">
        <v>435</v>
      </c>
      <c r="J1192" s="2" t="s">
        <v>173</v>
      </c>
    </row>
    <row r="1193" spans="1:10" x14ac:dyDescent="0.3">
      <c r="A1193" s="2" t="s">
        <v>48</v>
      </c>
      <c r="B1193" s="2" t="s">
        <v>49</v>
      </c>
      <c r="C1193" s="2">
        <v>19823</v>
      </c>
      <c r="D1193" s="2">
        <v>28885</v>
      </c>
      <c r="E1193" s="3">
        <v>44739</v>
      </c>
      <c r="F1193" s="3">
        <v>44889</v>
      </c>
      <c r="G1193" s="4">
        <v>54000</v>
      </c>
      <c r="H1193" s="2">
        <v>0</v>
      </c>
      <c r="I1193" s="2" t="s">
        <v>1105</v>
      </c>
      <c r="J1193" s="2" t="s">
        <v>40</v>
      </c>
    </row>
    <row r="1194" spans="1:10" x14ac:dyDescent="0.3">
      <c r="A1194" s="2" t="s">
        <v>255</v>
      </c>
      <c r="B1194" s="2" t="s">
        <v>256</v>
      </c>
      <c r="C1194" s="2">
        <v>19145</v>
      </c>
      <c r="D1194" s="2">
        <v>28164</v>
      </c>
      <c r="E1194" s="3">
        <v>44650</v>
      </c>
      <c r="F1194" s="3">
        <v>44890</v>
      </c>
      <c r="G1194" s="4">
        <v>240000</v>
      </c>
      <c r="H1194" s="2">
        <v>0</v>
      </c>
      <c r="I1194" s="2" t="s">
        <v>519</v>
      </c>
      <c r="J1194" s="2" t="s">
        <v>173</v>
      </c>
    </row>
    <row r="1195" spans="1:10" x14ac:dyDescent="0.3">
      <c r="A1195" s="2" t="s">
        <v>48</v>
      </c>
      <c r="B1195" s="2" t="s">
        <v>49</v>
      </c>
      <c r="C1195" s="2">
        <v>19829</v>
      </c>
      <c r="D1195" s="2">
        <v>28895</v>
      </c>
      <c r="E1195" s="3">
        <v>44740</v>
      </c>
      <c r="F1195" s="3">
        <v>44890</v>
      </c>
      <c r="G1195" s="4">
        <v>56760</v>
      </c>
      <c r="H1195" s="2">
        <v>0</v>
      </c>
      <c r="I1195" s="2" t="s">
        <v>739</v>
      </c>
      <c r="J1195" s="2" t="s">
        <v>40</v>
      </c>
    </row>
    <row r="1196" spans="1:10" x14ac:dyDescent="0.3">
      <c r="A1196" s="2" t="s">
        <v>48</v>
      </c>
      <c r="B1196" s="2" t="s">
        <v>49</v>
      </c>
      <c r="C1196" s="2">
        <v>19681</v>
      </c>
      <c r="D1196" s="2">
        <v>28751</v>
      </c>
      <c r="E1196" s="3">
        <v>44711</v>
      </c>
      <c r="F1196" s="3">
        <v>44891</v>
      </c>
      <c r="G1196" s="4">
        <v>54000</v>
      </c>
      <c r="H1196" s="2">
        <v>0</v>
      </c>
      <c r="I1196" s="2" t="s">
        <v>448</v>
      </c>
      <c r="J1196" s="2" t="s">
        <v>40</v>
      </c>
    </row>
    <row r="1197" spans="1:10" x14ac:dyDescent="0.3">
      <c r="A1197" s="2" t="s">
        <v>25</v>
      </c>
      <c r="B1197" s="2" t="s">
        <v>26</v>
      </c>
      <c r="C1197" s="2">
        <v>19680</v>
      </c>
      <c r="D1197" s="2">
        <v>28750</v>
      </c>
      <c r="E1197" s="3">
        <v>44711</v>
      </c>
      <c r="F1197" s="3">
        <v>44891</v>
      </c>
      <c r="G1197" s="4">
        <v>88593</v>
      </c>
      <c r="H1197" s="2">
        <v>0</v>
      </c>
      <c r="I1197" s="2" t="s">
        <v>717</v>
      </c>
      <c r="J1197" s="2" t="s">
        <v>28</v>
      </c>
    </row>
    <row r="1198" spans="1:10" x14ac:dyDescent="0.3">
      <c r="A1198" s="2" t="s">
        <v>48</v>
      </c>
      <c r="B1198" s="2" t="s">
        <v>49</v>
      </c>
      <c r="C1198" s="2">
        <v>19847</v>
      </c>
      <c r="D1198" s="2">
        <v>28915</v>
      </c>
      <c r="E1198" s="3">
        <v>44742</v>
      </c>
      <c r="F1198" s="3">
        <v>44892</v>
      </c>
      <c r="G1198" s="4">
        <v>59745</v>
      </c>
      <c r="H1198" s="2">
        <v>0</v>
      </c>
      <c r="I1198" s="2" t="s">
        <v>577</v>
      </c>
      <c r="J1198" s="2" t="s">
        <v>40</v>
      </c>
    </row>
    <row r="1199" spans="1:10" x14ac:dyDescent="0.3">
      <c r="A1199" s="2" t="s">
        <v>48</v>
      </c>
      <c r="B1199" s="2" t="s">
        <v>49</v>
      </c>
      <c r="C1199" s="2">
        <v>19688</v>
      </c>
      <c r="D1199" s="2">
        <v>28757</v>
      </c>
      <c r="E1199" s="3">
        <v>44712</v>
      </c>
      <c r="F1199" s="3">
        <v>44892</v>
      </c>
      <c r="G1199" s="4">
        <v>54000</v>
      </c>
      <c r="H1199" s="2">
        <v>0</v>
      </c>
      <c r="I1199" s="2" t="s">
        <v>1104</v>
      </c>
      <c r="J1199" s="2" t="s">
        <v>40</v>
      </c>
    </row>
    <row r="1200" spans="1:10" x14ac:dyDescent="0.3">
      <c r="A1200" s="2" t="s">
        <v>48</v>
      </c>
      <c r="B1200" s="2" t="s">
        <v>49</v>
      </c>
      <c r="C1200" s="2">
        <v>19855</v>
      </c>
      <c r="D1200" s="2">
        <v>28923</v>
      </c>
      <c r="E1200" s="3">
        <v>44743</v>
      </c>
      <c r="F1200" s="3">
        <v>44893</v>
      </c>
      <c r="G1200" s="4">
        <v>54000</v>
      </c>
      <c r="H1200" s="2">
        <v>0</v>
      </c>
      <c r="I1200" s="2" t="s">
        <v>363</v>
      </c>
      <c r="J1200" s="2" t="s">
        <v>40</v>
      </c>
    </row>
    <row r="1201" spans="1:10" x14ac:dyDescent="0.3">
      <c r="A1201" s="2" t="s">
        <v>48</v>
      </c>
      <c r="B1201" s="2" t="s">
        <v>49</v>
      </c>
      <c r="C1201" s="2">
        <v>19694</v>
      </c>
      <c r="D1201" s="2">
        <v>28763</v>
      </c>
      <c r="E1201" s="3">
        <v>44713</v>
      </c>
      <c r="F1201" s="3">
        <v>44893</v>
      </c>
      <c r="G1201" s="4">
        <v>54000</v>
      </c>
      <c r="H1201" s="2">
        <v>0</v>
      </c>
      <c r="I1201" s="2" t="s">
        <v>794</v>
      </c>
      <c r="J1201" s="2" t="s">
        <v>40</v>
      </c>
    </row>
    <row r="1202" spans="1:10" x14ac:dyDescent="0.3">
      <c r="A1202" s="2" t="s">
        <v>804</v>
      </c>
      <c r="B1202" s="2" t="s">
        <v>83</v>
      </c>
      <c r="C1202" s="2">
        <v>19451</v>
      </c>
      <c r="D1202" s="2">
        <v>28504</v>
      </c>
      <c r="E1202" s="3">
        <v>44684</v>
      </c>
      <c r="F1202" s="3">
        <v>44894</v>
      </c>
      <c r="G1202" s="4">
        <v>17320</v>
      </c>
      <c r="H1202" s="2">
        <v>0</v>
      </c>
      <c r="I1202" s="2" t="s">
        <v>805</v>
      </c>
      <c r="J1202" s="2" t="s">
        <v>40</v>
      </c>
    </row>
    <row r="1203" spans="1:10" x14ac:dyDescent="0.3">
      <c r="A1203" s="2" t="s">
        <v>616</v>
      </c>
      <c r="B1203" s="2" t="s">
        <v>617</v>
      </c>
      <c r="C1203" s="2">
        <v>19699</v>
      </c>
      <c r="D1203" s="2">
        <v>28765</v>
      </c>
      <c r="E1203" s="3">
        <v>44714</v>
      </c>
      <c r="F1203" s="3">
        <v>44894</v>
      </c>
      <c r="G1203" s="4">
        <v>169928.91</v>
      </c>
      <c r="H1203" s="2">
        <v>0</v>
      </c>
      <c r="I1203" s="2" t="s">
        <v>812</v>
      </c>
      <c r="J1203" s="2" t="s">
        <v>36</v>
      </c>
    </row>
    <row r="1204" spans="1:10" x14ac:dyDescent="0.3">
      <c r="A1204" s="2" t="s">
        <v>48</v>
      </c>
      <c r="B1204" s="2" t="s">
        <v>49</v>
      </c>
      <c r="C1204" s="2">
        <v>19703</v>
      </c>
      <c r="D1204" s="2">
        <v>28767</v>
      </c>
      <c r="E1204" s="3">
        <v>44714</v>
      </c>
      <c r="F1204" s="3">
        <v>44894</v>
      </c>
      <c r="G1204" s="4">
        <v>54000</v>
      </c>
      <c r="H1204" s="2">
        <v>0</v>
      </c>
      <c r="I1204" s="2" t="s">
        <v>1098</v>
      </c>
      <c r="J1204" s="2" t="s">
        <v>40</v>
      </c>
    </row>
    <row r="1205" spans="1:10" x14ac:dyDescent="0.3">
      <c r="A1205" s="2" t="s">
        <v>48</v>
      </c>
      <c r="B1205" s="2" t="s">
        <v>49</v>
      </c>
      <c r="C1205" s="2">
        <v>19469</v>
      </c>
      <c r="D1205" s="2">
        <v>28522</v>
      </c>
      <c r="E1205" s="3">
        <v>44684</v>
      </c>
      <c r="F1205" s="3">
        <v>44894</v>
      </c>
      <c r="G1205" s="4">
        <v>13275.76</v>
      </c>
      <c r="H1205" s="2">
        <v>0</v>
      </c>
      <c r="I1205" s="2" t="s">
        <v>1141</v>
      </c>
      <c r="J1205" s="2" t="s">
        <v>40</v>
      </c>
    </row>
    <row r="1206" spans="1:10" x14ac:dyDescent="0.3">
      <c r="A1206" s="2" t="s">
        <v>209</v>
      </c>
      <c r="B1206" s="2" t="s">
        <v>137</v>
      </c>
      <c r="C1206" s="2">
        <v>19233</v>
      </c>
      <c r="D1206" s="2">
        <v>28258</v>
      </c>
      <c r="E1206" s="3">
        <v>44659</v>
      </c>
      <c r="F1206" s="3">
        <v>44895</v>
      </c>
      <c r="G1206" s="4">
        <v>575860</v>
      </c>
      <c r="H1206" s="2">
        <v>0</v>
      </c>
      <c r="I1206" s="2" t="s">
        <v>210</v>
      </c>
      <c r="J1206" s="2" t="s">
        <v>81</v>
      </c>
    </row>
    <row r="1207" spans="1:10" x14ac:dyDescent="0.3">
      <c r="A1207" s="2" t="s">
        <v>136</v>
      </c>
      <c r="B1207" s="2" t="s">
        <v>137</v>
      </c>
      <c r="C1207" s="2">
        <v>19193</v>
      </c>
      <c r="D1207" s="2">
        <v>28208</v>
      </c>
      <c r="E1207" s="3">
        <v>44652</v>
      </c>
      <c r="F1207" s="3">
        <v>44895</v>
      </c>
      <c r="G1207" s="4">
        <v>229712</v>
      </c>
      <c r="H1207" s="2">
        <v>0</v>
      </c>
      <c r="I1207" s="2" t="s">
        <v>261</v>
      </c>
      <c r="J1207" s="2" t="s">
        <v>81</v>
      </c>
    </row>
    <row r="1208" spans="1:10" x14ac:dyDescent="0.3">
      <c r="A1208" s="2" t="s">
        <v>315</v>
      </c>
      <c r="B1208" s="2" t="s">
        <v>316</v>
      </c>
      <c r="C1208" s="2">
        <v>19523</v>
      </c>
      <c r="D1208" s="2">
        <v>28576</v>
      </c>
      <c r="E1208" s="3">
        <v>44687</v>
      </c>
      <c r="F1208" s="3">
        <v>44895</v>
      </c>
      <c r="G1208" s="4">
        <v>268400</v>
      </c>
      <c r="H1208" s="2">
        <v>0</v>
      </c>
      <c r="I1208" s="2" t="s">
        <v>336</v>
      </c>
      <c r="J1208" s="2" t="s">
        <v>81</v>
      </c>
    </row>
    <row r="1209" spans="1:10" x14ac:dyDescent="0.3">
      <c r="A1209" s="2" t="s">
        <v>338</v>
      </c>
      <c r="B1209" s="2" t="s">
        <v>339</v>
      </c>
      <c r="C1209" s="2">
        <v>19723</v>
      </c>
      <c r="D1209" s="2">
        <v>28784</v>
      </c>
      <c r="E1209" s="3">
        <v>44719</v>
      </c>
      <c r="F1209" s="3">
        <v>44895</v>
      </c>
      <c r="G1209" s="4">
        <v>209400</v>
      </c>
      <c r="H1209" s="2">
        <v>0</v>
      </c>
      <c r="I1209" s="2" t="s">
        <v>340</v>
      </c>
      <c r="J1209" s="2" t="s">
        <v>81</v>
      </c>
    </row>
    <row r="1210" spans="1:10" x14ac:dyDescent="0.3">
      <c r="A1210" s="2" t="s">
        <v>209</v>
      </c>
      <c r="B1210" s="2" t="s">
        <v>137</v>
      </c>
      <c r="C1210" s="2">
        <v>19389</v>
      </c>
      <c r="D1210" s="2">
        <v>28430</v>
      </c>
      <c r="E1210" s="3">
        <v>44678</v>
      </c>
      <c r="F1210" s="3">
        <v>44895</v>
      </c>
      <c r="G1210" s="4">
        <v>335440</v>
      </c>
      <c r="H1210" s="2">
        <v>0</v>
      </c>
      <c r="I1210" s="2" t="s">
        <v>381</v>
      </c>
      <c r="J1210" s="2" t="s">
        <v>81</v>
      </c>
    </row>
    <row r="1211" spans="1:10" x14ac:dyDescent="0.3">
      <c r="A1211" s="2" t="s">
        <v>78</v>
      </c>
      <c r="B1211" s="2" t="s">
        <v>79</v>
      </c>
      <c r="C1211" s="2">
        <v>19724</v>
      </c>
      <c r="D1211" s="2">
        <v>28785</v>
      </c>
      <c r="E1211" s="3">
        <v>44719</v>
      </c>
      <c r="F1211" s="3">
        <v>44895</v>
      </c>
      <c r="G1211" s="4">
        <v>55500</v>
      </c>
      <c r="H1211" s="2">
        <v>0</v>
      </c>
      <c r="I1211" s="2" t="s">
        <v>408</v>
      </c>
      <c r="J1211" s="2" t="s">
        <v>81</v>
      </c>
    </row>
    <row r="1212" spans="1:10" x14ac:dyDescent="0.3">
      <c r="A1212" s="2" t="s">
        <v>315</v>
      </c>
      <c r="B1212" s="2" t="s">
        <v>316</v>
      </c>
      <c r="C1212" s="2">
        <v>19346</v>
      </c>
      <c r="D1212" s="2">
        <v>28390</v>
      </c>
      <c r="E1212" s="3">
        <v>44676</v>
      </c>
      <c r="F1212" s="3">
        <v>44895</v>
      </c>
      <c r="G1212" s="4">
        <v>74100</v>
      </c>
      <c r="H1212" s="2">
        <v>0</v>
      </c>
      <c r="I1212" s="2" t="s">
        <v>466</v>
      </c>
      <c r="J1212" s="2" t="s">
        <v>81</v>
      </c>
    </row>
    <row r="1213" spans="1:10" x14ac:dyDescent="0.3">
      <c r="A1213" s="2" t="s">
        <v>78</v>
      </c>
      <c r="B1213" s="2" t="s">
        <v>79</v>
      </c>
      <c r="C1213" s="2">
        <v>19436</v>
      </c>
      <c r="D1213" s="2">
        <v>28489</v>
      </c>
      <c r="E1213" s="3">
        <v>44683</v>
      </c>
      <c r="F1213" s="3">
        <v>44895</v>
      </c>
      <c r="G1213" s="4">
        <v>508750</v>
      </c>
      <c r="H1213" s="2">
        <v>0</v>
      </c>
      <c r="I1213" s="2" t="s">
        <v>479</v>
      </c>
      <c r="J1213" s="2" t="s">
        <v>81</v>
      </c>
    </row>
    <row r="1214" spans="1:10" x14ac:dyDescent="0.3">
      <c r="A1214" s="2" t="s">
        <v>78</v>
      </c>
      <c r="B1214" s="2" t="s">
        <v>79</v>
      </c>
      <c r="C1214" s="2">
        <v>19725</v>
      </c>
      <c r="D1214" s="2">
        <v>28786</v>
      </c>
      <c r="E1214" s="3">
        <v>44719</v>
      </c>
      <c r="F1214" s="3">
        <v>44895</v>
      </c>
      <c r="G1214" s="4">
        <v>18500</v>
      </c>
      <c r="H1214" s="2">
        <v>0</v>
      </c>
      <c r="I1214" s="2" t="s">
        <v>408</v>
      </c>
      <c r="J1214" s="2" t="s">
        <v>81</v>
      </c>
    </row>
    <row r="1215" spans="1:10" x14ac:dyDescent="0.3">
      <c r="A1215" s="2" t="s">
        <v>599</v>
      </c>
      <c r="B1215" s="2" t="s">
        <v>137</v>
      </c>
      <c r="C1215" s="2">
        <v>19317</v>
      </c>
      <c r="D1215" s="2">
        <v>28355</v>
      </c>
      <c r="E1215" s="3">
        <v>44670</v>
      </c>
      <c r="F1215" s="3">
        <v>44895</v>
      </c>
      <c r="G1215" s="4">
        <v>89600</v>
      </c>
      <c r="H1215" s="2">
        <v>0</v>
      </c>
      <c r="I1215" s="2" t="s">
        <v>600</v>
      </c>
      <c r="J1215" s="2" t="s">
        <v>81</v>
      </c>
    </row>
    <row r="1216" spans="1:10" x14ac:dyDescent="0.3">
      <c r="A1216" s="2" t="s">
        <v>78</v>
      </c>
      <c r="B1216" s="2" t="s">
        <v>79</v>
      </c>
      <c r="C1216" s="2">
        <v>19615</v>
      </c>
      <c r="D1216" s="2">
        <v>28679</v>
      </c>
      <c r="E1216" s="3">
        <v>44701</v>
      </c>
      <c r="F1216" s="3">
        <v>44895</v>
      </c>
      <c r="G1216" s="4">
        <v>222000</v>
      </c>
      <c r="H1216" s="2">
        <v>0</v>
      </c>
      <c r="I1216" s="2" t="s">
        <v>408</v>
      </c>
      <c r="J1216" s="2" t="s">
        <v>81</v>
      </c>
    </row>
    <row r="1217" spans="1:10" x14ac:dyDescent="0.3">
      <c r="A1217" s="2" t="s">
        <v>78</v>
      </c>
      <c r="B1217" s="2" t="s">
        <v>79</v>
      </c>
      <c r="C1217" s="2">
        <v>19498</v>
      </c>
      <c r="D1217" s="2">
        <v>28550</v>
      </c>
      <c r="E1217" s="3">
        <v>44685</v>
      </c>
      <c r="F1217" s="3">
        <v>44895</v>
      </c>
      <c r="G1217" s="4">
        <v>380000</v>
      </c>
      <c r="H1217" s="2">
        <v>0</v>
      </c>
      <c r="I1217" s="2" t="s">
        <v>681</v>
      </c>
      <c r="J1217" s="2" t="s">
        <v>81</v>
      </c>
    </row>
    <row r="1218" spans="1:10" x14ac:dyDescent="0.3">
      <c r="A1218" s="2" t="s">
        <v>599</v>
      </c>
      <c r="B1218" s="2" t="s">
        <v>137</v>
      </c>
      <c r="C1218" s="2">
        <v>19264</v>
      </c>
      <c r="D1218" s="2">
        <v>28294</v>
      </c>
      <c r="E1218" s="3">
        <v>44664</v>
      </c>
      <c r="F1218" s="3">
        <v>44895</v>
      </c>
      <c r="G1218" s="4">
        <v>291273.59999999998</v>
      </c>
      <c r="H1218" s="2">
        <v>0</v>
      </c>
      <c r="I1218" s="2" t="s">
        <v>698</v>
      </c>
      <c r="J1218" s="2" t="s">
        <v>81</v>
      </c>
    </row>
    <row r="1219" spans="1:10" x14ac:dyDescent="0.3">
      <c r="A1219" s="2" t="s">
        <v>675</v>
      </c>
      <c r="B1219" s="2" t="s">
        <v>676</v>
      </c>
      <c r="C1219" s="2">
        <v>19185</v>
      </c>
      <c r="D1219" s="2">
        <v>28201</v>
      </c>
      <c r="E1219" s="3">
        <v>44652</v>
      </c>
      <c r="F1219" s="3">
        <v>44895</v>
      </c>
      <c r="G1219" s="4">
        <v>50950</v>
      </c>
      <c r="H1219" s="2">
        <v>0</v>
      </c>
      <c r="I1219" s="2" t="s">
        <v>755</v>
      </c>
      <c r="J1219" s="2" t="s">
        <v>164</v>
      </c>
    </row>
    <row r="1220" spans="1:10" x14ac:dyDescent="0.3">
      <c r="A1220" s="2" t="s">
        <v>209</v>
      </c>
      <c r="B1220" s="2" t="s">
        <v>137</v>
      </c>
      <c r="C1220" s="2">
        <v>19494</v>
      </c>
      <c r="D1220" s="2">
        <v>28546</v>
      </c>
      <c r="E1220" s="3">
        <v>44685</v>
      </c>
      <c r="F1220" s="3">
        <v>44895</v>
      </c>
      <c r="G1220" s="4">
        <v>239421</v>
      </c>
      <c r="H1220" s="2">
        <v>0</v>
      </c>
      <c r="I1220" s="2" t="s">
        <v>775</v>
      </c>
      <c r="J1220" s="2" t="s">
        <v>81</v>
      </c>
    </row>
    <row r="1221" spans="1:10" x14ac:dyDescent="0.3">
      <c r="A1221" s="2" t="s">
        <v>675</v>
      </c>
      <c r="B1221" s="2" t="s">
        <v>676</v>
      </c>
      <c r="C1221" s="2">
        <v>19186</v>
      </c>
      <c r="D1221" s="2">
        <v>28202</v>
      </c>
      <c r="E1221" s="3">
        <v>44652</v>
      </c>
      <c r="F1221" s="3">
        <v>44895</v>
      </c>
      <c r="G1221" s="4">
        <v>2916</v>
      </c>
      <c r="H1221" s="2">
        <v>0</v>
      </c>
      <c r="I1221" s="2" t="s">
        <v>823</v>
      </c>
      <c r="J1221" s="2" t="s">
        <v>164</v>
      </c>
    </row>
    <row r="1222" spans="1:10" x14ac:dyDescent="0.3">
      <c r="A1222" s="2" t="s">
        <v>315</v>
      </c>
      <c r="B1222" s="2" t="s">
        <v>316</v>
      </c>
      <c r="C1222" s="2">
        <v>19522</v>
      </c>
      <c r="D1222" s="2">
        <v>28575</v>
      </c>
      <c r="E1222" s="3">
        <v>44687</v>
      </c>
      <c r="F1222" s="3">
        <v>44895</v>
      </c>
      <c r="G1222" s="4">
        <v>143040</v>
      </c>
      <c r="H1222" s="2">
        <v>0</v>
      </c>
      <c r="I1222" s="2" t="s">
        <v>336</v>
      </c>
      <c r="J1222" s="2" t="s">
        <v>81</v>
      </c>
    </row>
    <row r="1223" spans="1:10" x14ac:dyDescent="0.3">
      <c r="A1223" s="2" t="s">
        <v>78</v>
      </c>
      <c r="B1223" s="2" t="s">
        <v>79</v>
      </c>
      <c r="C1223" s="2">
        <v>19842</v>
      </c>
      <c r="D1223" s="2">
        <v>28911</v>
      </c>
      <c r="E1223" s="3">
        <v>44741</v>
      </c>
      <c r="F1223" s="3">
        <v>44895</v>
      </c>
      <c r="G1223" s="4">
        <v>56000</v>
      </c>
      <c r="H1223" s="2">
        <v>0</v>
      </c>
      <c r="I1223" s="2" t="s">
        <v>1033</v>
      </c>
      <c r="J1223" s="2" t="s">
        <v>81</v>
      </c>
    </row>
    <row r="1224" spans="1:10" x14ac:dyDescent="0.3">
      <c r="A1224" s="2" t="s">
        <v>599</v>
      </c>
      <c r="B1224" s="2" t="s">
        <v>137</v>
      </c>
      <c r="C1224" s="2">
        <v>19495</v>
      </c>
      <c r="D1224" s="2">
        <v>28547</v>
      </c>
      <c r="E1224" s="3">
        <v>44685</v>
      </c>
      <c r="F1224" s="3">
        <v>44895</v>
      </c>
      <c r="G1224" s="4">
        <v>73720</v>
      </c>
      <c r="H1224" s="2">
        <v>0</v>
      </c>
      <c r="I1224" s="2" t="s">
        <v>1089</v>
      </c>
      <c r="J1224" s="2" t="s">
        <v>81</v>
      </c>
    </row>
    <row r="1225" spans="1:10" x14ac:dyDescent="0.3">
      <c r="A1225" s="2" t="s">
        <v>21</v>
      </c>
      <c r="B1225" s="2" t="s">
        <v>22</v>
      </c>
      <c r="C1225" s="2">
        <v>19860</v>
      </c>
      <c r="D1225" s="2">
        <v>28929</v>
      </c>
      <c r="E1225" s="3">
        <v>44746</v>
      </c>
      <c r="F1225" s="3">
        <v>44896</v>
      </c>
      <c r="G1225" s="4">
        <v>13963.36</v>
      </c>
      <c r="H1225" s="2">
        <v>0</v>
      </c>
      <c r="I1225" s="2" t="s">
        <v>550</v>
      </c>
      <c r="J1225" s="2" t="s">
        <v>24</v>
      </c>
    </row>
    <row r="1226" spans="1:10" x14ac:dyDescent="0.3">
      <c r="A1226" s="2" t="s">
        <v>48</v>
      </c>
      <c r="B1226" s="2" t="s">
        <v>49</v>
      </c>
      <c r="C1226" s="2">
        <v>19872</v>
      </c>
      <c r="D1226" s="2">
        <v>28942</v>
      </c>
      <c r="E1226" s="3">
        <v>44746</v>
      </c>
      <c r="F1226" s="3">
        <v>44896</v>
      </c>
      <c r="G1226" s="4">
        <v>17353.5</v>
      </c>
      <c r="H1226" s="2">
        <v>0</v>
      </c>
      <c r="I1226" s="2" t="s">
        <v>565</v>
      </c>
      <c r="J1226" s="2" t="s">
        <v>40</v>
      </c>
    </row>
    <row r="1227" spans="1:10" x14ac:dyDescent="0.3">
      <c r="A1227" s="2" t="s">
        <v>255</v>
      </c>
      <c r="B1227" s="2" t="s">
        <v>256</v>
      </c>
      <c r="C1227" s="2">
        <v>19204</v>
      </c>
      <c r="D1227" s="2">
        <v>28224</v>
      </c>
      <c r="E1227" s="3">
        <v>44656</v>
      </c>
      <c r="F1227" s="3">
        <v>44896</v>
      </c>
      <c r="G1227" s="4">
        <v>240000</v>
      </c>
      <c r="H1227" s="2">
        <v>0</v>
      </c>
      <c r="I1227" s="2" t="s">
        <v>582</v>
      </c>
      <c r="J1227" s="2" t="s">
        <v>173</v>
      </c>
    </row>
    <row r="1228" spans="1:10" x14ac:dyDescent="0.3">
      <c r="A1228" s="2" t="s">
        <v>245</v>
      </c>
      <c r="B1228" s="2" t="s">
        <v>246</v>
      </c>
      <c r="C1228" s="2">
        <v>17958</v>
      </c>
      <c r="D1228" s="2">
        <v>26973</v>
      </c>
      <c r="E1228" s="3">
        <v>44536</v>
      </c>
      <c r="F1228" s="3">
        <v>44896</v>
      </c>
      <c r="G1228" s="4">
        <v>12500</v>
      </c>
      <c r="H1228" s="2">
        <v>0</v>
      </c>
      <c r="I1228" s="2" t="s">
        <v>593</v>
      </c>
      <c r="J1228" s="2" t="s">
        <v>36</v>
      </c>
    </row>
    <row r="1229" spans="1:10" x14ac:dyDescent="0.3">
      <c r="A1229" s="2" t="s">
        <v>21</v>
      </c>
      <c r="B1229" s="2" t="s">
        <v>22</v>
      </c>
      <c r="C1229" s="2">
        <v>19861</v>
      </c>
      <c r="D1229" s="2">
        <v>28930</v>
      </c>
      <c r="E1229" s="3">
        <v>44746</v>
      </c>
      <c r="F1229" s="3">
        <v>44896</v>
      </c>
      <c r="G1229" s="4">
        <v>4144.8</v>
      </c>
      <c r="H1229" s="2">
        <v>0</v>
      </c>
      <c r="I1229" s="2" t="s">
        <v>740</v>
      </c>
      <c r="J1229" s="2" t="s">
        <v>24</v>
      </c>
    </row>
    <row r="1230" spans="1:10" x14ac:dyDescent="0.3">
      <c r="A1230" s="2" t="s">
        <v>48</v>
      </c>
      <c r="B1230" s="2" t="s">
        <v>49</v>
      </c>
      <c r="C1230" s="2">
        <v>19862</v>
      </c>
      <c r="D1230" s="2">
        <v>28931</v>
      </c>
      <c r="E1230" s="3">
        <v>44746</v>
      </c>
      <c r="F1230" s="3">
        <v>44896</v>
      </c>
      <c r="G1230" s="4">
        <v>54000</v>
      </c>
      <c r="H1230" s="2">
        <v>0</v>
      </c>
      <c r="I1230" s="2" t="s">
        <v>886</v>
      </c>
      <c r="J1230" s="2" t="s">
        <v>40</v>
      </c>
    </row>
    <row r="1231" spans="1:10" x14ac:dyDescent="0.3">
      <c r="A1231" s="2" t="s">
        <v>48</v>
      </c>
      <c r="B1231" s="2" t="s">
        <v>49</v>
      </c>
      <c r="C1231" s="2">
        <v>19873</v>
      </c>
      <c r="D1231" s="2">
        <v>28943</v>
      </c>
      <c r="E1231" s="3">
        <v>44747</v>
      </c>
      <c r="F1231" s="3">
        <v>44897</v>
      </c>
      <c r="G1231" s="4">
        <v>54000</v>
      </c>
      <c r="H1231" s="2">
        <v>0</v>
      </c>
      <c r="I1231" s="2" t="s">
        <v>413</v>
      </c>
      <c r="J1231" s="2" t="s">
        <v>40</v>
      </c>
    </row>
    <row r="1232" spans="1:10" x14ac:dyDescent="0.3">
      <c r="A1232" s="2" t="s">
        <v>48</v>
      </c>
      <c r="B1232" s="2" t="s">
        <v>49</v>
      </c>
      <c r="C1232" s="2">
        <v>19875</v>
      </c>
      <c r="D1232" s="2">
        <v>28946</v>
      </c>
      <c r="E1232" s="3">
        <v>44748</v>
      </c>
      <c r="F1232" s="3">
        <v>44898</v>
      </c>
      <c r="G1232" s="4">
        <v>59745</v>
      </c>
      <c r="H1232" s="2">
        <v>0</v>
      </c>
      <c r="I1232" s="2" t="s">
        <v>689</v>
      </c>
      <c r="J1232" s="2" t="s">
        <v>40</v>
      </c>
    </row>
    <row r="1233" spans="1:10" x14ac:dyDescent="0.3">
      <c r="A1233" s="2" t="s">
        <v>48</v>
      </c>
      <c r="B1233" s="2" t="s">
        <v>49</v>
      </c>
      <c r="C1233" s="2">
        <v>19719</v>
      </c>
      <c r="D1233" s="2">
        <v>28779</v>
      </c>
      <c r="E1233" s="3">
        <v>44718</v>
      </c>
      <c r="F1233" s="3">
        <v>44898</v>
      </c>
      <c r="G1233" s="4">
        <v>58590</v>
      </c>
      <c r="H1233" s="2">
        <v>0</v>
      </c>
      <c r="I1233" s="2" t="s">
        <v>777</v>
      </c>
      <c r="J1233" s="2" t="s">
        <v>40</v>
      </c>
    </row>
    <row r="1234" spans="1:10" x14ac:dyDescent="0.3">
      <c r="A1234" s="2" t="s">
        <v>25</v>
      </c>
      <c r="B1234" s="2" t="s">
        <v>26</v>
      </c>
      <c r="C1234" s="2">
        <v>19720</v>
      </c>
      <c r="D1234" s="2">
        <v>28781</v>
      </c>
      <c r="E1234" s="3">
        <v>44718</v>
      </c>
      <c r="F1234" s="3">
        <v>44898</v>
      </c>
      <c r="G1234" s="4">
        <v>124050</v>
      </c>
      <c r="H1234" s="2">
        <v>0</v>
      </c>
      <c r="I1234" s="2" t="s">
        <v>1129</v>
      </c>
      <c r="J1234" s="2" t="s">
        <v>28</v>
      </c>
    </row>
    <row r="1235" spans="1:10" x14ac:dyDescent="0.3">
      <c r="A1235" s="2" t="s">
        <v>48</v>
      </c>
      <c r="B1235" s="2" t="s">
        <v>49</v>
      </c>
      <c r="C1235" s="2">
        <v>19881</v>
      </c>
      <c r="D1235" s="2">
        <v>28953</v>
      </c>
      <c r="E1235" s="3">
        <v>44749</v>
      </c>
      <c r="F1235" s="3">
        <v>44899</v>
      </c>
      <c r="G1235" s="4">
        <v>54000</v>
      </c>
      <c r="H1235" s="2">
        <v>0</v>
      </c>
      <c r="I1235" s="2" t="s">
        <v>553</v>
      </c>
      <c r="J1235" s="2" t="s">
        <v>40</v>
      </c>
    </row>
    <row r="1236" spans="1:10" x14ac:dyDescent="0.3">
      <c r="A1236" s="2" t="s">
        <v>48</v>
      </c>
      <c r="B1236" s="2" t="s">
        <v>49</v>
      </c>
      <c r="C1236" s="2">
        <v>19732</v>
      </c>
      <c r="D1236" s="2">
        <v>28793</v>
      </c>
      <c r="E1236" s="3">
        <v>44719</v>
      </c>
      <c r="F1236" s="3">
        <v>44899</v>
      </c>
      <c r="G1236" s="4">
        <v>58590</v>
      </c>
      <c r="H1236" s="2">
        <v>0</v>
      </c>
      <c r="I1236" s="2" t="s">
        <v>700</v>
      </c>
      <c r="J1236" s="2" t="s">
        <v>40</v>
      </c>
    </row>
    <row r="1237" spans="1:10" x14ac:dyDescent="0.3">
      <c r="A1237" s="2" t="s">
        <v>48</v>
      </c>
      <c r="B1237" s="2" t="s">
        <v>49</v>
      </c>
      <c r="C1237" s="2">
        <v>19726</v>
      </c>
      <c r="D1237" s="2">
        <v>28787</v>
      </c>
      <c r="E1237" s="3">
        <v>44719</v>
      </c>
      <c r="F1237" s="3">
        <v>44899</v>
      </c>
      <c r="G1237" s="4">
        <v>58590</v>
      </c>
      <c r="H1237" s="2">
        <v>0</v>
      </c>
      <c r="I1237" s="2" t="s">
        <v>807</v>
      </c>
      <c r="J1237" s="2" t="s">
        <v>40</v>
      </c>
    </row>
    <row r="1238" spans="1:10" x14ac:dyDescent="0.3">
      <c r="A1238" s="2" t="s">
        <v>1114</v>
      </c>
      <c r="B1238" s="2" t="s">
        <v>1115</v>
      </c>
      <c r="C1238" s="2">
        <v>19235</v>
      </c>
      <c r="D1238" s="2">
        <v>28260</v>
      </c>
      <c r="E1238" s="3">
        <v>44659</v>
      </c>
      <c r="F1238" s="3">
        <v>44899</v>
      </c>
      <c r="G1238" s="4">
        <v>173150</v>
      </c>
      <c r="H1238" s="2">
        <v>0</v>
      </c>
      <c r="I1238" s="2" t="s">
        <v>1116</v>
      </c>
      <c r="J1238" s="2" t="s">
        <v>173</v>
      </c>
    </row>
    <row r="1239" spans="1:10" x14ac:dyDescent="0.3">
      <c r="A1239" s="2" t="s">
        <v>48</v>
      </c>
      <c r="B1239" s="2" t="s">
        <v>49</v>
      </c>
      <c r="C1239" s="2">
        <v>19736</v>
      </c>
      <c r="D1239" s="2">
        <v>28796</v>
      </c>
      <c r="E1239" s="3">
        <v>44720</v>
      </c>
      <c r="F1239" s="3">
        <v>44900</v>
      </c>
      <c r="G1239" s="4">
        <v>58590</v>
      </c>
      <c r="H1239" s="2">
        <v>0</v>
      </c>
      <c r="I1239" s="2" t="s">
        <v>268</v>
      </c>
      <c r="J1239" s="2" t="s">
        <v>40</v>
      </c>
    </row>
    <row r="1240" spans="1:10" x14ac:dyDescent="0.3">
      <c r="A1240" s="2" t="s">
        <v>255</v>
      </c>
      <c r="B1240" s="2" t="s">
        <v>256</v>
      </c>
      <c r="C1240" s="2">
        <v>19538</v>
      </c>
      <c r="D1240" s="2">
        <v>28592</v>
      </c>
      <c r="E1240" s="3">
        <v>44690</v>
      </c>
      <c r="F1240" s="3">
        <v>44900</v>
      </c>
      <c r="G1240" s="4">
        <v>17850</v>
      </c>
      <c r="H1240" s="2">
        <v>0</v>
      </c>
      <c r="I1240" s="2" t="s">
        <v>304</v>
      </c>
      <c r="J1240" s="2" t="s">
        <v>173</v>
      </c>
    </row>
    <row r="1241" spans="1:10" x14ac:dyDescent="0.3">
      <c r="A1241" s="2" t="s">
        <v>170</v>
      </c>
      <c r="B1241" s="2" t="s">
        <v>171</v>
      </c>
      <c r="C1241" s="2">
        <v>19539</v>
      </c>
      <c r="D1241" s="2">
        <v>28593</v>
      </c>
      <c r="E1241" s="3">
        <v>44690</v>
      </c>
      <c r="F1241" s="3">
        <v>44900</v>
      </c>
      <c r="G1241" s="4">
        <v>120274.08</v>
      </c>
      <c r="H1241" s="2">
        <v>0</v>
      </c>
      <c r="I1241" s="2" t="s">
        <v>388</v>
      </c>
      <c r="J1241" s="2" t="s">
        <v>173</v>
      </c>
    </row>
    <row r="1242" spans="1:10" x14ac:dyDescent="0.3">
      <c r="A1242" s="2" t="s">
        <v>48</v>
      </c>
      <c r="B1242" s="2" t="s">
        <v>49</v>
      </c>
      <c r="C1242" s="2">
        <v>19887</v>
      </c>
      <c r="D1242" s="2">
        <v>28959</v>
      </c>
      <c r="E1242" s="3">
        <v>44750</v>
      </c>
      <c r="F1242" s="3">
        <v>44900</v>
      </c>
      <c r="G1242" s="4">
        <v>54000</v>
      </c>
      <c r="H1242" s="2">
        <v>0</v>
      </c>
      <c r="I1242" s="2" t="s">
        <v>808</v>
      </c>
      <c r="J1242" s="2" t="s">
        <v>40</v>
      </c>
    </row>
    <row r="1243" spans="1:10" x14ac:dyDescent="0.3">
      <c r="A1243" s="2" t="s">
        <v>68</v>
      </c>
      <c r="B1243" s="2" t="s">
        <v>69</v>
      </c>
      <c r="C1243" s="2">
        <v>19893</v>
      </c>
      <c r="D1243" s="2">
        <v>28964</v>
      </c>
      <c r="E1243" s="3">
        <v>44750</v>
      </c>
      <c r="F1243" s="3">
        <v>44900</v>
      </c>
      <c r="G1243" s="4">
        <v>15708</v>
      </c>
      <c r="H1243" s="2">
        <v>0</v>
      </c>
      <c r="I1243" s="2" t="s">
        <v>831</v>
      </c>
      <c r="J1243" s="2" t="s">
        <v>40</v>
      </c>
    </row>
    <row r="1244" spans="1:10" x14ac:dyDescent="0.3">
      <c r="A1244" s="2" t="s">
        <v>48</v>
      </c>
      <c r="B1244" s="2" t="s">
        <v>49</v>
      </c>
      <c r="C1244" s="2">
        <v>19738</v>
      </c>
      <c r="D1244" s="2">
        <v>28798</v>
      </c>
      <c r="E1244" s="3">
        <v>44720</v>
      </c>
      <c r="F1244" s="3">
        <v>44900</v>
      </c>
      <c r="G1244" s="4">
        <v>58590</v>
      </c>
      <c r="H1244" s="2">
        <v>0</v>
      </c>
      <c r="I1244" s="2" t="s">
        <v>1070</v>
      </c>
      <c r="J1244" s="2" t="s">
        <v>40</v>
      </c>
    </row>
    <row r="1245" spans="1:10" x14ac:dyDescent="0.3">
      <c r="A1245" s="2" t="s">
        <v>48</v>
      </c>
      <c r="B1245" s="2" t="s">
        <v>49</v>
      </c>
      <c r="C1245" s="2">
        <v>19892</v>
      </c>
      <c r="D1245" s="2">
        <v>28963</v>
      </c>
      <c r="E1245" s="3">
        <v>44750</v>
      </c>
      <c r="F1245" s="3">
        <v>44900</v>
      </c>
      <c r="G1245" s="4">
        <v>10547.8</v>
      </c>
      <c r="H1245" s="2">
        <v>0</v>
      </c>
      <c r="I1245" s="2" t="s">
        <v>1132</v>
      </c>
      <c r="J1245" s="2" t="s">
        <v>40</v>
      </c>
    </row>
    <row r="1246" spans="1:10" x14ac:dyDescent="0.3">
      <c r="A1246" s="2" t="s">
        <v>48</v>
      </c>
      <c r="B1246" s="2" t="s">
        <v>49</v>
      </c>
      <c r="C1246" s="2">
        <v>19744</v>
      </c>
      <c r="D1246" s="2">
        <v>28806</v>
      </c>
      <c r="E1246" s="3">
        <v>44721</v>
      </c>
      <c r="F1246" s="3">
        <v>44901</v>
      </c>
      <c r="G1246" s="4">
        <v>58590</v>
      </c>
      <c r="H1246" s="2">
        <v>0</v>
      </c>
      <c r="I1246" s="2" t="s">
        <v>1120</v>
      </c>
      <c r="J1246" s="2" t="s">
        <v>40</v>
      </c>
    </row>
    <row r="1247" spans="1:10" x14ac:dyDescent="0.3">
      <c r="A1247" s="2" t="s">
        <v>187</v>
      </c>
      <c r="B1247" s="2" t="s">
        <v>188</v>
      </c>
      <c r="C1247" s="2">
        <v>19748</v>
      </c>
      <c r="D1247" s="2">
        <v>28810</v>
      </c>
      <c r="E1247" s="3">
        <v>44722</v>
      </c>
      <c r="F1247" s="3">
        <v>44902</v>
      </c>
      <c r="G1247" s="4">
        <v>7853.92</v>
      </c>
      <c r="H1247" s="2">
        <v>0</v>
      </c>
      <c r="I1247" s="2" t="s">
        <v>189</v>
      </c>
      <c r="J1247" s="2" t="s">
        <v>40</v>
      </c>
    </row>
    <row r="1248" spans="1:10" x14ac:dyDescent="0.3">
      <c r="A1248" s="2" t="s">
        <v>179</v>
      </c>
      <c r="B1248" s="2" t="s">
        <v>180</v>
      </c>
      <c r="C1248" s="2">
        <v>19746</v>
      </c>
      <c r="D1248" s="2">
        <v>28808</v>
      </c>
      <c r="E1248" s="3">
        <v>44722</v>
      </c>
      <c r="F1248" s="3">
        <v>44902</v>
      </c>
      <c r="G1248" s="4">
        <v>4350</v>
      </c>
      <c r="H1248" s="2">
        <v>0</v>
      </c>
      <c r="I1248" s="2" t="s">
        <v>190</v>
      </c>
      <c r="J1248" s="2" t="s">
        <v>40</v>
      </c>
    </row>
    <row r="1249" spans="1:10" x14ac:dyDescent="0.3">
      <c r="A1249" s="2" t="s">
        <v>48</v>
      </c>
      <c r="B1249" s="2" t="s">
        <v>49</v>
      </c>
      <c r="C1249" s="2">
        <v>19757</v>
      </c>
      <c r="D1249" s="2">
        <v>28818</v>
      </c>
      <c r="E1249" s="3">
        <v>44722</v>
      </c>
      <c r="F1249" s="3">
        <v>44902</v>
      </c>
      <c r="G1249" s="4">
        <v>58590</v>
      </c>
      <c r="H1249" s="2">
        <v>0</v>
      </c>
      <c r="I1249" s="2" t="s">
        <v>457</v>
      </c>
      <c r="J1249" s="2" t="s">
        <v>40</v>
      </c>
    </row>
    <row r="1250" spans="1:10" x14ac:dyDescent="0.3">
      <c r="A1250" s="2" t="s">
        <v>53</v>
      </c>
      <c r="B1250" s="2" t="s">
        <v>54</v>
      </c>
      <c r="C1250" s="2">
        <v>19760</v>
      </c>
      <c r="D1250" s="2">
        <v>28821</v>
      </c>
      <c r="E1250" s="3">
        <v>44722</v>
      </c>
      <c r="F1250" s="3">
        <v>44902</v>
      </c>
      <c r="G1250" s="4">
        <v>39721.760000000002</v>
      </c>
      <c r="H1250" s="2">
        <v>0</v>
      </c>
      <c r="I1250" s="2" t="s">
        <v>55</v>
      </c>
      <c r="J1250" s="2" t="s">
        <v>56</v>
      </c>
    </row>
    <row r="1251" spans="1:10" x14ac:dyDescent="0.3">
      <c r="A1251" s="2" t="s">
        <v>53</v>
      </c>
      <c r="B1251" s="2" t="s">
        <v>54</v>
      </c>
      <c r="C1251" s="2">
        <v>19759</v>
      </c>
      <c r="D1251" s="2">
        <v>28820</v>
      </c>
      <c r="E1251" s="3">
        <v>44722</v>
      </c>
      <c r="F1251" s="3">
        <v>44902</v>
      </c>
      <c r="G1251" s="4">
        <v>18583.66</v>
      </c>
      <c r="H1251" s="2">
        <v>0</v>
      </c>
      <c r="I1251" s="2" t="s">
        <v>160</v>
      </c>
      <c r="J1251" s="2" t="s">
        <v>56</v>
      </c>
    </row>
    <row r="1252" spans="1:10" x14ac:dyDescent="0.3">
      <c r="A1252" s="2" t="s">
        <v>85</v>
      </c>
      <c r="B1252" s="2" t="s">
        <v>83</v>
      </c>
      <c r="C1252" s="2">
        <v>19907</v>
      </c>
      <c r="D1252" s="2">
        <v>28977</v>
      </c>
      <c r="E1252" s="3">
        <v>44753</v>
      </c>
      <c r="F1252" s="3">
        <v>44903</v>
      </c>
      <c r="G1252" s="4">
        <v>34056</v>
      </c>
      <c r="H1252" s="2">
        <v>0</v>
      </c>
      <c r="I1252" s="2" t="s">
        <v>502</v>
      </c>
      <c r="J1252" s="2" t="s">
        <v>40</v>
      </c>
    </row>
    <row r="1253" spans="1:10" x14ac:dyDescent="0.3">
      <c r="A1253" s="2" t="s">
        <v>82</v>
      </c>
      <c r="B1253" s="2" t="s">
        <v>83</v>
      </c>
      <c r="C1253" s="2">
        <v>19908</v>
      </c>
      <c r="D1253" s="2">
        <v>28978</v>
      </c>
      <c r="E1253" s="3">
        <v>44753</v>
      </c>
      <c r="F1253" s="3">
        <v>44903</v>
      </c>
      <c r="G1253" s="4">
        <v>8514</v>
      </c>
      <c r="H1253" s="2">
        <v>0</v>
      </c>
      <c r="I1253" s="2" t="s">
        <v>635</v>
      </c>
      <c r="J1253" s="2" t="s">
        <v>40</v>
      </c>
    </row>
    <row r="1254" spans="1:10" x14ac:dyDescent="0.3">
      <c r="A1254" s="2" t="s">
        <v>797</v>
      </c>
      <c r="B1254" s="2" t="s">
        <v>798</v>
      </c>
      <c r="C1254" s="2">
        <v>19899</v>
      </c>
      <c r="D1254" s="2">
        <v>28970</v>
      </c>
      <c r="E1254" s="3">
        <v>44753</v>
      </c>
      <c r="F1254" s="3">
        <v>44903</v>
      </c>
      <c r="G1254" s="4">
        <v>33675.199999999997</v>
      </c>
      <c r="H1254" s="2">
        <v>0</v>
      </c>
      <c r="I1254" s="2" t="s">
        <v>799</v>
      </c>
      <c r="J1254" s="2" t="s">
        <v>40</v>
      </c>
    </row>
    <row r="1255" spans="1:10" x14ac:dyDescent="0.3">
      <c r="A1255" s="2" t="s">
        <v>480</v>
      </c>
      <c r="B1255" s="2" t="s">
        <v>481</v>
      </c>
      <c r="C1255" s="2">
        <v>19902</v>
      </c>
      <c r="D1255" s="2">
        <v>28972</v>
      </c>
      <c r="E1255" s="3">
        <v>44753</v>
      </c>
      <c r="F1255" s="3">
        <v>44903</v>
      </c>
      <c r="G1255" s="4">
        <v>15206.1</v>
      </c>
      <c r="H1255" s="2">
        <v>0</v>
      </c>
      <c r="I1255" s="2" t="s">
        <v>966</v>
      </c>
      <c r="J1255" s="2" t="s">
        <v>56</v>
      </c>
    </row>
    <row r="1256" spans="1:10" x14ac:dyDescent="0.3">
      <c r="A1256" s="2" t="s">
        <v>68</v>
      </c>
      <c r="B1256" s="2" t="s">
        <v>69</v>
      </c>
      <c r="C1256" s="2">
        <v>19910</v>
      </c>
      <c r="D1256" s="2">
        <v>28980</v>
      </c>
      <c r="E1256" s="3">
        <v>44753</v>
      </c>
      <c r="F1256" s="3">
        <v>44903</v>
      </c>
      <c r="G1256" s="4">
        <v>14190</v>
      </c>
      <c r="H1256" s="2">
        <v>0</v>
      </c>
      <c r="I1256" s="2" t="s">
        <v>1133</v>
      </c>
      <c r="J1256" s="2" t="s">
        <v>40</v>
      </c>
    </row>
    <row r="1257" spans="1:10" x14ac:dyDescent="0.3">
      <c r="A1257" s="2" t="s">
        <v>170</v>
      </c>
      <c r="B1257" s="2" t="s">
        <v>171</v>
      </c>
      <c r="C1257" s="2">
        <v>19275</v>
      </c>
      <c r="D1257" s="2">
        <v>28305</v>
      </c>
      <c r="E1257" s="3">
        <v>44664</v>
      </c>
      <c r="F1257" s="3">
        <v>44904</v>
      </c>
      <c r="G1257" s="4">
        <v>144288</v>
      </c>
      <c r="H1257" s="2">
        <v>0</v>
      </c>
      <c r="I1257" s="2" t="s">
        <v>211</v>
      </c>
      <c r="J1257" s="2" t="s">
        <v>173</v>
      </c>
    </row>
    <row r="1258" spans="1:10" x14ac:dyDescent="0.3">
      <c r="A1258" s="2" t="s">
        <v>170</v>
      </c>
      <c r="B1258" s="2" t="s">
        <v>171</v>
      </c>
      <c r="C1258" s="2">
        <v>19272</v>
      </c>
      <c r="D1258" s="2">
        <v>28302</v>
      </c>
      <c r="E1258" s="3">
        <v>44664</v>
      </c>
      <c r="F1258" s="3">
        <v>44904</v>
      </c>
      <c r="G1258" s="4">
        <v>88990</v>
      </c>
      <c r="H1258" s="2">
        <v>0</v>
      </c>
      <c r="I1258" s="2" t="s">
        <v>498</v>
      </c>
      <c r="J1258" s="2" t="s">
        <v>173</v>
      </c>
    </row>
    <row r="1259" spans="1:10" x14ac:dyDescent="0.3">
      <c r="A1259" s="2" t="s">
        <v>48</v>
      </c>
      <c r="B1259" s="2" t="s">
        <v>49</v>
      </c>
      <c r="C1259" s="2">
        <v>19915</v>
      </c>
      <c r="D1259" s="2">
        <v>28985</v>
      </c>
      <c r="E1259" s="3">
        <v>44754</v>
      </c>
      <c r="F1259" s="3">
        <v>44904</v>
      </c>
      <c r="G1259" s="2">
        <v>419.73</v>
      </c>
      <c r="H1259" s="2">
        <v>0</v>
      </c>
      <c r="I1259" s="2" t="s">
        <v>645</v>
      </c>
      <c r="J1259" s="2" t="s">
        <v>40</v>
      </c>
    </row>
    <row r="1260" spans="1:10" x14ac:dyDescent="0.3">
      <c r="A1260" s="2" t="s">
        <v>21</v>
      </c>
      <c r="B1260" s="2" t="s">
        <v>22</v>
      </c>
      <c r="C1260" s="2">
        <v>19914</v>
      </c>
      <c r="D1260" s="2">
        <v>28984</v>
      </c>
      <c r="E1260" s="3">
        <v>44754</v>
      </c>
      <c r="F1260" s="3">
        <v>44904</v>
      </c>
      <c r="G1260" s="4">
        <v>22152.98</v>
      </c>
      <c r="H1260" s="2">
        <v>0</v>
      </c>
      <c r="I1260" s="2" t="s">
        <v>718</v>
      </c>
      <c r="J1260" s="2" t="s">
        <v>24</v>
      </c>
    </row>
    <row r="1261" spans="1:10" x14ac:dyDescent="0.3">
      <c r="A1261" s="2" t="s">
        <v>170</v>
      </c>
      <c r="B1261" s="2" t="s">
        <v>171</v>
      </c>
      <c r="C1261" s="2">
        <v>19273</v>
      </c>
      <c r="D1261" s="2">
        <v>28303</v>
      </c>
      <c r="E1261" s="3">
        <v>44664</v>
      </c>
      <c r="F1261" s="3">
        <v>44904</v>
      </c>
      <c r="G1261" s="4">
        <v>153710</v>
      </c>
      <c r="H1261" s="2">
        <v>0</v>
      </c>
      <c r="I1261" s="2" t="s">
        <v>1144</v>
      </c>
      <c r="J1261" s="2" t="s">
        <v>173</v>
      </c>
    </row>
    <row r="1262" spans="1:10" x14ac:dyDescent="0.3">
      <c r="A1262" s="2" t="s">
        <v>48</v>
      </c>
      <c r="B1262" s="2" t="s">
        <v>49</v>
      </c>
      <c r="C1262" s="2">
        <v>19762</v>
      </c>
      <c r="D1262" s="2">
        <v>28825</v>
      </c>
      <c r="E1262" s="3">
        <v>44725</v>
      </c>
      <c r="F1262" s="3">
        <v>44905</v>
      </c>
      <c r="G1262" s="4">
        <v>58590</v>
      </c>
      <c r="H1262" s="2">
        <v>0</v>
      </c>
      <c r="I1262" s="2" t="s">
        <v>778</v>
      </c>
      <c r="J1262" s="2" t="s">
        <v>40</v>
      </c>
    </row>
    <row r="1263" spans="1:10" x14ac:dyDescent="0.3">
      <c r="A1263" s="2" t="s">
        <v>248</v>
      </c>
      <c r="B1263" s="2" t="s">
        <v>249</v>
      </c>
      <c r="C1263" s="2">
        <v>19006</v>
      </c>
      <c r="D1263" s="2">
        <v>28016</v>
      </c>
      <c r="E1263" s="3">
        <v>44636</v>
      </c>
      <c r="F1263" s="3">
        <v>44906</v>
      </c>
      <c r="G1263" s="4">
        <v>6865</v>
      </c>
      <c r="H1263" s="2">
        <v>0</v>
      </c>
      <c r="I1263" s="2" t="s">
        <v>546</v>
      </c>
      <c r="J1263" s="2" t="s">
        <v>164</v>
      </c>
    </row>
    <row r="1264" spans="1:10" x14ac:dyDescent="0.3">
      <c r="A1264" s="2" t="s">
        <v>48</v>
      </c>
      <c r="B1264" s="2" t="s">
        <v>49</v>
      </c>
      <c r="C1264" s="2">
        <v>19766</v>
      </c>
      <c r="D1264" s="2">
        <v>28830</v>
      </c>
      <c r="E1264" s="3">
        <v>44726</v>
      </c>
      <c r="F1264" s="3">
        <v>44906</v>
      </c>
      <c r="G1264" s="4">
        <v>59745</v>
      </c>
      <c r="H1264" s="2">
        <v>0</v>
      </c>
      <c r="I1264" s="2" t="s">
        <v>551</v>
      </c>
      <c r="J1264" s="2" t="s">
        <v>40</v>
      </c>
    </row>
    <row r="1265" spans="1:10" x14ac:dyDescent="0.3">
      <c r="A1265" s="2" t="s">
        <v>48</v>
      </c>
      <c r="B1265" s="2" t="s">
        <v>49</v>
      </c>
      <c r="C1265" s="2">
        <v>19933</v>
      </c>
      <c r="D1265" s="2">
        <v>29000</v>
      </c>
      <c r="E1265" s="3">
        <v>44756</v>
      </c>
      <c r="F1265" s="3">
        <v>44906</v>
      </c>
      <c r="G1265" s="4">
        <v>54000</v>
      </c>
      <c r="H1265" s="2">
        <v>0</v>
      </c>
      <c r="I1265" s="2" t="s">
        <v>813</v>
      </c>
      <c r="J1265" s="2" t="s">
        <v>40</v>
      </c>
    </row>
    <row r="1266" spans="1:10" x14ac:dyDescent="0.3">
      <c r="A1266" s="2" t="s">
        <v>25</v>
      </c>
      <c r="B1266" s="2" t="s">
        <v>26</v>
      </c>
      <c r="C1266" s="2">
        <v>19769</v>
      </c>
      <c r="D1266" s="2">
        <v>28834</v>
      </c>
      <c r="E1266" s="3">
        <v>44727</v>
      </c>
      <c r="F1266" s="3">
        <v>44907</v>
      </c>
      <c r="G1266" s="4">
        <v>58350</v>
      </c>
      <c r="H1266" s="2">
        <v>0</v>
      </c>
      <c r="I1266" s="2" t="s">
        <v>1135</v>
      </c>
      <c r="J1266" s="2" t="s">
        <v>28</v>
      </c>
    </row>
    <row r="1267" spans="1:10" x14ac:dyDescent="0.3">
      <c r="A1267" s="2" t="s">
        <v>48</v>
      </c>
      <c r="B1267" s="2" t="s">
        <v>49</v>
      </c>
      <c r="C1267" s="2">
        <v>19772</v>
      </c>
      <c r="D1267" s="2">
        <v>28836</v>
      </c>
      <c r="E1267" s="3">
        <v>44729</v>
      </c>
      <c r="F1267" s="3">
        <v>44909</v>
      </c>
      <c r="G1267" s="4">
        <v>58590</v>
      </c>
      <c r="H1267" s="2">
        <v>0</v>
      </c>
      <c r="I1267" s="2" t="s">
        <v>563</v>
      </c>
      <c r="J1267" s="2" t="s">
        <v>40</v>
      </c>
    </row>
    <row r="1268" spans="1:10" x14ac:dyDescent="0.3">
      <c r="A1268" s="2" t="s">
        <v>255</v>
      </c>
      <c r="B1268" s="2" t="s">
        <v>256</v>
      </c>
      <c r="C1268" s="2">
        <v>19294</v>
      </c>
      <c r="D1268" s="2">
        <v>28334</v>
      </c>
      <c r="E1268" s="3">
        <v>44669</v>
      </c>
      <c r="F1268" s="3">
        <v>44909</v>
      </c>
      <c r="G1268" s="4">
        <v>450650</v>
      </c>
      <c r="H1268" s="2">
        <v>0</v>
      </c>
      <c r="I1268" s="2" t="s">
        <v>376</v>
      </c>
      <c r="J1268" s="2" t="s">
        <v>173</v>
      </c>
    </row>
    <row r="1269" spans="1:10" x14ac:dyDescent="0.3">
      <c r="A1269" s="2" t="s">
        <v>136</v>
      </c>
      <c r="B1269" s="2" t="s">
        <v>137</v>
      </c>
      <c r="C1269" s="2">
        <v>19363</v>
      </c>
      <c r="D1269" s="2">
        <v>28407</v>
      </c>
      <c r="E1269" s="3">
        <v>44677</v>
      </c>
      <c r="F1269" s="3">
        <v>44910</v>
      </c>
      <c r="G1269" s="4">
        <v>43320</v>
      </c>
      <c r="H1269" s="2">
        <v>0</v>
      </c>
      <c r="I1269" s="2" t="s">
        <v>183</v>
      </c>
      <c r="J1269" s="2" t="s">
        <v>81</v>
      </c>
    </row>
    <row r="1270" spans="1:10" x14ac:dyDescent="0.3">
      <c r="A1270" s="2" t="s">
        <v>587</v>
      </c>
      <c r="B1270" s="2" t="s">
        <v>588</v>
      </c>
      <c r="C1270" s="2">
        <v>19940</v>
      </c>
      <c r="D1270" s="2">
        <v>29009</v>
      </c>
      <c r="E1270" s="3">
        <v>44760</v>
      </c>
      <c r="F1270" s="3">
        <v>44910</v>
      </c>
      <c r="G1270" s="4">
        <v>3527.5</v>
      </c>
      <c r="H1270" s="2">
        <v>0</v>
      </c>
      <c r="I1270" s="2" t="s">
        <v>589</v>
      </c>
      <c r="J1270" s="2" t="s">
        <v>157</v>
      </c>
    </row>
    <row r="1271" spans="1:10" x14ac:dyDescent="0.3">
      <c r="A1271" s="2" t="s">
        <v>136</v>
      </c>
      <c r="B1271" s="2" t="s">
        <v>137</v>
      </c>
      <c r="C1271" s="2">
        <v>19496</v>
      </c>
      <c r="D1271" s="2">
        <v>28548</v>
      </c>
      <c r="E1271" s="3">
        <v>44685</v>
      </c>
      <c r="F1271" s="3">
        <v>44910</v>
      </c>
      <c r="G1271" s="4">
        <v>14160</v>
      </c>
      <c r="H1271" s="2">
        <v>0</v>
      </c>
      <c r="I1271" s="2" t="s">
        <v>261</v>
      </c>
      <c r="J1271" s="2" t="s">
        <v>81</v>
      </c>
    </row>
    <row r="1272" spans="1:10" x14ac:dyDescent="0.3">
      <c r="A1272" s="2" t="s">
        <v>136</v>
      </c>
      <c r="B1272" s="2" t="s">
        <v>137</v>
      </c>
      <c r="C1272" s="2">
        <v>19318</v>
      </c>
      <c r="D1272" s="2">
        <v>28356</v>
      </c>
      <c r="E1272" s="3">
        <v>44670</v>
      </c>
      <c r="F1272" s="3">
        <v>44910</v>
      </c>
      <c r="G1272" s="4">
        <v>52440</v>
      </c>
      <c r="H1272" s="2">
        <v>0</v>
      </c>
      <c r="I1272" s="2" t="s">
        <v>827</v>
      </c>
      <c r="J1272" s="2" t="s">
        <v>81</v>
      </c>
    </row>
    <row r="1273" spans="1:10" x14ac:dyDescent="0.3">
      <c r="A1273" s="2" t="s">
        <v>136</v>
      </c>
      <c r="B1273" s="2" t="s">
        <v>137</v>
      </c>
      <c r="C1273" s="2">
        <v>19320</v>
      </c>
      <c r="D1273" s="2">
        <v>28358</v>
      </c>
      <c r="E1273" s="3">
        <v>44670</v>
      </c>
      <c r="F1273" s="3">
        <v>44910</v>
      </c>
      <c r="G1273" s="4">
        <v>203140</v>
      </c>
      <c r="H1273" s="2">
        <v>0</v>
      </c>
      <c r="I1273" s="2" t="s">
        <v>1086</v>
      </c>
      <c r="J1273" s="2" t="s">
        <v>81</v>
      </c>
    </row>
    <row r="1274" spans="1:10" x14ac:dyDescent="0.3">
      <c r="A1274" s="2" t="s">
        <v>48</v>
      </c>
      <c r="B1274" s="2" t="s">
        <v>49</v>
      </c>
      <c r="C1274" s="2">
        <v>19792</v>
      </c>
      <c r="D1274" s="2">
        <v>28856</v>
      </c>
      <c r="E1274" s="3">
        <v>44733</v>
      </c>
      <c r="F1274" s="3">
        <v>44913</v>
      </c>
      <c r="G1274" s="4">
        <v>54000</v>
      </c>
      <c r="H1274" s="2">
        <v>0</v>
      </c>
      <c r="I1274" s="2" t="s">
        <v>412</v>
      </c>
      <c r="J1274" s="2" t="s">
        <v>40</v>
      </c>
    </row>
    <row r="1275" spans="1:10" x14ac:dyDescent="0.3">
      <c r="A1275" s="2" t="s">
        <v>41</v>
      </c>
      <c r="B1275" s="2" t="s">
        <v>42</v>
      </c>
      <c r="C1275" s="2">
        <v>19795</v>
      </c>
      <c r="D1275" s="2">
        <v>28858</v>
      </c>
      <c r="E1275" s="3">
        <v>44733</v>
      </c>
      <c r="F1275" s="3">
        <v>44913</v>
      </c>
      <c r="G1275" s="4">
        <v>8640.61</v>
      </c>
      <c r="H1275" s="2">
        <v>0</v>
      </c>
      <c r="I1275" s="2" t="s">
        <v>1018</v>
      </c>
      <c r="J1275" s="2" t="s">
        <v>44</v>
      </c>
    </row>
    <row r="1276" spans="1:10" x14ac:dyDescent="0.3">
      <c r="A1276" s="2" t="s">
        <v>48</v>
      </c>
      <c r="B1276" s="2" t="s">
        <v>49</v>
      </c>
      <c r="C1276" s="2">
        <v>19798</v>
      </c>
      <c r="D1276" s="2">
        <v>28861</v>
      </c>
      <c r="E1276" s="3">
        <v>44734</v>
      </c>
      <c r="F1276" s="3">
        <v>44914</v>
      </c>
      <c r="G1276" s="4">
        <v>54000</v>
      </c>
      <c r="H1276" s="2">
        <v>0</v>
      </c>
      <c r="I1276" s="2" t="s">
        <v>552</v>
      </c>
      <c r="J1276" s="2" t="s">
        <v>40</v>
      </c>
    </row>
    <row r="1277" spans="1:10" x14ac:dyDescent="0.3">
      <c r="A1277" s="2" t="s">
        <v>48</v>
      </c>
      <c r="B1277" s="2" t="s">
        <v>49</v>
      </c>
      <c r="C1277" s="2">
        <v>19809</v>
      </c>
      <c r="D1277" s="2">
        <v>28873</v>
      </c>
      <c r="E1277" s="3">
        <v>44735</v>
      </c>
      <c r="F1277" s="3">
        <v>44914</v>
      </c>
      <c r="G1277" s="4">
        <v>54000</v>
      </c>
      <c r="H1277" s="2">
        <v>0</v>
      </c>
      <c r="I1277" s="2" t="s">
        <v>986</v>
      </c>
      <c r="J1277" s="2" t="s">
        <v>40</v>
      </c>
    </row>
    <row r="1278" spans="1:10" x14ac:dyDescent="0.3">
      <c r="A1278" s="2" t="s">
        <v>25</v>
      </c>
      <c r="B1278" s="2" t="s">
        <v>26</v>
      </c>
      <c r="C1278" s="2">
        <v>19810</v>
      </c>
      <c r="D1278" s="2">
        <v>28874</v>
      </c>
      <c r="E1278" s="3">
        <v>44735</v>
      </c>
      <c r="F1278" s="3">
        <v>44915</v>
      </c>
      <c r="G1278" s="4">
        <v>58350</v>
      </c>
      <c r="H1278" s="2">
        <v>0</v>
      </c>
      <c r="I1278" s="2" t="s">
        <v>436</v>
      </c>
      <c r="J1278" s="2" t="s">
        <v>28</v>
      </c>
    </row>
    <row r="1279" spans="1:10" x14ac:dyDescent="0.3">
      <c r="A1279" s="2" t="s">
        <v>315</v>
      </c>
      <c r="B1279" s="2" t="s">
        <v>316</v>
      </c>
      <c r="C1279" s="2">
        <v>19934</v>
      </c>
      <c r="D1279" s="2">
        <v>29001</v>
      </c>
      <c r="E1279" s="3">
        <v>44756</v>
      </c>
      <c r="F1279" s="3">
        <v>44915</v>
      </c>
      <c r="G1279" s="4">
        <v>91800</v>
      </c>
      <c r="H1279" s="2">
        <v>0</v>
      </c>
      <c r="I1279" s="2" t="s">
        <v>615</v>
      </c>
      <c r="J1279" s="2" t="s">
        <v>81</v>
      </c>
    </row>
    <row r="1280" spans="1:10" x14ac:dyDescent="0.3">
      <c r="A1280" s="2" t="s">
        <v>48</v>
      </c>
      <c r="B1280" s="2" t="s">
        <v>49</v>
      </c>
      <c r="C1280" s="2">
        <v>19823</v>
      </c>
      <c r="D1280" s="2">
        <v>28885</v>
      </c>
      <c r="E1280" s="3">
        <v>44739</v>
      </c>
      <c r="F1280" s="3">
        <v>44919</v>
      </c>
      <c r="G1280" s="4">
        <v>54000</v>
      </c>
      <c r="H1280" s="2">
        <v>0</v>
      </c>
      <c r="I1280" s="2" t="s">
        <v>1105</v>
      </c>
      <c r="J1280" s="2" t="s">
        <v>40</v>
      </c>
    </row>
    <row r="1281" spans="1:10" x14ac:dyDescent="0.3">
      <c r="A1281" s="2" t="s">
        <v>170</v>
      </c>
      <c r="B1281" s="2" t="s">
        <v>171</v>
      </c>
      <c r="C1281" s="2">
        <v>19412</v>
      </c>
      <c r="D1281" s="2">
        <v>28453</v>
      </c>
      <c r="E1281" s="3">
        <v>44679</v>
      </c>
      <c r="F1281" s="3">
        <v>44919</v>
      </c>
      <c r="G1281" s="4">
        <v>129440</v>
      </c>
      <c r="H1281" s="2">
        <v>0</v>
      </c>
      <c r="I1281" s="2" t="s">
        <v>435</v>
      </c>
      <c r="J1281" s="2" t="s">
        <v>173</v>
      </c>
    </row>
    <row r="1282" spans="1:10" x14ac:dyDescent="0.3">
      <c r="A1282" s="2" t="s">
        <v>48</v>
      </c>
      <c r="B1282" s="2" t="s">
        <v>49</v>
      </c>
      <c r="C1282" s="2">
        <v>19829</v>
      </c>
      <c r="D1282" s="2">
        <v>28895</v>
      </c>
      <c r="E1282" s="3">
        <v>44740</v>
      </c>
      <c r="F1282" s="3">
        <v>44920</v>
      </c>
      <c r="G1282" s="4">
        <v>56760</v>
      </c>
      <c r="H1282" s="2">
        <v>0</v>
      </c>
      <c r="I1282" s="2" t="s">
        <v>739</v>
      </c>
      <c r="J1282" s="2" t="s">
        <v>40</v>
      </c>
    </row>
    <row r="1283" spans="1:10" x14ac:dyDescent="0.3">
      <c r="A1283" s="2" t="s">
        <v>48</v>
      </c>
      <c r="B1283" s="2" t="s">
        <v>49</v>
      </c>
      <c r="C1283" s="2">
        <v>19847</v>
      </c>
      <c r="D1283" s="2">
        <v>28915</v>
      </c>
      <c r="E1283" s="3">
        <v>44742</v>
      </c>
      <c r="F1283" s="3">
        <v>44922</v>
      </c>
      <c r="G1283" s="4">
        <v>59745</v>
      </c>
      <c r="H1283" s="2">
        <v>0</v>
      </c>
      <c r="I1283" s="2" t="s">
        <v>577</v>
      </c>
      <c r="J1283" s="2" t="s">
        <v>40</v>
      </c>
    </row>
    <row r="1284" spans="1:10" x14ac:dyDescent="0.3">
      <c r="A1284" s="2" t="s">
        <v>48</v>
      </c>
      <c r="B1284" s="2" t="s">
        <v>49</v>
      </c>
      <c r="C1284" s="2">
        <v>19855</v>
      </c>
      <c r="D1284" s="2">
        <v>28923</v>
      </c>
      <c r="E1284" s="3">
        <v>44743</v>
      </c>
      <c r="F1284" s="3">
        <v>44923</v>
      </c>
      <c r="G1284" s="4">
        <v>54000</v>
      </c>
      <c r="H1284" s="2">
        <v>0</v>
      </c>
      <c r="I1284" s="2" t="s">
        <v>363</v>
      </c>
      <c r="J1284" s="2" t="s">
        <v>40</v>
      </c>
    </row>
    <row r="1285" spans="1:10" x14ac:dyDescent="0.3">
      <c r="A1285" s="2" t="s">
        <v>804</v>
      </c>
      <c r="B1285" s="2" t="s">
        <v>83</v>
      </c>
      <c r="C1285" s="2">
        <v>19451</v>
      </c>
      <c r="D1285" s="2">
        <v>28504</v>
      </c>
      <c r="E1285" s="3">
        <v>44684</v>
      </c>
      <c r="F1285" s="3">
        <v>44924</v>
      </c>
      <c r="G1285" s="4">
        <v>17320</v>
      </c>
      <c r="H1285" s="2">
        <v>0</v>
      </c>
      <c r="I1285" s="2" t="s">
        <v>805</v>
      </c>
      <c r="J1285" s="2" t="s">
        <v>40</v>
      </c>
    </row>
    <row r="1286" spans="1:10" x14ac:dyDescent="0.3">
      <c r="A1286" s="2" t="s">
        <v>78</v>
      </c>
      <c r="B1286" s="2" t="s">
        <v>79</v>
      </c>
      <c r="C1286" s="2">
        <v>19364</v>
      </c>
      <c r="D1286" s="2">
        <v>28408</v>
      </c>
      <c r="E1286" s="3">
        <v>44677</v>
      </c>
      <c r="F1286" s="3">
        <v>44925</v>
      </c>
      <c r="G1286" s="4">
        <v>148000</v>
      </c>
      <c r="H1286" s="2">
        <v>0</v>
      </c>
      <c r="I1286" s="2" t="s">
        <v>486</v>
      </c>
      <c r="J1286" s="2" t="s">
        <v>81</v>
      </c>
    </row>
    <row r="1287" spans="1:10" x14ac:dyDescent="0.3">
      <c r="A1287" s="2" t="s">
        <v>48</v>
      </c>
      <c r="B1287" s="2" t="s">
        <v>49</v>
      </c>
      <c r="C1287" s="2">
        <v>19872</v>
      </c>
      <c r="D1287" s="2">
        <v>28942</v>
      </c>
      <c r="E1287" s="3">
        <v>44746</v>
      </c>
      <c r="F1287" s="3">
        <v>44926</v>
      </c>
      <c r="G1287" s="4">
        <v>17353.5</v>
      </c>
      <c r="H1287" s="2">
        <v>0</v>
      </c>
      <c r="I1287" s="2" t="s">
        <v>565</v>
      </c>
      <c r="J1287" s="2" t="s">
        <v>40</v>
      </c>
    </row>
    <row r="1288" spans="1:10" x14ac:dyDescent="0.3">
      <c r="A1288" s="2" t="s">
        <v>21</v>
      </c>
      <c r="B1288" s="2" t="s">
        <v>22</v>
      </c>
      <c r="C1288" s="2">
        <v>19861</v>
      </c>
      <c r="D1288" s="2">
        <v>28930</v>
      </c>
      <c r="E1288" s="3">
        <v>44746</v>
      </c>
      <c r="F1288" s="3">
        <v>44926</v>
      </c>
      <c r="G1288" s="4">
        <v>4144.8</v>
      </c>
      <c r="H1288" s="2">
        <v>0</v>
      </c>
      <c r="I1288" s="2" t="s">
        <v>740</v>
      </c>
      <c r="J1288" s="2" t="s">
        <v>24</v>
      </c>
    </row>
    <row r="1289" spans="1:10" x14ac:dyDescent="0.3">
      <c r="A1289" s="2" t="s">
        <v>48</v>
      </c>
      <c r="B1289" s="2" t="s">
        <v>49</v>
      </c>
      <c r="C1289" s="2">
        <v>19862</v>
      </c>
      <c r="D1289" s="2">
        <v>28931</v>
      </c>
      <c r="E1289" s="3">
        <v>44746</v>
      </c>
      <c r="F1289" s="3">
        <v>44926</v>
      </c>
      <c r="G1289" s="4">
        <v>54000</v>
      </c>
      <c r="H1289" s="2">
        <v>0</v>
      </c>
      <c r="I1289" s="2" t="s">
        <v>886</v>
      </c>
      <c r="J1289" s="2" t="s">
        <v>40</v>
      </c>
    </row>
    <row r="1290" spans="1:10" x14ac:dyDescent="0.3">
      <c r="A1290" s="2" t="s">
        <v>293</v>
      </c>
      <c r="B1290" s="2" t="s">
        <v>294</v>
      </c>
      <c r="C1290" s="2">
        <v>19863</v>
      </c>
      <c r="D1290" s="2">
        <v>28934</v>
      </c>
      <c r="E1290" s="3">
        <v>44746</v>
      </c>
      <c r="F1290" s="3">
        <v>44926</v>
      </c>
      <c r="G1290" s="4">
        <v>162976.5</v>
      </c>
      <c r="H1290" s="2">
        <v>0</v>
      </c>
      <c r="I1290" s="2" t="s">
        <v>909</v>
      </c>
      <c r="J1290" s="2" t="s">
        <v>24</v>
      </c>
    </row>
    <row r="1291" spans="1:10" x14ac:dyDescent="0.3">
      <c r="A1291" s="2" t="s">
        <v>48</v>
      </c>
      <c r="B1291" s="2" t="s">
        <v>49</v>
      </c>
      <c r="C1291" s="2">
        <v>19873</v>
      </c>
      <c r="D1291" s="2">
        <v>28943</v>
      </c>
      <c r="E1291" s="3">
        <v>44747</v>
      </c>
      <c r="F1291" s="3">
        <v>44927</v>
      </c>
      <c r="G1291" s="4">
        <v>54000</v>
      </c>
      <c r="H1291" s="2">
        <v>0</v>
      </c>
      <c r="I1291" s="2" t="s">
        <v>413</v>
      </c>
      <c r="J1291" s="2" t="s">
        <v>40</v>
      </c>
    </row>
    <row r="1292" spans="1:10" x14ac:dyDescent="0.3">
      <c r="A1292" s="2" t="s">
        <v>48</v>
      </c>
      <c r="B1292" s="2" t="s">
        <v>49</v>
      </c>
      <c r="C1292" s="2">
        <v>19875</v>
      </c>
      <c r="D1292" s="2">
        <v>28946</v>
      </c>
      <c r="E1292" s="3">
        <v>44748</v>
      </c>
      <c r="F1292" s="3">
        <v>44928</v>
      </c>
      <c r="G1292" s="4">
        <v>59745</v>
      </c>
      <c r="H1292" s="2">
        <v>0</v>
      </c>
      <c r="I1292" s="2" t="s">
        <v>689</v>
      </c>
      <c r="J1292" s="2" t="s">
        <v>40</v>
      </c>
    </row>
    <row r="1293" spans="1:10" x14ac:dyDescent="0.3">
      <c r="A1293" s="2" t="s">
        <v>48</v>
      </c>
      <c r="B1293" s="2" t="s">
        <v>49</v>
      </c>
      <c r="C1293" s="2">
        <v>19881</v>
      </c>
      <c r="D1293" s="2">
        <v>28953</v>
      </c>
      <c r="E1293" s="3">
        <v>44749</v>
      </c>
      <c r="F1293" s="3">
        <v>44929</v>
      </c>
      <c r="G1293" s="4">
        <v>54000</v>
      </c>
      <c r="H1293" s="2">
        <v>0</v>
      </c>
      <c r="I1293" s="2" t="s">
        <v>553</v>
      </c>
      <c r="J1293" s="2" t="s">
        <v>40</v>
      </c>
    </row>
    <row r="1294" spans="1:10" x14ac:dyDescent="0.3">
      <c r="A1294" s="2" t="s">
        <v>48</v>
      </c>
      <c r="B1294" s="2" t="s">
        <v>49</v>
      </c>
      <c r="C1294" s="2">
        <v>19887</v>
      </c>
      <c r="D1294" s="2">
        <v>28959</v>
      </c>
      <c r="E1294" s="3">
        <v>44750</v>
      </c>
      <c r="F1294" s="3">
        <v>44930</v>
      </c>
      <c r="G1294" s="4">
        <v>54000</v>
      </c>
      <c r="H1294" s="2">
        <v>0</v>
      </c>
      <c r="I1294" s="2" t="s">
        <v>808</v>
      </c>
      <c r="J1294" s="2" t="s">
        <v>40</v>
      </c>
    </row>
    <row r="1295" spans="1:10" x14ac:dyDescent="0.3">
      <c r="A1295" s="2" t="s">
        <v>255</v>
      </c>
      <c r="B1295" s="2" t="s">
        <v>256</v>
      </c>
      <c r="C1295" s="2">
        <v>19537</v>
      </c>
      <c r="D1295" s="2">
        <v>28591</v>
      </c>
      <c r="E1295" s="3">
        <v>44690</v>
      </c>
      <c r="F1295" s="3">
        <v>44930</v>
      </c>
      <c r="G1295" s="4">
        <v>50400</v>
      </c>
      <c r="H1295" s="2">
        <v>0</v>
      </c>
      <c r="I1295" s="2" t="s">
        <v>304</v>
      </c>
      <c r="J1295" s="2" t="s">
        <v>173</v>
      </c>
    </row>
    <row r="1296" spans="1:10" x14ac:dyDescent="0.3">
      <c r="A1296" s="2" t="s">
        <v>48</v>
      </c>
      <c r="B1296" s="2" t="s">
        <v>49</v>
      </c>
      <c r="C1296" s="2">
        <v>19892</v>
      </c>
      <c r="D1296" s="2">
        <v>28963</v>
      </c>
      <c r="E1296" s="3">
        <v>44750</v>
      </c>
      <c r="F1296" s="3">
        <v>44930</v>
      </c>
      <c r="G1296" s="4">
        <v>10547.8</v>
      </c>
      <c r="H1296" s="2">
        <v>0</v>
      </c>
      <c r="I1296" s="2" t="s">
        <v>1132</v>
      </c>
      <c r="J1296" s="2" t="s">
        <v>40</v>
      </c>
    </row>
    <row r="1297" spans="1:10" x14ac:dyDescent="0.3">
      <c r="A1297" s="2" t="s">
        <v>255</v>
      </c>
      <c r="B1297" s="2" t="s">
        <v>256</v>
      </c>
      <c r="C1297" s="2">
        <v>19754</v>
      </c>
      <c r="D1297" s="2">
        <v>28816</v>
      </c>
      <c r="E1297" s="3">
        <v>44722</v>
      </c>
      <c r="F1297" s="3">
        <v>44932</v>
      </c>
      <c r="G1297" s="4">
        <v>35700</v>
      </c>
      <c r="H1297" s="2">
        <v>0</v>
      </c>
      <c r="I1297" s="2" t="s">
        <v>830</v>
      </c>
      <c r="J1297" s="2" t="s">
        <v>173</v>
      </c>
    </row>
    <row r="1298" spans="1:10" x14ac:dyDescent="0.3">
      <c r="A1298" s="2" t="s">
        <v>85</v>
      </c>
      <c r="B1298" s="2" t="s">
        <v>83</v>
      </c>
      <c r="C1298" s="2">
        <v>19907</v>
      </c>
      <c r="D1298" s="2">
        <v>28977</v>
      </c>
      <c r="E1298" s="3">
        <v>44753</v>
      </c>
      <c r="F1298" s="3">
        <v>44933</v>
      </c>
      <c r="G1298" s="4">
        <v>34056</v>
      </c>
      <c r="H1298" s="2">
        <v>0</v>
      </c>
      <c r="I1298" s="2" t="s">
        <v>502</v>
      </c>
      <c r="J1298" s="2" t="s">
        <v>40</v>
      </c>
    </row>
    <row r="1299" spans="1:10" x14ac:dyDescent="0.3">
      <c r="A1299" s="2" t="s">
        <v>82</v>
      </c>
      <c r="B1299" s="2" t="s">
        <v>83</v>
      </c>
      <c r="C1299" s="2">
        <v>19908</v>
      </c>
      <c r="D1299" s="2">
        <v>28978</v>
      </c>
      <c r="E1299" s="3">
        <v>44753</v>
      </c>
      <c r="F1299" s="3">
        <v>44933</v>
      </c>
      <c r="G1299" s="4">
        <v>8514</v>
      </c>
      <c r="H1299" s="2">
        <v>0</v>
      </c>
      <c r="I1299" s="2" t="s">
        <v>635</v>
      </c>
      <c r="J1299" s="2" t="s">
        <v>40</v>
      </c>
    </row>
    <row r="1300" spans="1:10" x14ac:dyDescent="0.3">
      <c r="A1300" s="2" t="s">
        <v>68</v>
      </c>
      <c r="B1300" s="2" t="s">
        <v>69</v>
      </c>
      <c r="C1300" s="2">
        <v>19910</v>
      </c>
      <c r="D1300" s="2">
        <v>28980</v>
      </c>
      <c r="E1300" s="3">
        <v>44753</v>
      </c>
      <c r="F1300" s="3">
        <v>44933</v>
      </c>
      <c r="G1300" s="4">
        <v>14190</v>
      </c>
      <c r="H1300" s="2">
        <v>0</v>
      </c>
      <c r="I1300" s="2" t="s">
        <v>1133</v>
      </c>
      <c r="J1300" s="2" t="s">
        <v>40</v>
      </c>
    </row>
    <row r="1301" spans="1:10" x14ac:dyDescent="0.3">
      <c r="A1301" s="2" t="s">
        <v>48</v>
      </c>
      <c r="B1301" s="2" t="s">
        <v>49</v>
      </c>
      <c r="C1301" s="2">
        <v>19915</v>
      </c>
      <c r="D1301" s="2">
        <v>28985</v>
      </c>
      <c r="E1301" s="3">
        <v>44754</v>
      </c>
      <c r="F1301" s="3">
        <v>44934</v>
      </c>
      <c r="G1301" s="2">
        <v>419.74</v>
      </c>
      <c r="H1301" s="2">
        <v>0</v>
      </c>
      <c r="I1301" s="2" t="s">
        <v>645</v>
      </c>
      <c r="J1301" s="2" t="s">
        <v>40</v>
      </c>
    </row>
    <row r="1302" spans="1:10" x14ac:dyDescent="0.3">
      <c r="A1302" s="2" t="s">
        <v>21</v>
      </c>
      <c r="B1302" s="2" t="s">
        <v>22</v>
      </c>
      <c r="C1302" s="2">
        <v>19914</v>
      </c>
      <c r="D1302" s="2">
        <v>28984</v>
      </c>
      <c r="E1302" s="3">
        <v>44754</v>
      </c>
      <c r="F1302" s="3">
        <v>44934</v>
      </c>
      <c r="G1302" s="4">
        <v>22153.040000000001</v>
      </c>
      <c r="H1302" s="2">
        <v>0</v>
      </c>
      <c r="I1302" s="2" t="s">
        <v>718</v>
      </c>
      <c r="J1302" s="2" t="s">
        <v>24</v>
      </c>
    </row>
    <row r="1303" spans="1:10" x14ac:dyDescent="0.3">
      <c r="A1303" s="2" t="s">
        <v>48</v>
      </c>
      <c r="B1303" s="2" t="s">
        <v>49</v>
      </c>
      <c r="C1303" s="2">
        <v>19933</v>
      </c>
      <c r="D1303" s="2">
        <v>29000</v>
      </c>
      <c r="E1303" s="3">
        <v>44756</v>
      </c>
      <c r="F1303" s="3">
        <v>44936</v>
      </c>
      <c r="G1303" s="4">
        <v>54000</v>
      </c>
      <c r="H1303" s="2">
        <v>0</v>
      </c>
      <c r="I1303" s="2" t="s">
        <v>813</v>
      </c>
      <c r="J1303" s="2" t="s">
        <v>40</v>
      </c>
    </row>
    <row r="1304" spans="1:10" x14ac:dyDescent="0.3">
      <c r="A1304" s="2" t="s">
        <v>170</v>
      </c>
      <c r="B1304" s="2" t="s">
        <v>171</v>
      </c>
      <c r="C1304" s="2">
        <v>19776</v>
      </c>
      <c r="D1304" s="2">
        <v>28840</v>
      </c>
      <c r="E1304" s="3">
        <v>44732</v>
      </c>
      <c r="F1304" s="3">
        <v>44942</v>
      </c>
      <c r="G1304" s="4">
        <v>233000</v>
      </c>
      <c r="H1304" s="2">
        <v>0</v>
      </c>
      <c r="I1304" s="2" t="s">
        <v>435</v>
      </c>
      <c r="J1304" s="2" t="s">
        <v>173</v>
      </c>
    </row>
    <row r="1305" spans="1:10" x14ac:dyDescent="0.3">
      <c r="A1305" s="2" t="s">
        <v>174</v>
      </c>
      <c r="B1305" s="2" t="s">
        <v>145</v>
      </c>
      <c r="C1305" s="2">
        <v>19831</v>
      </c>
      <c r="D1305" s="2">
        <v>28899</v>
      </c>
      <c r="E1305" s="3">
        <v>44740</v>
      </c>
      <c r="F1305" s="3">
        <v>44950</v>
      </c>
      <c r="G1305" s="4">
        <v>111168</v>
      </c>
      <c r="H1305" s="2">
        <v>0</v>
      </c>
      <c r="I1305" s="2" t="s">
        <v>471</v>
      </c>
      <c r="J1305" s="2" t="s">
        <v>147</v>
      </c>
    </row>
    <row r="1306" spans="1:10" x14ac:dyDescent="0.3">
      <c r="A1306" s="2" t="s">
        <v>174</v>
      </c>
      <c r="B1306" s="2" t="s">
        <v>145</v>
      </c>
      <c r="C1306" s="2">
        <v>19832</v>
      </c>
      <c r="D1306" s="2">
        <v>28900</v>
      </c>
      <c r="E1306" s="3">
        <v>44740</v>
      </c>
      <c r="F1306" s="3">
        <v>44950</v>
      </c>
      <c r="G1306" s="4">
        <v>328440</v>
      </c>
      <c r="H1306" s="2">
        <v>0</v>
      </c>
      <c r="I1306" s="2" t="s">
        <v>471</v>
      </c>
      <c r="J1306" s="2" t="s">
        <v>147</v>
      </c>
    </row>
    <row r="1307" spans="1:10" x14ac:dyDescent="0.3">
      <c r="A1307" s="2" t="s">
        <v>248</v>
      </c>
      <c r="B1307" s="2" t="s">
        <v>249</v>
      </c>
      <c r="C1307" s="2">
        <v>19510</v>
      </c>
      <c r="D1307" s="2">
        <v>28563</v>
      </c>
      <c r="E1307" s="3">
        <v>44687</v>
      </c>
      <c r="F1307" s="3">
        <v>44957</v>
      </c>
      <c r="G1307" s="4">
        <v>21272</v>
      </c>
      <c r="H1307" s="2">
        <v>0</v>
      </c>
      <c r="I1307" s="2" t="s">
        <v>250</v>
      </c>
      <c r="J1307" s="2" t="s">
        <v>164</v>
      </c>
    </row>
    <row r="1308" spans="1:10" x14ac:dyDescent="0.3">
      <c r="A1308" s="2" t="s">
        <v>48</v>
      </c>
      <c r="B1308" s="2" t="s">
        <v>49</v>
      </c>
      <c r="C1308" s="2">
        <v>19892</v>
      </c>
      <c r="D1308" s="2">
        <v>28963</v>
      </c>
      <c r="E1308" s="3">
        <v>44750</v>
      </c>
      <c r="F1308" s="3">
        <v>44960</v>
      </c>
      <c r="G1308" s="4">
        <v>10547.83</v>
      </c>
      <c r="H1308" s="2">
        <v>0</v>
      </c>
      <c r="I1308" s="2" t="s">
        <v>1132</v>
      </c>
      <c r="J1308" s="2" t="s">
        <v>40</v>
      </c>
    </row>
    <row r="1309" spans="1:10" x14ac:dyDescent="0.3">
      <c r="A1309" s="2" t="s">
        <v>255</v>
      </c>
      <c r="B1309" s="2" t="s">
        <v>256</v>
      </c>
      <c r="C1309" s="2">
        <v>19824</v>
      </c>
      <c r="D1309" s="2">
        <v>28889</v>
      </c>
      <c r="E1309" s="3">
        <v>44739</v>
      </c>
      <c r="F1309" s="3">
        <v>44979</v>
      </c>
      <c r="G1309" s="4">
        <v>112000</v>
      </c>
      <c r="H1309" s="2">
        <v>0</v>
      </c>
      <c r="I1309" s="2" t="s">
        <v>1032</v>
      </c>
      <c r="J1309" s="2" t="s">
        <v>173</v>
      </c>
    </row>
    <row r="1310" spans="1:10" x14ac:dyDescent="0.3">
      <c r="A1310" s="2" t="s">
        <v>315</v>
      </c>
      <c r="B1310" s="2" t="s">
        <v>316</v>
      </c>
      <c r="C1310" s="2">
        <v>19935</v>
      </c>
      <c r="D1310" s="2">
        <v>29002</v>
      </c>
      <c r="E1310" s="3">
        <v>44756</v>
      </c>
      <c r="F1310" s="3">
        <v>44996</v>
      </c>
      <c r="G1310" s="4">
        <v>103500</v>
      </c>
      <c r="H1310" s="2">
        <v>0</v>
      </c>
      <c r="I1310" s="2" t="s">
        <v>1100</v>
      </c>
      <c r="J1310" s="2" t="s">
        <v>81</v>
      </c>
    </row>
    <row r="1311" spans="1:10" x14ac:dyDescent="0.3">
      <c r="A1311" s="2" t="s">
        <v>125</v>
      </c>
      <c r="B1311" s="2" t="s">
        <v>126</v>
      </c>
      <c r="C1311" s="2">
        <v>19464</v>
      </c>
      <c r="D1311" s="2">
        <v>28517</v>
      </c>
      <c r="E1311" s="3">
        <v>44684</v>
      </c>
      <c r="F1311" s="3">
        <v>45044</v>
      </c>
      <c r="G1311" s="4">
        <v>411120.4</v>
      </c>
      <c r="H1311" s="2">
        <v>0</v>
      </c>
      <c r="I1311" s="2" t="s">
        <v>361</v>
      </c>
      <c r="J1311" s="2" t="s">
        <v>36</v>
      </c>
    </row>
    <row r="1312" spans="1:10" x14ac:dyDescent="0.3">
      <c r="A1312" s="2" t="s">
        <v>110</v>
      </c>
      <c r="B1312" s="2" t="s">
        <v>111</v>
      </c>
      <c r="C1312" s="2"/>
      <c r="D1312" s="2">
        <v>186285</v>
      </c>
      <c r="E1312" s="3">
        <v>44681</v>
      </c>
      <c r="F1312" s="3">
        <v>45046</v>
      </c>
      <c r="G1312" s="4">
        <v>13807.35</v>
      </c>
      <c r="H1312" s="2">
        <v>0</v>
      </c>
      <c r="I1312" s="2" t="s">
        <v>301</v>
      </c>
      <c r="J1312" s="2" t="s">
        <v>112</v>
      </c>
    </row>
    <row r="1313" spans="1:10" x14ac:dyDescent="0.3">
      <c r="A1313" s="2" t="s">
        <v>382</v>
      </c>
      <c r="B1313" s="2" t="s">
        <v>383</v>
      </c>
      <c r="C1313" s="2"/>
      <c r="D1313" s="2">
        <v>186284</v>
      </c>
      <c r="E1313" s="3">
        <v>44681</v>
      </c>
      <c r="F1313" s="3">
        <v>45046</v>
      </c>
      <c r="G1313" s="4">
        <v>13807.35</v>
      </c>
      <c r="H1313" s="2">
        <v>0</v>
      </c>
      <c r="I1313" s="2" t="s">
        <v>301</v>
      </c>
      <c r="J1313" s="2" t="s">
        <v>112</v>
      </c>
    </row>
    <row r="1314" spans="1:10" x14ac:dyDescent="0.3">
      <c r="A1314" s="2" t="s">
        <v>405</v>
      </c>
      <c r="B1314" s="2" t="s">
        <v>406</v>
      </c>
      <c r="C1314" s="2"/>
      <c r="D1314" s="2">
        <v>186287</v>
      </c>
      <c r="E1314" s="3">
        <v>44681</v>
      </c>
      <c r="F1314" s="3">
        <v>45046</v>
      </c>
      <c r="G1314" s="4">
        <v>22452</v>
      </c>
      <c r="H1314" s="2">
        <v>0</v>
      </c>
      <c r="I1314" s="2" t="s">
        <v>301</v>
      </c>
      <c r="J1314" s="2" t="s">
        <v>112</v>
      </c>
    </row>
    <row r="1315" spans="1:10" x14ac:dyDescent="0.3">
      <c r="A1315" s="2" t="s">
        <v>107</v>
      </c>
      <c r="B1315" s="2" t="s">
        <v>108</v>
      </c>
      <c r="C1315" s="2"/>
      <c r="D1315" s="2">
        <v>186283</v>
      </c>
      <c r="E1315" s="3">
        <v>44681</v>
      </c>
      <c r="F1315" s="3">
        <v>45046</v>
      </c>
      <c r="G1315" s="4">
        <v>6555.81</v>
      </c>
      <c r="H1315" s="2">
        <v>0</v>
      </c>
      <c r="I1315" s="2" t="s">
        <v>301</v>
      </c>
      <c r="J1315" s="2" t="s">
        <v>109</v>
      </c>
    </row>
    <row r="1316" spans="1:10" x14ac:dyDescent="0.3">
      <c r="A1316" s="2" t="s">
        <v>660</v>
      </c>
      <c r="B1316" s="2" t="s">
        <v>661</v>
      </c>
      <c r="C1316" s="2"/>
      <c r="D1316" s="2">
        <v>186286</v>
      </c>
      <c r="E1316" s="3">
        <v>44681</v>
      </c>
      <c r="F1316" s="3">
        <v>45046</v>
      </c>
      <c r="G1316" s="4">
        <v>13807.35</v>
      </c>
      <c r="H1316" s="2">
        <v>0</v>
      </c>
      <c r="I1316" s="2" t="s">
        <v>301</v>
      </c>
      <c r="J1316" s="2" t="s">
        <v>112</v>
      </c>
    </row>
    <row r="1317" spans="1:10" x14ac:dyDescent="0.3">
      <c r="A1317" s="2" t="s">
        <v>458</v>
      </c>
      <c r="B1317" s="2" t="s">
        <v>15</v>
      </c>
      <c r="C1317" s="2">
        <v>19822</v>
      </c>
      <c r="D1317" s="2">
        <v>28884</v>
      </c>
      <c r="E1317" s="3">
        <v>44739</v>
      </c>
      <c r="F1317" s="3">
        <v>45107</v>
      </c>
      <c r="G1317" s="4">
        <v>206450</v>
      </c>
      <c r="H1317" s="2">
        <v>0</v>
      </c>
      <c r="I1317" s="2" t="s">
        <v>459</v>
      </c>
      <c r="J1317" s="2" t="s">
        <v>17</v>
      </c>
    </row>
    <row r="1318" spans="1:10" x14ac:dyDescent="0.3">
      <c r="A1318" s="2" t="s">
        <v>606</v>
      </c>
      <c r="B1318" s="2" t="s">
        <v>15</v>
      </c>
      <c r="C1318" s="2">
        <v>19819</v>
      </c>
      <c r="D1318" s="2">
        <v>28882</v>
      </c>
      <c r="E1318" s="3">
        <v>44739</v>
      </c>
      <c r="F1318" s="3">
        <v>45107</v>
      </c>
      <c r="G1318" s="4">
        <v>238200</v>
      </c>
      <c r="H1318" s="2">
        <v>0</v>
      </c>
      <c r="I1318" s="2" t="s">
        <v>607</v>
      </c>
      <c r="J1318" s="2" t="s">
        <v>17</v>
      </c>
    </row>
    <row r="1319" spans="1:10" x14ac:dyDescent="0.3">
      <c r="A1319" s="2" t="s">
        <v>660</v>
      </c>
      <c r="B1319" s="2" t="s">
        <v>661</v>
      </c>
      <c r="C1319" s="2"/>
      <c r="D1319" s="2">
        <v>190797</v>
      </c>
      <c r="E1319" s="3">
        <v>44742</v>
      </c>
      <c r="F1319" s="3">
        <v>45107</v>
      </c>
      <c r="G1319" s="4">
        <v>31055.1</v>
      </c>
      <c r="H1319" s="2">
        <v>0</v>
      </c>
      <c r="I1319" s="2" t="s">
        <v>669</v>
      </c>
      <c r="J1319" s="2" t="s">
        <v>112</v>
      </c>
    </row>
    <row r="1320" spans="1:10" x14ac:dyDescent="0.3">
      <c r="A1320" s="2" t="s">
        <v>110</v>
      </c>
      <c r="B1320" s="2" t="s">
        <v>111</v>
      </c>
      <c r="C1320" s="2"/>
      <c r="D1320" s="2">
        <v>190796</v>
      </c>
      <c r="E1320" s="3">
        <v>44742</v>
      </c>
      <c r="F1320" s="3">
        <v>45107</v>
      </c>
      <c r="G1320" s="4">
        <v>31055.1</v>
      </c>
      <c r="H1320" s="2">
        <v>0</v>
      </c>
      <c r="I1320" s="2" t="s">
        <v>669</v>
      </c>
      <c r="J1320" s="2" t="s">
        <v>112</v>
      </c>
    </row>
    <row r="1321" spans="1:10" x14ac:dyDescent="0.3">
      <c r="A1321" s="2" t="s">
        <v>107</v>
      </c>
      <c r="B1321" s="2" t="s">
        <v>108</v>
      </c>
      <c r="C1321" s="2"/>
      <c r="D1321" s="2">
        <v>190794</v>
      </c>
      <c r="E1321" s="3">
        <v>44742</v>
      </c>
      <c r="F1321" s="3">
        <v>45107</v>
      </c>
      <c r="G1321" s="4">
        <v>29900.71</v>
      </c>
      <c r="H1321" s="2">
        <v>0</v>
      </c>
      <c r="I1321" s="2" t="s">
        <v>669</v>
      </c>
      <c r="J1321" s="2" t="s">
        <v>109</v>
      </c>
    </row>
    <row r="1322" spans="1:10" x14ac:dyDescent="0.3">
      <c r="A1322" s="2" t="s">
        <v>382</v>
      </c>
      <c r="B1322" s="2" t="s">
        <v>383</v>
      </c>
      <c r="C1322" s="2"/>
      <c r="D1322" s="2">
        <v>190795</v>
      </c>
      <c r="E1322" s="3">
        <v>44742</v>
      </c>
      <c r="F1322" s="3">
        <v>45107</v>
      </c>
      <c r="G1322" s="4">
        <v>31055.1</v>
      </c>
      <c r="H1322" s="2">
        <v>0</v>
      </c>
      <c r="I1322" s="2" t="s">
        <v>669</v>
      </c>
      <c r="J1322" s="2" t="s">
        <v>112</v>
      </c>
    </row>
    <row r="1323" spans="1:10" x14ac:dyDescent="0.3">
      <c r="A1323" s="2" t="s">
        <v>405</v>
      </c>
      <c r="B1323" s="2" t="s">
        <v>406</v>
      </c>
      <c r="C1323" s="2"/>
      <c r="D1323" s="2">
        <v>190798</v>
      </c>
      <c r="E1323" s="3">
        <v>44742</v>
      </c>
      <c r="F1323" s="3">
        <v>45107</v>
      </c>
      <c r="G1323" s="4">
        <v>91638</v>
      </c>
      <c r="H1323" s="2">
        <v>0</v>
      </c>
      <c r="I1323" s="2" t="s">
        <v>669</v>
      </c>
      <c r="J1323" s="2" t="s">
        <v>112</v>
      </c>
    </row>
  </sheetData>
  <autoFilter ref="A1:J1323" xr:uid="{2F837845-A97D-4A76-8450-078D9CB241B9}">
    <sortState xmlns:xlrd2="http://schemas.microsoft.com/office/spreadsheetml/2017/richdata2" ref="A29:J1323">
      <sortCondition ref="F1:F1323"/>
    </sortState>
  </autoFilter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09BB699-8F77-43E1-851C-B5BDE37F92D9}">
  <sheetPr>
    <tabColor theme="3" tint="0.79998168889431442"/>
  </sheetPr>
  <dimension ref="A1:L131"/>
  <sheetViews>
    <sheetView showGridLines="0" workbookViewId="0">
      <selection activeCell="M20" sqref="M20"/>
    </sheetView>
  </sheetViews>
  <sheetFormatPr defaultRowHeight="14.4" x14ac:dyDescent="0.3"/>
  <cols>
    <col min="1" max="1" width="10.109375" bestFit="1" customWidth="1"/>
    <col min="2" max="2" width="56.5546875" bestFit="1" customWidth="1"/>
    <col min="3" max="3" width="9.88671875" bestFit="1" customWidth="1"/>
    <col min="4" max="4" width="7" bestFit="1" customWidth="1"/>
    <col min="5" max="5" width="10.6640625" bestFit="1" customWidth="1"/>
    <col min="6" max="6" width="11.88671875" bestFit="1" customWidth="1"/>
    <col min="7" max="7" width="10.109375" bestFit="1" customWidth="1"/>
    <col min="9" max="9" width="59.109375" bestFit="1" customWidth="1"/>
    <col min="10" max="10" width="16.44140625" bestFit="1" customWidth="1"/>
  </cols>
  <sheetData>
    <row r="1" spans="1:12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I1" s="23" t="s">
        <v>1160</v>
      </c>
      <c r="J1" t="s">
        <v>1161</v>
      </c>
    </row>
    <row r="2" spans="1:12" x14ac:dyDescent="0.3">
      <c r="A2" s="2" t="s">
        <v>85</v>
      </c>
      <c r="B2" s="2" t="s">
        <v>83</v>
      </c>
      <c r="C2" s="2">
        <v>17480</v>
      </c>
      <c r="D2" s="2">
        <v>26486</v>
      </c>
      <c r="E2" s="3">
        <v>44495</v>
      </c>
      <c r="F2" s="3">
        <v>44762</v>
      </c>
      <c r="G2" s="4">
        <v>39440</v>
      </c>
      <c r="I2" s="24" t="s">
        <v>83</v>
      </c>
      <c r="J2" s="27">
        <v>730149.79</v>
      </c>
    </row>
    <row r="3" spans="1:12" x14ac:dyDescent="0.3">
      <c r="A3" s="2" t="s">
        <v>196</v>
      </c>
      <c r="B3" s="2" t="s">
        <v>197</v>
      </c>
      <c r="C3" s="2">
        <v>18508</v>
      </c>
      <c r="D3" s="2">
        <v>27506</v>
      </c>
      <c r="E3" s="3">
        <v>44582</v>
      </c>
      <c r="F3" s="3">
        <v>44762</v>
      </c>
      <c r="G3" s="4">
        <v>8093.8</v>
      </c>
      <c r="I3" s="26">
        <v>44762</v>
      </c>
      <c r="J3" s="27">
        <v>318092.08999999997</v>
      </c>
    </row>
    <row r="4" spans="1:12" x14ac:dyDescent="0.3">
      <c r="A4" s="2" t="s">
        <v>82</v>
      </c>
      <c r="B4" s="2" t="s">
        <v>83</v>
      </c>
      <c r="C4" s="2">
        <v>17214</v>
      </c>
      <c r="D4" s="2">
        <v>26213</v>
      </c>
      <c r="E4" s="3">
        <v>44480</v>
      </c>
      <c r="F4" s="3">
        <v>44762</v>
      </c>
      <c r="G4" s="4">
        <v>102000</v>
      </c>
      <c r="I4" s="26">
        <v>44764</v>
      </c>
      <c r="J4" s="27">
        <v>27000</v>
      </c>
    </row>
    <row r="5" spans="1:12" x14ac:dyDescent="0.3">
      <c r="A5" s="2" t="s">
        <v>85</v>
      </c>
      <c r="B5" s="2" t="s">
        <v>83</v>
      </c>
      <c r="C5" s="2">
        <v>17479</v>
      </c>
      <c r="D5" s="2">
        <v>26485</v>
      </c>
      <c r="E5" s="3">
        <v>44495</v>
      </c>
      <c r="F5" s="3">
        <v>44762</v>
      </c>
      <c r="G5" s="4">
        <v>19785</v>
      </c>
      <c r="I5" s="26">
        <v>44767</v>
      </c>
      <c r="J5" s="27">
        <v>107085.7</v>
      </c>
    </row>
    <row r="6" spans="1:12" x14ac:dyDescent="0.3">
      <c r="A6" s="2" t="s">
        <v>68</v>
      </c>
      <c r="B6" s="2" t="s">
        <v>69</v>
      </c>
      <c r="C6" s="2">
        <v>17482</v>
      </c>
      <c r="D6" s="2">
        <v>26488</v>
      </c>
      <c r="E6" s="3">
        <v>44495</v>
      </c>
      <c r="F6" s="3">
        <v>44762</v>
      </c>
      <c r="G6" s="4">
        <v>102000</v>
      </c>
      <c r="I6" s="26">
        <v>44769</v>
      </c>
      <c r="J6" s="27">
        <v>37800</v>
      </c>
    </row>
    <row r="7" spans="1:12" x14ac:dyDescent="0.3">
      <c r="A7" s="2" t="s">
        <v>48</v>
      </c>
      <c r="B7" s="2" t="s">
        <v>49</v>
      </c>
      <c r="C7" s="2">
        <v>18502</v>
      </c>
      <c r="D7" s="2">
        <v>27500</v>
      </c>
      <c r="E7" s="3">
        <v>44582</v>
      </c>
      <c r="F7" s="3">
        <v>44762</v>
      </c>
      <c r="G7" s="4">
        <v>3170</v>
      </c>
      <c r="I7" s="26">
        <v>44772</v>
      </c>
      <c r="J7" s="27">
        <v>192172</v>
      </c>
    </row>
    <row r="8" spans="1:12" x14ac:dyDescent="0.3">
      <c r="A8" s="2" t="s">
        <v>53</v>
      </c>
      <c r="B8" s="2" t="s">
        <v>54</v>
      </c>
      <c r="C8" s="2">
        <v>18505</v>
      </c>
      <c r="D8" s="2">
        <v>27503</v>
      </c>
      <c r="E8" s="3">
        <v>44582</v>
      </c>
      <c r="F8" s="3">
        <v>44762</v>
      </c>
      <c r="G8" s="4">
        <v>1600</v>
      </c>
      <c r="I8" s="26">
        <v>44773</v>
      </c>
      <c r="J8" s="27">
        <v>48000</v>
      </c>
    </row>
    <row r="9" spans="1:12" x14ac:dyDescent="0.3">
      <c r="A9" s="2" t="s">
        <v>554</v>
      </c>
      <c r="B9" s="2" t="s">
        <v>555</v>
      </c>
      <c r="C9" s="2">
        <v>17918</v>
      </c>
      <c r="D9" s="2">
        <v>26931</v>
      </c>
      <c r="E9" s="3">
        <v>44532</v>
      </c>
      <c r="F9" s="3">
        <v>44762</v>
      </c>
      <c r="G9" s="4">
        <v>34846.68</v>
      </c>
      <c r="I9" s="24" t="s">
        <v>26</v>
      </c>
      <c r="J9" s="27">
        <v>701846.99</v>
      </c>
    </row>
    <row r="10" spans="1:12" x14ac:dyDescent="0.3">
      <c r="A10" s="2" t="s">
        <v>37</v>
      </c>
      <c r="B10" s="2" t="s">
        <v>38</v>
      </c>
      <c r="C10" s="2">
        <v>17360</v>
      </c>
      <c r="D10" s="2">
        <v>26363</v>
      </c>
      <c r="E10" s="3">
        <v>44489</v>
      </c>
      <c r="F10" s="3">
        <v>44762</v>
      </c>
      <c r="G10" s="4">
        <v>9136</v>
      </c>
      <c r="I10" s="26">
        <v>44762</v>
      </c>
      <c r="J10" s="27">
        <v>105780</v>
      </c>
      <c r="L10" s="29"/>
    </row>
    <row r="11" spans="1:12" x14ac:dyDescent="0.3">
      <c r="A11" s="2" t="s">
        <v>82</v>
      </c>
      <c r="B11" s="2" t="s">
        <v>83</v>
      </c>
      <c r="C11" s="2">
        <v>17447</v>
      </c>
      <c r="D11" s="2">
        <v>26455</v>
      </c>
      <c r="E11" s="3">
        <v>44494</v>
      </c>
      <c r="F11" s="3">
        <v>44762</v>
      </c>
      <c r="G11" s="4">
        <v>10034.4</v>
      </c>
      <c r="I11" s="26">
        <v>44765</v>
      </c>
      <c r="J11" s="27">
        <v>116557.5</v>
      </c>
    </row>
    <row r="12" spans="1:12" x14ac:dyDescent="0.3">
      <c r="A12" s="2" t="s">
        <v>25</v>
      </c>
      <c r="B12" s="2" t="s">
        <v>26</v>
      </c>
      <c r="C12" s="2">
        <v>18496</v>
      </c>
      <c r="D12" s="2">
        <v>27494</v>
      </c>
      <c r="E12" s="3">
        <v>44582</v>
      </c>
      <c r="F12" s="3">
        <v>44762</v>
      </c>
      <c r="G12" s="4">
        <v>105780</v>
      </c>
      <c r="I12" s="26">
        <v>44767</v>
      </c>
      <c r="J12" s="27">
        <v>106200</v>
      </c>
    </row>
    <row r="13" spans="1:12" x14ac:dyDescent="0.3">
      <c r="A13" s="2" t="s">
        <v>85</v>
      </c>
      <c r="B13" s="2" t="s">
        <v>83</v>
      </c>
      <c r="C13" s="2">
        <v>17478</v>
      </c>
      <c r="D13" s="2">
        <v>26484</v>
      </c>
      <c r="E13" s="3">
        <v>44495</v>
      </c>
      <c r="F13" s="3">
        <v>44762</v>
      </c>
      <c r="G13" s="4">
        <v>51408</v>
      </c>
      <c r="I13" s="26">
        <v>44772</v>
      </c>
      <c r="J13" s="27">
        <v>117000</v>
      </c>
    </row>
    <row r="14" spans="1:12" x14ac:dyDescent="0.3">
      <c r="A14" s="2" t="s">
        <v>37</v>
      </c>
      <c r="B14" s="2" t="s">
        <v>38</v>
      </c>
      <c r="C14" s="2">
        <v>16889</v>
      </c>
      <c r="D14" s="2">
        <v>25874</v>
      </c>
      <c r="E14" s="3">
        <v>44459</v>
      </c>
      <c r="F14" s="3">
        <v>44762</v>
      </c>
      <c r="G14" s="4">
        <v>20153</v>
      </c>
      <c r="I14" s="26">
        <v>44773</v>
      </c>
      <c r="J14" s="27">
        <v>256309.49</v>
      </c>
    </row>
    <row r="15" spans="1:12" x14ac:dyDescent="0.3">
      <c r="A15" s="2" t="s">
        <v>53</v>
      </c>
      <c r="B15" s="2" t="s">
        <v>54</v>
      </c>
      <c r="C15" s="2">
        <v>18510</v>
      </c>
      <c r="D15" s="2">
        <v>27508</v>
      </c>
      <c r="E15" s="3">
        <v>44582</v>
      </c>
      <c r="F15" s="3">
        <v>44762</v>
      </c>
      <c r="G15" s="4">
        <v>21747.14</v>
      </c>
      <c r="I15" s="24" t="s">
        <v>49</v>
      </c>
      <c r="J15" s="27">
        <v>539356.97</v>
      </c>
    </row>
    <row r="16" spans="1:12" x14ac:dyDescent="0.3">
      <c r="A16" s="2" t="s">
        <v>82</v>
      </c>
      <c r="B16" s="2" t="s">
        <v>83</v>
      </c>
      <c r="C16" s="2">
        <v>17448</v>
      </c>
      <c r="D16" s="2">
        <v>26456</v>
      </c>
      <c r="E16" s="3">
        <v>44494</v>
      </c>
      <c r="F16" s="3">
        <v>44762</v>
      </c>
      <c r="G16" s="4">
        <v>19720</v>
      </c>
      <c r="I16" s="26">
        <v>44762</v>
      </c>
      <c r="J16" s="27">
        <v>3170</v>
      </c>
    </row>
    <row r="17" spans="1:10" x14ac:dyDescent="0.3">
      <c r="A17" s="2" t="s">
        <v>82</v>
      </c>
      <c r="B17" s="2" t="s">
        <v>83</v>
      </c>
      <c r="C17" s="2">
        <v>17216</v>
      </c>
      <c r="D17" s="2">
        <v>26215</v>
      </c>
      <c r="E17" s="3">
        <v>44480</v>
      </c>
      <c r="F17" s="3">
        <v>44762</v>
      </c>
      <c r="G17" s="4">
        <v>75704.69</v>
      </c>
      <c r="I17" s="26">
        <v>44763</v>
      </c>
      <c r="J17" s="27">
        <v>79024.14</v>
      </c>
    </row>
    <row r="18" spans="1:10" x14ac:dyDescent="0.3">
      <c r="A18" s="2" t="s">
        <v>68</v>
      </c>
      <c r="B18" s="2" t="s">
        <v>69</v>
      </c>
      <c r="C18" s="2">
        <v>18129</v>
      </c>
      <c r="D18" s="2">
        <v>27143</v>
      </c>
      <c r="E18" s="3">
        <v>44547</v>
      </c>
      <c r="F18" s="3">
        <v>44762</v>
      </c>
      <c r="G18" s="4">
        <v>8604</v>
      </c>
      <c r="I18" s="26">
        <v>44764</v>
      </c>
      <c r="J18" s="27">
        <v>54000</v>
      </c>
    </row>
    <row r="19" spans="1:10" x14ac:dyDescent="0.3">
      <c r="A19" s="2" t="s">
        <v>68</v>
      </c>
      <c r="B19" s="2" t="s">
        <v>69</v>
      </c>
      <c r="C19" s="2">
        <v>17483</v>
      </c>
      <c r="D19" s="2">
        <v>26489</v>
      </c>
      <c r="E19" s="3">
        <v>44495</v>
      </c>
      <c r="F19" s="3">
        <v>44762</v>
      </c>
      <c r="G19" s="4">
        <v>20356.04</v>
      </c>
      <c r="I19" s="26">
        <v>44765</v>
      </c>
      <c r="J19" s="27">
        <v>77560.56</v>
      </c>
    </row>
    <row r="20" spans="1:10" x14ac:dyDescent="0.3">
      <c r="A20" s="2" t="s">
        <v>196</v>
      </c>
      <c r="B20" s="2" t="s">
        <v>197</v>
      </c>
      <c r="C20" s="2">
        <v>18506</v>
      </c>
      <c r="D20" s="2">
        <v>27504</v>
      </c>
      <c r="E20" s="3">
        <v>44582</v>
      </c>
      <c r="F20" s="3">
        <v>44762</v>
      </c>
      <c r="G20" s="4">
        <v>2853.36</v>
      </c>
      <c r="I20" s="26">
        <v>44766</v>
      </c>
      <c r="J20" s="27">
        <v>54000</v>
      </c>
    </row>
    <row r="21" spans="1:10" x14ac:dyDescent="0.3">
      <c r="A21" s="2" t="s">
        <v>48</v>
      </c>
      <c r="B21" s="2" t="s">
        <v>49</v>
      </c>
      <c r="C21" s="2">
        <v>18761</v>
      </c>
      <c r="D21" s="2">
        <v>27781</v>
      </c>
      <c r="E21" s="3">
        <v>44613</v>
      </c>
      <c r="F21" s="3">
        <v>44763</v>
      </c>
      <c r="G21" s="4">
        <v>4320</v>
      </c>
      <c r="I21" s="26">
        <v>44767</v>
      </c>
      <c r="J21" s="27">
        <v>54000</v>
      </c>
    </row>
    <row r="22" spans="1:10" x14ac:dyDescent="0.3">
      <c r="A22" s="2" t="s">
        <v>48</v>
      </c>
      <c r="B22" s="2" t="s">
        <v>49</v>
      </c>
      <c r="C22" s="2">
        <v>18763</v>
      </c>
      <c r="D22" s="2">
        <v>27783</v>
      </c>
      <c r="E22" s="3">
        <v>44613</v>
      </c>
      <c r="F22" s="3">
        <v>44763</v>
      </c>
      <c r="G22" s="4">
        <v>40000</v>
      </c>
      <c r="I22" s="26">
        <v>44769</v>
      </c>
      <c r="J22" s="27">
        <v>109602.26999999999</v>
      </c>
    </row>
    <row r="23" spans="1:10" x14ac:dyDescent="0.3">
      <c r="A23" s="2" t="s">
        <v>48</v>
      </c>
      <c r="B23" s="2" t="s">
        <v>49</v>
      </c>
      <c r="C23" s="2">
        <v>18762</v>
      </c>
      <c r="D23" s="2">
        <v>27782</v>
      </c>
      <c r="E23" s="3">
        <v>44613</v>
      </c>
      <c r="F23" s="3">
        <v>44763</v>
      </c>
      <c r="G23" s="4">
        <v>11237.5</v>
      </c>
      <c r="I23" s="26">
        <v>44772</v>
      </c>
      <c r="J23" s="27">
        <v>54000</v>
      </c>
    </row>
    <row r="24" spans="1:10" x14ac:dyDescent="0.3">
      <c r="A24" s="2" t="s">
        <v>48</v>
      </c>
      <c r="B24" s="2" t="s">
        <v>49</v>
      </c>
      <c r="C24" s="2">
        <v>18764</v>
      </c>
      <c r="D24" s="2">
        <v>27784</v>
      </c>
      <c r="E24" s="3">
        <v>44613</v>
      </c>
      <c r="F24" s="3">
        <v>44763</v>
      </c>
      <c r="G24" s="4">
        <v>23466.639999999999</v>
      </c>
      <c r="I24" s="26">
        <v>44773</v>
      </c>
      <c r="J24" s="27">
        <v>54000</v>
      </c>
    </row>
    <row r="25" spans="1:10" x14ac:dyDescent="0.3">
      <c r="A25" s="2" t="s">
        <v>78</v>
      </c>
      <c r="B25" s="2" t="s">
        <v>79</v>
      </c>
      <c r="C25" s="2">
        <v>17876</v>
      </c>
      <c r="D25" s="2">
        <v>26879</v>
      </c>
      <c r="E25" s="3">
        <v>44523</v>
      </c>
      <c r="F25" s="3">
        <v>44763</v>
      </c>
      <c r="G25" s="4">
        <v>5580</v>
      </c>
      <c r="I25" s="24" t="s">
        <v>366</v>
      </c>
      <c r="J25" s="28">
        <v>414712</v>
      </c>
    </row>
    <row r="26" spans="1:10" x14ac:dyDescent="0.3">
      <c r="A26" s="2" t="s">
        <v>974</v>
      </c>
      <c r="B26" s="2" t="s">
        <v>975</v>
      </c>
      <c r="C26" s="2">
        <v>19037</v>
      </c>
      <c r="D26" s="2">
        <v>28052</v>
      </c>
      <c r="E26" s="3">
        <v>44643</v>
      </c>
      <c r="F26" s="3">
        <v>44763</v>
      </c>
      <c r="G26" s="4">
        <v>29274.06</v>
      </c>
      <c r="I26" s="26">
        <v>44772</v>
      </c>
      <c r="J26" s="27">
        <v>414712</v>
      </c>
    </row>
    <row r="27" spans="1:10" x14ac:dyDescent="0.3">
      <c r="A27" s="2" t="s">
        <v>48</v>
      </c>
      <c r="B27" s="2" t="s">
        <v>49</v>
      </c>
      <c r="C27" s="2">
        <v>18792</v>
      </c>
      <c r="D27" s="2">
        <v>27813</v>
      </c>
      <c r="E27" s="3">
        <v>44614</v>
      </c>
      <c r="F27" s="3">
        <v>44764</v>
      </c>
      <c r="G27" s="4">
        <v>54000</v>
      </c>
      <c r="I27" s="24" t="s">
        <v>69</v>
      </c>
      <c r="J27" s="27">
        <v>390700.04000000004</v>
      </c>
    </row>
    <row r="28" spans="1:10" x14ac:dyDescent="0.3">
      <c r="A28" s="2" t="s">
        <v>53</v>
      </c>
      <c r="B28" s="2" t="s">
        <v>54</v>
      </c>
      <c r="C28" s="2">
        <v>18652</v>
      </c>
      <c r="D28" s="2">
        <v>27664</v>
      </c>
      <c r="E28" s="3">
        <v>44599</v>
      </c>
      <c r="F28" s="3">
        <v>44764</v>
      </c>
      <c r="G28" s="4">
        <v>2066.66</v>
      </c>
      <c r="I28" s="26">
        <v>44762</v>
      </c>
      <c r="J28" s="27">
        <v>130960.04000000001</v>
      </c>
    </row>
    <row r="29" spans="1:10" x14ac:dyDescent="0.3">
      <c r="A29" s="2" t="s">
        <v>82</v>
      </c>
      <c r="B29" s="2" t="s">
        <v>83</v>
      </c>
      <c r="C29" s="2">
        <v>18787</v>
      </c>
      <c r="D29" s="2">
        <v>27807</v>
      </c>
      <c r="E29" s="3">
        <v>44614</v>
      </c>
      <c r="F29" s="3">
        <v>44764</v>
      </c>
      <c r="G29" s="4">
        <v>27000</v>
      </c>
      <c r="I29" s="26">
        <v>44767</v>
      </c>
      <c r="J29" s="27">
        <v>96968.8</v>
      </c>
    </row>
    <row r="30" spans="1:10" x14ac:dyDescent="0.3">
      <c r="A30" s="2" t="s">
        <v>187</v>
      </c>
      <c r="B30" s="2" t="s">
        <v>188</v>
      </c>
      <c r="C30" s="2">
        <v>18785</v>
      </c>
      <c r="D30" s="2">
        <v>27805</v>
      </c>
      <c r="E30" s="3">
        <v>44614</v>
      </c>
      <c r="F30" s="3">
        <v>44764</v>
      </c>
      <c r="G30" s="4">
        <v>61215</v>
      </c>
      <c r="I30" s="26">
        <v>44769</v>
      </c>
      <c r="J30" s="27">
        <v>48000</v>
      </c>
    </row>
    <row r="31" spans="1:10" x14ac:dyDescent="0.3">
      <c r="A31" s="2" t="s">
        <v>53</v>
      </c>
      <c r="B31" s="2" t="s">
        <v>54</v>
      </c>
      <c r="C31" s="2">
        <v>18653</v>
      </c>
      <c r="D31" s="2">
        <v>27665</v>
      </c>
      <c r="E31" s="3">
        <v>44599</v>
      </c>
      <c r="F31" s="3">
        <v>44764</v>
      </c>
      <c r="G31" s="4">
        <v>8959.99</v>
      </c>
      <c r="I31" s="26">
        <v>44772</v>
      </c>
      <c r="J31" s="27">
        <v>114771.2</v>
      </c>
    </row>
    <row r="32" spans="1:10" x14ac:dyDescent="0.3">
      <c r="A32" s="2" t="s">
        <v>53</v>
      </c>
      <c r="B32" s="2" t="s">
        <v>54</v>
      </c>
      <c r="C32" s="2">
        <v>18654</v>
      </c>
      <c r="D32" s="2">
        <v>27666</v>
      </c>
      <c r="E32" s="3">
        <v>44599</v>
      </c>
      <c r="F32" s="3">
        <v>44764</v>
      </c>
      <c r="G32" s="4">
        <v>21746.92</v>
      </c>
      <c r="I32" s="24" t="s">
        <v>54</v>
      </c>
      <c r="J32" s="27">
        <v>222390.38999999998</v>
      </c>
    </row>
    <row r="33" spans="1:10" x14ac:dyDescent="0.3">
      <c r="A33" s="2" t="s">
        <v>25</v>
      </c>
      <c r="B33" s="2" t="s">
        <v>26</v>
      </c>
      <c r="C33" s="2">
        <v>18817</v>
      </c>
      <c r="D33" s="2">
        <v>27840</v>
      </c>
      <c r="E33" s="3">
        <v>44615</v>
      </c>
      <c r="F33" s="3">
        <v>44765</v>
      </c>
      <c r="G33" s="4">
        <v>12475</v>
      </c>
      <c r="I33" s="26">
        <v>44762</v>
      </c>
      <c r="J33" s="27">
        <v>23347.14</v>
      </c>
    </row>
    <row r="34" spans="1:10" x14ac:dyDescent="0.3">
      <c r="A34" s="2" t="s">
        <v>29</v>
      </c>
      <c r="B34" s="2" t="s">
        <v>30</v>
      </c>
      <c r="C34" s="2">
        <v>19051</v>
      </c>
      <c r="D34" s="2">
        <v>28069</v>
      </c>
      <c r="E34" s="3">
        <v>44645</v>
      </c>
      <c r="F34" s="3">
        <v>44765</v>
      </c>
      <c r="G34" s="4">
        <v>3040</v>
      </c>
      <c r="I34" s="26">
        <v>44764</v>
      </c>
      <c r="J34" s="27">
        <v>32773.57</v>
      </c>
    </row>
    <row r="35" spans="1:10" x14ac:dyDescent="0.3">
      <c r="A35" s="2" t="s">
        <v>53</v>
      </c>
      <c r="B35" s="2" t="s">
        <v>54</v>
      </c>
      <c r="C35" s="2">
        <v>19632</v>
      </c>
      <c r="D35" s="2">
        <v>28702</v>
      </c>
      <c r="E35" s="3">
        <v>44705</v>
      </c>
      <c r="F35" s="3">
        <v>44765</v>
      </c>
      <c r="G35" s="4">
        <v>62400</v>
      </c>
      <c r="I35" s="26">
        <v>44765</v>
      </c>
      <c r="J35" s="27">
        <v>62400</v>
      </c>
    </row>
    <row r="36" spans="1:10" x14ac:dyDescent="0.3">
      <c r="A36" s="2" t="s">
        <v>48</v>
      </c>
      <c r="B36" s="2" t="s">
        <v>49</v>
      </c>
      <c r="C36" s="2">
        <v>18512</v>
      </c>
      <c r="D36" s="2">
        <v>27510</v>
      </c>
      <c r="E36" s="3">
        <v>44585</v>
      </c>
      <c r="F36" s="3">
        <v>44765</v>
      </c>
      <c r="G36" s="4">
        <v>23560.560000000001</v>
      </c>
      <c r="I36" s="26">
        <v>44766</v>
      </c>
      <c r="J36" s="27">
        <v>3360</v>
      </c>
    </row>
    <row r="37" spans="1:10" x14ac:dyDescent="0.3">
      <c r="A37" s="2" t="s">
        <v>21</v>
      </c>
      <c r="B37" s="2" t="s">
        <v>22</v>
      </c>
      <c r="C37" s="2">
        <v>18812</v>
      </c>
      <c r="D37" s="2">
        <v>27835</v>
      </c>
      <c r="E37" s="3">
        <v>44615</v>
      </c>
      <c r="F37" s="3">
        <v>44765</v>
      </c>
      <c r="G37" s="4">
        <v>2773.33</v>
      </c>
      <c r="I37" s="26">
        <v>44769</v>
      </c>
      <c r="J37" s="27">
        <v>61471.76999999999</v>
      </c>
    </row>
    <row r="38" spans="1:10" x14ac:dyDescent="0.3">
      <c r="A38" s="2" t="s">
        <v>25</v>
      </c>
      <c r="B38" s="2" t="s">
        <v>26</v>
      </c>
      <c r="C38" s="2">
        <v>18514</v>
      </c>
      <c r="D38" s="2">
        <v>27513</v>
      </c>
      <c r="E38" s="3">
        <v>44585</v>
      </c>
      <c r="F38" s="3">
        <v>44765</v>
      </c>
      <c r="G38" s="4">
        <v>29232.5</v>
      </c>
      <c r="I38" s="26">
        <v>44771</v>
      </c>
      <c r="J38" s="27">
        <v>39037.910000000003</v>
      </c>
    </row>
    <row r="39" spans="1:10" x14ac:dyDescent="0.3">
      <c r="A39" s="2" t="s">
        <v>371</v>
      </c>
      <c r="B39" s="2" t="s">
        <v>372</v>
      </c>
      <c r="C39" s="2">
        <v>18804</v>
      </c>
      <c r="D39" s="2">
        <v>27828</v>
      </c>
      <c r="E39" s="3">
        <v>44615</v>
      </c>
      <c r="F39" s="3">
        <v>44765</v>
      </c>
      <c r="G39" s="4">
        <v>141000</v>
      </c>
      <c r="I39" s="24" t="s">
        <v>38</v>
      </c>
      <c r="J39" s="27">
        <v>211869</v>
      </c>
    </row>
    <row r="40" spans="1:10" x14ac:dyDescent="0.3">
      <c r="A40" s="2" t="s">
        <v>73</v>
      </c>
      <c r="B40" s="2" t="s">
        <v>74</v>
      </c>
      <c r="C40" s="2">
        <v>18822</v>
      </c>
      <c r="D40" s="2">
        <v>27845</v>
      </c>
      <c r="E40" s="3">
        <v>44615</v>
      </c>
      <c r="F40" s="3">
        <v>44765</v>
      </c>
      <c r="G40" s="4">
        <v>97769.3</v>
      </c>
      <c r="I40" s="26">
        <v>44762</v>
      </c>
      <c r="J40" s="27">
        <v>29289</v>
      </c>
    </row>
    <row r="41" spans="1:10" x14ac:dyDescent="0.3">
      <c r="A41" s="2" t="s">
        <v>426</v>
      </c>
      <c r="B41" s="2" t="s">
        <v>427</v>
      </c>
      <c r="C41" s="2">
        <v>18801</v>
      </c>
      <c r="D41" s="2">
        <v>27823</v>
      </c>
      <c r="E41" s="3">
        <v>44615</v>
      </c>
      <c r="F41" s="3">
        <v>44765</v>
      </c>
      <c r="G41" s="4">
        <v>26568.3</v>
      </c>
      <c r="I41" s="26">
        <v>44771</v>
      </c>
      <c r="J41" s="27">
        <v>182580</v>
      </c>
    </row>
    <row r="42" spans="1:10" x14ac:dyDescent="0.3">
      <c r="A42" s="2" t="s">
        <v>426</v>
      </c>
      <c r="B42" s="2" t="s">
        <v>427</v>
      </c>
      <c r="C42" s="2">
        <v>18803</v>
      </c>
      <c r="D42" s="2">
        <v>27825</v>
      </c>
      <c r="E42" s="3">
        <v>44615</v>
      </c>
      <c r="F42" s="3">
        <v>44765</v>
      </c>
      <c r="G42" s="4">
        <v>85090.5</v>
      </c>
      <c r="I42" s="24" t="s">
        <v>249</v>
      </c>
      <c r="J42" s="27">
        <v>184248.02</v>
      </c>
    </row>
    <row r="43" spans="1:10" x14ac:dyDescent="0.3">
      <c r="A43" s="2" t="s">
        <v>503</v>
      </c>
      <c r="B43" s="2" t="s">
        <v>504</v>
      </c>
      <c r="C43" s="2">
        <v>19812</v>
      </c>
      <c r="D43" s="2">
        <v>28876</v>
      </c>
      <c r="E43" s="3">
        <v>44735</v>
      </c>
      <c r="F43" s="3">
        <v>44765</v>
      </c>
      <c r="G43" s="4">
        <v>8391</v>
      </c>
      <c r="I43" s="26">
        <v>44772</v>
      </c>
      <c r="J43" s="27">
        <v>184248.02</v>
      </c>
    </row>
    <row r="44" spans="1:10" x14ac:dyDescent="0.3">
      <c r="A44" s="2" t="s">
        <v>73</v>
      </c>
      <c r="B44" s="2" t="s">
        <v>74</v>
      </c>
      <c r="C44" s="2">
        <v>18821</v>
      </c>
      <c r="D44" s="2">
        <v>27844</v>
      </c>
      <c r="E44" s="3">
        <v>44615</v>
      </c>
      <c r="F44" s="3">
        <v>44765</v>
      </c>
      <c r="G44" s="4">
        <v>6939.73</v>
      </c>
      <c r="I44" s="24" t="s">
        <v>522</v>
      </c>
      <c r="J44" s="28">
        <v>156000</v>
      </c>
    </row>
    <row r="45" spans="1:10" x14ac:dyDescent="0.3">
      <c r="A45" s="2" t="s">
        <v>736</v>
      </c>
      <c r="B45" s="2" t="s">
        <v>737</v>
      </c>
      <c r="C45" s="2">
        <v>19811</v>
      </c>
      <c r="D45" s="2">
        <v>28875</v>
      </c>
      <c r="E45" s="3">
        <v>44735</v>
      </c>
      <c r="F45" s="3">
        <v>44765</v>
      </c>
      <c r="G45" s="4">
        <v>8391</v>
      </c>
      <c r="I45" s="26">
        <v>44767</v>
      </c>
      <c r="J45" s="27">
        <v>156000</v>
      </c>
    </row>
    <row r="46" spans="1:10" x14ac:dyDescent="0.3">
      <c r="A46" s="2" t="s">
        <v>48</v>
      </c>
      <c r="B46" s="2" t="s">
        <v>49</v>
      </c>
      <c r="C46" s="2">
        <v>18815</v>
      </c>
      <c r="D46" s="2">
        <v>27838</v>
      </c>
      <c r="E46" s="3">
        <v>44615</v>
      </c>
      <c r="F46" s="3">
        <v>44765</v>
      </c>
      <c r="G46" s="4">
        <v>54000</v>
      </c>
      <c r="I46" s="24" t="s">
        <v>111</v>
      </c>
      <c r="J46" s="28">
        <v>145716.79999999999</v>
      </c>
    </row>
    <row r="47" spans="1:10" x14ac:dyDescent="0.3">
      <c r="A47" s="2" t="s">
        <v>426</v>
      </c>
      <c r="B47" s="2" t="s">
        <v>427</v>
      </c>
      <c r="C47" s="2">
        <v>18802</v>
      </c>
      <c r="D47" s="2">
        <v>27824</v>
      </c>
      <c r="E47" s="3">
        <v>44615</v>
      </c>
      <c r="F47" s="3">
        <v>44765</v>
      </c>
      <c r="G47" s="2">
        <v>487.5</v>
      </c>
      <c r="I47" s="26">
        <v>44768</v>
      </c>
      <c r="J47" s="27">
        <v>145716.79999999999</v>
      </c>
    </row>
    <row r="48" spans="1:10" x14ac:dyDescent="0.3">
      <c r="A48" s="2" t="s">
        <v>25</v>
      </c>
      <c r="B48" s="2" t="s">
        <v>26</v>
      </c>
      <c r="C48" s="2">
        <v>18816</v>
      </c>
      <c r="D48" s="2">
        <v>27839</v>
      </c>
      <c r="E48" s="3">
        <v>44615</v>
      </c>
      <c r="F48" s="3">
        <v>44765</v>
      </c>
      <c r="G48" s="4">
        <v>74850</v>
      </c>
      <c r="I48" s="24" t="s">
        <v>661</v>
      </c>
      <c r="J48" s="28">
        <v>145716.79999999999</v>
      </c>
    </row>
    <row r="49" spans="1:10" x14ac:dyDescent="0.3">
      <c r="A49" s="2" t="s">
        <v>179</v>
      </c>
      <c r="B49" s="2" t="s">
        <v>180</v>
      </c>
      <c r="C49" s="2">
        <v>19349</v>
      </c>
      <c r="D49" s="2">
        <v>28393</v>
      </c>
      <c r="E49" s="3">
        <v>44676</v>
      </c>
      <c r="F49" s="3">
        <v>44766</v>
      </c>
      <c r="G49" s="4">
        <v>126000</v>
      </c>
      <c r="I49" s="26">
        <v>44768</v>
      </c>
      <c r="J49" s="27">
        <v>145716.79999999999</v>
      </c>
    </row>
    <row r="50" spans="1:10" x14ac:dyDescent="0.3">
      <c r="A50" s="2" t="s">
        <v>53</v>
      </c>
      <c r="B50" s="2" t="s">
        <v>54</v>
      </c>
      <c r="C50" s="2">
        <v>18526</v>
      </c>
      <c r="D50" s="2">
        <v>27527</v>
      </c>
      <c r="E50" s="3">
        <v>44586</v>
      </c>
      <c r="F50" s="3">
        <v>44766</v>
      </c>
      <c r="G50" s="4">
        <v>3360</v>
      </c>
      <c r="I50" s="24" t="s">
        <v>372</v>
      </c>
      <c r="J50" s="27">
        <v>141000</v>
      </c>
    </row>
    <row r="51" spans="1:10" x14ac:dyDescent="0.3">
      <c r="A51" s="2" t="s">
        <v>21</v>
      </c>
      <c r="B51" s="2" t="s">
        <v>22</v>
      </c>
      <c r="C51" s="2">
        <v>18824</v>
      </c>
      <c r="D51" s="2">
        <v>27846</v>
      </c>
      <c r="E51" s="3">
        <v>44616</v>
      </c>
      <c r="F51" s="3">
        <v>44766</v>
      </c>
      <c r="G51" s="2">
        <v>559.59</v>
      </c>
      <c r="I51" s="26">
        <v>44765</v>
      </c>
      <c r="J51" s="27">
        <v>141000</v>
      </c>
    </row>
    <row r="52" spans="1:10" x14ac:dyDescent="0.3">
      <c r="A52" s="2" t="s">
        <v>48</v>
      </c>
      <c r="B52" s="2" t="s">
        <v>49</v>
      </c>
      <c r="C52" s="2">
        <v>18842</v>
      </c>
      <c r="D52" s="2">
        <v>27862</v>
      </c>
      <c r="E52" s="3">
        <v>44616</v>
      </c>
      <c r="F52" s="3">
        <v>44766</v>
      </c>
      <c r="G52" s="4">
        <v>54000</v>
      </c>
      <c r="I52" s="24" t="s">
        <v>617</v>
      </c>
      <c r="J52" s="27">
        <v>133500</v>
      </c>
    </row>
    <row r="53" spans="1:10" x14ac:dyDescent="0.3">
      <c r="A53" s="2" t="s">
        <v>25</v>
      </c>
      <c r="B53" s="2" t="s">
        <v>26</v>
      </c>
      <c r="C53" s="2">
        <v>18546</v>
      </c>
      <c r="D53" s="2">
        <v>27544</v>
      </c>
      <c r="E53" s="3">
        <v>44587</v>
      </c>
      <c r="F53" s="3">
        <v>44767</v>
      </c>
      <c r="G53" s="4">
        <v>99300</v>
      </c>
      <c r="I53" s="26">
        <v>44773</v>
      </c>
      <c r="J53" s="27">
        <v>133500</v>
      </c>
    </row>
    <row r="54" spans="1:10" x14ac:dyDescent="0.3">
      <c r="A54" s="2" t="s">
        <v>73</v>
      </c>
      <c r="B54" s="2" t="s">
        <v>74</v>
      </c>
      <c r="C54" s="2">
        <v>19365</v>
      </c>
      <c r="D54" s="2">
        <v>28409</v>
      </c>
      <c r="E54" s="3">
        <v>44677</v>
      </c>
      <c r="F54" s="3">
        <v>44767</v>
      </c>
      <c r="G54" s="4">
        <v>5760</v>
      </c>
      <c r="I54" s="24" t="s">
        <v>180</v>
      </c>
      <c r="J54" s="27">
        <v>126000</v>
      </c>
    </row>
    <row r="55" spans="1:10" x14ac:dyDescent="0.3">
      <c r="A55" s="2" t="s">
        <v>25</v>
      </c>
      <c r="B55" s="2" t="s">
        <v>26</v>
      </c>
      <c r="C55" s="2">
        <v>18547</v>
      </c>
      <c r="D55" s="2">
        <v>27545</v>
      </c>
      <c r="E55" s="3">
        <v>44587</v>
      </c>
      <c r="F55" s="3">
        <v>44767</v>
      </c>
      <c r="G55" s="4">
        <v>6900</v>
      </c>
      <c r="I55" s="26">
        <v>44766</v>
      </c>
      <c r="J55" s="27">
        <v>126000</v>
      </c>
    </row>
    <row r="56" spans="1:10" x14ac:dyDescent="0.3">
      <c r="A56" s="2" t="s">
        <v>73</v>
      </c>
      <c r="B56" s="2" t="s">
        <v>74</v>
      </c>
      <c r="C56" s="2">
        <v>19362</v>
      </c>
      <c r="D56" s="2">
        <v>28406</v>
      </c>
      <c r="E56" s="3">
        <v>44677</v>
      </c>
      <c r="F56" s="3">
        <v>44767</v>
      </c>
      <c r="G56" s="4">
        <v>2850</v>
      </c>
      <c r="I56" s="24" t="s">
        <v>115</v>
      </c>
      <c r="J56" s="28">
        <v>122531.89000000001</v>
      </c>
    </row>
    <row r="57" spans="1:10" x14ac:dyDescent="0.3">
      <c r="A57" s="2" t="s">
        <v>82</v>
      </c>
      <c r="B57" s="2" t="s">
        <v>83</v>
      </c>
      <c r="C57" s="2">
        <v>18538</v>
      </c>
      <c r="D57" s="2">
        <v>27536</v>
      </c>
      <c r="E57" s="3">
        <v>44587</v>
      </c>
      <c r="F57" s="3">
        <v>44767</v>
      </c>
      <c r="G57" s="4">
        <v>30383.3</v>
      </c>
      <c r="I57" s="26">
        <v>44768</v>
      </c>
      <c r="J57" s="27">
        <v>82818.600000000006</v>
      </c>
    </row>
    <row r="58" spans="1:10" x14ac:dyDescent="0.3">
      <c r="A58" s="2" t="s">
        <v>68</v>
      </c>
      <c r="B58" s="2" t="s">
        <v>69</v>
      </c>
      <c r="C58" s="2">
        <v>18540</v>
      </c>
      <c r="D58" s="2">
        <v>27538</v>
      </c>
      <c r="E58" s="3">
        <v>44587</v>
      </c>
      <c r="F58" s="3">
        <v>44767</v>
      </c>
      <c r="G58" s="4">
        <v>96968.8</v>
      </c>
      <c r="I58" s="26">
        <v>44773</v>
      </c>
      <c r="J58" s="27">
        <v>39713.29</v>
      </c>
    </row>
    <row r="59" spans="1:10" x14ac:dyDescent="0.3">
      <c r="A59" s="2" t="s">
        <v>82</v>
      </c>
      <c r="B59" s="2" t="s">
        <v>83</v>
      </c>
      <c r="C59" s="2">
        <v>18543</v>
      </c>
      <c r="D59" s="2">
        <v>27541</v>
      </c>
      <c r="E59" s="3">
        <v>44587</v>
      </c>
      <c r="F59" s="3">
        <v>44767</v>
      </c>
      <c r="G59" s="4">
        <v>7702.8</v>
      </c>
      <c r="I59" s="24" t="s">
        <v>74</v>
      </c>
      <c r="J59" s="27">
        <v>113319.03</v>
      </c>
    </row>
    <row r="60" spans="1:10" x14ac:dyDescent="0.3">
      <c r="A60" s="2" t="s">
        <v>521</v>
      </c>
      <c r="B60" s="2" t="s">
        <v>522</v>
      </c>
      <c r="C60" s="2">
        <v>18853</v>
      </c>
      <c r="D60" s="2">
        <v>27873</v>
      </c>
      <c r="E60" s="3">
        <v>44617</v>
      </c>
      <c r="F60" s="3">
        <v>44767</v>
      </c>
      <c r="G60" s="4">
        <v>156000</v>
      </c>
      <c r="I60" s="26">
        <v>44765</v>
      </c>
      <c r="J60" s="27">
        <v>104709.03</v>
      </c>
    </row>
    <row r="61" spans="1:10" x14ac:dyDescent="0.3">
      <c r="A61" s="2" t="s">
        <v>48</v>
      </c>
      <c r="B61" s="2" t="s">
        <v>49</v>
      </c>
      <c r="C61" s="2">
        <v>18849</v>
      </c>
      <c r="D61" s="2">
        <v>27870</v>
      </c>
      <c r="E61" s="3">
        <v>44617</v>
      </c>
      <c r="F61" s="3">
        <v>44767</v>
      </c>
      <c r="G61" s="4">
        <v>54000</v>
      </c>
      <c r="I61" s="26">
        <v>44767</v>
      </c>
      <c r="J61" s="27">
        <v>8610</v>
      </c>
    </row>
    <row r="62" spans="1:10" x14ac:dyDescent="0.3">
      <c r="A62" s="2" t="s">
        <v>824</v>
      </c>
      <c r="B62" s="2" t="s">
        <v>825</v>
      </c>
      <c r="C62" s="2">
        <v>19243</v>
      </c>
      <c r="D62" s="2">
        <v>28267</v>
      </c>
      <c r="E62" s="3">
        <v>44662</v>
      </c>
      <c r="F62" s="3">
        <v>44767</v>
      </c>
      <c r="G62" s="4">
        <v>27291.79</v>
      </c>
      <c r="I62" s="24" t="s">
        <v>427</v>
      </c>
      <c r="J62" s="28">
        <v>112146.3</v>
      </c>
    </row>
    <row r="63" spans="1:10" x14ac:dyDescent="0.3">
      <c r="A63" s="2" t="s">
        <v>85</v>
      </c>
      <c r="B63" s="2" t="s">
        <v>83</v>
      </c>
      <c r="C63" s="2">
        <v>18537</v>
      </c>
      <c r="D63" s="2">
        <v>27535</v>
      </c>
      <c r="E63" s="3">
        <v>44587</v>
      </c>
      <c r="F63" s="3">
        <v>44767</v>
      </c>
      <c r="G63" s="4">
        <v>56161.599999999999</v>
      </c>
      <c r="I63" s="26">
        <v>44765</v>
      </c>
      <c r="J63" s="27">
        <v>112146.3</v>
      </c>
    </row>
    <row r="64" spans="1:10" x14ac:dyDescent="0.3">
      <c r="A64" s="2" t="s">
        <v>85</v>
      </c>
      <c r="B64" s="2" t="s">
        <v>83</v>
      </c>
      <c r="C64" s="2">
        <v>18542</v>
      </c>
      <c r="D64" s="2">
        <v>27540</v>
      </c>
      <c r="E64" s="3">
        <v>44587</v>
      </c>
      <c r="F64" s="3">
        <v>44767</v>
      </c>
      <c r="G64" s="4">
        <v>12838</v>
      </c>
      <c r="I64" s="24" t="s">
        <v>79</v>
      </c>
      <c r="J64" s="27">
        <v>110572.8</v>
      </c>
    </row>
    <row r="65" spans="1:10" x14ac:dyDescent="0.3">
      <c r="A65" s="2" t="s">
        <v>114</v>
      </c>
      <c r="B65" s="2" t="s">
        <v>115</v>
      </c>
      <c r="C65" s="2">
        <v>19396</v>
      </c>
      <c r="D65" s="2">
        <v>28437</v>
      </c>
      <c r="E65" s="3">
        <v>44678</v>
      </c>
      <c r="F65" s="3">
        <v>44768</v>
      </c>
      <c r="G65" s="4">
        <v>13200</v>
      </c>
      <c r="I65" s="26">
        <v>44763</v>
      </c>
      <c r="J65" s="27">
        <v>5580</v>
      </c>
    </row>
    <row r="66" spans="1:10" x14ac:dyDescent="0.3">
      <c r="A66" s="2" t="s">
        <v>154</v>
      </c>
      <c r="B66" s="2" t="s">
        <v>155</v>
      </c>
      <c r="C66" s="2">
        <v>19377</v>
      </c>
      <c r="D66" s="2">
        <v>28420</v>
      </c>
      <c r="E66" s="3">
        <v>44678</v>
      </c>
      <c r="F66" s="3">
        <v>44768</v>
      </c>
      <c r="G66" s="4">
        <v>16800</v>
      </c>
      <c r="I66" s="26">
        <v>44773</v>
      </c>
      <c r="J66" s="27">
        <v>104992.8</v>
      </c>
    </row>
    <row r="67" spans="1:10" x14ac:dyDescent="0.3">
      <c r="A67" s="2" t="s">
        <v>21</v>
      </c>
      <c r="B67" s="2" t="s">
        <v>22</v>
      </c>
      <c r="C67" s="2">
        <v>19075</v>
      </c>
      <c r="D67" s="2">
        <v>28094</v>
      </c>
      <c r="E67" s="3">
        <v>44648</v>
      </c>
      <c r="F67" s="3">
        <v>44768</v>
      </c>
      <c r="G67" s="4">
        <v>8446.66</v>
      </c>
      <c r="I67" s="24" t="s">
        <v>235</v>
      </c>
      <c r="J67" s="27">
        <v>92578.6</v>
      </c>
    </row>
    <row r="68" spans="1:10" x14ac:dyDescent="0.3">
      <c r="A68" s="2" t="s">
        <v>237</v>
      </c>
      <c r="B68" s="2" t="s">
        <v>238</v>
      </c>
      <c r="C68" s="2">
        <v>19375</v>
      </c>
      <c r="D68" s="2">
        <v>28418</v>
      </c>
      <c r="E68" s="3">
        <v>44678</v>
      </c>
      <c r="F68" s="3">
        <v>44768</v>
      </c>
      <c r="G68" s="4">
        <v>5167.49</v>
      </c>
      <c r="I68" s="26">
        <v>44770</v>
      </c>
      <c r="J68" s="27">
        <v>92578.6</v>
      </c>
    </row>
    <row r="69" spans="1:10" x14ac:dyDescent="0.3">
      <c r="A69" s="2" t="s">
        <v>21</v>
      </c>
      <c r="B69" s="2" t="s">
        <v>22</v>
      </c>
      <c r="C69" s="2">
        <v>19074</v>
      </c>
      <c r="D69" s="2">
        <v>28093</v>
      </c>
      <c r="E69" s="3">
        <v>44648</v>
      </c>
      <c r="F69" s="3">
        <v>44768</v>
      </c>
      <c r="G69" s="4">
        <v>11880</v>
      </c>
      <c r="I69" s="24" t="s">
        <v>574</v>
      </c>
      <c r="J69" s="27">
        <v>76042.63</v>
      </c>
    </row>
    <row r="70" spans="1:10" x14ac:dyDescent="0.3">
      <c r="A70" s="2" t="s">
        <v>384</v>
      </c>
      <c r="B70" s="2" t="s">
        <v>385</v>
      </c>
      <c r="C70" s="2">
        <v>19376</v>
      </c>
      <c r="D70" s="2">
        <v>28419</v>
      </c>
      <c r="E70" s="3">
        <v>44678</v>
      </c>
      <c r="F70" s="3">
        <v>44768</v>
      </c>
      <c r="G70" s="4">
        <v>11807.25</v>
      </c>
      <c r="I70" s="26">
        <v>44772</v>
      </c>
      <c r="J70" s="27">
        <v>76042.63</v>
      </c>
    </row>
    <row r="71" spans="1:10" x14ac:dyDescent="0.3">
      <c r="A71" s="2" t="s">
        <v>660</v>
      </c>
      <c r="B71" s="2" t="s">
        <v>661</v>
      </c>
      <c r="C71" s="2">
        <v>19089</v>
      </c>
      <c r="D71" s="2">
        <v>28108</v>
      </c>
      <c r="E71" s="3">
        <v>44648</v>
      </c>
      <c r="F71" s="3">
        <v>44768</v>
      </c>
      <c r="G71" s="4">
        <v>145716.79999999999</v>
      </c>
      <c r="I71" s="24" t="s">
        <v>188</v>
      </c>
      <c r="J71" s="28">
        <v>72679</v>
      </c>
    </row>
    <row r="72" spans="1:10" x14ac:dyDescent="0.3">
      <c r="A72" s="2" t="s">
        <v>114</v>
      </c>
      <c r="B72" s="2" t="s">
        <v>115</v>
      </c>
      <c r="C72" s="2">
        <v>19399</v>
      </c>
      <c r="D72" s="2">
        <v>28439</v>
      </c>
      <c r="E72" s="3">
        <v>44678</v>
      </c>
      <c r="F72" s="3">
        <v>44768</v>
      </c>
      <c r="G72" s="4">
        <v>4032</v>
      </c>
      <c r="I72" s="26">
        <v>44764</v>
      </c>
      <c r="J72" s="27">
        <v>61215</v>
      </c>
    </row>
    <row r="73" spans="1:10" x14ac:dyDescent="0.3">
      <c r="A73" s="2" t="s">
        <v>758</v>
      </c>
      <c r="B73" s="2" t="s">
        <v>759</v>
      </c>
      <c r="C73" s="2">
        <v>19392</v>
      </c>
      <c r="D73" s="2">
        <v>28433</v>
      </c>
      <c r="E73" s="3">
        <v>44678</v>
      </c>
      <c r="F73" s="3">
        <v>44768</v>
      </c>
      <c r="G73" s="4">
        <v>33572.5</v>
      </c>
      <c r="I73" s="26">
        <v>44769</v>
      </c>
      <c r="J73" s="27">
        <v>11464</v>
      </c>
    </row>
    <row r="74" spans="1:10" x14ac:dyDescent="0.3">
      <c r="A74" s="2" t="s">
        <v>114</v>
      </c>
      <c r="B74" s="2" t="s">
        <v>115</v>
      </c>
      <c r="C74" s="2">
        <v>19400</v>
      </c>
      <c r="D74" s="2">
        <v>28440</v>
      </c>
      <c r="E74" s="3">
        <v>44678</v>
      </c>
      <c r="F74" s="3">
        <v>44768</v>
      </c>
      <c r="G74" s="4">
        <v>65586.600000000006</v>
      </c>
      <c r="I74" s="24" t="s">
        <v>643</v>
      </c>
      <c r="J74" s="27">
        <v>40600</v>
      </c>
    </row>
    <row r="75" spans="1:10" x14ac:dyDescent="0.3">
      <c r="A75" s="2" t="s">
        <v>630</v>
      </c>
      <c r="B75" s="2" t="s">
        <v>631</v>
      </c>
      <c r="C75" s="2">
        <v>19394</v>
      </c>
      <c r="D75" s="2">
        <v>28435</v>
      </c>
      <c r="E75" s="3">
        <v>44678</v>
      </c>
      <c r="F75" s="3">
        <v>44768</v>
      </c>
      <c r="G75" s="4">
        <v>17350</v>
      </c>
      <c r="I75" s="26">
        <v>44768</v>
      </c>
      <c r="J75" s="27">
        <v>40600</v>
      </c>
    </row>
    <row r="76" spans="1:10" x14ac:dyDescent="0.3">
      <c r="A76" s="2" t="s">
        <v>630</v>
      </c>
      <c r="B76" s="2" t="s">
        <v>631</v>
      </c>
      <c r="C76" s="2">
        <v>19393</v>
      </c>
      <c r="D76" s="2">
        <v>28434</v>
      </c>
      <c r="E76" s="3">
        <v>44678</v>
      </c>
      <c r="F76" s="3">
        <v>44768</v>
      </c>
      <c r="G76" s="4">
        <v>5275</v>
      </c>
      <c r="I76" s="24" t="s">
        <v>555</v>
      </c>
      <c r="J76" s="27">
        <v>34846.68</v>
      </c>
    </row>
    <row r="77" spans="1:10" x14ac:dyDescent="0.3">
      <c r="A77" s="2" t="s">
        <v>384</v>
      </c>
      <c r="B77" s="2" t="s">
        <v>385</v>
      </c>
      <c r="C77" s="2">
        <v>19370</v>
      </c>
      <c r="D77" s="2">
        <v>28414</v>
      </c>
      <c r="E77" s="3">
        <v>44678</v>
      </c>
      <c r="F77" s="3">
        <v>44768</v>
      </c>
      <c r="G77" s="4">
        <v>2375</v>
      </c>
      <c r="I77" s="26">
        <v>44762</v>
      </c>
      <c r="J77" s="27">
        <v>34846.68</v>
      </c>
    </row>
    <row r="78" spans="1:10" x14ac:dyDescent="0.3">
      <c r="A78" s="2" t="s">
        <v>642</v>
      </c>
      <c r="B78" s="2" t="s">
        <v>643</v>
      </c>
      <c r="C78" s="2">
        <v>19391</v>
      </c>
      <c r="D78" s="2">
        <v>28432</v>
      </c>
      <c r="E78" s="3">
        <v>44678</v>
      </c>
      <c r="F78" s="3">
        <v>44768</v>
      </c>
      <c r="G78" s="4">
        <v>40600</v>
      </c>
      <c r="I78" s="24" t="s">
        <v>759</v>
      </c>
      <c r="J78" s="27">
        <v>33572.5</v>
      </c>
    </row>
    <row r="79" spans="1:10" x14ac:dyDescent="0.3">
      <c r="A79" s="2" t="s">
        <v>110</v>
      </c>
      <c r="B79" s="2" t="s">
        <v>111</v>
      </c>
      <c r="C79" s="2">
        <v>19084</v>
      </c>
      <c r="D79" s="2">
        <v>28104</v>
      </c>
      <c r="E79" s="3">
        <v>44648</v>
      </c>
      <c r="F79" s="3">
        <v>44768</v>
      </c>
      <c r="G79" s="4">
        <v>145716.79999999999</v>
      </c>
      <c r="I79" s="26">
        <v>44768</v>
      </c>
      <c r="J79" s="27">
        <v>33572.5</v>
      </c>
    </row>
    <row r="80" spans="1:10" x14ac:dyDescent="0.3">
      <c r="A80" s="2" t="s">
        <v>21</v>
      </c>
      <c r="B80" s="2" t="s">
        <v>22</v>
      </c>
      <c r="C80" s="2">
        <v>18558</v>
      </c>
      <c r="D80" s="2">
        <v>27565</v>
      </c>
      <c r="E80" s="3">
        <v>44589</v>
      </c>
      <c r="F80" s="3">
        <v>44769</v>
      </c>
      <c r="G80" s="4">
        <v>2333.34</v>
      </c>
      <c r="I80" s="24" t="s">
        <v>385</v>
      </c>
      <c r="J80" s="27">
        <v>31892.25</v>
      </c>
    </row>
    <row r="81" spans="1:10" x14ac:dyDescent="0.3">
      <c r="A81" s="2" t="s">
        <v>53</v>
      </c>
      <c r="B81" s="2" t="s">
        <v>54</v>
      </c>
      <c r="C81" s="2">
        <v>19131</v>
      </c>
      <c r="D81" s="2">
        <v>28150</v>
      </c>
      <c r="E81" s="3">
        <v>44649</v>
      </c>
      <c r="F81" s="3">
        <v>44769</v>
      </c>
      <c r="G81" s="4">
        <v>18583.48</v>
      </c>
      <c r="I81" s="26">
        <v>44768</v>
      </c>
      <c r="J81" s="27">
        <v>14182.25</v>
      </c>
    </row>
    <row r="82" spans="1:10" x14ac:dyDescent="0.3">
      <c r="A82" s="2" t="s">
        <v>53</v>
      </c>
      <c r="B82" s="2" t="s">
        <v>54</v>
      </c>
      <c r="C82" s="2">
        <v>19130</v>
      </c>
      <c r="D82" s="2">
        <v>28149</v>
      </c>
      <c r="E82" s="3">
        <v>44649</v>
      </c>
      <c r="F82" s="3">
        <v>44769</v>
      </c>
      <c r="G82" s="4">
        <v>21839.42</v>
      </c>
      <c r="I82" s="26">
        <v>44773</v>
      </c>
      <c r="J82" s="27">
        <v>17710</v>
      </c>
    </row>
    <row r="83" spans="1:10" x14ac:dyDescent="0.3">
      <c r="A83" s="2" t="s">
        <v>48</v>
      </c>
      <c r="B83" s="2" t="s">
        <v>49</v>
      </c>
      <c r="C83" s="2">
        <v>19128</v>
      </c>
      <c r="D83" s="2">
        <v>28147</v>
      </c>
      <c r="E83" s="3">
        <v>44649</v>
      </c>
      <c r="F83" s="3">
        <v>44769</v>
      </c>
      <c r="G83" s="4">
        <v>16562.919999999998</v>
      </c>
      <c r="I83" s="24" t="s">
        <v>975</v>
      </c>
      <c r="J83" s="27">
        <v>29274.06</v>
      </c>
    </row>
    <row r="84" spans="1:10" x14ac:dyDescent="0.3">
      <c r="A84" s="2" t="s">
        <v>187</v>
      </c>
      <c r="B84" s="2" t="s">
        <v>188</v>
      </c>
      <c r="C84" s="2">
        <v>19120</v>
      </c>
      <c r="D84" s="2">
        <v>28140</v>
      </c>
      <c r="E84" s="3">
        <v>44649</v>
      </c>
      <c r="F84" s="3">
        <v>44769</v>
      </c>
      <c r="G84" s="4">
        <v>11464</v>
      </c>
      <c r="I84" s="26">
        <v>44763</v>
      </c>
      <c r="J84" s="27">
        <v>29274.06</v>
      </c>
    </row>
    <row r="85" spans="1:10" x14ac:dyDescent="0.3">
      <c r="A85" s="2" t="s">
        <v>48</v>
      </c>
      <c r="B85" s="2" t="s">
        <v>49</v>
      </c>
      <c r="C85" s="2">
        <v>19126</v>
      </c>
      <c r="D85" s="2">
        <v>28145</v>
      </c>
      <c r="E85" s="3">
        <v>44649</v>
      </c>
      <c r="F85" s="3">
        <v>44769</v>
      </c>
      <c r="G85" s="4">
        <v>5416.66</v>
      </c>
      <c r="I85" s="24" t="s">
        <v>825</v>
      </c>
      <c r="J85" s="28">
        <v>27291.79</v>
      </c>
    </row>
    <row r="86" spans="1:10" x14ac:dyDescent="0.3">
      <c r="A86" s="2" t="s">
        <v>53</v>
      </c>
      <c r="B86" s="2" t="s">
        <v>54</v>
      </c>
      <c r="C86" s="2">
        <v>19136</v>
      </c>
      <c r="D86" s="2">
        <v>28153</v>
      </c>
      <c r="E86" s="3">
        <v>44649</v>
      </c>
      <c r="F86" s="3">
        <v>44769</v>
      </c>
      <c r="G86" s="4">
        <v>4571.1099999999997</v>
      </c>
      <c r="I86" s="26">
        <v>44767</v>
      </c>
      <c r="J86" s="27">
        <v>27291.79</v>
      </c>
    </row>
    <row r="87" spans="1:10" x14ac:dyDescent="0.3">
      <c r="A87" s="2" t="s">
        <v>48</v>
      </c>
      <c r="B87" s="2" t="s">
        <v>49</v>
      </c>
      <c r="C87" s="2">
        <v>19129</v>
      </c>
      <c r="D87" s="2">
        <v>28148</v>
      </c>
      <c r="E87" s="3">
        <v>44649</v>
      </c>
      <c r="F87" s="3">
        <v>44769</v>
      </c>
      <c r="G87" s="4">
        <v>34349.97</v>
      </c>
      <c r="I87" s="24" t="s">
        <v>22</v>
      </c>
      <c r="J87" s="27">
        <v>25992.920000000002</v>
      </c>
    </row>
    <row r="88" spans="1:10" x14ac:dyDescent="0.3">
      <c r="A88" s="2" t="s">
        <v>779</v>
      </c>
      <c r="B88" s="2" t="s">
        <v>780</v>
      </c>
      <c r="C88" s="2">
        <v>19828</v>
      </c>
      <c r="D88" s="2">
        <v>28894</v>
      </c>
      <c r="E88" s="3">
        <v>44739</v>
      </c>
      <c r="F88" s="3">
        <v>44769</v>
      </c>
      <c r="G88" s="4">
        <v>6493</v>
      </c>
      <c r="I88" s="26">
        <v>44765</v>
      </c>
      <c r="J88" s="27">
        <v>2773.33</v>
      </c>
    </row>
    <row r="89" spans="1:10" x14ac:dyDescent="0.3">
      <c r="A89" s="2" t="s">
        <v>85</v>
      </c>
      <c r="B89" s="2" t="s">
        <v>83</v>
      </c>
      <c r="C89" s="2">
        <v>18566</v>
      </c>
      <c r="D89" s="2">
        <v>27573</v>
      </c>
      <c r="E89" s="3">
        <v>44589</v>
      </c>
      <c r="F89" s="3">
        <v>44769</v>
      </c>
      <c r="G89" s="4">
        <v>37800</v>
      </c>
      <c r="I89" s="26">
        <v>44766</v>
      </c>
      <c r="J89" s="27">
        <v>559.59</v>
      </c>
    </row>
    <row r="90" spans="1:10" x14ac:dyDescent="0.3">
      <c r="A90" s="2" t="s">
        <v>48</v>
      </c>
      <c r="B90" s="2" t="s">
        <v>49</v>
      </c>
      <c r="C90" s="2">
        <v>18563</v>
      </c>
      <c r="D90" s="2">
        <v>27570</v>
      </c>
      <c r="E90" s="3">
        <v>44589</v>
      </c>
      <c r="F90" s="3">
        <v>44769</v>
      </c>
      <c r="G90" s="4">
        <v>39840</v>
      </c>
      <c r="I90" s="26">
        <v>44768</v>
      </c>
      <c r="J90" s="27">
        <v>20326.66</v>
      </c>
    </row>
    <row r="91" spans="1:10" x14ac:dyDescent="0.3">
      <c r="A91" s="2" t="s">
        <v>48</v>
      </c>
      <c r="B91" s="2" t="s">
        <v>49</v>
      </c>
      <c r="C91" s="2">
        <v>19127</v>
      </c>
      <c r="D91" s="2">
        <v>28146</v>
      </c>
      <c r="E91" s="3">
        <v>44649</v>
      </c>
      <c r="F91" s="3">
        <v>44769</v>
      </c>
      <c r="G91" s="4">
        <v>10833.32</v>
      </c>
      <c r="I91" s="26">
        <v>44769</v>
      </c>
      <c r="J91" s="27">
        <v>2333.34</v>
      </c>
    </row>
    <row r="92" spans="1:10" x14ac:dyDescent="0.3">
      <c r="A92" s="2" t="s">
        <v>48</v>
      </c>
      <c r="B92" s="2" t="s">
        <v>49</v>
      </c>
      <c r="C92" s="2">
        <v>19125</v>
      </c>
      <c r="D92" s="2">
        <v>28144</v>
      </c>
      <c r="E92" s="3">
        <v>44649</v>
      </c>
      <c r="F92" s="3">
        <v>44769</v>
      </c>
      <c r="G92" s="4">
        <v>2599.4</v>
      </c>
      <c r="I92" s="24" t="s">
        <v>34</v>
      </c>
      <c r="J92" s="27">
        <v>25759.64</v>
      </c>
    </row>
    <row r="93" spans="1:10" x14ac:dyDescent="0.3">
      <c r="A93" s="2" t="s">
        <v>68</v>
      </c>
      <c r="B93" s="2" t="s">
        <v>69</v>
      </c>
      <c r="C93" s="2">
        <v>18567</v>
      </c>
      <c r="D93" s="2">
        <v>27574</v>
      </c>
      <c r="E93" s="3">
        <v>44589</v>
      </c>
      <c r="F93" s="3">
        <v>44769</v>
      </c>
      <c r="G93" s="4">
        <v>48000</v>
      </c>
      <c r="I93" s="26">
        <v>44771</v>
      </c>
      <c r="J93" s="27">
        <v>22334.639999999999</v>
      </c>
    </row>
    <row r="94" spans="1:10" x14ac:dyDescent="0.3">
      <c r="A94" s="2" t="s">
        <v>53</v>
      </c>
      <c r="B94" s="2" t="s">
        <v>54</v>
      </c>
      <c r="C94" s="2">
        <v>19137</v>
      </c>
      <c r="D94" s="2">
        <v>28154</v>
      </c>
      <c r="E94" s="3">
        <v>44649</v>
      </c>
      <c r="F94" s="3">
        <v>44769</v>
      </c>
      <c r="G94" s="4">
        <v>16477.759999999998</v>
      </c>
      <c r="I94" s="26">
        <v>44772</v>
      </c>
      <c r="J94" s="27">
        <v>3425</v>
      </c>
    </row>
    <row r="95" spans="1:10" x14ac:dyDescent="0.3">
      <c r="A95" s="2" t="s">
        <v>234</v>
      </c>
      <c r="B95" s="2" t="s">
        <v>235</v>
      </c>
      <c r="C95" s="2">
        <v>19150</v>
      </c>
      <c r="D95" s="2">
        <v>28169</v>
      </c>
      <c r="E95" s="3">
        <v>44650</v>
      </c>
      <c r="F95" s="3">
        <v>44770</v>
      </c>
      <c r="G95" s="4">
        <v>13436</v>
      </c>
      <c r="I95" s="24" t="s">
        <v>631</v>
      </c>
      <c r="J95" s="27">
        <v>22625</v>
      </c>
    </row>
    <row r="96" spans="1:10" x14ac:dyDescent="0.3">
      <c r="A96" s="2" t="s">
        <v>234</v>
      </c>
      <c r="B96" s="2" t="s">
        <v>235</v>
      </c>
      <c r="C96" s="2">
        <v>19148</v>
      </c>
      <c r="D96" s="2">
        <v>28167</v>
      </c>
      <c r="E96" s="3">
        <v>44650</v>
      </c>
      <c r="F96" s="3">
        <v>44770</v>
      </c>
      <c r="G96" s="4">
        <v>17536.8</v>
      </c>
      <c r="I96" s="26">
        <v>44768</v>
      </c>
      <c r="J96" s="27">
        <v>22625</v>
      </c>
    </row>
    <row r="97" spans="1:10" x14ac:dyDescent="0.3">
      <c r="A97" s="2" t="s">
        <v>234</v>
      </c>
      <c r="B97" s="2" t="s">
        <v>235</v>
      </c>
      <c r="C97" s="2">
        <v>19149</v>
      </c>
      <c r="D97" s="2">
        <v>28168</v>
      </c>
      <c r="E97" s="3">
        <v>44650</v>
      </c>
      <c r="F97" s="3">
        <v>44770</v>
      </c>
      <c r="G97" s="4">
        <v>61605.8</v>
      </c>
      <c r="I97" s="24" t="s">
        <v>155</v>
      </c>
      <c r="J97" s="27">
        <v>16800</v>
      </c>
    </row>
    <row r="98" spans="1:10" x14ac:dyDescent="0.3">
      <c r="A98" s="2" t="s">
        <v>33</v>
      </c>
      <c r="B98" s="2" t="s">
        <v>34</v>
      </c>
      <c r="C98" s="2">
        <v>19151</v>
      </c>
      <c r="D98" s="2">
        <v>28170</v>
      </c>
      <c r="E98" s="3">
        <v>44651</v>
      </c>
      <c r="F98" s="3">
        <v>44771</v>
      </c>
      <c r="G98" s="4">
        <v>22334.639999999999</v>
      </c>
      <c r="I98" s="26">
        <v>44768</v>
      </c>
      <c r="J98" s="27">
        <v>16800</v>
      </c>
    </row>
    <row r="99" spans="1:10" x14ac:dyDescent="0.3">
      <c r="A99" s="2" t="s">
        <v>37</v>
      </c>
      <c r="B99" s="2" t="s">
        <v>38</v>
      </c>
      <c r="C99" s="2">
        <v>19685</v>
      </c>
      <c r="D99" s="2">
        <v>28754</v>
      </c>
      <c r="E99" s="3">
        <v>44711</v>
      </c>
      <c r="F99" s="3">
        <v>44771</v>
      </c>
      <c r="G99" s="4">
        <v>102030</v>
      </c>
      <c r="I99" s="24" t="s">
        <v>197</v>
      </c>
      <c r="J99" s="27">
        <v>10947.16</v>
      </c>
    </row>
    <row r="100" spans="1:10" x14ac:dyDescent="0.3">
      <c r="A100" s="2" t="s">
        <v>37</v>
      </c>
      <c r="B100" s="2" t="s">
        <v>38</v>
      </c>
      <c r="C100" s="2">
        <v>19687</v>
      </c>
      <c r="D100" s="2">
        <v>28755</v>
      </c>
      <c r="E100" s="3">
        <v>44711</v>
      </c>
      <c r="F100" s="3">
        <v>44771</v>
      </c>
      <c r="G100" s="4">
        <v>80550</v>
      </c>
      <c r="I100" s="26">
        <v>44762</v>
      </c>
      <c r="J100" s="27">
        <v>10947.16</v>
      </c>
    </row>
    <row r="101" spans="1:10" x14ac:dyDescent="0.3">
      <c r="A101" s="2" t="s">
        <v>53</v>
      </c>
      <c r="B101" s="2" t="s">
        <v>54</v>
      </c>
      <c r="C101" s="2">
        <v>18726</v>
      </c>
      <c r="D101" s="2">
        <v>27742</v>
      </c>
      <c r="E101" s="3">
        <v>44606</v>
      </c>
      <c r="F101" s="3">
        <v>44771</v>
      </c>
      <c r="G101" s="4">
        <v>18583.48</v>
      </c>
      <c r="I101" s="24" t="s">
        <v>316</v>
      </c>
      <c r="J101" s="27">
        <v>8400</v>
      </c>
    </row>
    <row r="102" spans="1:10" x14ac:dyDescent="0.3">
      <c r="A102" s="2" t="s">
        <v>53</v>
      </c>
      <c r="B102" s="2" t="s">
        <v>54</v>
      </c>
      <c r="C102" s="2">
        <v>18727</v>
      </c>
      <c r="D102" s="2">
        <v>27743</v>
      </c>
      <c r="E102" s="3">
        <v>44606</v>
      </c>
      <c r="F102" s="3">
        <v>44771</v>
      </c>
      <c r="G102" s="4">
        <v>17024.43</v>
      </c>
      <c r="I102" s="26">
        <v>44773</v>
      </c>
      <c r="J102" s="27">
        <v>8400</v>
      </c>
    </row>
    <row r="103" spans="1:10" x14ac:dyDescent="0.3">
      <c r="A103" s="2" t="s">
        <v>53</v>
      </c>
      <c r="B103" s="2" t="s">
        <v>54</v>
      </c>
      <c r="C103" s="2">
        <v>18725</v>
      </c>
      <c r="D103" s="2">
        <v>27741</v>
      </c>
      <c r="E103" s="3">
        <v>44606</v>
      </c>
      <c r="F103" s="3">
        <v>44771</v>
      </c>
      <c r="G103" s="4">
        <v>3430</v>
      </c>
      <c r="I103" s="24" t="s">
        <v>504</v>
      </c>
      <c r="J103" s="27">
        <v>8391</v>
      </c>
    </row>
    <row r="104" spans="1:10" x14ac:dyDescent="0.3">
      <c r="A104" s="2" t="s">
        <v>85</v>
      </c>
      <c r="B104" s="2" t="s">
        <v>83</v>
      </c>
      <c r="C104" s="2">
        <v>19176</v>
      </c>
      <c r="D104" s="2">
        <v>28192</v>
      </c>
      <c r="E104" s="3">
        <v>44652</v>
      </c>
      <c r="F104" s="3">
        <v>44772</v>
      </c>
      <c r="G104" s="4">
        <v>26000</v>
      </c>
      <c r="I104" s="26">
        <v>44765</v>
      </c>
      <c r="J104" s="27">
        <v>8391</v>
      </c>
    </row>
    <row r="105" spans="1:10" x14ac:dyDescent="0.3">
      <c r="A105" s="2" t="s">
        <v>248</v>
      </c>
      <c r="B105" s="2" t="s">
        <v>249</v>
      </c>
      <c r="C105" s="2">
        <v>18064</v>
      </c>
      <c r="D105" s="2">
        <v>27078</v>
      </c>
      <c r="E105" s="3">
        <v>44543</v>
      </c>
      <c r="F105" s="3">
        <v>44772</v>
      </c>
      <c r="G105" s="4">
        <v>184248.02</v>
      </c>
      <c r="I105" s="24" t="s">
        <v>737</v>
      </c>
      <c r="J105" s="27">
        <v>8391</v>
      </c>
    </row>
    <row r="106" spans="1:10" x14ac:dyDescent="0.3">
      <c r="A106" s="2" t="s">
        <v>25</v>
      </c>
      <c r="B106" s="2" t="s">
        <v>26</v>
      </c>
      <c r="C106" s="2">
        <v>18579</v>
      </c>
      <c r="D106" s="2">
        <v>27588</v>
      </c>
      <c r="E106" s="3">
        <v>44592</v>
      </c>
      <c r="F106" s="3">
        <v>44772</v>
      </c>
      <c r="G106" s="4">
        <v>117000</v>
      </c>
      <c r="I106" s="26">
        <v>44765</v>
      </c>
      <c r="J106" s="27">
        <v>8391</v>
      </c>
    </row>
    <row r="107" spans="1:10" x14ac:dyDescent="0.3">
      <c r="A107" s="2" t="s">
        <v>365</v>
      </c>
      <c r="B107" s="2" t="s">
        <v>366</v>
      </c>
      <c r="C107" s="2">
        <v>17399</v>
      </c>
      <c r="D107" s="2">
        <v>26403</v>
      </c>
      <c r="E107" s="3">
        <v>44489</v>
      </c>
      <c r="F107" s="3">
        <v>44772</v>
      </c>
      <c r="G107" s="4">
        <v>94840</v>
      </c>
      <c r="I107" s="24" t="s">
        <v>780</v>
      </c>
      <c r="J107" s="27">
        <v>6493</v>
      </c>
    </row>
    <row r="108" spans="1:10" x14ac:dyDescent="0.3">
      <c r="A108" s="2" t="s">
        <v>68</v>
      </c>
      <c r="B108" s="2" t="s">
        <v>69</v>
      </c>
      <c r="C108" s="2">
        <v>19180</v>
      </c>
      <c r="D108" s="2">
        <v>28196</v>
      </c>
      <c r="E108" s="3">
        <v>44652</v>
      </c>
      <c r="F108" s="3">
        <v>44772</v>
      </c>
      <c r="G108" s="4">
        <v>33000</v>
      </c>
      <c r="I108" s="26">
        <v>44769</v>
      </c>
      <c r="J108" s="27">
        <v>6493</v>
      </c>
    </row>
    <row r="109" spans="1:10" x14ac:dyDescent="0.3">
      <c r="A109" s="2" t="s">
        <v>33</v>
      </c>
      <c r="B109" s="2" t="s">
        <v>34</v>
      </c>
      <c r="C109" s="2">
        <v>19175</v>
      </c>
      <c r="D109" s="2">
        <v>28191</v>
      </c>
      <c r="E109" s="3">
        <v>44652</v>
      </c>
      <c r="F109" s="3">
        <v>44772</v>
      </c>
      <c r="G109" s="4">
        <v>3425</v>
      </c>
      <c r="I109" s="24" t="s">
        <v>238</v>
      </c>
      <c r="J109" s="27">
        <v>5167.49</v>
      </c>
    </row>
    <row r="110" spans="1:10" x14ac:dyDescent="0.3">
      <c r="A110" s="2" t="s">
        <v>68</v>
      </c>
      <c r="B110" s="2" t="s">
        <v>69</v>
      </c>
      <c r="C110" s="2">
        <v>19181</v>
      </c>
      <c r="D110" s="2">
        <v>28197</v>
      </c>
      <c r="E110" s="3">
        <v>44652</v>
      </c>
      <c r="F110" s="3">
        <v>44772</v>
      </c>
      <c r="G110" s="4">
        <v>81771.199999999997</v>
      </c>
      <c r="I110" s="26">
        <v>44768</v>
      </c>
      <c r="J110" s="27">
        <v>5167.49</v>
      </c>
    </row>
    <row r="111" spans="1:10" x14ac:dyDescent="0.3">
      <c r="A111" s="2" t="s">
        <v>573</v>
      </c>
      <c r="B111" s="2" t="s">
        <v>574</v>
      </c>
      <c r="C111" s="2">
        <v>19666</v>
      </c>
      <c r="D111" s="2">
        <v>28734</v>
      </c>
      <c r="E111" s="3">
        <v>44707</v>
      </c>
      <c r="F111" s="3">
        <v>44772</v>
      </c>
      <c r="G111" s="4">
        <v>76042.63</v>
      </c>
      <c r="I111" s="24" t="s">
        <v>30</v>
      </c>
      <c r="J111" s="27">
        <v>3040</v>
      </c>
    </row>
    <row r="112" spans="1:10" x14ac:dyDescent="0.3">
      <c r="A112" s="2" t="s">
        <v>365</v>
      </c>
      <c r="B112" s="2" t="s">
        <v>366</v>
      </c>
      <c r="C112" s="2">
        <v>17790</v>
      </c>
      <c r="D112" s="2">
        <v>26793</v>
      </c>
      <c r="E112" s="3">
        <v>44518</v>
      </c>
      <c r="F112" s="3">
        <v>44772</v>
      </c>
      <c r="G112" s="4">
        <v>85280</v>
      </c>
      <c r="I112" s="26">
        <v>44765</v>
      </c>
      <c r="J112" s="27">
        <v>3040</v>
      </c>
    </row>
    <row r="113" spans="1:10" x14ac:dyDescent="0.3">
      <c r="A113" s="2" t="s">
        <v>82</v>
      </c>
      <c r="B113" s="2" t="s">
        <v>83</v>
      </c>
      <c r="C113" s="2">
        <v>16999</v>
      </c>
      <c r="D113" s="2">
        <v>26007</v>
      </c>
      <c r="E113" s="3">
        <v>44466</v>
      </c>
      <c r="F113" s="3">
        <v>44772</v>
      </c>
      <c r="G113" s="4">
        <v>9780</v>
      </c>
      <c r="I113" s="24" t="s">
        <v>1162</v>
      </c>
      <c r="J113" s="25">
        <v>5282561.5399999982</v>
      </c>
    </row>
    <row r="114" spans="1:10" x14ac:dyDescent="0.3">
      <c r="A114" s="2" t="s">
        <v>365</v>
      </c>
      <c r="B114" s="2" t="s">
        <v>366</v>
      </c>
      <c r="C114" s="2">
        <v>17190</v>
      </c>
      <c r="D114" s="2">
        <v>26188</v>
      </c>
      <c r="E114" s="3">
        <v>44477</v>
      </c>
      <c r="F114" s="3">
        <v>44772</v>
      </c>
      <c r="G114" s="4">
        <v>42032</v>
      </c>
    </row>
    <row r="115" spans="1:10" x14ac:dyDescent="0.3">
      <c r="A115" s="2" t="s">
        <v>48</v>
      </c>
      <c r="B115" s="2" t="s">
        <v>49</v>
      </c>
      <c r="C115" s="2">
        <v>18575</v>
      </c>
      <c r="D115" s="2">
        <v>27583</v>
      </c>
      <c r="E115" s="3">
        <v>44592</v>
      </c>
      <c r="F115" s="3">
        <v>44772</v>
      </c>
      <c r="G115" s="4">
        <v>54000</v>
      </c>
    </row>
    <row r="116" spans="1:10" x14ac:dyDescent="0.3">
      <c r="A116" s="2" t="s">
        <v>365</v>
      </c>
      <c r="B116" s="2" t="s">
        <v>366</v>
      </c>
      <c r="C116" s="2">
        <v>17869</v>
      </c>
      <c r="D116" s="2">
        <v>26873</v>
      </c>
      <c r="E116" s="3">
        <v>44523</v>
      </c>
      <c r="F116" s="3">
        <v>44772</v>
      </c>
      <c r="G116" s="4">
        <v>64000</v>
      </c>
    </row>
    <row r="117" spans="1:10" x14ac:dyDescent="0.3">
      <c r="A117" s="2" t="s">
        <v>365</v>
      </c>
      <c r="B117" s="2" t="s">
        <v>366</v>
      </c>
      <c r="C117" s="2">
        <v>18040</v>
      </c>
      <c r="D117" s="2">
        <v>27051</v>
      </c>
      <c r="E117" s="3">
        <v>44539</v>
      </c>
      <c r="F117" s="3">
        <v>44772</v>
      </c>
      <c r="G117" s="4">
        <v>128560</v>
      </c>
    </row>
    <row r="118" spans="1:10" x14ac:dyDescent="0.3">
      <c r="A118" s="2" t="s">
        <v>85</v>
      </c>
      <c r="B118" s="2" t="s">
        <v>83</v>
      </c>
      <c r="C118" s="2">
        <v>19178</v>
      </c>
      <c r="D118" s="2">
        <v>28194</v>
      </c>
      <c r="E118" s="3">
        <v>44652</v>
      </c>
      <c r="F118" s="3">
        <v>44772</v>
      </c>
      <c r="G118" s="4">
        <v>156392</v>
      </c>
    </row>
    <row r="119" spans="1:10" x14ac:dyDescent="0.3">
      <c r="A119" s="2" t="s">
        <v>25</v>
      </c>
      <c r="B119" s="2" t="s">
        <v>26</v>
      </c>
      <c r="C119" s="2">
        <v>18875</v>
      </c>
      <c r="D119" s="2">
        <v>27893</v>
      </c>
      <c r="E119" s="3">
        <v>44623</v>
      </c>
      <c r="F119" s="3">
        <v>44773</v>
      </c>
      <c r="G119" s="4">
        <v>108000</v>
      </c>
    </row>
    <row r="120" spans="1:10" x14ac:dyDescent="0.3">
      <c r="A120" s="2" t="s">
        <v>114</v>
      </c>
      <c r="B120" s="2" t="s">
        <v>115</v>
      </c>
      <c r="C120" s="2">
        <v>19438</v>
      </c>
      <c r="D120" s="2">
        <v>28491</v>
      </c>
      <c r="E120" s="3">
        <v>44683</v>
      </c>
      <c r="F120" s="3">
        <v>44773</v>
      </c>
      <c r="G120" s="4">
        <v>39713.29</v>
      </c>
    </row>
    <row r="121" spans="1:10" x14ac:dyDescent="0.3">
      <c r="A121" s="2" t="s">
        <v>25</v>
      </c>
      <c r="B121" s="2" t="s">
        <v>26</v>
      </c>
      <c r="C121" s="2">
        <v>18885</v>
      </c>
      <c r="D121" s="2">
        <v>27901</v>
      </c>
      <c r="E121" s="3">
        <v>44623</v>
      </c>
      <c r="F121" s="3">
        <v>44773</v>
      </c>
      <c r="G121" s="4">
        <v>64800</v>
      </c>
    </row>
    <row r="122" spans="1:10" x14ac:dyDescent="0.3">
      <c r="A122" s="2" t="s">
        <v>25</v>
      </c>
      <c r="B122" s="2" t="s">
        <v>26</v>
      </c>
      <c r="C122" s="2">
        <v>18881</v>
      </c>
      <c r="D122" s="2">
        <v>27898</v>
      </c>
      <c r="E122" s="3">
        <v>44623</v>
      </c>
      <c r="F122" s="3">
        <v>44773</v>
      </c>
      <c r="G122" s="4">
        <v>32445</v>
      </c>
    </row>
    <row r="123" spans="1:10" x14ac:dyDescent="0.3">
      <c r="A123" s="2" t="s">
        <v>384</v>
      </c>
      <c r="B123" s="2" t="s">
        <v>385</v>
      </c>
      <c r="C123" s="2">
        <v>19440</v>
      </c>
      <c r="D123" s="2">
        <v>28493</v>
      </c>
      <c r="E123" s="3">
        <v>44683</v>
      </c>
      <c r="F123" s="3">
        <v>44773</v>
      </c>
      <c r="G123" s="4">
        <v>17710</v>
      </c>
    </row>
    <row r="124" spans="1:10" x14ac:dyDescent="0.3">
      <c r="A124" s="2" t="s">
        <v>78</v>
      </c>
      <c r="B124" s="2" t="s">
        <v>79</v>
      </c>
      <c r="C124" s="2"/>
      <c r="D124" s="2">
        <v>188607</v>
      </c>
      <c r="E124" s="3">
        <v>44712</v>
      </c>
      <c r="F124" s="3">
        <v>44773</v>
      </c>
      <c r="G124" s="4">
        <v>104992.8</v>
      </c>
    </row>
    <row r="125" spans="1:10" x14ac:dyDescent="0.3">
      <c r="A125" s="2" t="s">
        <v>25</v>
      </c>
      <c r="B125" s="2" t="s">
        <v>26</v>
      </c>
      <c r="C125" s="2">
        <v>18882</v>
      </c>
      <c r="D125" s="2">
        <v>27899</v>
      </c>
      <c r="E125" s="3">
        <v>44623</v>
      </c>
      <c r="F125" s="3">
        <v>44773</v>
      </c>
      <c r="G125" s="4">
        <v>13847.49</v>
      </c>
    </row>
    <row r="126" spans="1:10" x14ac:dyDescent="0.3">
      <c r="A126" s="2" t="s">
        <v>25</v>
      </c>
      <c r="B126" s="2" t="s">
        <v>26</v>
      </c>
      <c r="C126" s="2">
        <v>18880</v>
      </c>
      <c r="D126" s="2">
        <v>27897</v>
      </c>
      <c r="E126" s="3">
        <v>44623</v>
      </c>
      <c r="F126" s="3">
        <v>44773</v>
      </c>
      <c r="G126" s="4">
        <v>13905</v>
      </c>
    </row>
    <row r="127" spans="1:10" x14ac:dyDescent="0.3">
      <c r="A127" s="2" t="s">
        <v>82</v>
      </c>
      <c r="B127" s="2" t="s">
        <v>83</v>
      </c>
      <c r="C127" s="2">
        <v>18591</v>
      </c>
      <c r="D127" s="2">
        <v>27600</v>
      </c>
      <c r="E127" s="3">
        <v>44593</v>
      </c>
      <c r="F127" s="3">
        <v>44773</v>
      </c>
      <c r="G127" s="4">
        <v>48000</v>
      </c>
    </row>
    <row r="128" spans="1:10" x14ac:dyDescent="0.3">
      <c r="A128" s="2" t="s">
        <v>616</v>
      </c>
      <c r="B128" s="2" t="s">
        <v>617</v>
      </c>
      <c r="C128" s="2">
        <v>18887</v>
      </c>
      <c r="D128" s="2">
        <v>27903</v>
      </c>
      <c r="E128" s="3">
        <v>44623</v>
      </c>
      <c r="F128" s="3">
        <v>44773</v>
      </c>
      <c r="G128" s="4">
        <v>133500</v>
      </c>
    </row>
    <row r="129" spans="1:7" x14ac:dyDescent="0.3">
      <c r="A129" s="2" t="s">
        <v>315</v>
      </c>
      <c r="B129" s="2" t="s">
        <v>316</v>
      </c>
      <c r="C129" s="2">
        <v>17938</v>
      </c>
      <c r="D129" s="2">
        <v>26952</v>
      </c>
      <c r="E129" s="3">
        <v>44533</v>
      </c>
      <c r="F129" s="3">
        <v>44773</v>
      </c>
      <c r="G129" s="4">
        <v>8400</v>
      </c>
    </row>
    <row r="130" spans="1:7" x14ac:dyDescent="0.3">
      <c r="A130" s="2" t="s">
        <v>48</v>
      </c>
      <c r="B130" s="2" t="s">
        <v>49</v>
      </c>
      <c r="C130" s="2">
        <v>18876</v>
      </c>
      <c r="D130" s="2">
        <v>27894</v>
      </c>
      <c r="E130" s="3">
        <v>44623</v>
      </c>
      <c r="F130" s="3">
        <v>44773</v>
      </c>
      <c r="G130" s="4">
        <v>54000</v>
      </c>
    </row>
    <row r="131" spans="1:7" x14ac:dyDescent="0.3">
      <c r="A131" s="2" t="s">
        <v>25</v>
      </c>
      <c r="B131" s="2" t="s">
        <v>26</v>
      </c>
      <c r="C131" s="2">
        <v>18874</v>
      </c>
      <c r="D131" s="2">
        <v>27892</v>
      </c>
      <c r="E131" s="3">
        <v>44623</v>
      </c>
      <c r="F131" s="3">
        <v>44773</v>
      </c>
      <c r="G131" s="4">
        <v>23312</v>
      </c>
    </row>
  </sheetData>
  <autoFilter ref="A1:G131" xr:uid="{909BB699-8F77-43E1-851C-B5BDE37F92D9}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DBA4C06-F503-4950-BCD8-8B933AF5BE37}">
  <sheetPr>
    <tabColor theme="4" tint="0.79998168889431442"/>
  </sheetPr>
  <dimension ref="A1:J28"/>
  <sheetViews>
    <sheetView showGridLines="0" workbookViewId="0">
      <selection activeCell="B33" sqref="B33"/>
    </sheetView>
  </sheetViews>
  <sheetFormatPr defaultRowHeight="14.4" x14ac:dyDescent="0.3"/>
  <cols>
    <col min="1" max="1" width="10.109375" bestFit="1" customWidth="1"/>
    <col min="2" max="2" width="46.88671875" bestFit="1" customWidth="1"/>
    <col min="3" max="3" width="9.88671875" bestFit="1" customWidth="1"/>
    <col min="4" max="4" width="7" bestFit="1" customWidth="1"/>
    <col min="5" max="5" width="10.6640625" bestFit="1" customWidth="1"/>
    <col min="6" max="6" width="11.88671875" bestFit="1" customWidth="1"/>
    <col min="7" max="7" width="10.109375" bestFit="1" customWidth="1"/>
    <col min="8" max="8" width="10.88671875" bestFit="1" customWidth="1"/>
    <col min="9" max="9" width="20.88671875" bestFit="1" customWidth="1"/>
    <col min="10" max="10" width="28.44140625" bestFit="1" customWidth="1"/>
  </cols>
  <sheetData>
    <row r="1" spans="1:10" x14ac:dyDescent="0.3">
      <c r="A1" s="5" t="s">
        <v>0</v>
      </c>
      <c r="B1" s="5" t="s">
        <v>1</v>
      </c>
      <c r="C1" s="5" t="s">
        <v>2</v>
      </c>
      <c r="D1" s="5" t="s">
        <v>3</v>
      </c>
      <c r="E1" s="5" t="s">
        <v>4</v>
      </c>
      <c r="F1" s="5" t="s">
        <v>5</v>
      </c>
      <c r="G1" s="5" t="s">
        <v>6</v>
      </c>
      <c r="H1" s="5" t="s">
        <v>7</v>
      </c>
      <c r="I1" s="5" t="s">
        <v>8</v>
      </c>
      <c r="J1" s="5" t="s">
        <v>9</v>
      </c>
    </row>
    <row r="2" spans="1:10" x14ac:dyDescent="0.3">
      <c r="A2" s="2" t="s">
        <v>196</v>
      </c>
      <c r="B2" s="2" t="s">
        <v>197</v>
      </c>
      <c r="C2" s="2">
        <v>17820</v>
      </c>
      <c r="D2" s="2">
        <v>26823</v>
      </c>
      <c r="E2" s="3">
        <v>44519</v>
      </c>
      <c r="F2" s="3">
        <v>44669</v>
      </c>
      <c r="G2" s="4">
        <v>37477.51</v>
      </c>
      <c r="H2" s="2">
        <v>91</v>
      </c>
      <c r="I2" s="2" t="s">
        <v>968</v>
      </c>
      <c r="J2" s="2" t="s">
        <v>40</v>
      </c>
    </row>
    <row r="3" spans="1:10" x14ac:dyDescent="0.3">
      <c r="A3" s="2" t="s">
        <v>225</v>
      </c>
      <c r="B3" s="2" t="s">
        <v>226</v>
      </c>
      <c r="C3" s="2">
        <v>16470</v>
      </c>
      <c r="D3" s="2">
        <v>25414</v>
      </c>
      <c r="E3" s="3">
        <v>44414</v>
      </c>
      <c r="F3" s="3">
        <v>44681</v>
      </c>
      <c r="G3" s="4">
        <v>42683.360000000001</v>
      </c>
      <c r="H3" s="2">
        <v>79</v>
      </c>
      <c r="I3" s="2" t="s">
        <v>414</v>
      </c>
      <c r="J3" s="2" t="s">
        <v>61</v>
      </c>
    </row>
    <row r="4" spans="1:10" x14ac:dyDescent="0.3">
      <c r="A4" s="2" t="s">
        <v>590</v>
      </c>
      <c r="B4" s="2" t="s">
        <v>591</v>
      </c>
      <c r="C4" s="2">
        <v>17720</v>
      </c>
      <c r="D4" s="2">
        <v>26714</v>
      </c>
      <c r="E4" s="3">
        <v>44510</v>
      </c>
      <c r="F4" s="3">
        <v>44681</v>
      </c>
      <c r="G4" s="4">
        <v>178500</v>
      </c>
      <c r="H4" s="2">
        <v>79</v>
      </c>
      <c r="I4" s="2" t="s">
        <v>592</v>
      </c>
      <c r="J4" s="2" t="s">
        <v>28</v>
      </c>
    </row>
    <row r="5" spans="1:10" x14ac:dyDescent="0.3">
      <c r="A5" s="2" t="s">
        <v>225</v>
      </c>
      <c r="B5" s="2" t="s">
        <v>226</v>
      </c>
      <c r="C5" s="2">
        <v>17088</v>
      </c>
      <c r="D5" s="2">
        <v>26099</v>
      </c>
      <c r="E5" s="3">
        <v>44470</v>
      </c>
      <c r="F5" s="3">
        <v>44681</v>
      </c>
      <c r="G5" s="4">
        <v>196452</v>
      </c>
      <c r="H5" s="2">
        <v>79</v>
      </c>
      <c r="I5" s="2" t="s">
        <v>747</v>
      </c>
      <c r="J5" s="2" t="s">
        <v>61</v>
      </c>
    </row>
    <row r="6" spans="1:10" x14ac:dyDescent="0.3">
      <c r="A6" s="2" t="s">
        <v>225</v>
      </c>
      <c r="B6" s="2" t="s">
        <v>226</v>
      </c>
      <c r="C6" s="2">
        <v>18056</v>
      </c>
      <c r="D6" s="2">
        <v>27070</v>
      </c>
      <c r="E6" s="3">
        <v>44543</v>
      </c>
      <c r="F6" s="3">
        <v>44681</v>
      </c>
      <c r="G6" s="4">
        <v>203701.12</v>
      </c>
      <c r="H6" s="2">
        <v>79</v>
      </c>
      <c r="I6" s="2" t="s">
        <v>763</v>
      </c>
      <c r="J6" s="2" t="s">
        <v>61</v>
      </c>
    </row>
    <row r="7" spans="1:10" x14ac:dyDescent="0.3">
      <c r="A7" s="2" t="s">
        <v>590</v>
      </c>
      <c r="B7" s="2" t="s">
        <v>591</v>
      </c>
      <c r="C7" s="2">
        <v>17189</v>
      </c>
      <c r="D7" s="2">
        <v>26186</v>
      </c>
      <c r="E7" s="3">
        <v>44476</v>
      </c>
      <c r="F7" s="3">
        <v>44681</v>
      </c>
      <c r="G7" s="4">
        <v>250292</v>
      </c>
      <c r="H7" s="2">
        <v>79</v>
      </c>
      <c r="I7" s="2" t="s">
        <v>865</v>
      </c>
      <c r="J7" s="2" t="s">
        <v>28</v>
      </c>
    </row>
    <row r="8" spans="1:10" x14ac:dyDescent="0.3">
      <c r="A8" s="2" t="s">
        <v>225</v>
      </c>
      <c r="B8" s="2" t="s">
        <v>226</v>
      </c>
      <c r="C8" s="2">
        <v>16905</v>
      </c>
      <c r="D8" s="2">
        <v>25890</v>
      </c>
      <c r="E8" s="3">
        <v>44460</v>
      </c>
      <c r="F8" s="3">
        <v>44681</v>
      </c>
      <c r="G8" s="4">
        <v>92448</v>
      </c>
      <c r="H8" s="2">
        <v>79</v>
      </c>
      <c r="I8" s="2" t="s">
        <v>956</v>
      </c>
      <c r="J8" s="2" t="s">
        <v>61</v>
      </c>
    </row>
    <row r="9" spans="1:10" x14ac:dyDescent="0.3">
      <c r="A9" s="2" t="s">
        <v>590</v>
      </c>
      <c r="B9" s="2" t="s">
        <v>591</v>
      </c>
      <c r="C9" s="2">
        <v>17612</v>
      </c>
      <c r="D9" s="2">
        <v>26614</v>
      </c>
      <c r="E9" s="3">
        <v>44504</v>
      </c>
      <c r="F9" s="3">
        <v>44681</v>
      </c>
      <c r="G9" s="4">
        <v>178500</v>
      </c>
      <c r="H9" s="2">
        <v>79</v>
      </c>
      <c r="I9" s="2" t="s">
        <v>957</v>
      </c>
      <c r="J9" s="2" t="s">
        <v>28</v>
      </c>
    </row>
    <row r="10" spans="1:10" x14ac:dyDescent="0.3">
      <c r="A10" s="2" t="s">
        <v>225</v>
      </c>
      <c r="B10" s="2" t="s">
        <v>226</v>
      </c>
      <c r="C10" s="2">
        <v>16966</v>
      </c>
      <c r="D10" s="2">
        <v>25963</v>
      </c>
      <c r="E10" s="3">
        <v>44462</v>
      </c>
      <c r="F10" s="3">
        <v>44681</v>
      </c>
      <c r="G10" s="4">
        <v>102642.6</v>
      </c>
      <c r="H10" s="2">
        <v>79</v>
      </c>
      <c r="I10" s="2" t="s">
        <v>967</v>
      </c>
      <c r="J10" s="2" t="s">
        <v>61</v>
      </c>
    </row>
    <row r="11" spans="1:10" x14ac:dyDescent="0.3">
      <c r="A11" s="2" t="s">
        <v>590</v>
      </c>
      <c r="B11" s="2" t="s">
        <v>591</v>
      </c>
      <c r="C11" s="2">
        <v>17204</v>
      </c>
      <c r="D11" s="2">
        <v>26202</v>
      </c>
      <c r="E11" s="3">
        <v>44477</v>
      </c>
      <c r="F11" s="3">
        <v>44681</v>
      </c>
      <c r="G11" s="4">
        <v>332640</v>
      </c>
      <c r="H11" s="2">
        <v>79</v>
      </c>
      <c r="I11" s="2" t="s">
        <v>1046</v>
      </c>
      <c r="J11" s="2" t="s">
        <v>28</v>
      </c>
    </row>
    <row r="12" spans="1:10" x14ac:dyDescent="0.3">
      <c r="A12" s="2" t="s">
        <v>590</v>
      </c>
      <c r="B12" s="2" t="s">
        <v>591</v>
      </c>
      <c r="C12" s="2">
        <v>17531</v>
      </c>
      <c r="D12" s="2">
        <v>26538</v>
      </c>
      <c r="E12" s="3">
        <v>44496</v>
      </c>
      <c r="F12" s="3">
        <v>44681</v>
      </c>
      <c r="G12" s="4">
        <v>178500</v>
      </c>
      <c r="H12" s="2">
        <v>79</v>
      </c>
      <c r="I12" s="2" t="s">
        <v>1093</v>
      </c>
      <c r="J12" s="2" t="s">
        <v>28</v>
      </c>
    </row>
    <row r="13" spans="1:10" x14ac:dyDescent="0.3">
      <c r="A13" s="2" t="s">
        <v>196</v>
      </c>
      <c r="B13" s="2" t="s">
        <v>197</v>
      </c>
      <c r="C13" s="2">
        <v>17820</v>
      </c>
      <c r="D13" s="2">
        <v>26823</v>
      </c>
      <c r="E13" s="3">
        <v>44519</v>
      </c>
      <c r="F13" s="3">
        <v>44700</v>
      </c>
      <c r="G13" s="4">
        <v>38220</v>
      </c>
      <c r="H13" s="2">
        <v>60</v>
      </c>
      <c r="I13" s="2" t="s">
        <v>968</v>
      </c>
      <c r="J13" s="2" t="s">
        <v>40</v>
      </c>
    </row>
    <row r="14" spans="1:10" x14ac:dyDescent="0.3">
      <c r="A14" s="2" t="s">
        <v>196</v>
      </c>
      <c r="B14" s="2" t="s">
        <v>197</v>
      </c>
      <c r="C14" s="2">
        <v>17819</v>
      </c>
      <c r="D14" s="2">
        <v>26822</v>
      </c>
      <c r="E14" s="3">
        <v>44519</v>
      </c>
      <c r="F14" s="3">
        <v>44700</v>
      </c>
      <c r="G14" s="4">
        <v>43987.26</v>
      </c>
      <c r="H14" s="2">
        <v>60</v>
      </c>
      <c r="I14" s="2" t="s">
        <v>1064</v>
      </c>
      <c r="J14" s="2" t="s">
        <v>40</v>
      </c>
    </row>
    <row r="15" spans="1:10" x14ac:dyDescent="0.3">
      <c r="A15" s="2" t="s">
        <v>196</v>
      </c>
      <c r="B15" s="2" t="s">
        <v>197</v>
      </c>
      <c r="C15" s="2">
        <v>18508</v>
      </c>
      <c r="D15" s="2">
        <v>27506</v>
      </c>
      <c r="E15" s="3">
        <v>44582</v>
      </c>
      <c r="F15" s="3">
        <v>44702</v>
      </c>
      <c r="G15" s="4">
        <v>8093.8</v>
      </c>
      <c r="H15" s="2">
        <v>58</v>
      </c>
      <c r="I15" s="2" t="s">
        <v>198</v>
      </c>
      <c r="J15" s="2" t="s">
        <v>40</v>
      </c>
    </row>
    <row r="16" spans="1:10" x14ac:dyDescent="0.3">
      <c r="A16" s="2" t="s">
        <v>196</v>
      </c>
      <c r="B16" s="2" t="s">
        <v>197</v>
      </c>
      <c r="C16" s="2">
        <v>18507</v>
      </c>
      <c r="D16" s="2">
        <v>27505</v>
      </c>
      <c r="E16" s="3">
        <v>44582</v>
      </c>
      <c r="F16" s="3">
        <v>44702</v>
      </c>
      <c r="G16" s="4">
        <v>1237.33</v>
      </c>
      <c r="H16" s="2">
        <v>58</v>
      </c>
      <c r="I16" s="2" t="s">
        <v>476</v>
      </c>
      <c r="J16" s="2" t="s">
        <v>40</v>
      </c>
    </row>
    <row r="17" spans="1:10" x14ac:dyDescent="0.3">
      <c r="A17" s="2" t="s">
        <v>196</v>
      </c>
      <c r="B17" s="2" t="s">
        <v>197</v>
      </c>
      <c r="C17" s="2">
        <v>18506</v>
      </c>
      <c r="D17" s="2">
        <v>27504</v>
      </c>
      <c r="E17" s="3">
        <v>44582</v>
      </c>
      <c r="F17" s="3">
        <v>44702</v>
      </c>
      <c r="G17" s="4">
        <v>2853.33</v>
      </c>
      <c r="H17" s="2">
        <v>58</v>
      </c>
      <c r="I17" s="2" t="s">
        <v>1108</v>
      </c>
      <c r="J17" s="2" t="s">
        <v>40</v>
      </c>
    </row>
    <row r="18" spans="1:10" x14ac:dyDescent="0.3">
      <c r="A18" s="2" t="s">
        <v>225</v>
      </c>
      <c r="B18" s="2" t="s">
        <v>226</v>
      </c>
      <c r="C18" s="2">
        <v>17349</v>
      </c>
      <c r="D18" s="2">
        <v>26353</v>
      </c>
      <c r="E18" s="3">
        <v>44488</v>
      </c>
      <c r="F18" s="3">
        <v>44711</v>
      </c>
      <c r="G18" s="4">
        <v>199500</v>
      </c>
      <c r="H18" s="2">
        <v>49</v>
      </c>
      <c r="I18" s="2" t="s">
        <v>364</v>
      </c>
      <c r="J18" s="2" t="s">
        <v>61</v>
      </c>
    </row>
    <row r="19" spans="1:10" x14ac:dyDescent="0.3">
      <c r="A19" s="2" t="s">
        <v>279</v>
      </c>
      <c r="B19" s="2" t="s">
        <v>280</v>
      </c>
      <c r="C19" s="2">
        <v>17432</v>
      </c>
      <c r="D19" s="2">
        <v>26434</v>
      </c>
      <c r="E19" s="3">
        <v>44491</v>
      </c>
      <c r="F19" s="3">
        <v>44711</v>
      </c>
      <c r="G19" s="4">
        <v>64909.8</v>
      </c>
      <c r="H19" s="2">
        <v>49</v>
      </c>
      <c r="I19" s="2" t="s">
        <v>449</v>
      </c>
      <c r="J19" s="2" t="s">
        <v>13</v>
      </c>
    </row>
    <row r="20" spans="1:10" x14ac:dyDescent="0.3">
      <c r="A20" s="2" t="s">
        <v>225</v>
      </c>
      <c r="B20" s="2" t="s">
        <v>226</v>
      </c>
      <c r="C20" s="2">
        <v>17456</v>
      </c>
      <c r="D20" s="2">
        <v>26463</v>
      </c>
      <c r="E20" s="3">
        <v>44494</v>
      </c>
      <c r="F20" s="3">
        <v>44711</v>
      </c>
      <c r="G20" s="4">
        <v>192850</v>
      </c>
      <c r="H20" s="2">
        <v>49</v>
      </c>
      <c r="I20" s="2" t="s">
        <v>636</v>
      </c>
      <c r="J20" s="2" t="s">
        <v>61</v>
      </c>
    </row>
    <row r="21" spans="1:10" x14ac:dyDescent="0.3">
      <c r="A21" s="2" t="s">
        <v>196</v>
      </c>
      <c r="B21" s="2" t="s">
        <v>197</v>
      </c>
      <c r="C21" s="2">
        <v>18506</v>
      </c>
      <c r="D21" s="2">
        <v>27504</v>
      </c>
      <c r="E21" s="3">
        <v>44582</v>
      </c>
      <c r="F21" s="3">
        <v>44717</v>
      </c>
      <c r="G21" s="4">
        <v>2853.33</v>
      </c>
      <c r="H21" s="2">
        <v>43</v>
      </c>
      <c r="I21" s="2" t="s">
        <v>1108</v>
      </c>
      <c r="J21" s="2" t="s">
        <v>40</v>
      </c>
    </row>
    <row r="22" spans="1:10" x14ac:dyDescent="0.3">
      <c r="A22" s="2" t="s">
        <v>196</v>
      </c>
      <c r="B22" s="2" t="s">
        <v>197</v>
      </c>
      <c r="C22" s="2">
        <v>17739</v>
      </c>
      <c r="D22" s="2">
        <v>26732</v>
      </c>
      <c r="E22" s="3">
        <v>44511</v>
      </c>
      <c r="F22" s="3">
        <v>44721</v>
      </c>
      <c r="G22" s="4">
        <v>3691.1</v>
      </c>
      <c r="H22" s="2">
        <v>39</v>
      </c>
      <c r="I22" s="2" t="s">
        <v>867</v>
      </c>
      <c r="J22" s="2" t="s">
        <v>40</v>
      </c>
    </row>
    <row r="23" spans="1:10" x14ac:dyDescent="0.3">
      <c r="A23" s="2" t="s">
        <v>196</v>
      </c>
      <c r="B23" s="2" t="s">
        <v>197</v>
      </c>
      <c r="C23" s="2">
        <v>17740</v>
      </c>
      <c r="D23" s="2">
        <v>26733</v>
      </c>
      <c r="E23" s="3">
        <v>44511</v>
      </c>
      <c r="F23" s="3">
        <v>44721</v>
      </c>
      <c r="G23" s="4">
        <v>1268</v>
      </c>
      <c r="H23" s="2">
        <v>39</v>
      </c>
      <c r="I23" s="2" t="s">
        <v>1048</v>
      </c>
      <c r="J23" s="2" t="s">
        <v>40</v>
      </c>
    </row>
    <row r="24" spans="1:10" x14ac:dyDescent="0.3">
      <c r="A24" s="2" t="s">
        <v>426</v>
      </c>
      <c r="B24" s="2" t="s">
        <v>427</v>
      </c>
      <c r="C24" s="2">
        <v>16173</v>
      </c>
      <c r="D24" s="2">
        <v>25076</v>
      </c>
      <c r="E24" s="3">
        <v>44369</v>
      </c>
      <c r="F24" s="3">
        <v>44729</v>
      </c>
      <c r="G24" s="4">
        <v>77377.2</v>
      </c>
      <c r="H24" s="2">
        <v>31</v>
      </c>
      <c r="I24" s="2" t="s">
        <v>437</v>
      </c>
      <c r="J24" s="2" t="s">
        <v>28</v>
      </c>
    </row>
    <row r="25" spans="1:10" x14ac:dyDescent="0.3">
      <c r="A25" s="2" t="s">
        <v>196</v>
      </c>
      <c r="B25" s="2" t="s">
        <v>197</v>
      </c>
      <c r="C25" s="2">
        <v>18508</v>
      </c>
      <c r="D25" s="2">
        <v>27506</v>
      </c>
      <c r="E25" s="3">
        <v>44582</v>
      </c>
      <c r="F25" s="3">
        <v>44732</v>
      </c>
      <c r="G25" s="4">
        <v>8093.8</v>
      </c>
      <c r="H25" s="2">
        <v>28</v>
      </c>
      <c r="I25" s="2" t="s">
        <v>198</v>
      </c>
      <c r="J25" s="2" t="s">
        <v>40</v>
      </c>
    </row>
    <row r="26" spans="1:10" x14ac:dyDescent="0.3">
      <c r="A26" s="2" t="s">
        <v>196</v>
      </c>
      <c r="B26" s="2" t="s">
        <v>197</v>
      </c>
      <c r="C26" s="2">
        <v>18507</v>
      </c>
      <c r="D26" s="2">
        <v>27505</v>
      </c>
      <c r="E26" s="3">
        <v>44582</v>
      </c>
      <c r="F26" s="3">
        <v>44732</v>
      </c>
      <c r="G26" s="4">
        <v>1237.3399999999999</v>
      </c>
      <c r="H26" s="2">
        <v>28</v>
      </c>
      <c r="I26" s="2" t="s">
        <v>476</v>
      </c>
      <c r="J26" s="2" t="s">
        <v>40</v>
      </c>
    </row>
    <row r="27" spans="1:10" x14ac:dyDescent="0.3">
      <c r="A27" s="2" t="s">
        <v>196</v>
      </c>
      <c r="B27" s="2" t="s">
        <v>197</v>
      </c>
      <c r="C27" s="2">
        <v>18506</v>
      </c>
      <c r="D27" s="2">
        <v>27504</v>
      </c>
      <c r="E27" s="3">
        <v>44582</v>
      </c>
      <c r="F27" s="3">
        <v>44732</v>
      </c>
      <c r="G27" s="4">
        <v>2853.33</v>
      </c>
      <c r="H27" s="2">
        <v>28</v>
      </c>
      <c r="I27" s="2" t="s">
        <v>1108</v>
      </c>
      <c r="J27" s="2" t="s">
        <v>40</v>
      </c>
    </row>
    <row r="28" spans="1:10" x14ac:dyDescent="0.3">
      <c r="A28" s="2" t="s">
        <v>783</v>
      </c>
      <c r="B28" s="2" t="s">
        <v>784</v>
      </c>
      <c r="C28" s="2">
        <v>19928</v>
      </c>
      <c r="D28" s="2">
        <v>28995</v>
      </c>
      <c r="E28" s="3">
        <v>44756</v>
      </c>
      <c r="F28" s="3">
        <v>44756</v>
      </c>
      <c r="G28" s="4">
        <v>7361.73</v>
      </c>
      <c r="H28" s="2">
        <v>4</v>
      </c>
      <c r="I28" s="2" t="s">
        <v>785</v>
      </c>
      <c r="J28" s="2" t="s">
        <v>786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50641AA-F390-4FA1-B839-9D8211056719}">
  <sheetPr>
    <tabColor theme="5" tint="0.79998168889431442"/>
  </sheetPr>
  <dimension ref="A1:N48"/>
  <sheetViews>
    <sheetView showGridLines="0" zoomScale="72" workbookViewId="0">
      <selection activeCell="X34" sqref="X34"/>
    </sheetView>
  </sheetViews>
  <sheetFormatPr defaultRowHeight="14.4" x14ac:dyDescent="0.3"/>
  <cols>
    <col min="1" max="1" width="7" bestFit="1" customWidth="1"/>
    <col min="2" max="2" width="4.6640625" bestFit="1" customWidth="1"/>
    <col min="3" max="3" width="7" bestFit="1" customWidth="1"/>
    <col min="4" max="4" width="8.109375" bestFit="1" customWidth="1"/>
    <col min="5" max="5" width="7.44140625" bestFit="1" customWidth="1"/>
    <col min="6" max="6" width="10.109375" bestFit="1" customWidth="1"/>
    <col min="7" max="7" width="52" bestFit="1" customWidth="1"/>
    <col min="8" max="8" width="10.6640625" bestFit="1" customWidth="1"/>
    <col min="9" max="9" width="11.88671875" bestFit="1" customWidth="1"/>
    <col min="10" max="10" width="19" bestFit="1" customWidth="1"/>
    <col min="11" max="11" width="14.5546875" bestFit="1" customWidth="1"/>
    <col min="12" max="12" width="20.33203125" bestFit="1" customWidth="1"/>
    <col min="13" max="13" width="12.5546875" bestFit="1" customWidth="1"/>
    <col min="14" max="14" width="108.109375" customWidth="1"/>
  </cols>
  <sheetData>
    <row r="1" spans="1:14" x14ac:dyDescent="0.3">
      <c r="A1" s="2" t="s">
        <v>1170</v>
      </c>
      <c r="B1" s="2" t="s">
        <v>1171</v>
      </c>
      <c r="C1" s="2" t="s">
        <v>1172</v>
      </c>
      <c r="D1" s="2" t="s">
        <v>1173</v>
      </c>
      <c r="E1" s="2" t="s">
        <v>1174</v>
      </c>
      <c r="F1" s="2" t="s">
        <v>0</v>
      </c>
      <c r="G1" s="2" t="s">
        <v>1</v>
      </c>
      <c r="H1" s="2" t="s">
        <v>4</v>
      </c>
      <c r="I1" s="2" t="s">
        <v>5</v>
      </c>
      <c r="J1" s="2" t="s">
        <v>1175</v>
      </c>
      <c r="K1" s="2" t="s">
        <v>1176</v>
      </c>
      <c r="L1" s="2" t="s">
        <v>1177</v>
      </c>
      <c r="M1" s="2" t="s">
        <v>1178</v>
      </c>
      <c r="N1" s="2" t="s">
        <v>1179</v>
      </c>
    </row>
    <row r="2" spans="1:14" ht="28.8" x14ac:dyDescent="0.3">
      <c r="A2" s="8">
        <v>84804</v>
      </c>
      <c r="B2" s="8" t="s">
        <v>1180</v>
      </c>
      <c r="C2" s="8">
        <v>14587</v>
      </c>
      <c r="D2" s="8">
        <v>7183</v>
      </c>
      <c r="E2" s="8">
        <v>1</v>
      </c>
      <c r="F2" s="8" t="s">
        <v>1181</v>
      </c>
      <c r="G2" s="8" t="s">
        <v>1182</v>
      </c>
      <c r="H2" s="18" t="s">
        <v>1183</v>
      </c>
      <c r="I2" s="18" t="s">
        <v>1184</v>
      </c>
      <c r="J2" s="18" t="s">
        <v>1184</v>
      </c>
      <c r="K2" s="19">
        <v>110438</v>
      </c>
      <c r="L2" s="8">
        <v>0</v>
      </c>
      <c r="M2" s="19">
        <v>110438</v>
      </c>
      <c r="N2" s="8" t="s">
        <v>1185</v>
      </c>
    </row>
    <row r="3" spans="1:14" ht="28.8" x14ac:dyDescent="0.3">
      <c r="A3" s="8">
        <v>90379</v>
      </c>
      <c r="B3" s="8" t="s">
        <v>1180</v>
      </c>
      <c r="C3" s="8">
        <v>15479</v>
      </c>
      <c r="D3" s="8">
        <v>7926</v>
      </c>
      <c r="E3" s="8">
        <v>1</v>
      </c>
      <c r="F3" s="8" t="s">
        <v>1181</v>
      </c>
      <c r="G3" s="8" t="s">
        <v>1182</v>
      </c>
      <c r="H3" s="18" t="s">
        <v>1186</v>
      </c>
      <c r="I3" s="18" t="s">
        <v>1184</v>
      </c>
      <c r="J3" s="18" t="s">
        <v>1184</v>
      </c>
      <c r="K3" s="19">
        <v>103730</v>
      </c>
      <c r="L3" s="8">
        <v>0</v>
      </c>
      <c r="M3" s="19">
        <v>103730</v>
      </c>
      <c r="N3" s="8" t="s">
        <v>1187</v>
      </c>
    </row>
    <row r="4" spans="1:14" ht="28.8" x14ac:dyDescent="0.3">
      <c r="A4" s="8">
        <v>86245</v>
      </c>
      <c r="B4" s="8" t="s">
        <v>1180</v>
      </c>
      <c r="C4" s="8">
        <v>14789</v>
      </c>
      <c r="D4" s="8">
        <v>7352</v>
      </c>
      <c r="E4" s="8">
        <v>1</v>
      </c>
      <c r="F4" s="8" t="s">
        <v>1181</v>
      </c>
      <c r="G4" s="8" t="s">
        <v>1182</v>
      </c>
      <c r="H4" s="18" t="s">
        <v>1188</v>
      </c>
      <c r="I4" s="18" t="s">
        <v>1184</v>
      </c>
      <c r="J4" s="18" t="s">
        <v>1184</v>
      </c>
      <c r="K4" s="19">
        <v>169920</v>
      </c>
      <c r="L4" s="8">
        <v>0</v>
      </c>
      <c r="M4" s="19">
        <v>169920</v>
      </c>
      <c r="N4" s="8" t="s">
        <v>1189</v>
      </c>
    </row>
    <row r="5" spans="1:14" ht="28.8" x14ac:dyDescent="0.3">
      <c r="A5" s="8">
        <v>90824</v>
      </c>
      <c r="B5" s="8" t="s">
        <v>1180</v>
      </c>
      <c r="C5" s="8">
        <v>15540</v>
      </c>
      <c r="D5" s="8">
        <v>7976</v>
      </c>
      <c r="E5" s="8">
        <v>1</v>
      </c>
      <c r="F5" s="8" t="s">
        <v>1181</v>
      </c>
      <c r="G5" s="8" t="s">
        <v>1182</v>
      </c>
      <c r="H5" s="18" t="s">
        <v>1190</v>
      </c>
      <c r="I5" s="18" t="s">
        <v>1184</v>
      </c>
      <c r="J5" s="18" t="s">
        <v>1184</v>
      </c>
      <c r="K5" s="19">
        <v>22950</v>
      </c>
      <c r="L5" s="8">
        <v>0</v>
      </c>
      <c r="M5" s="19">
        <v>22950</v>
      </c>
      <c r="N5" s="8" t="s">
        <v>1191</v>
      </c>
    </row>
    <row r="6" spans="1:14" ht="28.8" x14ac:dyDescent="0.3">
      <c r="A6" s="8">
        <v>103135</v>
      </c>
      <c r="B6" s="8" t="s">
        <v>1180</v>
      </c>
      <c r="C6" s="8">
        <v>16858</v>
      </c>
      <c r="D6" s="8">
        <v>8973</v>
      </c>
      <c r="E6" s="8">
        <v>1</v>
      </c>
      <c r="F6" s="8" t="s">
        <v>1192</v>
      </c>
      <c r="G6" s="8" t="s">
        <v>1193</v>
      </c>
      <c r="H6" s="18" t="s">
        <v>1194</v>
      </c>
      <c r="I6" s="18" t="s">
        <v>1195</v>
      </c>
      <c r="J6" s="18" t="s">
        <v>1195</v>
      </c>
      <c r="K6" s="19">
        <v>4000</v>
      </c>
      <c r="L6" s="8">
        <v>0</v>
      </c>
      <c r="M6" s="19">
        <v>4000</v>
      </c>
      <c r="N6" s="8" t="s">
        <v>1196</v>
      </c>
    </row>
    <row r="7" spans="1:14" ht="28.8" x14ac:dyDescent="0.3">
      <c r="A7" s="8">
        <v>103113</v>
      </c>
      <c r="B7" s="8" t="s">
        <v>1180</v>
      </c>
      <c r="C7" s="8">
        <v>16848</v>
      </c>
      <c r="D7" s="8">
        <v>8964</v>
      </c>
      <c r="E7" s="8">
        <v>1</v>
      </c>
      <c r="F7" s="8" t="s">
        <v>1192</v>
      </c>
      <c r="G7" s="8" t="s">
        <v>1193</v>
      </c>
      <c r="H7" s="18" t="s">
        <v>1194</v>
      </c>
      <c r="I7" s="18" t="s">
        <v>1195</v>
      </c>
      <c r="J7" s="18" t="s">
        <v>1195</v>
      </c>
      <c r="K7" s="19">
        <v>26300</v>
      </c>
      <c r="L7" s="8">
        <v>0</v>
      </c>
      <c r="M7" s="19">
        <v>26300</v>
      </c>
      <c r="N7" s="8" t="s">
        <v>1197</v>
      </c>
    </row>
    <row r="8" spans="1:14" x14ac:dyDescent="0.3">
      <c r="A8" s="8">
        <v>103108</v>
      </c>
      <c r="B8" s="8" t="s">
        <v>1180</v>
      </c>
      <c r="C8" s="8">
        <v>16843</v>
      </c>
      <c r="D8" s="8">
        <v>8959</v>
      </c>
      <c r="E8" s="8">
        <v>1</v>
      </c>
      <c r="F8" s="8" t="s">
        <v>1192</v>
      </c>
      <c r="G8" s="8" t="s">
        <v>1193</v>
      </c>
      <c r="H8" s="18" t="s">
        <v>1194</v>
      </c>
      <c r="I8" s="18" t="s">
        <v>1198</v>
      </c>
      <c r="J8" s="18" t="s">
        <v>1198</v>
      </c>
      <c r="K8" s="19">
        <v>1299.75</v>
      </c>
      <c r="L8" s="8">
        <v>0</v>
      </c>
      <c r="M8" s="19">
        <v>1299.75</v>
      </c>
      <c r="N8" s="8" t="s">
        <v>1199</v>
      </c>
    </row>
    <row r="9" spans="1:14" ht="28.8" x14ac:dyDescent="0.3">
      <c r="A9" s="8">
        <v>100671</v>
      </c>
      <c r="B9" s="8" t="s">
        <v>1180</v>
      </c>
      <c r="C9" s="8">
        <v>16603</v>
      </c>
      <c r="D9" s="8">
        <v>8779</v>
      </c>
      <c r="E9" s="8">
        <v>1</v>
      </c>
      <c r="F9" s="8" t="s">
        <v>1200</v>
      </c>
      <c r="G9" s="8" t="s">
        <v>1201</v>
      </c>
      <c r="H9" s="18" t="s">
        <v>1202</v>
      </c>
      <c r="I9" s="18" t="s">
        <v>1203</v>
      </c>
      <c r="J9" s="18" t="s">
        <v>1203</v>
      </c>
      <c r="K9" s="19">
        <v>9323.5</v>
      </c>
      <c r="L9" s="19">
        <v>4460.45</v>
      </c>
      <c r="M9" s="19">
        <v>4863.05</v>
      </c>
      <c r="N9" s="8" t="s">
        <v>1204</v>
      </c>
    </row>
    <row r="10" spans="1:14" x14ac:dyDescent="0.3">
      <c r="A10" s="8">
        <v>103137</v>
      </c>
      <c r="B10" s="8" t="s">
        <v>1180</v>
      </c>
      <c r="C10" s="8">
        <v>16859</v>
      </c>
      <c r="D10" s="8">
        <v>8974</v>
      </c>
      <c r="E10" s="8">
        <v>1</v>
      </c>
      <c r="F10" s="8" t="s">
        <v>1192</v>
      </c>
      <c r="G10" s="8" t="s">
        <v>1193</v>
      </c>
      <c r="H10" s="18" t="s">
        <v>1194</v>
      </c>
      <c r="I10" s="18" t="s">
        <v>1205</v>
      </c>
      <c r="J10" s="18" t="s">
        <v>1205</v>
      </c>
      <c r="K10" s="19">
        <v>47094</v>
      </c>
      <c r="L10" s="8">
        <v>0</v>
      </c>
      <c r="M10" s="19">
        <v>47094</v>
      </c>
      <c r="N10" s="8" t="s">
        <v>1206</v>
      </c>
    </row>
    <row r="11" spans="1:14" x14ac:dyDescent="0.3">
      <c r="A11" s="8">
        <v>103112</v>
      </c>
      <c r="B11" s="8" t="s">
        <v>1180</v>
      </c>
      <c r="C11" s="8">
        <v>16847</v>
      </c>
      <c r="D11" s="8">
        <v>8963</v>
      </c>
      <c r="E11" s="8">
        <v>1</v>
      </c>
      <c r="F11" s="8" t="s">
        <v>1192</v>
      </c>
      <c r="G11" s="8" t="s">
        <v>1193</v>
      </c>
      <c r="H11" s="18" t="s">
        <v>1194</v>
      </c>
      <c r="I11" s="18" t="s">
        <v>1205</v>
      </c>
      <c r="J11" s="18" t="s">
        <v>1205</v>
      </c>
      <c r="K11" s="19">
        <v>4928.6000000000004</v>
      </c>
      <c r="L11" s="8">
        <v>0</v>
      </c>
      <c r="M11" s="19">
        <v>4928.6000000000004</v>
      </c>
      <c r="N11" s="8" t="s">
        <v>1207</v>
      </c>
    </row>
    <row r="12" spans="1:14" x14ac:dyDescent="0.3">
      <c r="A12" s="8">
        <v>103244</v>
      </c>
      <c r="B12" s="8" t="s">
        <v>1180</v>
      </c>
      <c r="C12" s="8">
        <v>16889</v>
      </c>
      <c r="D12" s="8">
        <v>8999</v>
      </c>
      <c r="E12" s="8">
        <v>1</v>
      </c>
      <c r="F12" s="8" t="s">
        <v>1192</v>
      </c>
      <c r="G12" s="8" t="s">
        <v>1193</v>
      </c>
      <c r="H12" s="18" t="s">
        <v>1208</v>
      </c>
      <c r="I12" s="18" t="s">
        <v>1209</v>
      </c>
      <c r="J12" s="18" t="s">
        <v>1209</v>
      </c>
      <c r="K12" s="19">
        <v>9679.5</v>
      </c>
      <c r="L12" s="8">
        <v>0</v>
      </c>
      <c r="M12" s="19">
        <v>9679.5</v>
      </c>
      <c r="N12" s="8" t="s">
        <v>1210</v>
      </c>
    </row>
    <row r="13" spans="1:14" x14ac:dyDescent="0.3">
      <c r="A13" s="8">
        <v>103336</v>
      </c>
      <c r="B13" s="8" t="s">
        <v>1180</v>
      </c>
      <c r="C13" s="8">
        <v>16896</v>
      </c>
      <c r="D13" s="8">
        <v>9004</v>
      </c>
      <c r="E13" s="8">
        <v>1</v>
      </c>
      <c r="F13" s="8" t="s">
        <v>1192</v>
      </c>
      <c r="G13" s="8" t="s">
        <v>1193</v>
      </c>
      <c r="H13" s="18" t="s">
        <v>1211</v>
      </c>
      <c r="I13" s="18" t="s">
        <v>1212</v>
      </c>
      <c r="J13" s="18" t="s">
        <v>1212</v>
      </c>
      <c r="K13" s="8">
        <v>215.1</v>
      </c>
      <c r="L13" s="8">
        <v>0</v>
      </c>
      <c r="M13" s="8">
        <v>215.1</v>
      </c>
      <c r="N13" s="8" t="s">
        <v>1213</v>
      </c>
    </row>
    <row r="14" spans="1:14" ht="28.8" x14ac:dyDescent="0.3">
      <c r="A14" s="8">
        <v>103477</v>
      </c>
      <c r="B14" s="8" t="s">
        <v>1180</v>
      </c>
      <c r="C14" s="8">
        <v>16936</v>
      </c>
      <c r="D14" s="8">
        <v>9033</v>
      </c>
      <c r="E14" s="8">
        <v>1</v>
      </c>
      <c r="F14" s="8" t="s">
        <v>1200</v>
      </c>
      <c r="G14" s="8" t="s">
        <v>1201</v>
      </c>
      <c r="H14" s="18" t="s">
        <v>1214</v>
      </c>
      <c r="I14" s="18" t="s">
        <v>1215</v>
      </c>
      <c r="J14" s="18" t="s">
        <v>1215</v>
      </c>
      <c r="K14" s="19">
        <v>1626.88</v>
      </c>
      <c r="L14" s="8">
        <v>0</v>
      </c>
      <c r="M14" s="19">
        <v>1626.88</v>
      </c>
      <c r="N14" s="8" t="s">
        <v>1216</v>
      </c>
    </row>
    <row r="15" spans="1:14" ht="28.8" x14ac:dyDescent="0.3">
      <c r="A15" s="8">
        <v>104837</v>
      </c>
      <c r="B15" s="8" t="s">
        <v>1180</v>
      </c>
      <c r="C15" s="8">
        <v>17133</v>
      </c>
      <c r="D15" s="8">
        <v>9173</v>
      </c>
      <c r="E15" s="8">
        <v>1</v>
      </c>
      <c r="F15" s="8" t="s">
        <v>1200</v>
      </c>
      <c r="G15" s="8" t="s">
        <v>1201</v>
      </c>
      <c r="H15" s="18" t="s">
        <v>1217</v>
      </c>
      <c r="I15" s="18" t="s">
        <v>1218</v>
      </c>
      <c r="J15" s="18" t="s">
        <v>1218</v>
      </c>
      <c r="K15" s="19">
        <v>3550</v>
      </c>
      <c r="L15" s="8">
        <v>568</v>
      </c>
      <c r="M15" s="19">
        <v>2982</v>
      </c>
      <c r="N15" s="8" t="s">
        <v>1219</v>
      </c>
    </row>
    <row r="16" spans="1:14" ht="28.8" x14ac:dyDescent="0.3">
      <c r="A16" s="8">
        <v>104835</v>
      </c>
      <c r="B16" s="8" t="s">
        <v>1180</v>
      </c>
      <c r="C16" s="8">
        <v>17132</v>
      </c>
      <c r="D16" s="8">
        <v>9172</v>
      </c>
      <c r="E16" s="8">
        <v>1</v>
      </c>
      <c r="F16" s="8" t="s">
        <v>1200</v>
      </c>
      <c r="G16" s="8" t="s">
        <v>1201</v>
      </c>
      <c r="H16" s="18" t="s">
        <v>1217</v>
      </c>
      <c r="I16" s="18" t="s">
        <v>1218</v>
      </c>
      <c r="J16" s="18" t="s">
        <v>1218</v>
      </c>
      <c r="K16" s="19">
        <v>77360</v>
      </c>
      <c r="L16" s="19">
        <v>31730</v>
      </c>
      <c r="M16" s="19">
        <v>45630</v>
      </c>
      <c r="N16" s="8" t="s">
        <v>1220</v>
      </c>
    </row>
    <row r="17" spans="1:14" ht="28.8" x14ac:dyDescent="0.3">
      <c r="A17" s="8">
        <v>106709</v>
      </c>
      <c r="B17" s="8" t="s">
        <v>1180</v>
      </c>
      <c r="C17" s="8">
        <v>17410</v>
      </c>
      <c r="D17" s="8">
        <v>9408</v>
      </c>
      <c r="E17" s="8">
        <v>1</v>
      </c>
      <c r="F17" s="8" t="s">
        <v>1200</v>
      </c>
      <c r="G17" s="8" t="s">
        <v>1201</v>
      </c>
      <c r="H17" s="18" t="s">
        <v>1221</v>
      </c>
      <c r="I17" s="18" t="s">
        <v>1218</v>
      </c>
      <c r="J17" s="18" t="s">
        <v>1218</v>
      </c>
      <c r="K17" s="19">
        <v>4416</v>
      </c>
      <c r="L17" s="8">
        <v>0</v>
      </c>
      <c r="M17" s="19">
        <v>4416</v>
      </c>
      <c r="N17" s="8" t="s">
        <v>1222</v>
      </c>
    </row>
    <row r="18" spans="1:14" ht="28.8" x14ac:dyDescent="0.3">
      <c r="A18" s="8">
        <v>106710</v>
      </c>
      <c r="B18" s="8" t="s">
        <v>1180</v>
      </c>
      <c r="C18" s="8">
        <v>17411</v>
      </c>
      <c r="D18" s="8">
        <v>9409</v>
      </c>
      <c r="E18" s="8">
        <v>1</v>
      </c>
      <c r="F18" s="8" t="s">
        <v>1200</v>
      </c>
      <c r="G18" s="8" t="s">
        <v>1201</v>
      </c>
      <c r="H18" s="18" t="s">
        <v>1221</v>
      </c>
      <c r="I18" s="18" t="s">
        <v>1218</v>
      </c>
      <c r="J18" s="18" t="s">
        <v>1218</v>
      </c>
      <c r="K18" s="19">
        <v>40000</v>
      </c>
      <c r="L18" s="19">
        <v>20692.25</v>
      </c>
      <c r="M18" s="19">
        <v>19307.75</v>
      </c>
      <c r="N18" s="8" t="s">
        <v>1223</v>
      </c>
    </row>
    <row r="19" spans="1:14" ht="28.8" x14ac:dyDescent="0.3">
      <c r="A19" s="8">
        <v>105078</v>
      </c>
      <c r="B19" s="8" t="s">
        <v>1180</v>
      </c>
      <c r="C19" s="8">
        <v>17182</v>
      </c>
      <c r="D19" s="8">
        <v>9218</v>
      </c>
      <c r="E19" s="8">
        <v>1</v>
      </c>
      <c r="F19" s="8" t="s">
        <v>1200</v>
      </c>
      <c r="G19" s="8" t="s">
        <v>1201</v>
      </c>
      <c r="H19" s="18" t="s">
        <v>1224</v>
      </c>
      <c r="I19" s="18" t="s">
        <v>1218</v>
      </c>
      <c r="J19" s="18" t="s">
        <v>1218</v>
      </c>
      <c r="K19" s="19">
        <v>4949.5</v>
      </c>
      <c r="L19" s="19">
        <v>2865.5</v>
      </c>
      <c r="M19" s="19">
        <v>2084</v>
      </c>
      <c r="N19" s="8" t="s">
        <v>1225</v>
      </c>
    </row>
    <row r="20" spans="1:14" ht="28.8" x14ac:dyDescent="0.3">
      <c r="A20" s="8">
        <v>106711</v>
      </c>
      <c r="B20" s="8" t="s">
        <v>1180</v>
      </c>
      <c r="C20" s="8">
        <v>17413</v>
      </c>
      <c r="D20" s="8">
        <v>9410</v>
      </c>
      <c r="E20" s="8">
        <v>1</v>
      </c>
      <c r="F20" s="8" t="s">
        <v>1200</v>
      </c>
      <c r="G20" s="8" t="s">
        <v>1201</v>
      </c>
      <c r="H20" s="18" t="s">
        <v>1221</v>
      </c>
      <c r="I20" s="18" t="s">
        <v>1218</v>
      </c>
      <c r="J20" s="18" t="s">
        <v>1218</v>
      </c>
      <c r="K20" s="19">
        <v>21200</v>
      </c>
      <c r="L20" s="8">
        <v>0</v>
      </c>
      <c r="M20" s="19">
        <v>21200</v>
      </c>
      <c r="N20" s="8" t="s">
        <v>1226</v>
      </c>
    </row>
    <row r="21" spans="1:14" ht="28.8" x14ac:dyDescent="0.3">
      <c r="A21" s="8">
        <v>107610</v>
      </c>
      <c r="B21" s="8" t="s">
        <v>1180</v>
      </c>
      <c r="C21" s="8">
        <v>17592</v>
      </c>
      <c r="D21" s="8">
        <v>9542</v>
      </c>
      <c r="E21" s="8">
        <v>1</v>
      </c>
      <c r="F21" s="8" t="s">
        <v>1200</v>
      </c>
      <c r="G21" s="8" t="s">
        <v>1201</v>
      </c>
      <c r="H21" s="18" t="s">
        <v>1227</v>
      </c>
      <c r="I21" s="18" t="s">
        <v>1218</v>
      </c>
      <c r="J21" s="18" t="s">
        <v>1218</v>
      </c>
      <c r="K21" s="8">
        <v>516</v>
      </c>
      <c r="L21" s="8">
        <v>0</v>
      </c>
      <c r="M21" s="8">
        <v>516</v>
      </c>
      <c r="N21" s="8" t="s">
        <v>1228</v>
      </c>
    </row>
    <row r="22" spans="1:14" ht="28.8" x14ac:dyDescent="0.3">
      <c r="A22" s="8">
        <v>107611</v>
      </c>
      <c r="B22" s="8" t="s">
        <v>1180</v>
      </c>
      <c r="C22" s="8">
        <v>17593</v>
      </c>
      <c r="D22" s="8">
        <v>9543</v>
      </c>
      <c r="E22" s="8">
        <v>1</v>
      </c>
      <c r="F22" s="8" t="s">
        <v>1200</v>
      </c>
      <c r="G22" s="8" t="s">
        <v>1201</v>
      </c>
      <c r="H22" s="18" t="s">
        <v>1227</v>
      </c>
      <c r="I22" s="18" t="s">
        <v>1218</v>
      </c>
      <c r="J22" s="18" t="s">
        <v>1218</v>
      </c>
      <c r="K22" s="19">
        <v>10770</v>
      </c>
      <c r="L22" s="19">
        <v>2800.2</v>
      </c>
      <c r="M22" s="19">
        <v>7969.8</v>
      </c>
      <c r="N22" s="8" t="s">
        <v>1229</v>
      </c>
    </row>
    <row r="23" spans="1:14" ht="28.8" x14ac:dyDescent="0.3">
      <c r="A23" s="8">
        <v>107612</v>
      </c>
      <c r="B23" s="8" t="s">
        <v>1180</v>
      </c>
      <c r="C23" s="8">
        <v>17594</v>
      </c>
      <c r="D23" s="8">
        <v>9544</v>
      </c>
      <c r="E23" s="8">
        <v>1</v>
      </c>
      <c r="F23" s="8" t="s">
        <v>1230</v>
      </c>
      <c r="G23" s="8" t="s">
        <v>1201</v>
      </c>
      <c r="H23" s="18" t="s">
        <v>1227</v>
      </c>
      <c r="I23" s="18" t="s">
        <v>1218</v>
      </c>
      <c r="J23" s="18" t="s">
        <v>1218</v>
      </c>
      <c r="K23" s="19">
        <v>57360</v>
      </c>
      <c r="L23" s="19">
        <v>27485</v>
      </c>
      <c r="M23" s="19">
        <v>29875</v>
      </c>
      <c r="N23" s="8" t="s">
        <v>1231</v>
      </c>
    </row>
    <row r="24" spans="1:14" ht="28.8" x14ac:dyDescent="0.3">
      <c r="A24" s="8">
        <v>132596</v>
      </c>
      <c r="B24" s="8" t="s">
        <v>1180</v>
      </c>
      <c r="C24" s="8">
        <v>20745</v>
      </c>
      <c r="D24" s="8">
        <v>12239</v>
      </c>
      <c r="E24" s="8">
        <v>3</v>
      </c>
      <c r="F24" s="8" t="s">
        <v>1232</v>
      </c>
      <c r="G24" s="8" t="s">
        <v>1233</v>
      </c>
      <c r="H24" s="18" t="s">
        <v>1234</v>
      </c>
      <c r="I24" s="18" t="s">
        <v>1235</v>
      </c>
      <c r="J24" s="18" t="s">
        <v>1235</v>
      </c>
      <c r="K24" s="19">
        <v>8304.52</v>
      </c>
      <c r="L24" s="19">
        <v>5226.29</v>
      </c>
      <c r="M24" s="19">
        <v>3078.23</v>
      </c>
      <c r="N24" s="8" t="s">
        <v>1236</v>
      </c>
    </row>
    <row r="25" spans="1:14" ht="28.8" x14ac:dyDescent="0.3">
      <c r="A25" s="8">
        <v>134461</v>
      </c>
      <c r="B25" s="8" t="s">
        <v>1180</v>
      </c>
      <c r="C25" s="8">
        <v>20974</v>
      </c>
      <c r="D25" s="8">
        <v>12438</v>
      </c>
      <c r="E25" s="8">
        <v>2</v>
      </c>
      <c r="F25" s="8" t="s">
        <v>1232</v>
      </c>
      <c r="G25" s="8" t="s">
        <v>1233</v>
      </c>
      <c r="H25" s="18" t="s">
        <v>1237</v>
      </c>
      <c r="I25" s="18" t="s">
        <v>1238</v>
      </c>
      <c r="J25" s="18" t="s">
        <v>1238</v>
      </c>
      <c r="K25" s="19">
        <v>4198.25</v>
      </c>
      <c r="L25" s="8">
        <v>0</v>
      </c>
      <c r="M25" s="19">
        <v>4198.25</v>
      </c>
      <c r="N25" s="8" t="s">
        <v>1239</v>
      </c>
    </row>
    <row r="26" spans="1:14" ht="28.8" x14ac:dyDescent="0.3">
      <c r="A26" s="8">
        <v>126669</v>
      </c>
      <c r="B26" s="8" t="s">
        <v>1180</v>
      </c>
      <c r="C26" s="8">
        <v>19874</v>
      </c>
      <c r="D26" s="8">
        <v>11486</v>
      </c>
      <c r="E26" s="8">
        <v>1</v>
      </c>
      <c r="F26" s="8" t="s">
        <v>1240</v>
      </c>
      <c r="G26" s="8" t="s">
        <v>1241</v>
      </c>
      <c r="H26" s="18" t="s">
        <v>1242</v>
      </c>
      <c r="I26" s="18" t="s">
        <v>1243</v>
      </c>
      <c r="J26" s="18" t="s">
        <v>1243</v>
      </c>
      <c r="K26" s="19">
        <v>135600</v>
      </c>
      <c r="L26" s="19">
        <v>19902.91</v>
      </c>
      <c r="M26" s="19">
        <v>115697.09</v>
      </c>
      <c r="N26" s="8" t="s">
        <v>1244</v>
      </c>
    </row>
    <row r="27" spans="1:14" ht="28.8" x14ac:dyDescent="0.3">
      <c r="A27" s="8">
        <v>130079</v>
      </c>
      <c r="B27" s="8" t="s">
        <v>1180</v>
      </c>
      <c r="C27" s="8">
        <v>20347</v>
      </c>
      <c r="D27" s="8">
        <v>11897</v>
      </c>
      <c r="E27" s="8">
        <v>1</v>
      </c>
      <c r="F27" s="8" t="s">
        <v>1245</v>
      </c>
      <c r="G27" s="8" t="s">
        <v>1246</v>
      </c>
      <c r="H27" s="18" t="s">
        <v>1247</v>
      </c>
      <c r="I27" s="18" t="s">
        <v>1243</v>
      </c>
      <c r="J27" s="18" t="s">
        <v>1243</v>
      </c>
      <c r="K27" s="19">
        <v>72150</v>
      </c>
      <c r="L27" s="8">
        <v>0</v>
      </c>
      <c r="M27" s="19">
        <v>72150</v>
      </c>
      <c r="N27" s="8" t="s">
        <v>1248</v>
      </c>
    </row>
    <row r="28" spans="1:14" x14ac:dyDescent="0.3">
      <c r="A28" s="8">
        <v>142011</v>
      </c>
      <c r="B28" s="8" t="s">
        <v>1180</v>
      </c>
      <c r="C28" s="8">
        <v>142011</v>
      </c>
      <c r="D28" s="8">
        <v>142011</v>
      </c>
      <c r="E28" s="8">
        <v>1</v>
      </c>
      <c r="F28" s="8" t="s">
        <v>1249</v>
      </c>
      <c r="G28" s="8" t="s">
        <v>1250</v>
      </c>
      <c r="H28" s="18" t="s">
        <v>1251</v>
      </c>
      <c r="I28" s="18" t="s">
        <v>1251</v>
      </c>
      <c r="J28" s="18" t="s">
        <v>1251</v>
      </c>
      <c r="K28" s="19">
        <v>546000</v>
      </c>
      <c r="L28" s="8">
        <v>0</v>
      </c>
      <c r="M28" s="19">
        <v>546000</v>
      </c>
      <c r="N28" s="8" t="s">
        <v>1252</v>
      </c>
    </row>
    <row r="29" spans="1:14" x14ac:dyDescent="0.3">
      <c r="A29" s="8">
        <v>142011</v>
      </c>
      <c r="B29" s="8" t="s">
        <v>1180</v>
      </c>
      <c r="C29" s="8">
        <v>142011</v>
      </c>
      <c r="D29" s="8">
        <v>142011</v>
      </c>
      <c r="E29" s="8">
        <v>1</v>
      </c>
      <c r="F29" s="8" t="s">
        <v>1253</v>
      </c>
      <c r="G29" s="8" t="s">
        <v>1254</v>
      </c>
      <c r="H29" s="18" t="s">
        <v>1251</v>
      </c>
      <c r="I29" s="18" t="s">
        <v>1251</v>
      </c>
      <c r="J29" s="18" t="s">
        <v>1251</v>
      </c>
      <c r="K29" s="19">
        <v>285000</v>
      </c>
      <c r="L29" s="8">
        <v>0</v>
      </c>
      <c r="M29" s="19">
        <v>285000</v>
      </c>
      <c r="N29" s="8" t="s">
        <v>1252</v>
      </c>
    </row>
    <row r="30" spans="1:14" ht="28.8" x14ac:dyDescent="0.3">
      <c r="A30" s="8">
        <v>134461</v>
      </c>
      <c r="B30" s="8" t="s">
        <v>1180</v>
      </c>
      <c r="C30" s="8">
        <v>20974</v>
      </c>
      <c r="D30" s="8">
        <v>12438</v>
      </c>
      <c r="E30" s="8">
        <v>3</v>
      </c>
      <c r="F30" s="8" t="s">
        <v>1232</v>
      </c>
      <c r="G30" s="8" t="s">
        <v>1233</v>
      </c>
      <c r="H30" s="18" t="s">
        <v>1237</v>
      </c>
      <c r="I30" s="18" t="s">
        <v>1255</v>
      </c>
      <c r="J30" s="18" t="s">
        <v>1255</v>
      </c>
      <c r="K30" s="19">
        <v>4198.25</v>
      </c>
      <c r="L30" s="8">
        <v>0</v>
      </c>
      <c r="M30" s="19">
        <v>4198.25</v>
      </c>
      <c r="N30" s="8" t="s">
        <v>1239</v>
      </c>
    </row>
    <row r="31" spans="1:14" ht="28.8" x14ac:dyDescent="0.3">
      <c r="A31" s="8">
        <v>147736</v>
      </c>
      <c r="B31" s="8" t="s">
        <v>1180</v>
      </c>
      <c r="C31" s="8">
        <v>22749</v>
      </c>
      <c r="D31" s="8">
        <v>14014</v>
      </c>
      <c r="E31" s="8">
        <v>1</v>
      </c>
      <c r="F31" s="8" t="s">
        <v>1256</v>
      </c>
      <c r="G31" s="8" t="s">
        <v>1257</v>
      </c>
      <c r="H31" s="18" t="s">
        <v>1258</v>
      </c>
      <c r="I31" s="18" t="s">
        <v>1259</v>
      </c>
      <c r="J31" s="18" t="s">
        <v>1259</v>
      </c>
      <c r="K31" s="19">
        <v>20792.439999999999</v>
      </c>
      <c r="L31" s="8">
        <v>0</v>
      </c>
      <c r="M31" s="19">
        <v>20792.439999999999</v>
      </c>
      <c r="N31" s="8" t="s">
        <v>1260</v>
      </c>
    </row>
    <row r="32" spans="1:14" ht="28.8" x14ac:dyDescent="0.3">
      <c r="A32" s="8">
        <v>150014</v>
      </c>
      <c r="B32" s="8" t="s">
        <v>1180</v>
      </c>
      <c r="C32" s="8">
        <v>23124</v>
      </c>
      <c r="D32" s="8">
        <v>14369</v>
      </c>
      <c r="E32" s="8">
        <v>1</v>
      </c>
      <c r="F32" s="8" t="s">
        <v>1261</v>
      </c>
      <c r="G32" s="8" t="s">
        <v>1262</v>
      </c>
      <c r="H32" s="18" t="s">
        <v>1263</v>
      </c>
      <c r="I32" s="18" t="s">
        <v>1264</v>
      </c>
      <c r="J32" s="18" t="s">
        <v>1264</v>
      </c>
      <c r="K32" s="19">
        <v>160353.56</v>
      </c>
      <c r="L32" s="19">
        <v>124016.8</v>
      </c>
      <c r="M32" s="19">
        <v>36336.76</v>
      </c>
      <c r="N32" s="8" t="s">
        <v>1265</v>
      </c>
    </row>
    <row r="33" spans="1:14" x14ac:dyDescent="0.3">
      <c r="A33" s="8"/>
      <c r="B33" s="8"/>
      <c r="C33" s="8"/>
      <c r="D33" s="8"/>
      <c r="E33" s="8"/>
      <c r="F33" s="8"/>
      <c r="G33" s="8"/>
      <c r="H33" s="18"/>
      <c r="I33" s="18"/>
      <c r="J33" s="18"/>
      <c r="K33" s="19"/>
      <c r="L33" s="19"/>
      <c r="M33" s="19"/>
      <c r="N33" s="8"/>
    </row>
    <row r="34" spans="1:14" ht="28.8" x14ac:dyDescent="0.3">
      <c r="A34" s="8">
        <v>152025</v>
      </c>
      <c r="B34" s="8" t="s">
        <v>1180</v>
      </c>
      <c r="C34" s="8">
        <v>23404</v>
      </c>
      <c r="D34" s="8">
        <v>14640</v>
      </c>
      <c r="E34" s="8">
        <v>1</v>
      </c>
      <c r="F34" s="8" t="s">
        <v>1261</v>
      </c>
      <c r="G34" s="8" t="s">
        <v>1262</v>
      </c>
      <c r="H34" s="18" t="s">
        <v>1266</v>
      </c>
      <c r="I34" s="18" t="s">
        <v>1267</v>
      </c>
      <c r="J34" s="18" t="s">
        <v>1267</v>
      </c>
      <c r="K34" s="19">
        <v>36960</v>
      </c>
      <c r="L34" s="8">
        <v>0</v>
      </c>
      <c r="M34" s="19">
        <v>36960</v>
      </c>
      <c r="N34" s="8" t="s">
        <v>1268</v>
      </c>
    </row>
    <row r="35" spans="1:14" ht="28.8" x14ac:dyDescent="0.3">
      <c r="A35" s="8">
        <v>151195</v>
      </c>
      <c r="B35" s="8" t="s">
        <v>1180</v>
      </c>
      <c r="C35" s="8">
        <v>23291</v>
      </c>
      <c r="D35" s="8">
        <v>14537</v>
      </c>
      <c r="E35" s="8">
        <v>1</v>
      </c>
      <c r="F35" s="8" t="s">
        <v>1261</v>
      </c>
      <c r="G35" s="8" t="s">
        <v>1262</v>
      </c>
      <c r="H35" s="18" t="s">
        <v>1269</v>
      </c>
      <c r="I35" s="18" t="s">
        <v>1267</v>
      </c>
      <c r="J35" s="18" t="s">
        <v>1267</v>
      </c>
      <c r="K35" s="19">
        <v>59000</v>
      </c>
      <c r="L35" s="8">
        <v>0</v>
      </c>
      <c r="M35" s="19">
        <v>59000</v>
      </c>
      <c r="N35" s="8" t="s">
        <v>1270</v>
      </c>
    </row>
    <row r="36" spans="1:14" ht="28.8" x14ac:dyDescent="0.3">
      <c r="A36" s="8">
        <v>150023</v>
      </c>
      <c r="B36" s="8" t="s">
        <v>1180</v>
      </c>
      <c r="C36" s="8">
        <v>23126</v>
      </c>
      <c r="D36" s="8">
        <v>14371</v>
      </c>
      <c r="E36" s="8">
        <v>1</v>
      </c>
      <c r="F36" s="8" t="s">
        <v>1261</v>
      </c>
      <c r="G36" s="8" t="s">
        <v>1262</v>
      </c>
      <c r="H36" s="18" t="s">
        <v>1263</v>
      </c>
      <c r="I36" s="18" t="s">
        <v>1267</v>
      </c>
      <c r="J36" s="18" t="s">
        <v>1267</v>
      </c>
      <c r="K36" s="19">
        <v>241423.28</v>
      </c>
      <c r="L36" s="8">
        <v>0</v>
      </c>
      <c r="M36" s="19">
        <v>241423.28</v>
      </c>
      <c r="N36" s="8" t="s">
        <v>1271</v>
      </c>
    </row>
    <row r="37" spans="1:14" ht="28.8" x14ac:dyDescent="0.3">
      <c r="A37" s="8">
        <v>151226</v>
      </c>
      <c r="B37" s="8" t="s">
        <v>1180</v>
      </c>
      <c r="C37" s="8">
        <v>23296</v>
      </c>
      <c r="D37" s="8">
        <v>14540</v>
      </c>
      <c r="E37" s="8">
        <v>1</v>
      </c>
      <c r="F37" s="8" t="s">
        <v>1261</v>
      </c>
      <c r="G37" s="8" t="s">
        <v>1262</v>
      </c>
      <c r="H37" s="18" t="s">
        <v>1269</v>
      </c>
      <c r="I37" s="18" t="s">
        <v>1267</v>
      </c>
      <c r="J37" s="18" t="s">
        <v>1267</v>
      </c>
      <c r="K37" s="19">
        <v>20490</v>
      </c>
      <c r="L37" s="8">
        <v>0</v>
      </c>
      <c r="M37" s="19">
        <v>20490</v>
      </c>
      <c r="N37" s="8" t="s">
        <v>1272</v>
      </c>
    </row>
    <row r="38" spans="1:14" ht="28.8" x14ac:dyDescent="0.3">
      <c r="A38" s="8">
        <v>150519</v>
      </c>
      <c r="B38" s="8" t="s">
        <v>1180</v>
      </c>
      <c r="C38" s="8">
        <v>23174</v>
      </c>
      <c r="D38" s="8">
        <v>14423</v>
      </c>
      <c r="E38" s="8">
        <v>1</v>
      </c>
      <c r="F38" s="8" t="s">
        <v>1261</v>
      </c>
      <c r="G38" s="8" t="s">
        <v>1262</v>
      </c>
      <c r="H38" s="18" t="s">
        <v>1273</v>
      </c>
      <c r="I38" s="18" t="s">
        <v>1267</v>
      </c>
      <c r="J38" s="18" t="s">
        <v>1267</v>
      </c>
      <c r="K38" s="19">
        <v>2956.2</v>
      </c>
      <c r="L38" s="8">
        <v>0</v>
      </c>
      <c r="M38" s="19">
        <v>2956.2</v>
      </c>
      <c r="N38" s="8" t="s">
        <v>1274</v>
      </c>
    </row>
    <row r="39" spans="1:14" ht="28.8" x14ac:dyDescent="0.3">
      <c r="A39" s="8">
        <v>151673</v>
      </c>
      <c r="B39" s="8" t="s">
        <v>1180</v>
      </c>
      <c r="C39" s="8">
        <v>23379</v>
      </c>
      <c r="D39" s="8">
        <v>14619</v>
      </c>
      <c r="E39" s="8">
        <v>1</v>
      </c>
      <c r="F39" s="8" t="s">
        <v>1261</v>
      </c>
      <c r="G39" s="8" t="s">
        <v>1262</v>
      </c>
      <c r="H39" s="18" t="s">
        <v>1275</v>
      </c>
      <c r="I39" s="18" t="s">
        <v>1267</v>
      </c>
      <c r="J39" s="18" t="s">
        <v>1267</v>
      </c>
      <c r="K39" s="19">
        <v>59011.199999999997</v>
      </c>
      <c r="L39" s="8">
        <v>0</v>
      </c>
      <c r="M39" s="19">
        <v>59011.199999999997</v>
      </c>
      <c r="N39" s="8" t="s">
        <v>1276</v>
      </c>
    </row>
    <row r="40" spans="1:14" ht="28.8" x14ac:dyDescent="0.3">
      <c r="A40" s="8">
        <v>150049</v>
      </c>
      <c r="B40" s="8" t="s">
        <v>1180</v>
      </c>
      <c r="C40" s="8">
        <v>23134</v>
      </c>
      <c r="D40" s="8">
        <v>14381</v>
      </c>
      <c r="E40" s="8">
        <v>1</v>
      </c>
      <c r="F40" s="8" t="s">
        <v>1261</v>
      </c>
      <c r="G40" s="8" t="s">
        <v>1262</v>
      </c>
      <c r="H40" s="18" t="s">
        <v>1263</v>
      </c>
      <c r="I40" s="18" t="s">
        <v>1267</v>
      </c>
      <c r="J40" s="18" t="s">
        <v>1267</v>
      </c>
      <c r="K40" s="19">
        <v>130447.2</v>
      </c>
      <c r="L40" s="19">
        <v>3497.4</v>
      </c>
      <c r="M40" s="19">
        <v>126949.8</v>
      </c>
      <c r="N40" s="8" t="s">
        <v>1277</v>
      </c>
    </row>
    <row r="41" spans="1:14" ht="28.8" x14ac:dyDescent="0.3">
      <c r="A41" s="8">
        <v>150518</v>
      </c>
      <c r="B41" s="8" t="s">
        <v>1180</v>
      </c>
      <c r="C41" s="8">
        <v>23173</v>
      </c>
      <c r="D41" s="8">
        <v>14422</v>
      </c>
      <c r="E41" s="8">
        <v>1</v>
      </c>
      <c r="F41" s="8" t="s">
        <v>1261</v>
      </c>
      <c r="G41" s="8" t="s">
        <v>1262</v>
      </c>
      <c r="H41" s="18" t="s">
        <v>1273</v>
      </c>
      <c r="I41" s="18" t="s">
        <v>1267</v>
      </c>
      <c r="J41" s="18" t="s">
        <v>1267</v>
      </c>
      <c r="K41" s="19">
        <v>24635</v>
      </c>
      <c r="L41" s="8">
        <v>0</v>
      </c>
      <c r="M41" s="19">
        <v>24635</v>
      </c>
      <c r="N41" s="8" t="s">
        <v>1278</v>
      </c>
    </row>
    <row r="42" spans="1:14" ht="28.8" x14ac:dyDescent="0.3">
      <c r="A42" s="8">
        <v>152021</v>
      </c>
      <c r="B42" s="8" t="s">
        <v>1180</v>
      </c>
      <c r="C42" s="8">
        <v>23402</v>
      </c>
      <c r="D42" s="8">
        <v>14638</v>
      </c>
      <c r="E42" s="8">
        <v>1</v>
      </c>
      <c r="F42" s="8" t="s">
        <v>1261</v>
      </c>
      <c r="G42" s="8" t="s">
        <v>1262</v>
      </c>
      <c r="H42" s="18" t="s">
        <v>1266</v>
      </c>
      <c r="I42" s="18" t="s">
        <v>1267</v>
      </c>
      <c r="J42" s="18" t="s">
        <v>1267</v>
      </c>
      <c r="K42" s="19">
        <v>32784</v>
      </c>
      <c r="L42" s="8">
        <v>0</v>
      </c>
      <c r="M42" s="19">
        <v>32784</v>
      </c>
      <c r="N42" s="8" t="s">
        <v>1279</v>
      </c>
    </row>
    <row r="43" spans="1:14" ht="28.8" x14ac:dyDescent="0.3">
      <c r="A43" s="8">
        <v>152022</v>
      </c>
      <c r="B43" s="8" t="s">
        <v>1180</v>
      </c>
      <c r="C43" s="8">
        <v>23403</v>
      </c>
      <c r="D43" s="8">
        <v>14639</v>
      </c>
      <c r="E43" s="8">
        <v>1</v>
      </c>
      <c r="F43" s="8" t="s">
        <v>1261</v>
      </c>
      <c r="G43" s="8" t="s">
        <v>1262</v>
      </c>
      <c r="H43" s="18" t="s">
        <v>1266</v>
      </c>
      <c r="I43" s="18" t="s">
        <v>1267</v>
      </c>
      <c r="J43" s="18" t="s">
        <v>1267</v>
      </c>
      <c r="K43" s="19">
        <v>49280</v>
      </c>
      <c r="L43" s="8">
        <v>0</v>
      </c>
      <c r="M43" s="19">
        <v>49280</v>
      </c>
      <c r="N43" s="8" t="s">
        <v>1280</v>
      </c>
    </row>
    <row r="44" spans="1:14" ht="28.8" x14ac:dyDescent="0.3">
      <c r="A44" s="8">
        <v>151194</v>
      </c>
      <c r="B44" s="8" t="s">
        <v>1180</v>
      </c>
      <c r="C44" s="8">
        <v>23290</v>
      </c>
      <c r="D44" s="8">
        <v>14536</v>
      </c>
      <c r="E44" s="8">
        <v>1</v>
      </c>
      <c r="F44" s="8" t="s">
        <v>1261</v>
      </c>
      <c r="G44" s="8" t="s">
        <v>1262</v>
      </c>
      <c r="H44" s="18" t="s">
        <v>1269</v>
      </c>
      <c r="I44" s="18" t="s">
        <v>1267</v>
      </c>
      <c r="J44" s="18" t="s">
        <v>1267</v>
      </c>
      <c r="K44" s="19">
        <v>22500</v>
      </c>
      <c r="L44" s="8">
        <v>0</v>
      </c>
      <c r="M44" s="19">
        <v>22500</v>
      </c>
      <c r="N44" s="8" t="s">
        <v>1281</v>
      </c>
    </row>
    <row r="45" spans="1:14" ht="28.8" x14ac:dyDescent="0.3">
      <c r="A45" s="8">
        <v>162059</v>
      </c>
      <c r="B45" s="8" t="s">
        <v>1180</v>
      </c>
      <c r="C45" s="8">
        <v>24859</v>
      </c>
      <c r="D45" s="8">
        <v>15986</v>
      </c>
      <c r="E45" s="8">
        <v>1</v>
      </c>
      <c r="F45" s="8" t="s">
        <v>1282</v>
      </c>
      <c r="G45" s="8" t="s">
        <v>1283</v>
      </c>
      <c r="H45" s="18" t="s">
        <v>1284</v>
      </c>
      <c r="I45" s="18" t="s">
        <v>1285</v>
      </c>
      <c r="J45" s="18" t="s">
        <v>1285</v>
      </c>
      <c r="K45" s="19">
        <v>174240</v>
      </c>
      <c r="L45" s="8">
        <v>0</v>
      </c>
      <c r="M45" s="19">
        <v>174240</v>
      </c>
      <c r="N45" s="8" t="s">
        <v>1286</v>
      </c>
    </row>
    <row r="46" spans="1:14" x14ac:dyDescent="0.3">
      <c r="A46" s="8">
        <v>164658</v>
      </c>
      <c r="B46" s="8" t="s">
        <v>1180</v>
      </c>
      <c r="C46" s="8">
        <v>25182</v>
      </c>
      <c r="D46" s="8">
        <v>16269</v>
      </c>
      <c r="E46" s="8">
        <v>1</v>
      </c>
      <c r="F46" s="8" t="s">
        <v>1287</v>
      </c>
      <c r="G46" s="8" t="s">
        <v>1288</v>
      </c>
      <c r="H46" s="18" t="s">
        <v>1289</v>
      </c>
      <c r="I46" s="18" t="s">
        <v>1290</v>
      </c>
      <c r="J46" s="18" t="s">
        <v>1290</v>
      </c>
      <c r="K46" s="19">
        <v>180720</v>
      </c>
      <c r="L46" s="8">
        <v>0</v>
      </c>
      <c r="M46" s="19">
        <v>180720</v>
      </c>
      <c r="N46" s="8" t="s">
        <v>1291</v>
      </c>
    </row>
    <row r="47" spans="1:14" x14ac:dyDescent="0.3">
      <c r="A47" s="8">
        <v>161966</v>
      </c>
      <c r="B47" s="8" t="s">
        <v>1180</v>
      </c>
      <c r="C47" s="8">
        <v>24839</v>
      </c>
      <c r="D47" s="8">
        <v>15969</v>
      </c>
      <c r="E47" s="8">
        <v>1</v>
      </c>
      <c r="F47" s="8" t="s">
        <v>1282</v>
      </c>
      <c r="G47" s="8" t="s">
        <v>1283</v>
      </c>
      <c r="H47" s="18" t="s">
        <v>1292</v>
      </c>
      <c r="I47" s="18" t="s">
        <v>1293</v>
      </c>
      <c r="J47" s="18" t="s">
        <v>1293</v>
      </c>
      <c r="K47" s="19">
        <v>156600</v>
      </c>
      <c r="L47" s="8">
        <v>0</v>
      </c>
      <c r="M47" s="19">
        <v>156600</v>
      </c>
      <c r="N47" s="8" t="s">
        <v>1294</v>
      </c>
    </row>
    <row r="48" spans="1:14" ht="28.8" x14ac:dyDescent="0.3">
      <c r="A48" s="8">
        <v>161967</v>
      </c>
      <c r="B48" s="8" t="s">
        <v>1180</v>
      </c>
      <c r="C48" s="8">
        <v>24840</v>
      </c>
      <c r="D48" s="8">
        <v>15970</v>
      </c>
      <c r="E48" s="8">
        <v>1</v>
      </c>
      <c r="F48" s="8" t="s">
        <v>1282</v>
      </c>
      <c r="G48" s="8" t="s">
        <v>1283</v>
      </c>
      <c r="H48" s="18" t="s">
        <v>1292</v>
      </c>
      <c r="I48" s="18" t="s">
        <v>1293</v>
      </c>
      <c r="J48" s="18" t="s">
        <v>1293</v>
      </c>
      <c r="K48" s="19">
        <v>23850</v>
      </c>
      <c r="L48" s="8">
        <v>0</v>
      </c>
      <c r="M48" s="19">
        <v>23850</v>
      </c>
      <c r="N48" s="8" t="s">
        <v>1295</v>
      </c>
    </row>
  </sheetData>
  <autoFilter ref="A1:N48" xr:uid="{00000000-0009-0000-0000-000002000000}"/>
  <pageMargins left="0.511811024" right="0.511811024" top="0.78740157499999996" bottom="0.78740157499999996" header="0.31496062000000002" footer="0.3149606200000000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8F0A4B5-D7E8-48CE-9860-27B37C4E50C2}">
  <sheetPr>
    <tabColor theme="7" tint="0.79998168889431442"/>
  </sheetPr>
  <dimension ref="A3:D14"/>
  <sheetViews>
    <sheetView showGridLines="0" workbookViewId="0">
      <selection activeCell="E12" sqref="E12"/>
    </sheetView>
  </sheetViews>
  <sheetFormatPr defaultRowHeight="14.4" x14ac:dyDescent="0.3"/>
  <cols>
    <col min="1" max="1" width="49.109375" bestFit="1" customWidth="1"/>
    <col min="2" max="2" width="20.33203125" bestFit="1" customWidth="1"/>
    <col min="3" max="3" width="40.88671875" customWidth="1"/>
    <col min="4" max="4" width="53" customWidth="1"/>
  </cols>
  <sheetData>
    <row r="3" spans="1:4" x14ac:dyDescent="0.3">
      <c r="A3" s="8" t="s">
        <v>1160</v>
      </c>
      <c r="B3" s="8" t="s">
        <v>1296</v>
      </c>
      <c r="C3" s="6" t="s">
        <v>1297</v>
      </c>
      <c r="D3" s="6" t="s">
        <v>1298</v>
      </c>
    </row>
    <row r="4" spans="1:4" ht="43.2" x14ac:dyDescent="0.3">
      <c r="A4" s="10" t="s">
        <v>1250</v>
      </c>
      <c r="B4" s="20">
        <v>546000</v>
      </c>
      <c r="C4" s="8" t="s">
        <v>1299</v>
      </c>
      <c r="D4" s="8" t="s">
        <v>1300</v>
      </c>
    </row>
    <row r="5" spans="1:4" ht="43.2" x14ac:dyDescent="0.3">
      <c r="A5" s="10" t="s">
        <v>1241</v>
      </c>
      <c r="B5" s="20">
        <v>115697.09</v>
      </c>
      <c r="C5" s="8" t="s">
        <v>1301</v>
      </c>
      <c r="D5" s="8" t="s">
        <v>1302</v>
      </c>
    </row>
    <row r="6" spans="1:4" ht="86.4" x14ac:dyDescent="0.3">
      <c r="A6" s="10" t="s">
        <v>1233</v>
      </c>
      <c r="B6" s="20">
        <v>11474.73</v>
      </c>
      <c r="C6" s="8" t="s">
        <v>1303</v>
      </c>
      <c r="D6" s="8" t="s">
        <v>1304</v>
      </c>
    </row>
    <row r="7" spans="1:4" ht="187.2" x14ac:dyDescent="0.3">
      <c r="A7" s="10" t="s">
        <v>1182</v>
      </c>
      <c r="B7" s="20">
        <v>407038</v>
      </c>
      <c r="C7" s="8" t="s">
        <v>1305</v>
      </c>
      <c r="D7" s="8" t="s">
        <v>1306</v>
      </c>
    </row>
    <row r="8" spans="1:4" ht="72" x14ac:dyDescent="0.3">
      <c r="A8" s="10" t="s">
        <v>1193</v>
      </c>
      <c r="B8" s="20">
        <v>93516.950000000012</v>
      </c>
      <c r="C8" s="8" t="s">
        <v>1307</v>
      </c>
      <c r="D8" s="8" t="s">
        <v>1308</v>
      </c>
    </row>
    <row r="9" spans="1:4" ht="43.2" x14ac:dyDescent="0.3">
      <c r="A9" s="10" t="s">
        <v>1254</v>
      </c>
      <c r="B9" s="20">
        <v>285000</v>
      </c>
      <c r="C9" s="8" t="s">
        <v>1309</v>
      </c>
      <c r="D9" s="8" t="s">
        <v>1310</v>
      </c>
    </row>
    <row r="10" spans="1:4" ht="360" x14ac:dyDescent="0.3">
      <c r="A10" s="10" t="s">
        <v>1201</v>
      </c>
      <c r="B10" s="20">
        <v>140470.47999999998</v>
      </c>
      <c r="C10" s="8" t="s">
        <v>1311</v>
      </c>
      <c r="D10" s="8" t="s">
        <v>1312</v>
      </c>
    </row>
    <row r="11" spans="1:4" ht="43.2" x14ac:dyDescent="0.3">
      <c r="A11" s="10" t="s">
        <v>1262</v>
      </c>
      <c r="B11" s="20">
        <v>36336.76</v>
      </c>
      <c r="C11" s="8" t="s">
        <v>1313</v>
      </c>
      <c r="D11" s="8" t="s">
        <v>1314</v>
      </c>
    </row>
    <row r="12" spans="1:4" ht="72" x14ac:dyDescent="0.3">
      <c r="A12" s="10" t="s">
        <v>1246</v>
      </c>
      <c r="B12" s="20">
        <v>72150</v>
      </c>
      <c r="C12" s="8" t="s">
        <v>1315</v>
      </c>
      <c r="D12" s="8" t="s">
        <v>1316</v>
      </c>
    </row>
    <row r="13" spans="1:4" ht="57.6" x14ac:dyDescent="0.3">
      <c r="A13" s="10" t="s">
        <v>1257</v>
      </c>
      <c r="B13" s="20">
        <v>20792.439999999999</v>
      </c>
      <c r="C13" s="8" t="s">
        <v>1315</v>
      </c>
      <c r="D13" s="8" t="s">
        <v>1317</v>
      </c>
    </row>
    <row r="14" spans="1:4" x14ac:dyDescent="0.3">
      <c r="A14" s="21" t="s">
        <v>1162</v>
      </c>
      <c r="B14" s="22">
        <v>1728476.4499999997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D4451AF-6819-473B-BCF5-4AB33156C4A5}">
  <sheetPr>
    <tabColor theme="9" tint="0.79998168889431442"/>
  </sheetPr>
  <dimension ref="A3:E13"/>
  <sheetViews>
    <sheetView showGridLines="0" workbookViewId="0">
      <selection activeCell="A4" sqref="A4:D6"/>
    </sheetView>
  </sheetViews>
  <sheetFormatPr defaultRowHeight="14.4" x14ac:dyDescent="0.3"/>
  <cols>
    <col min="1" max="1" width="46.88671875" bestFit="1" customWidth="1"/>
    <col min="2" max="2" width="16.88671875" bestFit="1" customWidth="1"/>
    <col min="3" max="3" width="38.109375" customWidth="1"/>
    <col min="4" max="5" width="39.6640625" customWidth="1"/>
  </cols>
  <sheetData>
    <row r="3" spans="1:5" x14ac:dyDescent="0.3">
      <c r="A3" s="7" t="s">
        <v>1160</v>
      </c>
      <c r="B3" s="8" t="s">
        <v>1161</v>
      </c>
      <c r="C3" s="6" t="s">
        <v>1163</v>
      </c>
      <c r="D3" s="6" t="s">
        <v>1164</v>
      </c>
      <c r="E3" s="6" t="s">
        <v>1165</v>
      </c>
    </row>
    <row r="4" spans="1:5" x14ac:dyDescent="0.3">
      <c r="A4" s="10" t="s">
        <v>784</v>
      </c>
      <c r="B4" s="11">
        <v>7361.73</v>
      </c>
      <c r="C4" s="8" t="s">
        <v>1168</v>
      </c>
      <c r="D4" s="8" t="str">
        <f>IFERROR(VLOOKUP(A4,'[1]ANALISE DE INADIMPLENCIA'!$A$4:$E$9,4,FALSE),"-")</f>
        <v>-</v>
      </c>
      <c r="E4" s="8" t="s">
        <v>1169</v>
      </c>
    </row>
    <row r="5" spans="1:5" ht="57.6" x14ac:dyDescent="0.3">
      <c r="A5" s="10" t="s">
        <v>226</v>
      </c>
      <c r="B5" s="11">
        <v>1030277.08</v>
      </c>
      <c r="C5" s="8" t="str">
        <f>IFERROR(VLOOKUP(A5,'[1]ANALISE DE INADIMPLENCIA'!$A$4:$E$9,3,FALSE),"-")</f>
        <v>AGUARDANDO CADASTRO NO DETRAN MS PARA ALIENAÇÃO DOS VEÍCULOS E AGUARDANDO ASSINATURA DA CESSÃO DE CRÉDITO</v>
      </c>
      <c r="D5" s="8" t="str">
        <f>IFERROR(VLOOKUP(A5,'[1]ANALISE DE INADIMPLENCIA'!$A$4:$E$9,4,FALSE),"-")</f>
        <v>PROGRAMADO PAGAMENTO DE 223 MIL PARA 29/07/2022 E 800 MIL PARA 30/08/2022</v>
      </c>
      <c r="E5" s="8" t="str">
        <f>IFERROR(VLOOKUP(A5,'[1]ANALISE DE INADIMPLENCIA'!$A$4:$E$9,5,FALSE),"-")</f>
        <v xml:space="preserve">Cobrar retorno do cliente </v>
      </c>
    </row>
    <row r="6" spans="1:5" ht="43.2" x14ac:dyDescent="0.3">
      <c r="A6" s="10" t="s">
        <v>197</v>
      </c>
      <c r="B6" s="11">
        <v>151866.12999999998</v>
      </c>
      <c r="C6" s="8" t="str">
        <f>IFERROR(VLOOKUP(A6,'[1]ANALISE DE INADIMPLENCIA'!$A$4:$E$9,3,FALSE),"-")</f>
        <v>CLIENTE FICOU DE TRANSFERIR 80 MIL, PORÉM ESTE VALOR DEPENDE DE ANTECIPAÇÃO DE VENDAS DE CLIENTE DELE</v>
      </c>
      <c r="D6" s="8" t="str">
        <f>IFERROR(VLOOKUP(A6,'[1]ANALISE DE INADIMPLENCIA'!$A$4:$E$9,4,FALSE),"-")</f>
        <v xml:space="preserve">CLIENTE NEGATIVADO </v>
      </c>
      <c r="E6" s="8" t="str">
        <f>IFERROR(VLOOKUP(A6,'[1]ANALISE DE INADIMPLENCIA'!$A$4:$E$9,5,FALSE),"-")</f>
        <v>AGUARDANDO PAGAMENTO</v>
      </c>
    </row>
    <row r="7" spans="1:5" ht="28.8" x14ac:dyDescent="0.3">
      <c r="A7" s="10" t="s">
        <v>427</v>
      </c>
      <c r="B7" s="11">
        <v>77377.2</v>
      </c>
      <c r="C7" s="8" t="str">
        <f>IFERROR(VLOOKUP(A7,'[1]ANALISE DE INADIMPLENCIA'!$A$4:$E$9,3,FALSE),"-")</f>
        <v>AGUARDANDO NOVA PREVISÃO DE PAGAMENTO</v>
      </c>
      <c r="D7" s="8" t="str">
        <f>IFERROR(VLOOKUP(A7,'[1]ANALISE DE INADIMPLENCIA'!$A$4:$E$9,4,FALSE),"-")</f>
        <v>-</v>
      </c>
      <c r="E7" s="8" t="str">
        <f>IFERROR(VLOOKUP(A7,'[1]ANALISE DE INADIMPLENCIA'!$A$4:$E$9,5,FALSE),"-")</f>
        <v>AGUARDANDO PAGAMENTO</v>
      </c>
    </row>
    <row r="8" spans="1:5" ht="28.8" x14ac:dyDescent="0.3">
      <c r="A8" s="10" t="s">
        <v>591</v>
      </c>
      <c r="B8" s="11">
        <v>1118432</v>
      </c>
      <c r="C8" s="8" t="str">
        <f>IFERROR(VLOOKUP(A8,'[1]ANALISE DE INADIMPLENCIA'!$A$4:$E$9,3,FALSE),"-")</f>
        <v>EXPECTATIVA DE 266 MIL PARA 25/07, 399 MIL PARA 01/08 e 399 mil para 29/07/2022</v>
      </c>
      <c r="D8" s="8" t="str">
        <f>IFERROR(VLOOKUP(A8,'[1]ANALISE DE INADIMPLENCIA'!$A$4:$E$9,4,FALSE),"-")</f>
        <v>-</v>
      </c>
      <c r="E8" s="8" t="str">
        <f>IFERROR(VLOOKUP(A8,'[1]ANALISE DE INADIMPLENCIA'!$A$4:$E$9,5,FALSE),"-")</f>
        <v>ACOMPANHAR COM O CLIENTE A ENTREGA DA COLHEITA</v>
      </c>
    </row>
    <row r="9" spans="1:5" x14ac:dyDescent="0.3">
      <c r="A9" s="10" t="s">
        <v>280</v>
      </c>
      <c r="B9" s="11">
        <v>64909.8</v>
      </c>
      <c r="C9" s="8" t="str">
        <f>IFERROR(VLOOKUP(A9,'[1]ANALISE DE INADIMPLENCIA'!$A$4:$E$9,3,FALSE),"-")</f>
        <v>RENEGOCIAÇÃO DE ESTOQUE</v>
      </c>
      <c r="D9" s="8" t="str">
        <f>IFERROR(VLOOKUP(A9,'[1]ANALISE DE INADIMPLENCIA'!$A$4:$E$9,4,FALSE),"-")</f>
        <v>-</v>
      </c>
      <c r="E9" s="8" t="str">
        <f>IFERROR(VLOOKUP(A9,'[1]ANALISE DE INADIMPLENCIA'!$A$4:$E$9,5,FALSE),"-")</f>
        <v>PAGAMENTO NO VENCIMENTO DE 30/10</v>
      </c>
    </row>
    <row r="10" spans="1:5" x14ac:dyDescent="0.3">
      <c r="A10" s="13" t="s">
        <v>1162</v>
      </c>
      <c r="B10" s="14">
        <v>2450223.9399999995</v>
      </c>
      <c r="C10" s="12"/>
      <c r="D10" s="12"/>
      <c r="E10" s="12"/>
    </row>
    <row r="11" spans="1:5" x14ac:dyDescent="0.3">
      <c r="A11" s="15" t="s">
        <v>1166</v>
      </c>
      <c r="B11" s="16">
        <f>SUM('TOTAL EM ABERTO'!G2:G1323)</f>
        <v>98532288.019999966</v>
      </c>
    </row>
    <row r="12" spans="1:5" x14ac:dyDescent="0.3">
      <c r="A12" s="15" t="s">
        <v>1167</v>
      </c>
      <c r="B12" s="17">
        <f>GETPIVOTDATA("Valor R$",$A$3)/B11</f>
        <v>2.4867218545687846E-2</v>
      </c>
    </row>
    <row r="13" spans="1:5" x14ac:dyDescent="0.3">
      <c r="A13" s="9"/>
      <c r="B13" s="9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Folhas de Cálculo</vt:lpstr>
      </vt:variant>
      <vt:variant>
        <vt:i4>6</vt:i4>
      </vt:variant>
    </vt:vector>
  </HeadingPairs>
  <TitlesOfParts>
    <vt:vector size="6" baseType="lpstr">
      <vt:lpstr>TOTAL EM ABERTO</vt:lpstr>
      <vt:lpstr>VENCIMENTOS JULHO 2022</vt:lpstr>
      <vt:lpstr>TOTAL INADIMPLENTES</vt:lpstr>
      <vt:lpstr>CLIENTES PDD</vt:lpstr>
      <vt:lpstr>ANALISE CLIENTES PDD</vt:lpstr>
      <vt:lpstr>ANALISE DE INADIMPLENCIA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financeiro.brazil</dc:creator>
  <cp:lastModifiedBy>Vanelli, Romeu</cp:lastModifiedBy>
  <dcterms:created xsi:type="dcterms:W3CDTF">2022-07-19T11:32:37Z</dcterms:created>
  <dcterms:modified xsi:type="dcterms:W3CDTF">2022-07-20T13:21:02Z</dcterms:modified>
</cp:coreProperties>
</file>