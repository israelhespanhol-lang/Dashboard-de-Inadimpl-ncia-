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upaazoty-my.sharepoint.com/personal/carolina_oliveira_compo-expert_com/Documents/METAS - CAROL/HISTÓRICO DE INADIMPLENCIA/2026/MAIO 2026/"/>
    </mc:Choice>
  </mc:AlternateContent>
  <xr:revisionPtr revIDLastSave="5" documentId="8_{784E6945-2CB7-4731-937E-C2AD78F65EC4}" xr6:coauthVersionLast="47" xr6:coauthVersionMax="47" xr10:uidLastSave="{415396DB-BBA7-4308-9D2E-CF28C5C31A3C}"/>
  <bookViews>
    <workbookView xWindow="-108" yWindow="-108" windowWidth="23256" windowHeight="13896" activeTab="2" xr2:uid="{A8C2AD64-0190-4F0D-BED2-81E0834B3DB7}"/>
  </bookViews>
  <sheets>
    <sheet name="TOTAL EM ABERTO" sheetId="1" r:id="rId1"/>
    <sheet name="TOTAL INADIMPLENCIA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ABERTO'!$A$1:$J$1423</definedName>
  </definedNames>
  <calcPr calcId="191029"/>
  <pivotCaches>
    <pivotCache cacheId="8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8" i="3" l="1"/>
  <c r="D5" i="3"/>
  <c r="E5" i="3"/>
  <c r="F5" i="3"/>
  <c r="G5" i="3"/>
  <c r="D6" i="3"/>
  <c r="E6" i="3"/>
  <c r="F6" i="3"/>
  <c r="G6" i="3"/>
  <c r="D7" i="3"/>
  <c r="E7" i="3"/>
  <c r="F7" i="3"/>
  <c r="G7" i="3"/>
  <c r="D8" i="3"/>
  <c r="E8" i="3"/>
  <c r="F8" i="3"/>
  <c r="G8" i="3"/>
  <c r="D9" i="3"/>
  <c r="E9" i="3"/>
  <c r="F9" i="3"/>
  <c r="G9" i="3"/>
  <c r="D10" i="3"/>
  <c r="E10" i="3"/>
  <c r="F10" i="3"/>
  <c r="G10" i="3"/>
  <c r="D11" i="3"/>
  <c r="E11" i="3"/>
  <c r="F11" i="3"/>
  <c r="G11" i="3"/>
  <c r="D12" i="3"/>
  <c r="E12" i="3"/>
  <c r="F12" i="3"/>
  <c r="G12" i="3"/>
  <c r="D13" i="3"/>
  <c r="E13" i="3"/>
  <c r="F13" i="3"/>
  <c r="G13" i="3"/>
  <c r="D14" i="3"/>
  <c r="E14" i="3"/>
  <c r="F14" i="3"/>
  <c r="G14" i="3"/>
  <c r="D15" i="3"/>
  <c r="E15" i="3"/>
  <c r="F15" i="3"/>
  <c r="G15" i="3"/>
  <c r="D16" i="3"/>
  <c r="E16" i="3"/>
  <c r="F16" i="3"/>
  <c r="G16" i="3"/>
  <c r="F4" i="3"/>
  <c r="G4" i="3"/>
  <c r="E4" i="3"/>
  <c r="D4" i="3"/>
  <c r="B19" i="3"/>
</calcChain>
</file>

<file path=xl/sharedStrings.xml><?xml version="1.0" encoding="utf-8"?>
<sst xmlns="http://schemas.openxmlformats.org/spreadsheetml/2006/main" count="6062" uniqueCount="1254">
  <si>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</si>
  <si>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</si>
  <si>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</si>
  <si>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</si>
  <si>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</si>
  <si>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</si>
  <si>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</si>
  <si>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</si>
  <si>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</si>
  <si>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</si>
  <si>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CL09593</t>
  </si>
  <si>
    <t>JULIO CESAR BARBOSA GONCALVES</t>
  </si>
  <si>
    <t>Garantia Farm Valley</t>
  </si>
  <si>
    <t>ROMEU DECIO VANELLI</t>
  </si>
  <si>
    <t>CL09594</t>
  </si>
  <si>
    <t>LUZILELIA ALVES MENEZES</t>
  </si>
  <si>
    <t>CL08834</t>
  </si>
  <si>
    <t>AGRO ALTA COMERCIO DE INSUMOS AGRICOLAS LTDA</t>
  </si>
  <si>
    <t>NOTA FISCAL Nº 36967</t>
  </si>
  <si>
    <t>GABRIEL BORGES</t>
  </si>
  <si>
    <t>NOTA FISCAL Nº 37110</t>
  </si>
  <si>
    <t>NOTA FISCAL Nº 37254</t>
  </si>
  <si>
    <t>NOTA FISCAL Nº 37257</t>
  </si>
  <si>
    <t>CL09415</t>
  </si>
  <si>
    <t>LUCAS SOUZA RIBEIRO</t>
  </si>
  <si>
    <t>NOTA FISCAL Nº 37271</t>
  </si>
  <si>
    <t>CESAR CAIXETA</t>
  </si>
  <si>
    <t>NOTA FISCAL Nº 37349</t>
  </si>
  <si>
    <t>NOTA FISCAL Nº 37408</t>
  </si>
  <si>
    <t>NOTA FISCAL Nº 37810</t>
  </si>
  <si>
    <t>NOTA FISCAL Nº 37812</t>
  </si>
  <si>
    <t>NOTA FISCAL Nº 37993</t>
  </si>
  <si>
    <t>NOTA FISCAL Nº 37995</t>
  </si>
  <si>
    <t>NOTA FISCAL Nº 37996</t>
  </si>
  <si>
    <t>NOTA FISCAL Nº 37998</t>
  </si>
  <si>
    <t>NOTA FISCAL Nº 38418</t>
  </si>
  <si>
    <t>NOTA FISCAL Nº 38419</t>
  </si>
  <si>
    <t>NOTA FISCAL Nº 38449</t>
  </si>
  <si>
    <t>NOTA FISCAL Nº 38610</t>
  </si>
  <si>
    <t>CL08821</t>
  </si>
  <si>
    <t>PRODUFERTIL COMERCIO DE PRODUTOS AGRICOLAS LTDA</t>
  </si>
  <si>
    <t>Notas Fiscais de Saída - CL08821</t>
  </si>
  <si>
    <t>JOAO BRIZUENA</t>
  </si>
  <si>
    <t>CL08666</t>
  </si>
  <si>
    <t>SOLOTEK INDUSTRIA DE ADUBOS E FERTILIZANTES S/A</t>
  </si>
  <si>
    <t>Notas Fiscais de Saída - CL08666</t>
  </si>
  <si>
    <t>CARLOS BERNARDES</t>
  </si>
  <si>
    <t>CL09132</t>
  </si>
  <si>
    <t>ARI GOBBI</t>
  </si>
  <si>
    <t>Renegociação ARI GOBBI</t>
  </si>
  <si>
    <t>LUCAS REIS</t>
  </si>
  <si>
    <t>CL08542</t>
  </si>
  <si>
    <t>BOASAFRA COMERCIO E REPRESENTACOES LTDA</t>
  </si>
  <si>
    <t>Notas Fiscais de Saída - CL08542</t>
  </si>
  <si>
    <t>CLAUDIA DA SILVA</t>
  </si>
  <si>
    <t>CL09862</t>
  </si>
  <si>
    <t>Notas Fiscais de Saída - CL09862</t>
  </si>
  <si>
    <t>NOTA FISCAL Nº 40133</t>
  </si>
  <si>
    <t>NOTA FISCAL Nº 40504</t>
  </si>
  <si>
    <t>CL01102</t>
  </si>
  <si>
    <t>Notas Fiscais de Saída - CL01102</t>
  </si>
  <si>
    <t>NOTA FISCAL Nº 40576</t>
  </si>
  <si>
    <t>NOTA FISCAL Nº 40577</t>
  </si>
  <si>
    <t>CL09462</t>
  </si>
  <si>
    <t>MARCO ANTONIO OLIVEIRA CAMPOS</t>
  </si>
  <si>
    <t>NOTA FISCAL Nº 40641</t>
  </si>
  <si>
    <t>ANDREI RIEGER</t>
  </si>
  <si>
    <t>Notas Fiscais de Saída - CL09462</t>
  </si>
  <si>
    <t>CL09092</t>
  </si>
  <si>
    <t>DOURADO E VIANA LTDA</t>
  </si>
  <si>
    <t>NOTA FISCAL Nº 40671</t>
  </si>
  <si>
    <t>CL09461</t>
  </si>
  <si>
    <t>JOAO BATISTA CAMPOS</t>
  </si>
  <si>
    <t>NOTA FISCAL Nº 40710</t>
  </si>
  <si>
    <t>NOTA FISCAL Nº 40711</t>
  </si>
  <si>
    <t>NOTA FISCAL Nº 40712</t>
  </si>
  <si>
    <t>NOTA FISCAL Nº 40713</t>
  </si>
  <si>
    <t>NOTA FISCAL Nº 40716</t>
  </si>
  <si>
    <t>NOTA FISCAL Nº 40717</t>
  </si>
  <si>
    <t>CL08630</t>
  </si>
  <si>
    <t>NOTA FISCAL Nº 40718</t>
  </si>
  <si>
    <t>CL08757</t>
  </si>
  <si>
    <t>NOTA FISCAL Nº 40719</t>
  </si>
  <si>
    <t>NOTA FISCAL Nº 40720</t>
  </si>
  <si>
    <t>CL09447</t>
  </si>
  <si>
    <t>COOPERATIVA MISTA AGROPECUARIA DO VALE DO ARAGUAIA</t>
  </si>
  <si>
    <t>NOTA FISCAL Nº 40736</t>
  </si>
  <si>
    <t>NOTA FISCAL Nº 40765</t>
  </si>
  <si>
    <t>NOTA FISCAL Nº 40766</t>
  </si>
  <si>
    <t>CL10155</t>
  </si>
  <si>
    <t>HORTSOY COMERCIO E REPRESENTACOES LTDA</t>
  </si>
  <si>
    <t>NOTA FISCAL Nº 40843</t>
  </si>
  <si>
    <t>SAULO PAIVA</t>
  </si>
  <si>
    <t>CL10153</t>
  </si>
  <si>
    <t>Notas Fiscais de Saída - CL10153</t>
  </si>
  <si>
    <t>CL10154</t>
  </si>
  <si>
    <t>NOTA FISCAL Nº 40845</t>
  </si>
  <si>
    <t>MATHEUS MACEDO</t>
  </si>
  <si>
    <t>CL10113</t>
  </si>
  <si>
    <t>NOTA FISCAL Nº 40846</t>
  </si>
  <si>
    <t>CL10082</t>
  </si>
  <si>
    <t>NOTA FISCAL Nº 40847</t>
  </si>
  <si>
    <t>CL10083</t>
  </si>
  <si>
    <t>NOTA FISCAL Nº 40848</t>
  </si>
  <si>
    <t>CL10112</t>
  </si>
  <si>
    <t>NOTA FISCAL Nº 40850</t>
  </si>
  <si>
    <t>CL10058</t>
  </si>
  <si>
    <t>NOTA FISCAL Nº 40851</t>
  </si>
  <si>
    <t>CL10081</t>
  </si>
  <si>
    <t>NOTA FISCAL Nº 40852</t>
  </si>
  <si>
    <t>CL10060</t>
  </si>
  <si>
    <t>NOTA FISCAL Nº 40853</t>
  </si>
  <si>
    <t>CL10061</t>
  </si>
  <si>
    <t>NOTA FISCAL Nº 40854</t>
  </si>
  <si>
    <t>CL09221</t>
  </si>
  <si>
    <t>MARCOS RUELA DA SILVA CIA LTDA</t>
  </si>
  <si>
    <t>NOTA FISCAL Nº 40866</t>
  </si>
  <si>
    <t>MARYANNA SILVEIRA</t>
  </si>
  <si>
    <t>CL08531</t>
  </si>
  <si>
    <t>AHL DISTRIBUIDORA S/A</t>
  </si>
  <si>
    <t>NOTA FISCAL Nº 40887</t>
  </si>
  <si>
    <t>CL01217</t>
  </si>
  <si>
    <t>FITOVET LTDA</t>
  </si>
  <si>
    <t>NOTA FISCAL Nº 40921</t>
  </si>
  <si>
    <t>NOTA FISCAL Nº 40928</t>
  </si>
  <si>
    <t>NOTA FISCAL Nº 40951</t>
  </si>
  <si>
    <t>NOTA FISCAL Nº 40956</t>
  </si>
  <si>
    <t>NOTA FISCAL Nº 40957</t>
  </si>
  <si>
    <t>CL10034</t>
  </si>
  <si>
    <t>DIEGO CARAFFINI</t>
  </si>
  <si>
    <t>NOTA FISCAL Nº 40969</t>
  </si>
  <si>
    <t>NOTA FISCAL Nº 40970</t>
  </si>
  <si>
    <t>NOTA FISCAL Nº 40971</t>
  </si>
  <si>
    <t>NOTA FISCAL Nº 40972</t>
  </si>
  <si>
    <t>CL09664</t>
  </si>
  <si>
    <t>LEONARDO CARAFFINI</t>
  </si>
  <si>
    <t>NOTA FISCAL Nº 40973</t>
  </si>
  <si>
    <t>NOTA FISCAL Nº 40974</t>
  </si>
  <si>
    <t>NOTA FISCAL Nº 40975</t>
  </si>
  <si>
    <t>NOTA FISCAL Nº 40984</t>
  </si>
  <si>
    <t>NOTA FISCAL Nº 40985</t>
  </si>
  <si>
    <t>NOTA FISCAL Nº 40987</t>
  </si>
  <si>
    <t>NOTA FISCAL Nº 40989</t>
  </si>
  <si>
    <t>CL09241</t>
  </si>
  <si>
    <t>ARMANDO FERNANDO MATOS</t>
  </si>
  <si>
    <t>NOTA FISCAL Nº 40999</t>
  </si>
  <si>
    <t>DAYANE PEREIRA</t>
  </si>
  <si>
    <t>NOTA FISCAL Nº 41000</t>
  </si>
  <si>
    <t>NOTA FISCAL Nº 41001</t>
  </si>
  <si>
    <t>NOTA FISCAL Nº 41006</t>
  </si>
  <si>
    <t>NOTA FISCAL Nº 41013</t>
  </si>
  <si>
    <t>NOTA FISCAL Nº 41020</t>
  </si>
  <si>
    <t>CL09202</t>
  </si>
  <si>
    <t>TERRA BRASIL AGRONEGOCIOS E COMERCIO LTDA</t>
  </si>
  <si>
    <t>NOTA FISCAL Nº 41038</t>
  </si>
  <si>
    <t>NOTA FISCAL Nº 41039</t>
  </si>
  <si>
    <t>NOTA FISCAL Nº 41052</t>
  </si>
  <si>
    <t>NOTA FISCAL Nº 41053</t>
  </si>
  <si>
    <t>NOTA FISCAL Nº 41054</t>
  </si>
  <si>
    <t>CL09527</t>
  </si>
  <si>
    <t>BC AGRO COMERCIO LTDA</t>
  </si>
  <si>
    <t>NOTA FISCAL Nº 41061</t>
  </si>
  <si>
    <t>LEOMAR MULLER</t>
  </si>
  <si>
    <t>CL09258</t>
  </si>
  <si>
    <t>ROCHA AGRONEGOCIO LTDA</t>
  </si>
  <si>
    <t>NOTA FISCAL Nº 41062</t>
  </si>
  <si>
    <t>CL08753</t>
  </si>
  <si>
    <t>TERRA VERDE COMERCIO E REPRESENTACAO DE PRODUTOS AGRICOLAS LTDA</t>
  </si>
  <si>
    <t>NOTA FISCAL Nº 41064</t>
  </si>
  <si>
    <t>NOTA FISCAL Nº 41066</t>
  </si>
  <si>
    <t>NOTA FISCAL Nº 41068</t>
  </si>
  <si>
    <t>NOTA FISCAL Nº 41081</t>
  </si>
  <si>
    <t>CL09627</t>
  </si>
  <si>
    <t>DELSO CARAFFINI</t>
  </si>
  <si>
    <t>NOTA FISCAL Nº 41084</t>
  </si>
  <si>
    <t>NOTA FISCAL Nº 41085</t>
  </si>
  <si>
    <t>CL10035</t>
  </si>
  <si>
    <t>ROBSON CARAFFINI</t>
  </si>
  <si>
    <t>NOTA FISCAL Nº 41086</t>
  </si>
  <si>
    <t>CL09787</t>
  </si>
  <si>
    <t>AGRONEXA AGRICOLA LTDA EPP</t>
  </si>
  <si>
    <t>NOTA FISCAL Nº 41101</t>
  </si>
  <si>
    <t>NOTA FISCAL Nº 41131</t>
  </si>
  <si>
    <t>NOTA FISCAL Nº 41132</t>
  </si>
  <si>
    <t>NOTA FISCAL Nº 41148</t>
  </si>
  <si>
    <t>NOTA FISCAL Nº 41149</t>
  </si>
  <si>
    <t>CL10161</t>
  </si>
  <si>
    <t>NOTA FISCAL Nº 41152</t>
  </si>
  <si>
    <t>CL09653</t>
  </si>
  <si>
    <t>LUIS CARLOS GRANEMANN</t>
  </si>
  <si>
    <t>NOTA FISCAL Nº 41156</t>
  </si>
  <si>
    <t>NOTA FISCAL Nº 41161</t>
  </si>
  <si>
    <t>NOTA FISCAL Nº 41162</t>
  </si>
  <si>
    <t>CL09655</t>
  </si>
  <si>
    <t>GELSO CARAFFINI</t>
  </si>
  <si>
    <t>NOTA FISCAL Nº 41163</t>
  </si>
  <si>
    <t>CL09665</t>
  </si>
  <si>
    <t>LUIZ CARAFINI</t>
  </si>
  <si>
    <t>NOTA FISCAL Nº 41164</t>
  </si>
  <si>
    <t>CL09863</t>
  </si>
  <si>
    <t>MAR LUIZ CARAFINI</t>
  </si>
  <si>
    <t>NOTA FISCAL Nº 41167</t>
  </si>
  <si>
    <t>NOTA FISCAL Nº 41168</t>
  </si>
  <si>
    <t>CL09345</t>
  </si>
  <si>
    <t>HARALD KUDIESS</t>
  </si>
  <si>
    <t>NOTA FISCAL Nº 41193</t>
  </si>
  <si>
    <t>CL08781</t>
  </si>
  <si>
    <t>RIO PRATUDAO AGROPECUARIA LTDA</t>
  </si>
  <si>
    <t>NOTA FISCAL Nº 41194</t>
  </si>
  <si>
    <t>CL09590</t>
  </si>
  <si>
    <t>ANTONIO CARLOS RIBEIRO</t>
  </si>
  <si>
    <t>NOTA FISCAL Nº 41195</t>
  </si>
  <si>
    <t>NOTA FISCAL Nº 41211</t>
  </si>
  <si>
    <t>CL09654</t>
  </si>
  <si>
    <t>BRUNO SERGIO ZANUZZI</t>
  </si>
  <si>
    <t>NOTA FISCAL Nº 41215</t>
  </si>
  <si>
    <t>NOTA FISCAL Nº 41217</t>
  </si>
  <si>
    <t>NOTA FISCAL Nº 41219</t>
  </si>
  <si>
    <t>NOTA FISCAL Nº 41240</t>
  </si>
  <si>
    <t>CL09034</t>
  </si>
  <si>
    <t>COMERCIAL MACHADO AGRICOLA LTDA</t>
  </si>
  <si>
    <t>NOTA FISCAL Nº 41241</t>
  </si>
  <si>
    <t>CL09196</t>
  </si>
  <si>
    <t>PEDRO MASSAMI KIKUDOME</t>
  </si>
  <si>
    <t>NOTA FISCAL Nº 41248</t>
  </si>
  <si>
    <t>NOTA FISCAL Nº 41302</t>
  </si>
  <si>
    <t>NOTA FISCAL Nº 41311</t>
  </si>
  <si>
    <t>NOTA FISCAL Nº 41312</t>
  </si>
  <si>
    <t>NOTA FISCAL Nº 41316</t>
  </si>
  <si>
    <t>CL10127</t>
  </si>
  <si>
    <t>TERRA DO BRASIL PRODUTOS AGROPECUARIOS LTDA</t>
  </si>
  <si>
    <t>NOTA FISCAL Nº 41323</t>
  </si>
  <si>
    <t>NOTA FISCAL Nº 41324</t>
  </si>
  <si>
    <t>NOTA FISCAL Nº 41341</t>
  </si>
  <si>
    <t>NOTA FISCAL Nº 41344</t>
  </si>
  <si>
    <t>CL01398</t>
  </si>
  <si>
    <t>RAZERA AGRICOLA LTDA</t>
  </si>
  <si>
    <t>NOTA FISCAL Nº 41349</t>
  </si>
  <si>
    <t>ALEXSANDER CAMPAGNOLO</t>
  </si>
  <si>
    <t>CL08650</t>
  </si>
  <si>
    <t>CALLEGARI &amp; GOI LTDA ME</t>
  </si>
  <si>
    <t>NOTA FISCAL Nº 41353</t>
  </si>
  <si>
    <t>NOTA FISCAL Nº 41355</t>
  </si>
  <si>
    <t>NOTA FISCAL Nº 41358</t>
  </si>
  <si>
    <t>CL09371</t>
  </si>
  <si>
    <t>ALBERTO ARNOLDO KUCHNIR</t>
  </si>
  <si>
    <t>NOTA FISCAL Nº 41383</t>
  </si>
  <si>
    <t>NOTA FISCAL Nº 41384</t>
  </si>
  <si>
    <t>NOTA FISCAL Nº 41385</t>
  </si>
  <si>
    <t>NOTA FISCAL Nº 41387</t>
  </si>
  <si>
    <t>NOTA FISCAL Nº 41391</t>
  </si>
  <si>
    <t>NOTA FISCAL Nº 41392</t>
  </si>
  <si>
    <t>NOTA FISCAL Nº 41393</t>
  </si>
  <si>
    <t>NOTA FISCAL Nº 41396</t>
  </si>
  <si>
    <t>NOTA FISCAL Nº 41397</t>
  </si>
  <si>
    <t>NOTA FISCAL Nº 41398</t>
  </si>
  <si>
    <t>NOTA FISCAL Nº 41412</t>
  </si>
  <si>
    <t>CL10031</t>
  </si>
  <si>
    <t>C&amp;R DISTRIBUIDORA LTDA</t>
  </si>
  <si>
    <t>NOTA FISCAL Nº 41424</t>
  </si>
  <si>
    <t>JOAO GARCIA</t>
  </si>
  <si>
    <t>NOTA FISCAL Nº 41425</t>
  </si>
  <si>
    <t>NOTA FISCAL Nº 41435</t>
  </si>
  <si>
    <t>NOTA FISCAL Nº 41436</t>
  </si>
  <si>
    <t>NOTA FISCAL Nº 41452</t>
  </si>
  <si>
    <t>NOTA FISCAL Nº 41460</t>
  </si>
  <si>
    <t>NOTA FISCAL Nº 41470</t>
  </si>
  <si>
    <t>NOTA FISCAL Nº 41499</t>
  </si>
  <si>
    <t>NOTA FISCAL Nº 41506</t>
  </si>
  <si>
    <t>NOTA FISCAL Nº 41508</t>
  </si>
  <si>
    <t>NOTA FISCAL Nº 41518</t>
  </si>
  <si>
    <t>CL01010</t>
  </si>
  <si>
    <t>DECIO LUIZ CASSOL CIA LTDA</t>
  </si>
  <si>
    <t>NOTA FISCAL Nº 41549</t>
  </si>
  <si>
    <t>Notas Fiscais de Saída - CL01398</t>
  </si>
  <si>
    <t>NOTA FISCAL Nº 41554</t>
  </si>
  <si>
    <t>NOTA FISCAL Nº 41555</t>
  </si>
  <si>
    <t>NOTA FISCAL Nº 41557</t>
  </si>
  <si>
    <t>NOTA FISCAL Nº 41558</t>
  </si>
  <si>
    <t>NOTA FISCAL Nº 41561</t>
  </si>
  <si>
    <t>Notas Fiscais de Saída - CL10058</t>
  </si>
  <si>
    <t>Notas Fiscais de Saída - CL10061</t>
  </si>
  <si>
    <t>NOTA FISCAL Nº 41586</t>
  </si>
  <si>
    <t>NOTA FISCAL Nº 41587</t>
  </si>
  <si>
    <t>NOTA FISCAL Nº 41589</t>
  </si>
  <si>
    <t>NOTA FISCAL Nº 41591</t>
  </si>
  <si>
    <t>CL10178</t>
  </si>
  <si>
    <t>NOTA FISCAL Nº 41617</t>
  </si>
  <si>
    <t>NOTA FISCAL Nº 41618</t>
  </si>
  <si>
    <t>NOTA FISCAL Nº 41619</t>
  </si>
  <si>
    <t>NOTA FISCAL Nº 41620</t>
  </si>
  <si>
    <t>NOTA FISCAL Nº 41621</t>
  </si>
  <si>
    <t>NOTA FISCAL Nº 41639</t>
  </si>
  <si>
    <t>NOTA FISCAL Nº 41686</t>
  </si>
  <si>
    <t>NOTA FISCAL Nº 41688</t>
  </si>
  <si>
    <t>CL08661</t>
  </si>
  <si>
    <t>RIO CEDRO COMERCIO E REPRESENTACOES LTDA</t>
  </si>
  <si>
    <t>NOTA FISCAL Nº 41710</t>
  </si>
  <si>
    <t>CLAYRTON DA SILVA</t>
  </si>
  <si>
    <t>CL10076</t>
  </si>
  <si>
    <t>RIO CELESTE COMERCIO E REPRESENTAÇÕES LTDA</t>
  </si>
  <si>
    <t>NOTA FISCAL Nº 41711</t>
  </si>
  <si>
    <t>CL09882</t>
  </si>
  <si>
    <t>R AGRO NEGOCIOS AGRICOLAS LTDA</t>
  </si>
  <si>
    <t>NOTA FISCAL Nº 41712</t>
  </si>
  <si>
    <t>NOTA FISCAL Nº 41713</t>
  </si>
  <si>
    <t>NOTA FISCAL Nº 41718</t>
  </si>
  <si>
    <t>NOTA FISCAL Nº 41721</t>
  </si>
  <si>
    <t>NOTA FISCAL Nº 41732</t>
  </si>
  <si>
    <t>NOTA FISCAL Nº 41733</t>
  </si>
  <si>
    <t>CL08807</t>
  </si>
  <si>
    <t>ECOSOLUCAO AGROCIENCIAS E SOLUCOES AMBIENTAIS LTDA</t>
  </si>
  <si>
    <t>NOTA FISCAL Nº 41769</t>
  </si>
  <si>
    <t>-Nenhum vendedor / comprador-</t>
  </si>
  <si>
    <t>NOTA FISCAL Nº 41799</t>
  </si>
  <si>
    <t>CL08193</t>
  </si>
  <si>
    <t>DISAM DISTRIBUIDORA DE INSUMOS AGRICOLAS SUL AMERICA LTDA</t>
  </si>
  <si>
    <t>NOTA FISCAL Nº 41829</t>
  </si>
  <si>
    <t>LUCAS WEBER</t>
  </si>
  <si>
    <t>NOTA FISCAL Nº 41830</t>
  </si>
  <si>
    <t>NOTA FISCAL Nº 41834</t>
  </si>
  <si>
    <t>CL08626</t>
  </si>
  <si>
    <t>RIO BRANCO COMERCIO E REPRESENTACOES LTDA</t>
  </si>
  <si>
    <t>NOTA FISCAL Nº 41836</t>
  </si>
  <si>
    <t>NOTA FISCAL Nº 41837</t>
  </si>
  <si>
    <t>NOTA FISCAL Nº 41838</t>
  </si>
  <si>
    <t>Notas Fiscais de Saída - CL09034</t>
  </si>
  <si>
    <t>NOTA FISCAL Nº 41888</t>
  </si>
  <si>
    <t>NOTA FISCAL Nº 41889</t>
  </si>
  <si>
    <t>Notas Fiscais de Saída - CL01010</t>
  </si>
  <si>
    <t>CL08571</t>
  </si>
  <si>
    <t>VITAGRICOLA LTDA</t>
  </si>
  <si>
    <t>NOTA FISCAL Nº 41933</t>
  </si>
  <si>
    <t>NOTA FISCAL Nº 41937</t>
  </si>
  <si>
    <t>NOTA FISCAL Nº 41938</t>
  </si>
  <si>
    <t>NOTA FISCAL Nº 41951</t>
  </si>
  <si>
    <t>CL09895</t>
  </si>
  <si>
    <t>DUOFERT INSUMOS AGRICOLAS LTDA EPP</t>
  </si>
  <si>
    <t>NOTA FISCAL Nº 41952</t>
  </si>
  <si>
    <t>GUSTAVO MORAES</t>
  </si>
  <si>
    <t>NOTA FISCAL Nº 41961</t>
  </si>
  <si>
    <t>NOTA FISCAL Nº 41965</t>
  </si>
  <si>
    <t>NOTA FISCAL Nº 41967</t>
  </si>
  <si>
    <t>Notas Fiscais de Saída - CL08193</t>
  </si>
  <si>
    <t>CL10055</t>
  </si>
  <si>
    <t>RIO AZUL COMERCIO E REPRESENTAÇOES LTDA</t>
  </si>
  <si>
    <t>NOTA FISCAL Nº 42029</t>
  </si>
  <si>
    <t>NOTA FISCAL Nº 42031</t>
  </si>
  <si>
    <t>Notas Fiscais de Saída - CL08626</t>
  </si>
  <si>
    <t>Notas Fiscais de Saída - CL08661</t>
  </si>
  <si>
    <t>CL09379</t>
  </si>
  <si>
    <t>RIO DO PEIXE COMERCIO E REPRESENTACOES LTDA</t>
  </si>
  <si>
    <t>Notas Fiscais de Saída - CL09379</t>
  </si>
  <si>
    <t>CL09027</t>
  </si>
  <si>
    <t>SILVANA LOPES DOMINGUES MARSON LTDA</t>
  </si>
  <si>
    <t>NOTA FISCAL Nº 42044</t>
  </si>
  <si>
    <t>NOTA FISCAL Nº 42054</t>
  </si>
  <si>
    <t>CL09237</t>
  </si>
  <si>
    <t>NOVATEC AGRO COMERCIAL LTDA</t>
  </si>
  <si>
    <t>NOTA FISCAL Nº 42061</t>
  </si>
  <si>
    <t>CL09416</t>
  </si>
  <si>
    <t>GEISIANE GISELE DE SOUZA</t>
  </si>
  <si>
    <t>Notas Fiscais de Saída - CL09416</t>
  </si>
  <si>
    <t>CL09535</t>
  </si>
  <si>
    <t>PAIVA E ARAUJO COMERCIO E REPRESENTACAO AGRICOLA LTDA</t>
  </si>
  <si>
    <t>Notas Fiscais de Saída - CL09535</t>
  </si>
  <si>
    <t>NOTA FISCAL Nº 42079</t>
  </si>
  <si>
    <t>NOTA FISCAL Nº 42080</t>
  </si>
  <si>
    <t>NOTA FISCAL Nº 42082</t>
  </si>
  <si>
    <t>NOTA FISCAL Nº 42083</t>
  </si>
  <si>
    <t>NOTA FISCAL Nº 42084</t>
  </si>
  <si>
    <t>NOTA FISCAL Nº 42085</t>
  </si>
  <si>
    <t>Notas Fiscais de Saída - CL09371</t>
  </si>
  <si>
    <t>CL03733</t>
  </si>
  <si>
    <t>NOTA FISCAL Nº 42094</t>
  </si>
  <si>
    <t>NOTA FISCAL Nº 42095</t>
  </si>
  <si>
    <t>CL01252</t>
  </si>
  <si>
    <t>NOTA FISCAL Nº 42097</t>
  </si>
  <si>
    <t>NOTA FISCAL Nº 42098</t>
  </si>
  <si>
    <t>NOTA FISCAL Nº 42099</t>
  </si>
  <si>
    <t>NOTA FISCAL Nº 42113</t>
  </si>
  <si>
    <t>NOTA FISCAL Nº 42116</t>
  </si>
  <si>
    <t>NOTA FISCAL Nº 42117</t>
  </si>
  <si>
    <t>NOTA FISCAL Nº 42118</t>
  </si>
  <si>
    <t>NOTA FISCAL Nº 42119</t>
  </si>
  <si>
    <t>NOTA FISCAL Nº 42120</t>
  </si>
  <si>
    <t>NOTA FISCAL Nº 42121</t>
  </si>
  <si>
    <t>NOTA FISCAL Nº 42123</t>
  </si>
  <si>
    <t>NOTA FISCAL Nº 42131</t>
  </si>
  <si>
    <t>NOTA FISCAL Nº 42132</t>
  </si>
  <si>
    <t>NOTA FISCAL Nº 42138</t>
  </si>
  <si>
    <t>CL09276</t>
  </si>
  <si>
    <t>APOIO DISTRIBUIDORA AGRICOLA LTDA</t>
  </si>
  <si>
    <t>NOTA FISCAL Nº 42154</t>
  </si>
  <si>
    <t>LAIANE RIOS</t>
  </si>
  <si>
    <t>NOTA FISCAL Nº 42156</t>
  </si>
  <si>
    <t>CL09516</t>
  </si>
  <si>
    <t>NOTA FISCAL Nº 42158</t>
  </si>
  <si>
    <t>CL06154</t>
  </si>
  <si>
    <t>APOIO RURAL AGROPECUARIA LTDA</t>
  </si>
  <si>
    <t>NOTA FISCAL Nº 42159</t>
  </si>
  <si>
    <t>Notas Fiscais de Saída - CL09787</t>
  </si>
  <si>
    <t>CL10136</t>
  </si>
  <si>
    <t>AGROCOSTA LTDA</t>
  </si>
  <si>
    <t>NOTA FISCAL Nº 42183</t>
  </si>
  <si>
    <t>NOTA FISCAL Nº 42192</t>
  </si>
  <si>
    <t>NOTA FISCAL Nº 42194</t>
  </si>
  <si>
    <t>NOTA FISCAL Nº 42195</t>
  </si>
  <si>
    <t>NOTA FISCAL Nº 42198</t>
  </si>
  <si>
    <t>CL08913</t>
  </si>
  <si>
    <t>VALE AGRICOLA AGROPECUARIA LTDA ME</t>
  </si>
  <si>
    <t>NOTA FISCAL Nº 42199</t>
  </si>
  <si>
    <t>NATHALIA NAURE</t>
  </si>
  <si>
    <t>NOTA FISCAL Nº 42206</t>
  </si>
  <si>
    <t>CL03973</t>
  </si>
  <si>
    <t>AGROFITO LTDA</t>
  </si>
  <si>
    <t>NOTA FISCAL Nº 42207</t>
  </si>
  <si>
    <t>ERICK DE OLIVEIRA</t>
  </si>
  <si>
    <t>NOTA FISCAL Nº 42212</t>
  </si>
  <si>
    <t>NOTA FISCAL Nº 42213</t>
  </si>
  <si>
    <t>NOTA FISCAL Nº 42229</t>
  </si>
  <si>
    <t>NOTA FISCAL Nº 42242</t>
  </si>
  <si>
    <t>NOTA FISCAL Nº 42243</t>
  </si>
  <si>
    <t>NOTA FISCAL Nº 42244</t>
  </si>
  <si>
    <t>NOTA FISCAL Nº 42246</t>
  </si>
  <si>
    <t>NOTA FISCAL Nº 42258</t>
  </si>
  <si>
    <t>NOTA FISCAL Nº 42260</t>
  </si>
  <si>
    <t>CL09028</t>
  </si>
  <si>
    <t>AGROPECUARIA C &amp; S LTDA</t>
  </si>
  <si>
    <t>NOTA FISCAL Nº 42290</t>
  </si>
  <si>
    <t>CL08660</t>
  </si>
  <si>
    <t>4JA COMERCIAL AGRICOLAS LTDA</t>
  </si>
  <si>
    <t>NOTA FISCAL Nº 42295</t>
  </si>
  <si>
    <t>NOTA FISCAL Nº 42299</t>
  </si>
  <si>
    <t>NOTA FISCAL Nº 42301</t>
  </si>
  <si>
    <t>NOTA FISCAL Nº 42305</t>
  </si>
  <si>
    <t>CL10215</t>
  </si>
  <si>
    <t>NOTA FISCAL Nº 42306</t>
  </si>
  <si>
    <t>CL08196</t>
  </si>
  <si>
    <t>NOTA FISCAL Nº 42307</t>
  </si>
  <si>
    <t>CL08689</t>
  </si>
  <si>
    <t>CLAUDIANA DE ALMEIDA RODRIGUES IMPORTACAO E EXPORTACAO DE FERTILIZANTES LTDA</t>
  </si>
  <si>
    <t>NOTA FISCAL Nº 42310</t>
  </si>
  <si>
    <t>NOTA FISCAL Nº 42311</t>
  </si>
  <si>
    <t>NOTA FISCAL Nº 42313</t>
  </si>
  <si>
    <t>NOTA FISCAL Nº 42328</t>
  </si>
  <si>
    <t>CL09752</t>
  </si>
  <si>
    <t>AGROLUZ COMERCIO DE PRODUTOS AGROPECUARIOS LTDA EPP</t>
  </si>
  <si>
    <t>Notas Fiscais de Saída - CL09752</t>
  </si>
  <si>
    <t>NOTA FISCAL Nº 42330</t>
  </si>
  <si>
    <t>NOTA FISCAL Nº 42331</t>
  </si>
  <si>
    <t>NOTA FISCAL Nº 42335</t>
  </si>
  <si>
    <t>NOTA FISCAL Nº 42336</t>
  </si>
  <si>
    <t>CL09160</t>
  </si>
  <si>
    <t>TERRASEMENTES COMERCIO E REPRESENTACAO LTDA</t>
  </si>
  <si>
    <t>NOTA FISCAL Nº 42341</t>
  </si>
  <si>
    <t>NOTA FISCAL Nº 42342</t>
  </si>
  <si>
    <t>NOTA FISCAL Nº 42346</t>
  </si>
  <si>
    <t>NOTA FISCAL Nº 42351</t>
  </si>
  <si>
    <t>NOTA FISCAL Nº 42361</t>
  </si>
  <si>
    <t>NOTA FISCAL Nº 42367</t>
  </si>
  <si>
    <t>NOTA FISCAL Nº 42375</t>
  </si>
  <si>
    <t>CL05921</t>
  </si>
  <si>
    <t>Notas Fiscais de Saída - CL05921</t>
  </si>
  <si>
    <t>CL01253</t>
  </si>
  <si>
    <t>NOTA FISCAL Nº 42377</t>
  </si>
  <si>
    <t>NOTA FISCAL Nº 42378</t>
  </si>
  <si>
    <t>NOTA FISCAL Nº 42380</t>
  </si>
  <si>
    <t>NOTA FISCAL Nº 42388</t>
  </si>
  <si>
    <t>CL08079</t>
  </si>
  <si>
    <t>YUCA COMERCIO AGROPECUARIO LTDA</t>
  </si>
  <si>
    <t>NOTA FISCAL Nº 42390</t>
  </si>
  <si>
    <t>NOTA FISCAL Nº 42396</t>
  </si>
  <si>
    <t>NOTA FISCAL Nº 42403</t>
  </si>
  <si>
    <t>NOTA FISCAL Nº 42405</t>
  </si>
  <si>
    <t>NOTA FISCAL Nº 42407</t>
  </si>
  <si>
    <t>NOTA FISCAL Nº 42412</t>
  </si>
  <si>
    <t>NOTA FISCAL Nº 42413</t>
  </si>
  <si>
    <t>Notas Fiscais de Saída - CL08660</t>
  </si>
  <si>
    <t>Notas Fiscais de Saída - CL09516</t>
  </si>
  <si>
    <t>CL02802</t>
  </si>
  <si>
    <t>SOLAGRI MAQUINAS E PRODUTOS AGRICOLAS LTDA</t>
  </si>
  <si>
    <t>Notas Fiscais de Saída - CL02802</t>
  </si>
  <si>
    <t>CL09473</t>
  </si>
  <si>
    <t>LEONARDO CARVALHO REZENDE</t>
  </si>
  <si>
    <t>Notas Fiscais de Saída - CL09473</t>
  </si>
  <si>
    <t>CL09474</t>
  </si>
  <si>
    <t>SIRLEI DE CARVALHO REZENDE</t>
  </si>
  <si>
    <t>Notas Fiscais de Saída - CL09474</t>
  </si>
  <si>
    <t>Notas Fiscais de Saída - CL08753</t>
  </si>
  <si>
    <t>CL09475</t>
  </si>
  <si>
    <t>Notas Fiscais de Saída - CL09475</t>
  </si>
  <si>
    <t>Notas Fiscais de Saída - CL09447</t>
  </si>
  <si>
    <t>CL08789</t>
  </si>
  <si>
    <t>AGUETONI AGRICOLA LTDA</t>
  </si>
  <si>
    <t>Notas Fiscais de Saída - CL08789</t>
  </si>
  <si>
    <t>CL08574</t>
  </si>
  <si>
    <t>SOLOVITA COM E REP DE PRODUTOS AGROPECUARIOS LTDA</t>
  </si>
  <si>
    <t>Notas Fiscais de Saída - CL08574</t>
  </si>
  <si>
    <t>Notas Fiscais de Saída - CL09276</t>
  </si>
  <si>
    <t>Notas Fiscais de Saída - CL06154</t>
  </si>
  <si>
    <t>Notas Fiscais de Saída - CL10076</t>
  </si>
  <si>
    <t>Notas Fiscais de Saída - CL09160</t>
  </si>
  <si>
    <t>Notas Fiscais de Saída - CL09895</t>
  </si>
  <si>
    <t>CL10045</t>
  </si>
  <si>
    <t>COOPERATIVA DE AGRONEGOCIOS DE SAO GABRIEL DO OESTE MS</t>
  </si>
  <si>
    <t>NOTA FISCAL Nº 42534</t>
  </si>
  <si>
    <t>NOTA FISCAL Nº 42544</t>
  </si>
  <si>
    <t>NOTA FISCAL Nº 42545</t>
  </si>
  <si>
    <t>CL09633</t>
  </si>
  <si>
    <t>PEDRO DA LUZ DINIZ</t>
  </si>
  <si>
    <t>Notas Fiscais de Saída - CL09633</t>
  </si>
  <si>
    <t>NOTA FISCAL Nº 42564</t>
  </si>
  <si>
    <t>NOTA FISCAL Nº 42570</t>
  </si>
  <si>
    <t>CL09495</t>
  </si>
  <si>
    <t>AGRO FORTTE HF LTDA</t>
  </si>
  <si>
    <t>Notas Fiscais de Saída - CL09495</t>
  </si>
  <si>
    <t>CL10157</t>
  </si>
  <si>
    <t>VEGESUL SEMENTES E NUTRICAO LTDA</t>
  </si>
  <si>
    <t>Notas Fiscais de Saída - CL10157</t>
  </si>
  <si>
    <t>NOTA FISCAL Nº 42580</t>
  </si>
  <si>
    <t>NOTA FISCAL Nº 42581</t>
  </si>
  <si>
    <t>NOTA FISCAL Nº 42585</t>
  </si>
  <si>
    <t>NOTA FISCAL Nº 42587</t>
  </si>
  <si>
    <t>CL09619</t>
  </si>
  <si>
    <t>SOLOVIVO CONSULTORIA E REPRESENTACAO AGRONOMICA LTDA</t>
  </si>
  <si>
    <t>NOTA FISCAL Nº 42588</t>
  </si>
  <si>
    <t>NOTA FISCAL Nº 42590</t>
  </si>
  <si>
    <t>Notas Fiscais de Saída - CL10082</t>
  </si>
  <si>
    <t>Notas Fiscais de Saída - CL10154</t>
  </si>
  <si>
    <t>Notas Fiscais de Saída - CL10083</t>
  </si>
  <si>
    <t>Notas Fiscais de Saída - CL10112</t>
  </si>
  <si>
    <t>CL10042</t>
  </si>
  <si>
    <t>ELIELSON ALVES DA SILVA ME</t>
  </si>
  <si>
    <t>Notas Fiscais de Saída - CL10042</t>
  </si>
  <si>
    <t>FRANCISCO PACHECO</t>
  </si>
  <si>
    <t>NOTA FISCAL Nº 42621</t>
  </si>
  <si>
    <t>NOTA FISCAL Nº 42622</t>
  </si>
  <si>
    <t>CL09865</t>
  </si>
  <si>
    <t>MARCOS AURELIO CERQUEIRA</t>
  </si>
  <si>
    <t>NOTA FISCAL Nº 42623</t>
  </si>
  <si>
    <t>Notas Fiscais de Saída - CL10081</t>
  </si>
  <si>
    <t>Notas Fiscais de Saída - CL10155</t>
  </si>
  <si>
    <t>Notas Fiscais de Saída - CL10113</t>
  </si>
  <si>
    <t>CL09442</t>
  </si>
  <si>
    <t>ALY GRAEBIN OLIVEIRA</t>
  </si>
  <si>
    <t>Notas Fiscais de Saída - CL09442</t>
  </si>
  <si>
    <t>Notas Fiscais de Saída - CL09237</t>
  </si>
  <si>
    <t>CL09548</t>
  </si>
  <si>
    <t>MILTON RESENDE OLIVEIRA</t>
  </si>
  <si>
    <t>Notas Fiscais de Saída - CL09548</t>
  </si>
  <si>
    <t>Notas Fiscais de Saída - CL10031</t>
  </si>
  <si>
    <t>Notas Fiscais de Saída - CL08689</t>
  </si>
  <si>
    <t>Notas Fiscais de Saída - CL10045</t>
  </si>
  <si>
    <t>CL09409</t>
  </si>
  <si>
    <t>BRAVO AGRO PRODUTOS AGRICOLAS LTDA</t>
  </si>
  <si>
    <t>Notas Fiscais de Saída - CL09409</t>
  </si>
  <si>
    <t>CL08828</t>
  </si>
  <si>
    <t>EVOLUCAO AGRICOLA LTDA</t>
  </si>
  <si>
    <t>Notas Fiscais de Saída - CL08828</t>
  </si>
  <si>
    <t>Notas Fiscais de Saída - CL09882</t>
  </si>
  <si>
    <t>CL10147</t>
  </si>
  <si>
    <t>SHRI TRIPURA PLANT NUTRITION LLP</t>
  </si>
  <si>
    <t>MARIEL FELIPETTO</t>
  </si>
  <si>
    <t>Notas Fiscais de Saída - CL09092</t>
  </si>
  <si>
    <t>Notas Fiscais de Saída - CL03973</t>
  </si>
  <si>
    <t>NOTA FISCAL Nº 42744</t>
  </si>
  <si>
    <t>NOTA FISCAL Nº 42745</t>
  </si>
  <si>
    <t>CL10226</t>
  </si>
  <si>
    <t>CLAUDEMIR MIORANZA</t>
  </si>
  <si>
    <t>Notas Fiscais de Saída - CL10226</t>
  </si>
  <si>
    <t>NOTA FISCAL Nº 42750</t>
  </si>
  <si>
    <t>NOTA FISCAL Nº 42751</t>
  </si>
  <si>
    <t>NOTA FISCAL Nº 42752</t>
  </si>
  <si>
    <t>NOTA FISCAL Nº 42760</t>
  </si>
  <si>
    <t>CL09511</t>
  </si>
  <si>
    <t>LUCAS PARIS RUELA</t>
  </si>
  <si>
    <t>NOTA FISCAL Nº 42762</t>
  </si>
  <si>
    <t>NOTA FISCAL Nº 42780</t>
  </si>
  <si>
    <t>CL10151</t>
  </si>
  <si>
    <t>AGROPECUARIA DO ROSA EIRELI - EPP</t>
  </si>
  <si>
    <t>Notas Fiscais de Saída - CL10151</t>
  </si>
  <si>
    <t>CL09772</t>
  </si>
  <si>
    <t>NOVA SAFRA AGRICOLA LTDA</t>
  </si>
  <si>
    <t>Notas Fiscais de Saída - CL09772</t>
  </si>
  <si>
    <t>CL06114</t>
  </si>
  <si>
    <t>Notas Fiscais de Saída - CL06114</t>
  </si>
  <si>
    <t>Notas Fiscais de Saída - CL01252</t>
  </si>
  <si>
    <t>CL09744</t>
  </si>
  <si>
    <t>LEVY VEIGA BRANDAO</t>
  </si>
  <si>
    <t>Notas Fiscais de Saída - CL09744</t>
  </si>
  <si>
    <t>Notas Fiscais de Saída - CL08913</t>
  </si>
  <si>
    <t>NOTA FISCAL Nº 42830</t>
  </si>
  <si>
    <t>NOTA FISCAL Nº 42831</t>
  </si>
  <si>
    <t>CL09479</t>
  </si>
  <si>
    <t>HORTIFERTIL PRODUTOS AGROPECUARIOS LTDA</t>
  </si>
  <si>
    <t>Notas Fiscais de Saída - CL09479</t>
  </si>
  <si>
    <t>Notas Fiscais de Saída - CL08531</t>
  </si>
  <si>
    <t>Notas Fiscais de Saída - CL10127</t>
  </si>
  <si>
    <t>CL09780</t>
  </si>
  <si>
    <t>LARANJEIRA E FARIAS COMERCIO DE INSUMOS AGRICOLAS LTDA</t>
  </si>
  <si>
    <t>Notas Fiscais de Saída - CL09780</t>
  </si>
  <si>
    <t>Notas Fiscais de Saída - CL09202</t>
  </si>
  <si>
    <t>Notas Fiscais de Saída - CL09865</t>
  </si>
  <si>
    <t>CL09435</t>
  </si>
  <si>
    <t>AGROOESTE COMERCIO E REPRESENTACAO LTDA</t>
  </si>
  <si>
    <t>Notas Fiscais de Saída - CL09435</t>
  </si>
  <si>
    <t>Notas Fiscais de Saída - CL09027</t>
  </si>
  <si>
    <t>CL09455</t>
  </si>
  <si>
    <t>CONSOLIDATED MARKETING COMPANY</t>
  </si>
  <si>
    <t>NOTA FISCAL Nº 42863</t>
  </si>
  <si>
    <t>CL09864</t>
  </si>
  <si>
    <t>MARCOS HUMBERTO TIAGO NOGUEIRA</t>
  </si>
  <si>
    <t>Notas Fiscais de Saída - CL09864</t>
  </si>
  <si>
    <t>CL10186</t>
  </si>
  <si>
    <t>SAFRA FORTE PRODUTOS AGRICOLAS LTDA</t>
  </si>
  <si>
    <t>Notas Fiscais de Saída - CL10186</t>
  </si>
  <si>
    <t>CL10228</t>
  </si>
  <si>
    <t>VITOR LUIS LUFT</t>
  </si>
  <si>
    <t>Notas Fiscais de Saída - CL10228</t>
  </si>
  <si>
    <t>CL10225</t>
  </si>
  <si>
    <t>ALEIXO LUCINDO DE SOUZA NETO</t>
  </si>
  <si>
    <t>Notas Fiscais de Saída - CL10225</t>
  </si>
  <si>
    <t>CL09894</t>
  </si>
  <si>
    <t>EDUARDO REZENDE NOGUEIRA</t>
  </si>
  <si>
    <t>Notas Fiscais de Saída - CL09894</t>
  </si>
  <si>
    <t>CL09562</t>
  </si>
  <si>
    <t>AELTON SOUSA RESENDE</t>
  </si>
  <si>
    <t>Notas Fiscais de Saída - CL09562</t>
  </si>
  <si>
    <t>CL09563</t>
  </si>
  <si>
    <t>ALBERIONE SOUSA RESENDE</t>
  </si>
  <si>
    <t>Notas Fiscais de Saída - CL09563</t>
  </si>
  <si>
    <t>CL09566</t>
  </si>
  <si>
    <t>FONTAINE RIBEIRO IRINEU</t>
  </si>
  <si>
    <t>Notas Fiscais de Saída - CL09566</t>
  </si>
  <si>
    <t>CL09579</t>
  </si>
  <si>
    <t>JOAO HILDEBRANDO RESENDE SOUZA</t>
  </si>
  <si>
    <t>Notas Fiscais de Saída - CL09579</t>
  </si>
  <si>
    <t>CL09568</t>
  </si>
  <si>
    <t>MARIA GORETTI ALMEIDA RESENDE</t>
  </si>
  <si>
    <t>Notas Fiscais de Saída - CL09568</t>
  </si>
  <si>
    <t>CL09577</t>
  </si>
  <si>
    <t>MONICA SOUZA REZENDE PEDRIEL</t>
  </si>
  <si>
    <t>Notas Fiscais de Saída - CL09577</t>
  </si>
  <si>
    <t>CL09570</t>
  </si>
  <si>
    <t>TATIANA RESENDE SOUZA SILVA</t>
  </si>
  <si>
    <t>Notas Fiscais de Saída - CL09570</t>
  </si>
  <si>
    <t>CL09774</t>
  </si>
  <si>
    <t>WAMILTON RESENDE SOUZA</t>
  </si>
  <si>
    <t>Notas Fiscais de Saída - CL09774</t>
  </si>
  <si>
    <t>CL09833</t>
  </si>
  <si>
    <t>KASSIO VIEIRA DE CARVALHO</t>
  </si>
  <si>
    <t>Notas Fiscais de Saída - CL09833</t>
  </si>
  <si>
    <t>CL08552</t>
  </si>
  <si>
    <t>RAFAEL CIALFI ABBONDANZA REPRESENTACOES LTDA</t>
  </si>
  <si>
    <t>Notas Fiscais de Saída - CL08552</t>
  </si>
  <si>
    <t>CL09365</t>
  </si>
  <si>
    <t>MERCOAGRO COMERCIO DE DEFENSIVOS AGRICOLAS LTDA</t>
  </si>
  <si>
    <t>Notas Fiscais de Saída - CL09365</t>
  </si>
  <si>
    <t>CL09795</t>
  </si>
  <si>
    <t>AGRICOLA FAMOSA SA</t>
  </si>
  <si>
    <t>Notas Fiscais de Saída - CL09795</t>
  </si>
  <si>
    <t>CL08832</t>
  </si>
  <si>
    <t>Notas Fiscais de Saída - CL08832</t>
  </si>
  <si>
    <t>NOTA FISCAL Nº 42929</t>
  </si>
  <si>
    <t>CL10190</t>
  </si>
  <si>
    <t>SETEAGRO SERVICOS E TECNOLOGIA NO AGRONEGOCIO LTDA</t>
  </si>
  <si>
    <t>Notas Fiscais de Saída - CL10190</t>
  </si>
  <si>
    <t>CL09179</t>
  </si>
  <si>
    <t>MULTI JARDIM GARDEN CENTER COMERCIO DE PLANTAS LTDA</t>
  </si>
  <si>
    <t>Notas Fiscais de Saída - CL09179</t>
  </si>
  <si>
    <t>CL09565</t>
  </si>
  <si>
    <t>FLAVIO ROBERTO TRENTIN</t>
  </si>
  <si>
    <t>Notas Fiscais de Saída - CL09565</t>
  </si>
  <si>
    <t>CL09575</t>
  </si>
  <si>
    <t>GILVAN CARRIJO VILELA</t>
  </si>
  <si>
    <t>Notas Fiscais de Saída - CL09575</t>
  </si>
  <si>
    <t>CL09581</t>
  </si>
  <si>
    <t>RENATO ALMEIDA DE CARVALHO</t>
  </si>
  <si>
    <t>Notas Fiscais de Saída - CL09581</t>
  </si>
  <si>
    <t>CL09580</t>
  </si>
  <si>
    <t>ROMILDO REZENDE OLIVEIRA</t>
  </si>
  <si>
    <t>Notas Fiscais de Saída - CL09580</t>
  </si>
  <si>
    <t>CL09683</t>
  </si>
  <si>
    <t>EDIR TOMIOSHI AGRICOLA LTDA</t>
  </si>
  <si>
    <t>Notas Fiscais de Saída - CL09683</t>
  </si>
  <si>
    <t>CL10233</t>
  </si>
  <si>
    <t>ADRIANO DORNELLES DOLCI</t>
  </si>
  <si>
    <t>NOTA FISCAL Nº 42965</t>
  </si>
  <si>
    <t>Notas Fiscais de Saída - CL09221</t>
  </si>
  <si>
    <t>NOTA FISCAL Nº 42978</t>
  </si>
  <si>
    <t>CL08562</t>
  </si>
  <si>
    <t>AGROPECUARIA VERDE MINAS LTDA</t>
  </si>
  <si>
    <t>Notas Fiscais de Saída - CL08562</t>
  </si>
  <si>
    <t>Notas Fiscais de Saída - CL01217</t>
  </si>
  <si>
    <t>CL10135</t>
  </si>
  <si>
    <t>AGRO MANTIQUEIRA LTDA</t>
  </si>
  <si>
    <t>Notas Fiscais de Saída - CL10135</t>
  </si>
  <si>
    <t>NOTA FISCAL Nº 42998</t>
  </si>
  <si>
    <t>NOTA FISCAL Nº 42999</t>
  </si>
  <si>
    <t>NOTA FISCAL Nº 43000</t>
  </si>
  <si>
    <t>A/R Invoices - CL09895</t>
  </si>
  <si>
    <t>A/R Invoices - CL09619</t>
  </si>
  <si>
    <t>CL08597</t>
  </si>
  <si>
    <t>AGRICOLA CARANDA COMERCIO E REPRESENTACAO LTDA</t>
  </si>
  <si>
    <t>Notas Fiscais de Saída - CL08597</t>
  </si>
  <si>
    <t>CL09436</t>
  </si>
  <si>
    <t>INOVAGRI COMERCIO DE PRODUTOS AGRICOLAS LTDA</t>
  </si>
  <si>
    <t>Notas Fiscais de Saída - CL09436</t>
  </si>
  <si>
    <t>NOTA FISCAL Nº 43070</t>
  </si>
  <si>
    <t>NOTA FISCAL Nº 43071</t>
  </si>
  <si>
    <t>NOTA FISCAL Nº 43072</t>
  </si>
  <si>
    <t>NOTA FISCAL Nº 43073</t>
  </si>
  <si>
    <t>NOTA FISCAL Nº 43075</t>
  </si>
  <si>
    <t>CL09701</t>
  </si>
  <si>
    <t>Notas Fiscais de Saída - CL09701</t>
  </si>
  <si>
    <t>CL09547</t>
  </si>
  <si>
    <t>DERMEVAL RODRIGUES DA CUNHA JUNIOR</t>
  </si>
  <si>
    <t>Notas Fiscais de Saída - CL09547</t>
  </si>
  <si>
    <t>CL09488</t>
  </si>
  <si>
    <t>NATALINE MARIA TAUCHERT FABRIS</t>
  </si>
  <si>
    <t>Notas Fiscais de Saída - CL09488</t>
  </si>
  <si>
    <t>NOTA FISCAL Nº 43089</t>
  </si>
  <si>
    <t>CL08735</t>
  </si>
  <si>
    <t>ALIANCA PRODUTOS AGROPECUARIOS LTDA</t>
  </si>
  <si>
    <t>Notas Fiscais de Saída - CL08735</t>
  </si>
  <si>
    <t>CL10236</t>
  </si>
  <si>
    <t>VENAGRO LINHARES LTDA</t>
  </si>
  <si>
    <t>Notas Fiscais de Saída - CL10236</t>
  </si>
  <si>
    <t>CL09818</t>
  </si>
  <si>
    <t>Notas Fiscais de Saída - CL09818</t>
  </si>
  <si>
    <t>CL06113</t>
  </si>
  <si>
    <t>Notas Fiscais de Saída - CL06113</t>
  </si>
  <si>
    <t>CL06115</t>
  </si>
  <si>
    <t>Notas Fiscais de Saída - CL06115</t>
  </si>
  <si>
    <t>CL08748</t>
  </si>
  <si>
    <t>PLANT QUALITY INSUMOS AGRICOLAS LTDA</t>
  </si>
  <si>
    <t>Notas Fiscais de Saída - CL08748</t>
  </si>
  <si>
    <t>NOTA FISCAL Nº 43125</t>
  </si>
  <si>
    <t>NOTA FISCAL Nº 43130</t>
  </si>
  <si>
    <t>CL09810</t>
  </si>
  <si>
    <t>Notas Fiscais de Saída - CL09810</t>
  </si>
  <si>
    <t>NOTA FISCAL Nº 43135</t>
  </si>
  <si>
    <t>CL09616</t>
  </si>
  <si>
    <t>MAIS VERDE AGRONEGOCIOS LTDA ME</t>
  </si>
  <si>
    <t>Notas Fiscais de Saída - CL09616</t>
  </si>
  <si>
    <t>Notas Fiscais de Saída - CL09619</t>
  </si>
  <si>
    <t>NOTA FISCAL Nº 43141</t>
  </si>
  <si>
    <t>CL09376</t>
  </si>
  <si>
    <t>FARGONI COMERCIO E REPRESENTACAO LTDA</t>
  </si>
  <si>
    <t>Notas Fiscais de Saída - CL09376</t>
  </si>
  <si>
    <t>NOTA FISCAL Nº 43145</t>
  </si>
  <si>
    <t>NOTA FISCAL Nº 43146</t>
  </si>
  <si>
    <t>CL10240</t>
  </si>
  <si>
    <t>P. G. DE SOUZA &amp; CIA LTDA</t>
  </si>
  <si>
    <t>Notas Fiscais de Saída - CL10240</t>
  </si>
  <si>
    <t>LUIZ RODRIGUES</t>
  </si>
  <si>
    <t>NOTA FISCAL Nº 43151</t>
  </si>
  <si>
    <t>NOTA FISCAL Nº 43164</t>
  </si>
  <si>
    <t>CL09434</t>
  </si>
  <si>
    <t>EVANDRO NOIRAN RAMOS MARTINS</t>
  </si>
  <si>
    <t>Notas Fiscais de Saída - CL09434</t>
  </si>
  <si>
    <t>CL09391</t>
  </si>
  <si>
    <t>VALE AGRO INOVACOES AGRICOLAS LTDA</t>
  </si>
  <si>
    <t>Notas Fiscais de Saída - CL09391</t>
  </si>
  <si>
    <t>CL08113</t>
  </si>
  <si>
    <t>NOTA FISCAL Nº 43182</t>
  </si>
  <si>
    <t>CL08520</t>
  </si>
  <si>
    <t>COMPO EXPERT Argentina SRL</t>
  </si>
  <si>
    <t>NOTA FISCAL Nº 42936</t>
  </si>
  <si>
    <t>ABIMAEL DA SILVA BORGES</t>
  </si>
  <si>
    <t>CL09632</t>
  </si>
  <si>
    <t>BRUNO O DE PAULA LIMITADA</t>
  </si>
  <si>
    <t>Notas Fiscais de Saída - CL09632</t>
  </si>
  <si>
    <t>NOTA FISCAL Nº 43207</t>
  </si>
  <si>
    <t>CL10104</t>
  </si>
  <si>
    <t>RODRIGUES AGROCOMERCIAL LTDA</t>
  </si>
  <si>
    <t>Notas Fiscais de Saída - CL10104</t>
  </si>
  <si>
    <t>CL10051</t>
  </si>
  <si>
    <t>OSCAR LUIZ CERVI</t>
  </si>
  <si>
    <t>Notas Fiscais de Saída - CL10051</t>
  </si>
  <si>
    <t>CL09584</t>
  </si>
  <si>
    <t>COOPERATIVA AGROPECUARIA DE PARAPUA</t>
  </si>
  <si>
    <t>Notas Fiscais de Saída - CL09584</t>
  </si>
  <si>
    <t>CL08029</t>
  </si>
  <si>
    <t>Notas Fiscais de Saída - CL08029</t>
  </si>
  <si>
    <t>CL09359</t>
  </si>
  <si>
    <t>R C DE OLIVEIRA JUNIOR</t>
  </si>
  <si>
    <t>Notas Fiscais de Saída - CL09359</t>
  </si>
  <si>
    <t>CL08833</t>
  </si>
  <si>
    <t>Notas Fiscais de Saída - CL08833</t>
  </si>
  <si>
    <t>CL09696</t>
  </si>
  <si>
    <t>JOSE ROBERTO DA SILVA</t>
  </si>
  <si>
    <t>Notas Fiscais de Saída - CL09696</t>
  </si>
  <si>
    <t>CL10244</t>
  </si>
  <si>
    <t>GABRIEL INTROVINI</t>
  </si>
  <si>
    <t>Notas Fiscais de Saída - CL10244</t>
  </si>
  <si>
    <t>NOTA FISCAL Nº 43261</t>
  </si>
  <si>
    <t>CL09172</t>
  </si>
  <si>
    <t>NOTA FISCAL Nº 43288</t>
  </si>
  <si>
    <t>NOTA FISCAL Nº 43289</t>
  </si>
  <si>
    <t>NOTA FISCAL Nº 43290</t>
  </si>
  <si>
    <t>NOTA FISCAL Nº 43291</t>
  </si>
  <si>
    <t>NOTA FISCAL Nº 43293</t>
  </si>
  <si>
    <t>CL08747</t>
  </si>
  <si>
    <t>G R AGRICOLA LTDA EPP</t>
  </si>
  <si>
    <t>NOTA FISCAL Nº 43294</t>
  </si>
  <si>
    <t>CL08869</t>
  </si>
  <si>
    <t>MERCADO AGRICOLA LTDA</t>
  </si>
  <si>
    <t>NOTA FISCAL Nº 43295</t>
  </si>
  <si>
    <t>NOTA FISCAL Nº 43296</t>
  </si>
  <si>
    <t>NOTA FISCAL Nº 43297</t>
  </si>
  <si>
    <t>NOTA FISCAL Nº 43298</t>
  </si>
  <si>
    <t>NOTA FISCAL Nº 43299</t>
  </si>
  <si>
    <t>NOTA FISCAL Nº 43300</t>
  </si>
  <si>
    <t>NOTA FISCAL Nº 43301</t>
  </si>
  <si>
    <t>NOTA FISCAL Nº 43302</t>
  </si>
  <si>
    <t>NOTA FISCAL Nº 43303</t>
  </si>
  <si>
    <t>NOTA FISCAL Nº 43304</t>
  </si>
  <si>
    <t>NOTA FISCAL Nº 43305</t>
  </si>
  <si>
    <t>NOTA FISCAL Nº 43306</t>
  </si>
  <si>
    <t>NOTA FISCAL Nº 43312</t>
  </si>
  <si>
    <t>CL10237</t>
  </si>
  <si>
    <t>AGROPECUARIA OLIVEIRA COMERCIAL LTDA</t>
  </si>
  <si>
    <t>NOTA FISCAL Nº 43315</t>
  </si>
  <si>
    <t>NOTA FISCAL Nº 43316</t>
  </si>
  <si>
    <t>CL06159</t>
  </si>
  <si>
    <t>TERRA SOLUCOES AGRICOLAS LTDA</t>
  </si>
  <si>
    <t>NOTA FISCAL Nº 43317</t>
  </si>
  <si>
    <t>NOTA FISCAL Nº 43318</t>
  </si>
  <si>
    <t>NOTA FISCAL Nº 43322</t>
  </si>
  <si>
    <t>CL09356</t>
  </si>
  <si>
    <t>AGROPECUARIA SAO GABRIEL LTDA</t>
  </si>
  <si>
    <t>NOTA FISCAL Nº 43323</t>
  </si>
  <si>
    <t>NOTA FISCAL Nº 43324</t>
  </si>
  <si>
    <t>NOTA FISCAL Nº 43325</t>
  </si>
  <si>
    <t>NOTA FISCAL Nº 43326</t>
  </si>
  <si>
    <t>NOTA FISCAL Nº 43327</t>
  </si>
  <si>
    <t>NOTA FISCAL Nº 43328</t>
  </si>
  <si>
    <t>NOTA FISCAL Nº 43329</t>
  </si>
  <si>
    <t>NOTA FISCAL Nº 43330</t>
  </si>
  <si>
    <t>NOTA FISCAL Nº 43331</t>
  </si>
  <si>
    <t>NOTA FISCAL Nº 43332</t>
  </si>
  <si>
    <t>NOTA FISCAL Nº 43334</t>
  </si>
  <si>
    <t>NOTA FISCAL Nº 43335</t>
  </si>
  <si>
    <t>NOTA FISCAL Nº 43336</t>
  </si>
  <si>
    <t>NOTA FISCAL Nº 43340</t>
  </si>
  <si>
    <t>CL09691</t>
  </si>
  <si>
    <t>NOTA FISCAL Nº 43341</t>
  </si>
  <si>
    <t>NOTA FISCAL Nº 43343</t>
  </si>
  <si>
    <t>NOTA FISCAL Nº 43345</t>
  </si>
  <si>
    <t>NOTA FISCAL Nº 43347</t>
  </si>
  <si>
    <t>NOTA FISCAL Nº 43349</t>
  </si>
  <si>
    <t>NOTA FISCAL Nº 43350</t>
  </si>
  <si>
    <t>NOTA FISCAL Nº 43351</t>
  </si>
  <si>
    <t>NOTA FISCAL Nº 43352</t>
  </si>
  <si>
    <t>NOTA FISCAL Nº 43354</t>
  </si>
  <si>
    <t>CL09382</t>
  </si>
  <si>
    <t>VALE RURAL AGROPECUARIA LTDA</t>
  </si>
  <si>
    <t>Notas Fiscais de Saída - CL09382</t>
  </si>
  <si>
    <t>NOTA FISCAL Nº 43360</t>
  </si>
  <si>
    <t>CL09224</t>
  </si>
  <si>
    <t>AGRO COMERCIAL AGROMANIA LTDA</t>
  </si>
  <si>
    <t>Notas Fiscais de Saída - CL09224</t>
  </si>
  <si>
    <t>NOTA FISCAL Nº 43367</t>
  </si>
  <si>
    <t>CL09373</t>
  </si>
  <si>
    <t>COOPERATIVA DOS FRUTICULTORES DO PLANALTO NORTE CATARINENSE</t>
  </si>
  <si>
    <t>Notas Fiscais de Saída - CL09373</t>
  </si>
  <si>
    <t>NOTA FISCAL Nº 43373</t>
  </si>
  <si>
    <t>NOTA FISCAL Nº 43374</t>
  </si>
  <si>
    <t>NOTA FISCAL Nº 43375</t>
  </si>
  <si>
    <t>NOTA FISCAL Nº 43376</t>
  </si>
  <si>
    <t>NOTA FISCAL Nº 43377</t>
  </si>
  <si>
    <t>NOTA FISCAL Nº 43378</t>
  </si>
  <si>
    <t>NOTA FISCAL Nº 43381</t>
  </si>
  <si>
    <t>NOTA FISCAL Nº 43382</t>
  </si>
  <si>
    <t>NOTA FISCAL Nº 43383</t>
  </si>
  <si>
    <t>NOTA FISCAL Nº 43384</t>
  </si>
  <si>
    <t>NOTA FISCAL Nº 43389</t>
  </si>
  <si>
    <t>NOTA FISCAL Nº 43390</t>
  </si>
  <si>
    <t>NOTA FISCAL Nº 43391</t>
  </si>
  <si>
    <t>NOTA FISCAL Nº 43392</t>
  </si>
  <si>
    <t>NOTA FISCAL Nº 43393</t>
  </si>
  <si>
    <t>NOTA FISCAL Nº 43395</t>
  </si>
  <si>
    <t>NOTA FISCAL Nº 43396</t>
  </si>
  <si>
    <t>NOTA FISCAL Nº 43397</t>
  </si>
  <si>
    <t>CL07667</t>
  </si>
  <si>
    <t>NOTA FISCAL Nº 43401</t>
  </si>
  <si>
    <t>Notas Fiscais de Saída - CL07667</t>
  </si>
  <si>
    <t>NOTA FISCAL Nº 43404</t>
  </si>
  <si>
    <t>NOTA FISCAL Nº 43407</t>
  </si>
  <si>
    <t>NOTA FISCAL Nº 43409</t>
  </si>
  <si>
    <t>NOTA FISCAL Nº 43416</t>
  </si>
  <si>
    <t>NOTA FISCAL Nº 43420</t>
  </si>
  <si>
    <t>NOTA FISCAL Nº 43421</t>
  </si>
  <si>
    <t>NOTA FISCAL Nº 43427</t>
  </si>
  <si>
    <t>NOTA FISCAL Nº 43428</t>
  </si>
  <si>
    <t>NOTA FISCAL Nº 43429</t>
  </si>
  <si>
    <t>NOTA FISCAL Nº 43430</t>
  </si>
  <si>
    <t>NOTA FISCAL Nº 43431</t>
  </si>
  <si>
    <t>NOTA FISCAL Nº 43432</t>
  </si>
  <si>
    <t>NOTA FISCAL Nº 43433</t>
  </si>
  <si>
    <t>NOTA FISCAL Nº 43434</t>
  </si>
  <si>
    <t>NOTA FISCAL Nº 43435</t>
  </si>
  <si>
    <t>NOTA FISCAL Nº 43436</t>
  </si>
  <si>
    <t>CL10095</t>
  </si>
  <si>
    <t>PASTO BOM IRMAOS AGROPECUARIA LTDA</t>
  </si>
  <si>
    <t>NOTA FISCAL Nº 43437</t>
  </si>
  <si>
    <t>NOTA FISCAL Nº 43438</t>
  </si>
  <si>
    <t>NOTA FISCAL Nº 43439</t>
  </si>
  <si>
    <t>CL09763</t>
  </si>
  <si>
    <t>TECNOPLANTA FLORESTAL LTDA</t>
  </si>
  <si>
    <t>NOTA FISCAL Nº 43442</t>
  </si>
  <si>
    <t>CL09670</t>
  </si>
  <si>
    <t>ARMAZEM DUNORTE LTDA</t>
  </si>
  <si>
    <t>NOTA FISCAL Nº 43443</t>
  </si>
  <si>
    <t>CL09103</t>
  </si>
  <si>
    <t>NOTA FISCAL Nº 43446</t>
  </si>
  <si>
    <t>NOTA FISCAL Nº 43450</t>
  </si>
  <si>
    <t>NOTA FISCAL Nº 43455</t>
  </si>
  <si>
    <t>NOTA FISCAL Nº 43456</t>
  </si>
  <si>
    <t>NOTA FISCAL Nº 43459</t>
  </si>
  <si>
    <t>NOTA FISCAL Nº 43461</t>
  </si>
  <si>
    <t>NOTA FISCAL Nº 43462</t>
  </si>
  <si>
    <t>NOTA FISCAL Nº 43463</t>
  </si>
  <si>
    <t>NOTA FISCAL Nº 43464</t>
  </si>
  <si>
    <t>NOTA FISCAL Nº 43465</t>
  </si>
  <si>
    <t>NOTA FISCAL Nº 43466</t>
  </si>
  <si>
    <t>NOTA FISCAL Nº 43467</t>
  </si>
  <si>
    <t>NOTA FISCAL Nº 43468</t>
  </si>
  <si>
    <t>NOTA FISCAL Nº 43469</t>
  </si>
  <si>
    <t>NOTA FISCAL Nº 43470</t>
  </si>
  <si>
    <t>CL09404</t>
  </si>
  <si>
    <t>NOTA FISCAL Nº 43473</t>
  </si>
  <si>
    <t>CL09402</t>
  </si>
  <si>
    <t>NOTA FISCAL Nº 43475</t>
  </si>
  <si>
    <t>NOTA FISCAL Nº 43477</t>
  </si>
  <si>
    <t>NOTA FISCAL Nº 43478</t>
  </si>
  <si>
    <t>NOTA FISCAL Nº 43479</t>
  </si>
  <si>
    <t>NOTA FISCAL Nº 43480</t>
  </si>
  <si>
    <t>CL03407</t>
  </si>
  <si>
    <t>COASUL COOPERATIVA AGROINDUSTRIAL</t>
  </si>
  <si>
    <t>NOTA FISCAL Nº 43481</t>
  </si>
  <si>
    <t>CL08982</t>
  </si>
  <si>
    <t>NOTA FISCAL Nº 43483</t>
  </si>
  <si>
    <t>NOTA FISCAL Nº 43484</t>
  </si>
  <si>
    <t>NOTA FISCAL Nº 43485</t>
  </si>
  <si>
    <t>NOTA FISCAL Nº 43486</t>
  </si>
  <si>
    <t>NOTA FISCAL Nº 43487</t>
  </si>
  <si>
    <t>NOTA FISCAL Nº 43488</t>
  </si>
  <si>
    <t>NOTA FISCAL Nº 43492</t>
  </si>
  <si>
    <t>NOTA FISCAL Nº 43493</t>
  </si>
  <si>
    <t>NOTA FISCAL Nº 43494</t>
  </si>
  <si>
    <t>NOTA FISCAL Nº 43495</t>
  </si>
  <si>
    <t>NOTA FISCAL Nº 43496</t>
  </si>
  <si>
    <t>NOTA FISCAL Nº 43498</t>
  </si>
  <si>
    <t>NOTA FISCAL Nº 43501</t>
  </si>
  <si>
    <t>NOTA FISCAL Nº 43502</t>
  </si>
  <si>
    <t>NOTA FISCAL Nº 43506</t>
  </si>
  <si>
    <t>NOTA FISCAL Nº 43513</t>
  </si>
  <si>
    <t>CL09325</t>
  </si>
  <si>
    <t>AGROBIO PRODUTOS AGROPECUARIOS LTDA</t>
  </si>
  <si>
    <t>NOTA FISCAL Nº 43515</t>
  </si>
  <si>
    <t>NOTA FISCAL Nº 43526</t>
  </si>
  <si>
    <t>NOTA FISCAL Nº 43529</t>
  </si>
  <si>
    <t>NOTA FISCAL Nº 43530</t>
  </si>
  <si>
    <t>NOTA FISCAL Nº 43532</t>
  </si>
  <si>
    <t>NOTA FISCAL Nº 43533</t>
  </si>
  <si>
    <t>NOTA FISCAL Nº 43534</t>
  </si>
  <si>
    <t>NOTA FISCAL Nº 43540</t>
  </si>
  <si>
    <t>CL10241</t>
  </si>
  <si>
    <t>ANA VERGINIA ZANUZZI BRAIT</t>
  </si>
  <si>
    <t>NOTA FISCAL Nº 43541</t>
  </si>
  <si>
    <t>NOTA FISCAL Nº 43542</t>
  </si>
  <si>
    <t>NOTA FISCAL Nº 43544</t>
  </si>
  <si>
    <t>NOTA FISCAL Nº 43545</t>
  </si>
  <si>
    <t>NOTA FISCAL Nº 43546</t>
  </si>
  <si>
    <t>NOTA FISCAL Nº 43547</t>
  </si>
  <si>
    <t>NOTA FISCAL Nº 43548</t>
  </si>
  <si>
    <t>NOTA FISCAL Nº 43549</t>
  </si>
  <si>
    <t>NOTA FISCAL Nº 43550</t>
  </si>
  <si>
    <t>NOTA FISCAL Nº 43551</t>
  </si>
  <si>
    <t>NOTA FISCAL Nº 43556</t>
  </si>
  <si>
    <t>NOTA FISCAL Nº 43561</t>
  </si>
  <si>
    <t>NOTA FISCAL Nº 43562</t>
  </si>
  <si>
    <t>NOTA FISCAL Nº 43564</t>
  </si>
  <si>
    <t>NOTA FISCAL Nº 43566</t>
  </si>
  <si>
    <t>NOTA FISCAL Nº 43569</t>
  </si>
  <si>
    <t>NOTA FISCAL Nº 43570</t>
  </si>
  <si>
    <t>NOTA FISCAL Nº 43571</t>
  </si>
  <si>
    <t>NOTA FISCAL Nº 43572</t>
  </si>
  <si>
    <t>NOTA FISCAL Nº 43573</t>
  </si>
  <si>
    <t>NOTA FISCAL Nº 43574</t>
  </si>
  <si>
    <t>NOTA FISCAL Nº 43575</t>
  </si>
  <si>
    <t>CL09364</t>
  </si>
  <si>
    <t>NOTA FISCAL Nº 43576</t>
  </si>
  <si>
    <t>NOTA FISCAL Nº 43581</t>
  </si>
  <si>
    <t>NOTA FISCAL Nº 43582</t>
  </si>
  <si>
    <t>NOTA FISCAL Nº 43583</t>
  </si>
  <si>
    <t>NOTA FISCAL Nº 43584</t>
  </si>
  <si>
    <t>NOTA FISCAL Nº 43595</t>
  </si>
  <si>
    <t>NOTA FISCAL Nº 43596</t>
  </si>
  <si>
    <t>NOTA FISCAL Nº 43597</t>
  </si>
  <si>
    <t>NOTA FISCAL Nº 43599</t>
  </si>
  <si>
    <t>NOTA FISCAL Nº 43600</t>
  </si>
  <si>
    <t>CL09317</t>
  </si>
  <si>
    <t>CLUBE DO CAMPO COMERCIO E REPRESENTACAO AGRICOLA LTDA</t>
  </si>
  <si>
    <t>NOTA FISCAL Nº 43601</t>
  </si>
  <si>
    <t>CL09119</t>
  </si>
  <si>
    <t>SWARAJ Plant Nutrition Pvt Ltd.</t>
  </si>
  <si>
    <t>NOTA FISCAL Nº 43602</t>
  </si>
  <si>
    <t>NOTA FISCAL Nº 43604</t>
  </si>
  <si>
    <t>NOTA FISCAL Nº 43605</t>
  </si>
  <si>
    <t>NOTA FISCAL Nº 43606</t>
  </si>
  <si>
    <t>NOTA FISCAL Nº 43607</t>
  </si>
  <si>
    <t>NOTA FISCAL Nº 43608</t>
  </si>
  <si>
    <t>CL09617</t>
  </si>
  <si>
    <t>HORTAVIVA COMERCIO DE SEMENTES E INSUMOS AGRICOLAS LTDA EPP</t>
  </si>
  <si>
    <t>NOTA FISCAL Nº 43610</t>
  </si>
  <si>
    <t>CL08951</t>
  </si>
  <si>
    <t>MERCOSUL AGRONEGOCIOS LTDA</t>
  </si>
  <si>
    <t>NOTA FISCAL Nº 43611</t>
  </si>
  <si>
    <t>NOTA FISCAL Nº 43612</t>
  </si>
  <si>
    <t>NOTA FISCAL Nº 43613</t>
  </si>
  <si>
    <t>NOTA FISCAL Nº 43614</t>
  </si>
  <si>
    <t>NOTA FISCAL Nº 43615</t>
  </si>
  <si>
    <t>NOTA FISCAL Nº 43616</t>
  </si>
  <si>
    <t>NOTA FISCAL Nº 43617</t>
  </si>
  <si>
    <t>NOTA FISCAL Nº 43618</t>
  </si>
  <si>
    <t>NOTA FISCAL Nº 43619</t>
  </si>
  <si>
    <t>NOTA FISCAL Nº 43620</t>
  </si>
  <si>
    <t>NOTA FISCAL Nº 43621</t>
  </si>
  <si>
    <t>NOTA FISCAL Nº 43623</t>
  </si>
  <si>
    <t>NOTA FISCAL Nº 43627</t>
  </si>
  <si>
    <t>NOTA FISCAL Nº 43628</t>
  </si>
  <si>
    <t>NOTA FISCAL Nº 43632</t>
  </si>
  <si>
    <t>NOTA FISCAL Nº 43633</t>
  </si>
  <si>
    <t>NOTA FISCAL Nº 43634</t>
  </si>
  <si>
    <t>NOTA FISCAL Nº 43636</t>
  </si>
  <si>
    <t>NOTA FISCAL Nº 43637</t>
  </si>
  <si>
    <t>NOTA FISCAL Nº 43638</t>
  </si>
  <si>
    <t>CL10117</t>
  </si>
  <si>
    <t>AGRICOLA SAO MARCOS LTDA</t>
  </si>
  <si>
    <t>NOTA FISCAL Nº 43639</t>
  </si>
  <si>
    <t>NOTA FISCAL Nº 43640</t>
  </si>
  <si>
    <t>NOTA FISCAL Nº 43646</t>
  </si>
  <si>
    <t>NOTA FISCAL Nº 43647</t>
  </si>
  <si>
    <t>CL09698</t>
  </si>
  <si>
    <t>GABRIEL DE CAMPOS BARBIERI</t>
  </si>
  <si>
    <t>NOTA FISCAL Nº 43651</t>
  </si>
  <si>
    <t>NOTA FISCAL Nº 43652</t>
  </si>
  <si>
    <t>CL01711</t>
  </si>
  <si>
    <t>SAGRA INSUMOS AGROPECUARIOS LTDA</t>
  </si>
  <si>
    <t>NOTA FISCAL Nº 43654</t>
  </si>
  <si>
    <t>NOTA FISCAL Nº 43656</t>
  </si>
  <si>
    <t>NOTA FISCAL Nº 43657</t>
  </si>
  <si>
    <t>NOTA FISCAL Nº 43658</t>
  </si>
  <si>
    <t>NOTA FISCAL Nº 43660</t>
  </si>
  <si>
    <t>NOTA FISCAL Nº 43661</t>
  </si>
  <si>
    <t>NOTA FISCAL Nº 43662</t>
  </si>
  <si>
    <t>NOTA FISCAL Nº 43663</t>
  </si>
  <si>
    <t>NOTA FISCAL Nº 43664</t>
  </si>
  <si>
    <t>NOTA FISCAL Nº 43667</t>
  </si>
  <si>
    <t>NOTA FISCAL Nº 43668</t>
  </si>
  <si>
    <t>NOTA FISCAL Nº 43669</t>
  </si>
  <si>
    <t>NOTA FISCAL Nº 43670</t>
  </si>
  <si>
    <t>NOTA FISCAL Nº 43671</t>
  </si>
  <si>
    <t>NOTA FISCAL Nº 43673</t>
  </si>
  <si>
    <t>NOTA FISCAL Nº 43677</t>
  </si>
  <si>
    <t>NOTA FISCAL Nº 43678</t>
  </si>
  <si>
    <t>NOTA FISCAL Nº 43681</t>
  </si>
  <si>
    <t>NOTA FISCAL Nº 43686</t>
  </si>
  <si>
    <t>NOTA FISCAL Nº 43688</t>
  </si>
  <si>
    <t>NOTA FISCAL Nº 43689</t>
  </si>
  <si>
    <t>CL07393</t>
  </si>
  <si>
    <t>COOPERATIVA AGROPECUARIA DE INSUMOS HOLAMBRA</t>
  </si>
  <si>
    <t>NOTA FISCAL Nº 43692</t>
  </si>
  <si>
    <t>NOTA FISCAL Nº 43693</t>
  </si>
  <si>
    <t>NOTA FISCAL Nº 43695</t>
  </si>
  <si>
    <t>CL02936</t>
  </si>
  <si>
    <t>COOPERATIVA AGRICOLA SUL BRASIL DE MARILIA</t>
  </si>
  <si>
    <t>NOTA FISCAL Nº 43696</t>
  </si>
  <si>
    <t>NOTA FISCAL Nº 43700</t>
  </si>
  <si>
    <t>CL08624</t>
  </si>
  <si>
    <t>RODO ESTRELA LOGISTICA LTDA ME</t>
  </si>
  <si>
    <t>NOTA FISCAL Nº 43709</t>
  </si>
  <si>
    <t>CL08860</t>
  </si>
  <si>
    <t>LANDSCAPE JARDINS LTDA EPP</t>
  </si>
  <si>
    <t>NOTA FISCAL Nº 43714</t>
  </si>
  <si>
    <t>NOTA FISCAL Nº 43715</t>
  </si>
  <si>
    <t>NOTA FISCAL Nº 43716</t>
  </si>
  <si>
    <t>NOTA FISCAL Nº 43717</t>
  </si>
  <si>
    <t>NOTA FISCAL Nº 43719</t>
  </si>
  <si>
    <t>NOTA FISCAL Nº 43720</t>
  </si>
  <si>
    <t>NOTA FISCAL Nº 43722</t>
  </si>
  <si>
    <t>NOTA FISCAL Nº 43723</t>
  </si>
  <si>
    <t>CL09341</t>
  </si>
  <si>
    <t>PAULO CESAR DE ALMEIDA</t>
  </si>
  <si>
    <t>NOTA FISCAL Nº 43724</t>
  </si>
  <si>
    <t>NOTA FISCAL Nº 43725</t>
  </si>
  <si>
    <t>CL10062</t>
  </si>
  <si>
    <t>NOTA FISCAL Nº 43726</t>
  </si>
  <si>
    <t>NOTA FISCAL Nº 43727</t>
  </si>
  <si>
    <t>NOTA FISCAL Nº 43730</t>
  </si>
  <si>
    <t>CL08556</t>
  </si>
  <si>
    <t>SERRA SEED COMERCIO DE PRODUTOS AGRICOLAS LTDA</t>
  </si>
  <si>
    <t>NOTA FISCAL Nº 43732</t>
  </si>
  <si>
    <t>NOTA FISCAL Nº 43734</t>
  </si>
  <si>
    <t>NOTA FISCAL Nº 43738</t>
  </si>
  <si>
    <t>NOTA FISCAL Nº 43739</t>
  </si>
  <si>
    <t>NOTA FISCAL Nº 43740</t>
  </si>
  <si>
    <t>NOTA FISCAL Nº 43741</t>
  </si>
  <si>
    <t>NOTA FISCAL Nº 43744</t>
  </si>
  <si>
    <t>NOTA FISCAL Nº 43745</t>
  </si>
  <si>
    <t>NOTA FISCAL Nº 43746</t>
  </si>
  <si>
    <t>NOTA FISCAL Nº 43750</t>
  </si>
  <si>
    <t>NOTA FISCAL Nº 43751</t>
  </si>
  <si>
    <t>NOTA FISCAL Nº 43752</t>
  </si>
  <si>
    <t>NOTA FISCAL Nº 43753</t>
  </si>
  <si>
    <t>NOTA FISCAL Nº 43755</t>
  </si>
  <si>
    <t>NOTA FISCAL Nº 43756</t>
  </si>
  <si>
    <t>NOTA FISCAL Nº 43758</t>
  </si>
  <si>
    <t>NOTA FISCAL Nº 43759</t>
  </si>
  <si>
    <t>NOTA FISCAL Nº 43761</t>
  </si>
  <si>
    <t>NOTA FISCAL Nº 43762</t>
  </si>
  <si>
    <t>NOTA FISCAL Nº 43763</t>
  </si>
  <si>
    <t>NOTA FISCAL Nº 43764</t>
  </si>
  <si>
    <t>NOTA FISCAL Nº 43765</t>
  </si>
  <si>
    <t>NOTA FISCAL Nº 43766</t>
  </si>
  <si>
    <t>NOTA FISCAL Nº 43767</t>
  </si>
  <si>
    <t>NOTA FISCAL Nº 43768</t>
  </si>
  <si>
    <t>NOTA FISCAL Nº 43769</t>
  </si>
  <si>
    <t>NOTA FISCAL Nº 43774</t>
  </si>
  <si>
    <t>NOTA FISCAL Nº 43775</t>
  </si>
  <si>
    <t>CL09403</t>
  </si>
  <si>
    <t>NOTA FISCAL Nº 43777</t>
  </si>
  <si>
    <t>CL09480</t>
  </si>
  <si>
    <t>G B G ADUBOS E IRRIGACOES LTDA</t>
  </si>
  <si>
    <t>NOTA FISCAL Nº 43778</t>
  </si>
  <si>
    <t>NOTA FISCAL Nº 43780</t>
  </si>
  <si>
    <t>NOTA FISCAL Nº 43781</t>
  </si>
  <si>
    <t>NOTA FISCAL Nº 43784</t>
  </si>
  <si>
    <t>NOTA FISCAL Nº 43785</t>
  </si>
  <si>
    <t>NOTA FISCAL Nº 43787</t>
  </si>
  <si>
    <t>NOTA FISCAL Nº 43788</t>
  </si>
  <si>
    <t>NOTA FISCAL Nº 43790</t>
  </si>
  <si>
    <t>NOTA FISCAL Nº 43791</t>
  </si>
  <si>
    <t>NOTA FISCAL Nº 43793</t>
  </si>
  <si>
    <t>NOTA FISCAL Nº 43794</t>
  </si>
  <si>
    <t>NOTA FISCAL Nº 43796</t>
  </si>
  <si>
    <t>NOTA FISCAL Nº 43798</t>
  </si>
  <si>
    <t>NOTA FISCAL Nº 43799</t>
  </si>
  <si>
    <t>NOTA FISCAL Nº 43800</t>
  </si>
  <si>
    <t>NOTA FISCAL Nº 43801</t>
  </si>
  <si>
    <t>NOTA FISCAL Nº 43803</t>
  </si>
  <si>
    <t>NOTA FISCAL Nº 43804</t>
  </si>
  <si>
    <t>NOTA FISCAL Nº 43805</t>
  </si>
  <si>
    <t>NOTA FISCAL Nº 43806</t>
  </si>
  <si>
    <t>NOTA FISCAL Nº 43811</t>
  </si>
  <si>
    <t>NOTA FISCAL Nº 43812</t>
  </si>
  <si>
    <t>NOTA FISCAL Nº 43813</t>
  </si>
  <si>
    <t>NOTA FISCAL Nº 43816</t>
  </si>
  <si>
    <t>NOTA FISCAL Nº 43817</t>
  </si>
  <si>
    <t>NOTA FISCAL Nº 43820</t>
  </si>
  <si>
    <t>NOTA FISCAL Nº 43824</t>
  </si>
  <si>
    <t>NOTA FISCAL Nº 43825</t>
  </si>
  <si>
    <t>NOTA FISCAL Nº 43826</t>
  </si>
  <si>
    <t>CL09692</t>
  </si>
  <si>
    <t>NOTA FISCAL Nº 43832</t>
  </si>
  <si>
    <t>CL05643</t>
  </si>
  <si>
    <t>CAMPO AGRICOLA AGRONEGOCIO LTDA EPP</t>
  </si>
  <si>
    <t>NOTA FISCAL Nº 43833</t>
  </si>
  <si>
    <t>CL08334</t>
  </si>
  <si>
    <t>GARANTIA AGRONEGOCIOS LTDA</t>
  </si>
  <si>
    <t>NOTA FISCAL Nº 43834</t>
  </si>
  <si>
    <t>NOTA FISCAL Nº 43838</t>
  </si>
  <si>
    <t>NOTA FISCAL Nº 43839</t>
  </si>
  <si>
    <t>CL09489</t>
  </si>
  <si>
    <t>CURTS GOODSON GUIMARAES</t>
  </si>
  <si>
    <t>NOTA FISCAL Nº 43840</t>
  </si>
  <si>
    <t>NOTA FISCAL Nº 43842</t>
  </si>
  <si>
    <t>NOTA FISCAL Nº 43843</t>
  </si>
  <si>
    <t>NOTA FISCAL Nº 43844</t>
  </si>
  <si>
    <t>NOTA FISCAL Nº 43845</t>
  </si>
  <si>
    <t>NOTA FISCAL Nº 43846</t>
  </si>
  <si>
    <t>NOTA FISCAL Nº 43848</t>
  </si>
  <si>
    <t>NOTA FISCAL Nº 43849</t>
  </si>
  <si>
    <t>NOTA FISCAL Nº 43850</t>
  </si>
  <si>
    <t>NOTA FISCAL Nº 43853</t>
  </si>
  <si>
    <t>CL09738</t>
  </si>
  <si>
    <t>NOTA FISCAL Nº 43857</t>
  </si>
  <si>
    <t>NOTA FISCAL Nº 43858</t>
  </si>
  <si>
    <t>NOTA FISCAL Nº 43859</t>
  </si>
  <si>
    <t>NOTA FISCAL Nº 43861</t>
  </si>
  <si>
    <t>NOTA FISCAL Nº 43862</t>
  </si>
  <si>
    <t>NOTA FISCAL Nº 43863</t>
  </si>
  <si>
    <t>NOTA FISCAL Nº 43865</t>
  </si>
  <si>
    <t>NOTA FISCAL Nº 43866</t>
  </si>
  <si>
    <t>NOTA FISCAL Nº 43867</t>
  </si>
  <si>
    <t>NOTA FISCAL Nº 43869</t>
  </si>
  <si>
    <t>NOTA FISCAL Nº 43870</t>
  </si>
  <si>
    <t>NOTA FISCAL Nº 43871</t>
  </si>
  <si>
    <t>NOTA FISCAL Nº 43872</t>
  </si>
  <si>
    <t>NOTA FISCAL Nº 43873</t>
  </si>
  <si>
    <t>NOTA FISCAL Nº 43874</t>
  </si>
  <si>
    <t>NOTA FISCAL Nº 43876</t>
  </si>
  <si>
    <t>CL09446</t>
  </si>
  <si>
    <t>IVO ANTONIO MACHADO</t>
  </si>
  <si>
    <t>NOTA FISCAL Nº 43877</t>
  </si>
  <si>
    <t>NOTA FISCAL Nº 43879</t>
  </si>
  <si>
    <t>NOTA FISCAL Nº 43880</t>
  </si>
  <si>
    <t>NOTA FISCAL Nº 43881</t>
  </si>
  <si>
    <t>NOTA FISCAL Nº 43883</t>
  </si>
  <si>
    <t>NOTA FISCAL Nº 43884</t>
  </si>
  <si>
    <t>NOTA FISCAL Nº 43886</t>
  </si>
  <si>
    <t>NOTA FISCAL Nº 43889</t>
  </si>
  <si>
    <t>CL10073</t>
  </si>
  <si>
    <t>FERTILIZANTES NPK LTDA ME</t>
  </si>
  <si>
    <t>NOTA FISCAL Nº 43891</t>
  </si>
  <si>
    <t>NOTA FISCAL Nº 43892</t>
  </si>
  <si>
    <t>NOTA FISCAL Nº 43893</t>
  </si>
  <si>
    <t>NOTA FISCAL Nº 43894</t>
  </si>
  <si>
    <t>NOTA FISCAL Nº 43895</t>
  </si>
  <si>
    <t>NOTA FISCAL Nº 43896</t>
  </si>
  <si>
    <t>NOTA FISCAL Nº 43897</t>
  </si>
  <si>
    <t>NOTA FISCAL Nº 43898</t>
  </si>
  <si>
    <t>NOTA FISCAL Nº 43899</t>
  </si>
  <si>
    <t>NOTA FISCAL Nº 43900</t>
  </si>
  <si>
    <t>NOTA FISCAL Nº 43901</t>
  </si>
  <si>
    <t>CL09734</t>
  </si>
  <si>
    <t>TWS ASSESSORIA EM COMERCIO EXTERIOR E DESPACHO ADUANEIRO LTDA</t>
  </si>
  <si>
    <t>Valor a reembolsar INOVA 0312/26</t>
  </si>
  <si>
    <t>NOTA FISCAL Nº 43904</t>
  </si>
  <si>
    <t>NOTA FISCAL Nº 43905</t>
  </si>
  <si>
    <t>NOTA FISCAL Nº 43906</t>
  </si>
  <si>
    <t>NOTA FISCAL Nº 43907</t>
  </si>
  <si>
    <t>NOTA FISCAL Nº 43908</t>
  </si>
  <si>
    <t>NOTA FISCAL Nº 43910</t>
  </si>
  <si>
    <t>NOTA FISCAL Nº 43911</t>
  </si>
  <si>
    <t>NOTA FISCAL Nº 43914</t>
  </si>
  <si>
    <t>NOTA FISCAL Nº 43915</t>
  </si>
  <si>
    <t>NOTA FISCAL Nº 43916</t>
  </si>
  <si>
    <t>NOTA FISCAL Nº 43917</t>
  </si>
  <si>
    <t>NOTA FISCAL Nº 43918</t>
  </si>
  <si>
    <t>Total Geral</t>
  </si>
  <si>
    <t>Soma de Valor R$</t>
  </si>
  <si>
    <t>VENDEDOR</t>
  </si>
  <si>
    <t>STATUS DA COBRANÇA</t>
  </si>
  <si>
    <t>NEGOCIAÇÃO</t>
  </si>
  <si>
    <t>PROVIDENCIA</t>
  </si>
  <si>
    <t>Total em aberto</t>
  </si>
  <si>
    <t>Taxa de inadimplencia</t>
  </si>
  <si>
    <t>Máx. de Dias Atraso</t>
  </si>
  <si>
    <t>Razão Social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</si>
</sst>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0">
    <xf numFmtId="0" fontId="0" fillId="0" borderId="0" xfId="0"/>
    <xf numFmtId="0" fontId="0" fillId="2" borderId="1" xfId="0" applyFill="1" applyBorder="1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3" borderId="1" xfId="0" applyFill="1" applyBorder="1"/>
    <xf numFmtId="0" fontId="2" fillId="4" borderId="1" xfId="0" applyFont="1" applyFill="1" applyBorder="1" applyAlignment="1">
      <alignment vertical="center" wrapText="1"/>
    </xf>
    <xf numFmtId="0" fontId="0" fillId="0" borderId="0" xfId="0" applyAlignment="1">
      <alignment horizontal="center"/>
    </xf>
    <xf numFmtId="0" fontId="0" fillId="0" borderId="1" xfId="0" applyBorder="1" applyAlignment="1">
      <alignment horizontal="left"/>
    </xf>
    <xf numFmtId="44" fontId="0" fillId="0" borderId="1" xfId="1" applyFont="1" applyBorder="1"/>
    <xf numFmtId="10" fontId="0" fillId="0" borderId="1" xfId="2" applyNumberFormat="1" applyFont="1" applyBorder="1" applyAlignment="1">
      <alignment horizontal="center"/>
    </xf>
    <xf numFmtId="0" fontId="0" fillId="0" borderId="2" xfId="0" applyBorder="1" applyAlignment="1">
      <alignment horizontal="left"/>
    </xf>
    <xf numFmtId="44" fontId="0" fillId="0" borderId="2" xfId="0" applyNumberFormat="1" applyBorder="1"/>
    <xf numFmtId="0" fontId="0" fillId="0" borderId="3" xfId="0" applyBorder="1" applyAlignment="1">
      <alignment horizontal="center"/>
    </xf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0" applyNumberFormat="1" applyBorder="1" applyAlignment="1">
      <alignment vertical="center" wrapText="1"/>
    </xf>
    <xf numFmtId="0" fontId="0" fillId="0" borderId="0" xfId="0" applyAlignment="1">
      <alignment wrapText="1"/>
    </xf>
  </cellXfs>
  <cellStyles count="3">
    <cellStyle name="Moeda" xfId="1" builtinId="4"/>
    <cellStyle name="Normal" xfId="0" builtinId="0"/>
    <cellStyle name="Porcentagem" xfId="2" builtinId="5"/>
  </cellStyles>
  <dxfs count="27">
    <dxf>
      <alignment wrapText="1"/>
    </dxf>
    <dxf>
      <alignment wrapText="1"/>
    </dxf>
    <dxf>
      <alignment wrapText="1"/>
    </dxf>
    <dxf>
      <alignment wrapText="1"/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numFmt numFmtId="34" formatCode="_-&quot;R$&quot;\ * #,##0.00_-;\-&quot;R$&quot;\ * #,##0.00_-;_-&quot;R$&quot;\ * &quot;-&quot;??_-;_-@_-"/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grupaazoty-my.sharepoint.com/personal/carolina_oliveira_compo-expert_com/Documents/FINANCEIRO/INADIMPLENCIA/2026/MAIO%202026/ANALISE%20DE%20INADIMPLENCIA%2028052026.xlsx" TargetMode="External"/><Relationship Id="rId1" Type="http://schemas.openxmlformats.org/officeDocument/2006/relationships/externalLinkPath" Target="ANALISE%20DE%20INADIMPLENCIA%202805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TOTAL INADIMPLENTES"/>
      <sheetName val="ANALISE DE INADIMPLENCIA"/>
      <sheetName val="Planilha1"/>
    </sheetNames>
    <sheetDataSet>
      <sheetData sheetId="0"/>
      <sheetData sheetId="1"/>
      <sheetData sheetId="2">
        <row r="4">
          <cell r="A4" t="str">
            <v>AGRO ALTA COMERCIO DE INSUMOS AGRICOLAS LTDA</v>
          </cell>
          <cell r="B4">
            <v>401911.44000000006</v>
          </cell>
          <cell r="C4">
            <v>378</v>
          </cell>
          <cell r="D4" t="str">
            <v>GABRIEL BORGES</v>
          </cell>
          <cell r="E4" t="str">
            <v>COBERTURA DO SEGURO É DE 150 MIL, O PRAZO PARA PAGAMENTO DO SINISTRO É 27/05/2026, ESTA PENDENTE A VALIDAÇAO DOS PROTESTOS PELA SEGURADORA. O VALOR A RECEBER DO SINISTRO DE 27 MIL. O SALDO EM ABERTO APÓS RECEBIMENTO DO SINISTRO É DE 374 MIL. TEMOS ENDOSSOS EM EXECUÇÃO JUDICIAL SOMANDO 407 MIL. PARA QUITAÇAO TOTAL DO CR, O DESCONTO MÁXIMO SOBRE O VALOR DAS DUPLICATAS EM EXECUÇAO PRECISA SER DE 8%. ESTAMOS EM CONTATO COM OS DEVEDORES DAS DUPLICATAS PARA TENTATIVA DE ACORDO EXTRAJUDICIAL</v>
          </cell>
          <cell r="F4" t="str">
            <v>-</v>
          </cell>
          <cell r="G4" t="str">
            <v>ACOMPANHAR APROVAÇAO DO SINISTRO E AS EXECUÇOES JUDICIAIS DAS DUPLICATAS</v>
          </cell>
        </row>
        <row r="5">
          <cell r="A5" t="str">
            <v>AGRO FORTTE HF LTDA</v>
          </cell>
          <cell r="B5">
            <v>1704</v>
          </cell>
          <cell r="C5">
            <v>0</v>
          </cell>
          <cell r="D5" t="str">
            <v>ALEXSANDER CAMPAGNOLO</v>
          </cell>
          <cell r="E5" t="str">
            <v>CLIENTE EFETUOU O PAGAMENTO HOJE</v>
          </cell>
          <cell r="F5" t="str">
            <v>-</v>
          </cell>
          <cell r="G5" t="str">
            <v>-</v>
          </cell>
        </row>
        <row r="6">
          <cell r="A6" t="str">
            <v>AGRONEXA AGRICOLA LTDA EPP</v>
          </cell>
          <cell r="B6">
            <v>322841.5</v>
          </cell>
          <cell r="C6">
            <v>27</v>
          </cell>
          <cell r="D6" t="str">
            <v>JOAO BRIZUENA</v>
          </cell>
          <cell r="E6" t="str">
            <v>ESTAVA EM NEGOCIAÇAO A VENDA DE UMA CAMINHONETE, MAS A VENDA NÃO OCORREU, PONTENCIAIS COMPRADORES NÃO TINHAM COMO PAGAR A VISTA. DA DIVIDA DE 30/04 (616 MIL), FOI PAGO 293 MIL. CLIENTE NÃO SE COMPROMETEU COM DATAS E OU VALORES DE PAGAMENTO.</v>
          </cell>
          <cell r="F6" t="str">
            <v>-</v>
          </cell>
          <cell r="G6" t="str">
            <v>ACOMPANHAR A COBRANÇA JUNTO AO CLIENTE</v>
          </cell>
        </row>
        <row r="7">
          <cell r="A7" t="str">
            <v>AHL DISTRIBUIDORA S/A</v>
          </cell>
          <cell r="B7">
            <v>548378.80000000005</v>
          </cell>
          <cell r="C7">
            <v>27</v>
          </cell>
          <cell r="D7" t="str">
            <v>CARLOS BERNARDES</v>
          </cell>
          <cell r="E7" t="str">
            <v>AGUARDAR ATÉ O DIA 28/05 ATUALIZAÇOES SOBRE A SITUAÇAO FINANCEIRA DA AHL/SOLOTEK. VALOR NEGATIVADO 2,3 M BRL, SENDO 1,94 DE BANCOS E 400K DE FORNECEDORES.</v>
          </cell>
          <cell r="F7" t="str">
            <v>-</v>
          </cell>
          <cell r="G7" t="str">
            <v>ACOMPANHAR A COBRANÇA JUNTO AO CLIENTE</v>
          </cell>
        </row>
        <row r="8">
          <cell r="A8" t="str">
            <v>ALBERTO ARNOLDO KUCHNIR</v>
          </cell>
          <cell r="B8">
            <v>750251.39999999991</v>
          </cell>
          <cell r="C8">
            <v>58</v>
          </cell>
          <cell r="D8" t="str">
            <v>ANDREI RIEGER</v>
          </cell>
          <cell r="E8" t="str">
            <v>INFORMAÇAO QUE CLIENTE ENTROU COM PEDIDO DE RECUPERAÇÃO JUDICIAL, AINDA NÃO ESTÁ PUBLICO O PROCESSO. OPTAMOS POR SEGUIR COM A EXECUÇAO EXTRAJUDICIAL EM CARTÓRIO DA GARANTIA DE ALIENAÇAO FIDUCIÁRIA, NO MOMENTO O PROCESSO ESTÁ NA ANALISE DOS DOCUMENTOS PELO CARTÓRIO, NÃO HÁ PRAZO INFORMADO PARA FINALIZAR A ANALISE.</v>
          </cell>
          <cell r="F8" t="str">
            <v>-</v>
          </cell>
          <cell r="G8" t="str">
            <v>-</v>
          </cell>
        </row>
        <row r="9">
          <cell r="A9" t="str">
            <v>BC AGRO COMERCIO LTDA</v>
          </cell>
          <cell r="B9">
            <v>74406.37</v>
          </cell>
          <cell r="C9">
            <v>162</v>
          </cell>
          <cell r="D9" t="str">
            <v>LEOMAR MULLER</v>
          </cell>
          <cell r="E9" t="str">
            <v>CLIENTE COM 100% DE COBERTURA DE SEGURO DE CRÉDITO, PRAZO PARA CONFIGURAÇAO DO SINISTRO 28/07/2026, O VALOR A SER INDENIZADO É DE 90% (66 MIL). CLIENTE TEM DEMANDA DE COMPRA DE BASACOTE MINI 6M, MAS NÃO TEMOS EM ESTOQUE PARA PRONTA ENTREGA, PREVISAO DE CHEGADA PARA FINAL DE JUNHO. ULTIMO PAGAMENTO 14/05 NO VALOR DE 26 MIL</v>
          </cell>
          <cell r="F9" t="str">
            <v>-</v>
          </cell>
          <cell r="G9" t="str">
            <v>-</v>
          </cell>
        </row>
        <row r="10">
          <cell r="A10" t="str">
            <v>COOPERATIVA MISTA AGROPECUARIA DO VALE DO ARAGUAIA</v>
          </cell>
          <cell r="B10">
            <v>1682326.11</v>
          </cell>
          <cell r="C10">
            <v>58</v>
          </cell>
          <cell r="D10" t="str">
            <v>ANDREI RIEGER</v>
          </cell>
          <cell r="E10" t="str">
            <v>CONFISSÃO DE DÍVIDA ASSINADA, NOTIFICAÇAO DA EXPECTATIVA DO SINISTRO EFETUADA EM 28.05.2026 , PRAZO PARA CONFIGURAÇAO DO SINISTRO 210 DIAS (24/12/2026)</v>
          </cell>
          <cell r="F10" t="str">
            <v>25% DO VALOR PARA 10/04 (PAGO), 25% DO VALOR PARA 11/05 E O RESTANTE PARCELADO EM 3X PARA 10/06, 10/07 e 10/08</v>
          </cell>
          <cell r="G10" t="str">
            <v>AGUARDANDO PAGAMENTO</v>
          </cell>
        </row>
        <row r="11">
          <cell r="A11" t="str">
            <v>JOAO BATISTA CAMPOS</v>
          </cell>
          <cell r="B11">
            <v>196060</v>
          </cell>
          <cell r="C11">
            <v>27</v>
          </cell>
          <cell r="D11" t="str">
            <v>ANDREI RIEGER</v>
          </cell>
          <cell r="E11" t="str">
            <v>AGUARDANDO ASSINATURA DE CONFISSÃO DE DÍVIDA, PAGAMENTO SOLICITADO PARA 25/05/2026, NÃO HAVENDO PAGAMENTO, NEGATIVAR O VALOR EM ABERTO</v>
          </cell>
          <cell r="F11" t="str">
            <v>-</v>
          </cell>
          <cell r="G11" t="str">
            <v>-</v>
          </cell>
        </row>
        <row r="12">
          <cell r="A12" t="str">
            <v>LUCAS SOUZA RIBEIRO</v>
          </cell>
          <cell r="B12">
            <v>520277.2</v>
          </cell>
          <cell r="C12">
            <v>362</v>
          </cell>
          <cell r="D12" t="str">
            <v>CESAR CAIXETA</v>
          </cell>
          <cell r="E12" t="str">
            <v>CONFISSÃO DE DÍVIDA ASSINADA, ESTÁ COM 2,4 M BRL NEGATIVADOS.</v>
          </cell>
          <cell r="F12" t="str">
            <v>PAGAMENTO EM 30/06/2026</v>
          </cell>
          <cell r="G12" t="str">
            <v>AGUARDANDO PAGAMENTO</v>
          </cell>
        </row>
        <row r="13">
          <cell r="A13" t="str">
            <v>MARCO ANTONIO OLIVEIRA CAMPOS</v>
          </cell>
          <cell r="B13">
            <v>813325</v>
          </cell>
          <cell r="C13">
            <v>27</v>
          </cell>
          <cell r="D13" t="str">
            <v>ANDREI RIEGER</v>
          </cell>
          <cell r="E13" t="str">
            <v>AGUARDANDO ASSINATURA DE CONFISSÃO DE DÍVIDA, PAGAMENTO SOLICITADO PARA 25/05/2026, NÃO HAVENDO PAGAMENTO, NEGATIVAR O VALOR EM ABERTO</v>
          </cell>
          <cell r="F13" t="str">
            <v>-</v>
          </cell>
          <cell r="G13" t="str">
            <v>-</v>
          </cell>
        </row>
        <row r="14">
          <cell r="A14" t="str">
            <v>MARCOS RUELA DA SILVA CIA LTDA</v>
          </cell>
          <cell r="B14">
            <v>368820.9</v>
          </cell>
          <cell r="C14">
            <v>16</v>
          </cell>
          <cell r="D14" t="str">
            <v>MARYANNA SILVEIRA</v>
          </cell>
          <cell r="E14" t="str">
            <v>DO VALOR VENCIDO, O CLIENTE JÁ FEZ UM PAGAMENTO NO DIA 13/05 DE 108 MIL. REPASSOU UMA PROPOSTA DE PAGAMENTO EM 2X, SENDO A PRIMEIRA PARA 25/06 E A SEGUNDA PARA 27/07.</v>
          </cell>
          <cell r="F14" t="str">
            <v>-</v>
          </cell>
          <cell r="G14" t="str">
            <v>-</v>
          </cell>
        </row>
        <row r="15">
          <cell r="A15" t="str">
            <v>MERCADO AGRICOLA LTDA</v>
          </cell>
          <cell r="B15">
            <v>234.45</v>
          </cell>
          <cell r="C15">
            <v>29</v>
          </cell>
          <cell r="D15" t="str">
            <v>SAULO PAIVA</v>
          </cell>
          <cell r="E15" t="str">
            <v>PAGO HOJE (28/05)</v>
          </cell>
          <cell r="F15" t="str">
            <v>-</v>
          </cell>
          <cell r="G15" t="str">
            <v>-</v>
          </cell>
        </row>
        <row r="16">
          <cell r="A16" t="str">
            <v>PRODUFERTIL COMERCIO DE PRODUTOS AGRICOLAS LTDA</v>
          </cell>
          <cell r="B16">
            <v>1216322.6100000001</v>
          </cell>
          <cell r="C16">
            <v>239</v>
          </cell>
          <cell r="D16" t="str">
            <v>JOAO BRIZUENA</v>
          </cell>
          <cell r="E16" t="str">
            <v>AGUARDAR ATÉ FINAL DE MAIO NOVA POSIÇÃO DO CLIENTE SOBRE PAGAMENTOS, CONFORME ULTIMA REUNIÃO EFETUADA</v>
          </cell>
          <cell r="F16" t="str">
            <v>-</v>
          </cell>
          <cell r="G16" t="str">
            <v>AGUARDANDO REUNIÃO</v>
          </cell>
        </row>
        <row r="17">
          <cell r="A17" t="str">
            <v>SOLOTEK INDUSTRIA DE ADUBOS E FERTILIZANTES S/A</v>
          </cell>
          <cell r="B17">
            <v>735003.92999999993</v>
          </cell>
          <cell r="C17">
            <v>239</v>
          </cell>
          <cell r="D17" t="str">
            <v>CARLOS BERNARDES</v>
          </cell>
          <cell r="E17" t="str">
            <v>CONFISSÃO DE DÍVIDA ASSINADA. PRAZO PARA PAGAMENTO DO SINISTRO 27/06/2026. O SINISTRO SERÁ PAGO SE HOUVER DESCUMPRIMENTO DA CONFISSÃO DE DÍVIDA. CONFISSÃO DE DÍVIDA ESTÁ SENDO PAGA EM DIA, ULTIMO PAGAMENTO NO DIA 15/05 NO VALOR DE 30 MIL E PROXIMO VENCIMENTO DA CONFISSÃO PARA 30/08. AGUARDAR ATÉ O DIA 28/05 ATUALIZAÇOES SOBRE A SITUAÇAO FINANCEIRA DA AHL/SOLOTEK E DOS VALORES NAO RENEGOCIADOS DE 30/04 (286 MIL) REFERENTE A VENDA DE PRODUTOS . 137 K DE PAGAMENTO DE INDUSTRIALIZAÇAO DE UREIA EM ABERTO QUE VENCEU DIA 14/05 (11 DIAS), AGUARDANDO PAGAMENTO. NEGATIVAÇOES SOMAM 7,4 M BRL, SENDO 2,3 M BRL DA BASF e 5,1 M BRL DE BANCOS</v>
          </cell>
          <cell r="F17" t="str">
            <v>CONFISSÃO DE DÍVIDA ASSINADA COM PAGAMENTOS NAS SEGUINTES DATAS: 28/03 (PAGO), 30/04,  15/05, 30/08, 20/09, 30/09 e 30/10.</v>
          </cell>
          <cell r="G17" t="str">
            <v>AGUARDANDO PAGAMENTOS</v>
          </cell>
        </row>
        <row r="18">
          <cell r="A18" t="str">
            <v>VALE RURAL AGROPECUARIA LTDA</v>
          </cell>
          <cell r="B18">
            <v>3460.54</v>
          </cell>
          <cell r="C18">
            <v>8</v>
          </cell>
          <cell r="D18" t="str">
            <v>JOAO GARCIA</v>
          </cell>
          <cell r="E18" t="str">
            <v>NEGOCIADO PARA PAGAMENTO NO DIA 29/05</v>
          </cell>
          <cell r="F18" t="str">
            <v>-</v>
          </cell>
          <cell r="G18" t="str">
            <v>-</v>
          </cell>
        </row>
      </sheetData>
      <sheetData sheetId="3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arolina Oliveira" refreshedDate="46171.372073842591" createdVersion="8" refreshedVersion="8" minRefreshableVersion="3" recordCount="83" xr:uid="{7B8552B1-BD96-4CF6-90CD-CBBE796EBE5C}">
  <cacheSource type="worksheet">
    <worksheetSource ref="A1:J84" sheet="TOTAL INADIMPLENCIA"/>
  </cacheSource>
  <cacheFields count="10">
    <cacheField name="Codigo PN" numFmtId="0">
      <sharedItems/>
    </cacheField>
    <cacheField name="Razao Social" numFmtId="0">
      <sharedItems count="13">
        <s v="AGRO ALTA COMERCIO DE INSUMOS AGRICOLAS LTDA"/>
        <s v="LUCAS SOUZA RIBEIRO"/>
        <s v="PRODUFERTIL COMERCIO DE PRODUTOS AGRICOLAS LTDA"/>
        <s v="SOLOTEK INDUSTRIA DE ADUBOS E FERTILIZANTES S/A"/>
        <s v="BC AGRO COMERCIO LTDA"/>
        <s v="COOPERATIVA MISTA AGROPECUARIA DO VALE DO ARAGUAIA"/>
        <s v="ALBERTO ARNOLDO KUCHNIR"/>
        <s v="MARCO ANTONIO OLIVEIRA CAMPOS"/>
        <s v="JOAO BATISTA CAMPOS"/>
        <s v="AHL DISTRIBUIDORA S/A"/>
        <s v="AGRONEXA AGRICOLA LTDA EPP"/>
        <s v="MARCOS RUELA DA SILVA CIA LTDA"/>
        <s v="VALE RURAL AGROPECUARIA LTDA"/>
      </sharedItems>
    </cacheField>
    <cacheField name="No.Docto." numFmtId="0">
      <sharedItems containsSemiMixedTypes="0" containsString="0" containsNumber="1" containsInteger="1" minValue="27260" maxValue="32701"/>
    </cacheField>
    <cacheField name="No. NF" numFmtId="0">
      <sharedItems containsSemiMixedTypes="0" containsString="0" containsNumber="1" containsInteger="1" minValue="36967" maxValue="43355"/>
    </cacheField>
    <cacheField name="Emissão" numFmtId="14">
      <sharedItems containsSemiMixedTypes="0" containsNonDate="0" containsDate="1" containsString="0" minDate="2024-10-03T00:00:00" maxDate="2026-03-21T00:00:00"/>
    </cacheField>
    <cacheField name="Vencimento" numFmtId="14">
      <sharedItems containsSemiMixedTypes="0" containsNonDate="0" containsDate="1" containsString="0" minDate="2025-05-14T00:00:00" maxDate="2026-05-20T00:00:00"/>
    </cacheField>
    <cacheField name="Valor R$" numFmtId="0">
      <sharedItems containsSemiMixedTypes="0" containsString="0" containsNumber="1" minValue="493.9" maxValue="603134.04"/>
    </cacheField>
    <cacheField name="Dias Atraso" numFmtId="0">
      <sharedItems containsSemiMixedTypes="0" containsString="0" containsNumber="1" containsInteger="1" minValue="9" maxValue="379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3">
  <r>
    <s v="CL08834"/>
    <x v="0"/>
    <n v="28424"/>
    <n v="38418"/>
    <d v="2025-01-14T00:00:00"/>
    <d v="2025-05-14T00:00:00"/>
    <n v="37386.9"/>
    <n v="379"/>
    <s v="NOTA FISCAL Nº 38418"/>
    <s v="GABRIEL BORGES"/>
  </r>
  <r>
    <s v="CL08834"/>
    <x v="0"/>
    <n v="28425"/>
    <n v="38419"/>
    <d v="2025-01-14T00:00:00"/>
    <d v="2025-05-14T00:00:00"/>
    <n v="20055.04"/>
    <n v="379"/>
    <s v="NOTA FISCAL Nº 38419"/>
    <s v="GABRIEL BORGES"/>
  </r>
  <r>
    <s v="CL08834"/>
    <x v="0"/>
    <n v="28452"/>
    <n v="38449"/>
    <d v="2025-01-15T00:00:00"/>
    <d v="2025-05-15T00:00:00"/>
    <n v="5732.02"/>
    <n v="378"/>
    <s v="NOTA FISCAL Nº 38449"/>
    <s v="GABRIEL BORGES"/>
  </r>
  <r>
    <s v="CL08834"/>
    <x v="0"/>
    <n v="27488"/>
    <n v="37254"/>
    <d v="2024-10-23T00:00:00"/>
    <d v="2025-05-21T00:00:00"/>
    <n v="1620.34"/>
    <n v="372"/>
    <s v="NOTA FISCAL Nº 37254"/>
    <s v="GABRIEL BORGES"/>
  </r>
  <r>
    <s v="CL08834"/>
    <x v="0"/>
    <n v="27492"/>
    <n v="37257"/>
    <d v="2024-10-23T00:00:00"/>
    <d v="2025-05-21T00:00:00"/>
    <n v="952.5"/>
    <n v="372"/>
    <s v="NOTA FISCAL Nº 37257"/>
    <s v="GABRIEL BORGES"/>
  </r>
  <r>
    <s v="CL09415"/>
    <x v="1"/>
    <n v="27505"/>
    <n v="37271"/>
    <d v="2024-10-24T00:00:00"/>
    <d v="2025-05-30T00:00:00"/>
    <n v="30277.200000000001"/>
    <n v="363"/>
    <s v="NOTA FISCAL Nº 37271"/>
    <s v="CESAR CAIXETA"/>
  </r>
  <r>
    <s v="CL09415"/>
    <x v="1"/>
    <n v="27583"/>
    <n v="37349"/>
    <d v="2024-10-29T00:00:00"/>
    <d v="2025-05-30T00:00:00"/>
    <n v="285376"/>
    <n v="363"/>
    <s v="NOTA FISCAL Nº 37349"/>
    <s v="CESAR CAIXETA"/>
  </r>
  <r>
    <s v="CL09415"/>
    <x v="1"/>
    <n v="27635"/>
    <n v="37408"/>
    <d v="2024-10-31T00:00:00"/>
    <d v="2025-05-30T00:00:00"/>
    <n v="204624"/>
    <n v="363"/>
    <s v="NOTA FISCAL Nº 37408"/>
    <s v="CESAR CAIXETA"/>
  </r>
  <r>
    <s v="CL08834"/>
    <x v="0"/>
    <n v="27260"/>
    <n v="36967"/>
    <d v="2024-10-03T00:00:00"/>
    <d v="2025-06-02T00:00:00"/>
    <n v="493.9"/>
    <n v="360"/>
    <s v="NOTA FISCAL Nº 36967"/>
    <s v="GABRIEL BORGES"/>
  </r>
  <r>
    <s v="CL08834"/>
    <x v="0"/>
    <n v="28073"/>
    <n v="37995"/>
    <d v="2024-12-12T00:00:00"/>
    <d v="2025-06-10T00:00:00"/>
    <n v="20579"/>
    <n v="352"/>
    <s v="NOTA FISCAL Nº 37995"/>
    <s v="GABRIEL BORGES"/>
  </r>
  <r>
    <s v="CL08834"/>
    <x v="0"/>
    <n v="28074"/>
    <n v="37996"/>
    <d v="2024-12-12T00:00:00"/>
    <d v="2025-06-10T00:00:00"/>
    <n v="2800"/>
    <n v="352"/>
    <s v="NOTA FISCAL Nº 37996"/>
    <s v="GABRIEL BORGES"/>
  </r>
  <r>
    <s v="CL08834"/>
    <x v="0"/>
    <n v="28076"/>
    <n v="37998"/>
    <d v="2024-12-12T00:00:00"/>
    <d v="2025-06-10T00:00:00"/>
    <n v="3240.67"/>
    <n v="352"/>
    <s v="NOTA FISCAL Nº 37998"/>
    <s v="GABRIEL BORGES"/>
  </r>
  <r>
    <s v="CL08834"/>
    <x v="0"/>
    <n v="27384"/>
    <n v="37110"/>
    <d v="2024-10-14T00:00:00"/>
    <d v="2025-06-11T00:00:00"/>
    <n v="35515.339999999997"/>
    <n v="351"/>
    <s v="NOTA FISCAL Nº 37110"/>
    <s v="GABRIEL BORGES"/>
  </r>
  <r>
    <s v="CL08834"/>
    <x v="0"/>
    <n v="27488"/>
    <n v="37254"/>
    <d v="2024-10-23T00:00:00"/>
    <d v="2025-06-20T00:00:00"/>
    <n v="1620.34"/>
    <n v="342"/>
    <s v="NOTA FISCAL Nº 37254"/>
    <s v="GABRIEL BORGES"/>
  </r>
  <r>
    <s v="CL08834"/>
    <x v="0"/>
    <n v="27492"/>
    <n v="37257"/>
    <d v="2024-10-23T00:00:00"/>
    <d v="2025-06-20T00:00:00"/>
    <n v="952.5"/>
    <n v="342"/>
    <s v="NOTA FISCAL Nº 37257"/>
    <s v="GABRIEL BORGES"/>
  </r>
  <r>
    <s v="CL08834"/>
    <x v="0"/>
    <n v="27260"/>
    <n v="36967"/>
    <d v="2024-10-03T00:00:00"/>
    <d v="2025-06-30T00:00:00"/>
    <n v="493.9"/>
    <n v="332"/>
    <s v="NOTA FISCAL Nº 36967"/>
    <s v="GABRIEL BORGES"/>
  </r>
  <r>
    <s v="CL08834"/>
    <x v="0"/>
    <n v="28073"/>
    <n v="37995"/>
    <d v="2024-12-12T00:00:00"/>
    <d v="2025-07-10T00:00:00"/>
    <n v="20579"/>
    <n v="322"/>
    <s v="NOTA FISCAL Nº 37995"/>
    <s v="GABRIEL BORGES"/>
  </r>
  <r>
    <s v="CL08834"/>
    <x v="0"/>
    <n v="28074"/>
    <n v="37996"/>
    <d v="2024-12-12T00:00:00"/>
    <d v="2025-07-10T00:00:00"/>
    <n v="2800"/>
    <n v="322"/>
    <s v="NOTA FISCAL Nº 37996"/>
    <s v="GABRIEL BORGES"/>
  </r>
  <r>
    <s v="CL08834"/>
    <x v="0"/>
    <n v="28076"/>
    <n v="37998"/>
    <d v="2024-12-12T00:00:00"/>
    <d v="2025-07-10T00:00:00"/>
    <n v="3240.67"/>
    <n v="322"/>
    <s v="NOTA FISCAL Nº 37998"/>
    <s v="GABRIEL BORGES"/>
  </r>
  <r>
    <s v="CL08834"/>
    <x v="0"/>
    <n v="27384"/>
    <n v="37110"/>
    <d v="2024-10-14T00:00:00"/>
    <d v="2025-07-11T00:00:00"/>
    <n v="35514.9"/>
    <n v="321"/>
    <s v="NOTA FISCAL Nº 37110"/>
    <s v="GABRIEL BORGES"/>
  </r>
  <r>
    <s v="CL08834"/>
    <x v="0"/>
    <n v="27488"/>
    <n v="37254"/>
    <d v="2024-10-23T00:00:00"/>
    <d v="2025-07-21T00:00:00"/>
    <n v="1620.3"/>
    <n v="311"/>
    <s v="NOTA FISCAL Nº 37254"/>
    <s v="GABRIEL BORGES"/>
  </r>
  <r>
    <s v="CL08834"/>
    <x v="0"/>
    <n v="27492"/>
    <n v="37257"/>
    <d v="2024-10-23T00:00:00"/>
    <d v="2025-07-21T00:00:00"/>
    <n v="952.5"/>
    <n v="311"/>
    <s v="NOTA FISCAL Nº 37257"/>
    <s v="GABRIEL BORGES"/>
  </r>
  <r>
    <s v="CL08834"/>
    <x v="0"/>
    <n v="28586"/>
    <n v="38610"/>
    <d v="2025-01-23T00:00:00"/>
    <d v="2025-07-22T00:00:00"/>
    <n v="5838.65"/>
    <n v="310"/>
    <s v="NOTA FISCAL Nº 38610"/>
    <s v="GABRIEL BORGES"/>
  </r>
  <r>
    <s v="CL08834"/>
    <x v="0"/>
    <n v="27942"/>
    <n v="37810"/>
    <d v="2024-11-29T00:00:00"/>
    <d v="2025-07-28T00:00:00"/>
    <n v="5211"/>
    <n v="304"/>
    <s v="NOTA FISCAL Nº 37810"/>
    <s v="GABRIEL BORGES"/>
  </r>
  <r>
    <s v="CL08834"/>
    <x v="0"/>
    <n v="28073"/>
    <n v="37995"/>
    <d v="2024-12-12T00:00:00"/>
    <d v="2025-08-11T00:00:00"/>
    <n v="20579"/>
    <n v="290"/>
    <s v="NOTA FISCAL Nº 37995"/>
    <s v="GABRIEL BORGES"/>
  </r>
  <r>
    <s v="CL08834"/>
    <x v="0"/>
    <n v="28074"/>
    <n v="37996"/>
    <d v="2024-12-12T00:00:00"/>
    <d v="2025-08-11T00:00:00"/>
    <n v="2800"/>
    <n v="290"/>
    <s v="NOTA FISCAL Nº 37996"/>
    <s v="GABRIEL BORGES"/>
  </r>
  <r>
    <s v="CL08834"/>
    <x v="0"/>
    <n v="28076"/>
    <n v="37998"/>
    <d v="2024-12-12T00:00:00"/>
    <d v="2025-08-11T00:00:00"/>
    <n v="3240.67"/>
    <n v="290"/>
    <s v="NOTA FISCAL Nº 37998"/>
    <s v="GABRIEL BORGES"/>
  </r>
  <r>
    <s v="CL08834"/>
    <x v="0"/>
    <n v="28586"/>
    <n v="38610"/>
    <d v="2025-01-23T00:00:00"/>
    <d v="2025-08-21T00:00:00"/>
    <n v="5838.65"/>
    <n v="280"/>
    <s v="NOTA FISCAL Nº 38610"/>
    <s v="GABRIEL BORGES"/>
  </r>
  <r>
    <s v="CL08834"/>
    <x v="0"/>
    <n v="27944"/>
    <n v="37812"/>
    <d v="2024-11-29T00:00:00"/>
    <d v="2025-08-26T00:00:00"/>
    <n v="113024.7"/>
    <n v="275"/>
    <s v="NOTA FISCAL Nº 37812"/>
    <s v="GABRIEL BORGES"/>
  </r>
  <r>
    <s v="CL08834"/>
    <x v="0"/>
    <n v="28071"/>
    <n v="37993"/>
    <d v="2024-12-12T00:00:00"/>
    <d v="2025-09-08T00:00:00"/>
    <n v="10932"/>
    <n v="262"/>
    <s v="NOTA FISCAL Nº 37993"/>
    <s v="GABRIEL BORGES"/>
  </r>
  <r>
    <s v="CL08834"/>
    <x v="0"/>
    <n v="28073"/>
    <n v="37995"/>
    <d v="2024-12-12T00:00:00"/>
    <d v="2025-09-08T00:00:00"/>
    <n v="20579"/>
    <n v="262"/>
    <s v="NOTA FISCAL Nº 37995"/>
    <s v="GABRIEL BORGES"/>
  </r>
  <r>
    <s v="CL08834"/>
    <x v="0"/>
    <n v="28074"/>
    <n v="37996"/>
    <d v="2024-12-12T00:00:00"/>
    <d v="2025-09-08T00:00:00"/>
    <n v="2800"/>
    <n v="262"/>
    <s v="NOTA FISCAL Nº 37996"/>
    <s v="GABRIEL BORGES"/>
  </r>
  <r>
    <s v="CL08834"/>
    <x v="0"/>
    <n v="28076"/>
    <n v="37998"/>
    <d v="2024-12-12T00:00:00"/>
    <d v="2025-09-08T00:00:00"/>
    <n v="3240.65"/>
    <n v="262"/>
    <s v="NOTA FISCAL Nº 37998"/>
    <s v="GABRIEL BORGES"/>
  </r>
  <r>
    <s v="CL08834"/>
    <x v="0"/>
    <n v="28586"/>
    <n v="38610"/>
    <d v="2025-01-23T00:00:00"/>
    <d v="2025-09-22T00:00:00"/>
    <n v="5838.65"/>
    <n v="248"/>
    <s v="NOTA FISCAL Nº 38610"/>
    <s v="GABRIEL BORGES"/>
  </r>
  <r>
    <s v="CL08821"/>
    <x v="2"/>
    <n v="28587"/>
    <n v="38612"/>
    <d v="2025-01-23T00:00:00"/>
    <d v="2025-09-30T00:00:00"/>
    <n v="603134.04"/>
    <n v="240"/>
    <s v="Notas Fiscais de Saída - CL08821"/>
    <s v="JOAO BRIZUENA"/>
  </r>
  <r>
    <s v="CL08821"/>
    <x v="2"/>
    <n v="28857"/>
    <n v="38948"/>
    <d v="2025-02-11T00:00:00"/>
    <d v="2025-09-30T00:00:00"/>
    <n v="93118.57"/>
    <n v="240"/>
    <s v="Notas Fiscais de Saída - CL08821"/>
    <s v="JOAO BRIZUENA"/>
  </r>
  <r>
    <s v="CL08821"/>
    <x v="2"/>
    <n v="28964"/>
    <n v="39085"/>
    <d v="2025-02-19T00:00:00"/>
    <d v="2025-09-30T00:00:00"/>
    <n v="134366"/>
    <n v="240"/>
    <s v="Notas Fiscais de Saída - CL08821"/>
    <s v="JOAO BRIZUENA"/>
  </r>
  <r>
    <s v="CL08666"/>
    <x v="3"/>
    <n v="29425"/>
    <n v="39646"/>
    <d v="2025-04-22T00:00:00"/>
    <d v="2025-09-30T00:00:00"/>
    <n v="36252.69"/>
    <n v="240"/>
    <s v="Notas Fiscais de Saída - CL08666"/>
    <s v="CARLOS BERNARDES"/>
  </r>
  <r>
    <s v="CL08834"/>
    <x v="0"/>
    <n v="28586"/>
    <n v="38610"/>
    <d v="2025-01-23T00:00:00"/>
    <d v="2025-10-20T00:00:00"/>
    <n v="5838.65"/>
    <n v="220"/>
    <s v="NOTA FISCAL Nº 38610"/>
    <s v="GABRIEL BORGES"/>
  </r>
  <r>
    <s v="CL08666"/>
    <x v="3"/>
    <n v="29596"/>
    <n v="39846"/>
    <d v="2025-05-14T00:00:00"/>
    <d v="2025-10-30T00:00:00"/>
    <n v="20800"/>
    <n v="210"/>
    <s v="Notas Fiscais de Saída - CL08666"/>
    <s v="CARLOS BERNARDES"/>
  </r>
  <r>
    <s v="CL08666"/>
    <x v="3"/>
    <n v="29625"/>
    <n v="39877"/>
    <d v="2025-05-19T00:00:00"/>
    <d v="2025-10-30T00:00:00"/>
    <n v="107100"/>
    <n v="210"/>
    <s v="Notas Fiscais de Saída - CL08666"/>
    <s v="CARLOS BERNARDES"/>
  </r>
  <r>
    <s v="CL08666"/>
    <x v="3"/>
    <n v="29753"/>
    <n v="40028"/>
    <d v="2025-06-09T00:00:00"/>
    <d v="2025-10-30T00:00:00"/>
    <n v="13550"/>
    <n v="210"/>
    <s v="Notas Fiscais de Saída - CL08666"/>
    <s v="CARLOS BERNARDES"/>
  </r>
  <r>
    <s v="CL08666"/>
    <x v="3"/>
    <n v="29754"/>
    <n v="40029"/>
    <d v="2025-06-09T00:00:00"/>
    <d v="2025-10-30T00:00:00"/>
    <n v="76500"/>
    <n v="210"/>
    <s v="Notas Fiscais de Saída - CL08666"/>
    <s v="CARLOS BERNARDES"/>
  </r>
  <r>
    <s v="CL09527"/>
    <x v="4"/>
    <n v="30633"/>
    <n v="41061"/>
    <d v="2025-09-17T00:00:00"/>
    <d v="2025-12-16T00:00:00"/>
    <n v="26756.06"/>
    <n v="163"/>
    <s v="NOTA FISCAL Nº 41061"/>
    <s v="LEOMAR MULLER"/>
  </r>
  <r>
    <s v="CL08666"/>
    <x v="3"/>
    <n v="29977"/>
    <n v="40302"/>
    <d v="2025-07-17T00:00:00"/>
    <d v="2025-12-19T00:00:00"/>
    <n v="56862"/>
    <n v="160"/>
    <s v="Notas Fiscais de Saída - CL08666"/>
    <s v="CARLOS BERNARDES"/>
  </r>
  <r>
    <s v="CL09527"/>
    <x v="4"/>
    <n v="30712"/>
    <n v="41148"/>
    <d v="2025-09-22T00:00:00"/>
    <d v="2025-12-22T00:00:00"/>
    <n v="11985"/>
    <n v="157"/>
    <s v="NOTA FISCAL Nº 41148"/>
    <s v="LEOMAR MULLER"/>
  </r>
  <r>
    <s v="CL09527"/>
    <x v="4"/>
    <n v="30713"/>
    <n v="41149"/>
    <d v="2025-09-22T00:00:00"/>
    <d v="2025-12-22T00:00:00"/>
    <n v="5137.25"/>
    <n v="157"/>
    <s v="NOTA FISCAL Nº 41149"/>
    <s v="LEOMAR MULLER"/>
  </r>
  <r>
    <s v="CL09527"/>
    <x v="4"/>
    <n v="30633"/>
    <n v="41061"/>
    <d v="2025-09-17T00:00:00"/>
    <d v="2026-01-15T00:00:00"/>
    <n v="30528.06"/>
    <n v="133"/>
    <s v="NOTA FISCAL Nº 41061"/>
    <s v="LEOMAR MULLER"/>
  </r>
  <r>
    <s v="CL09447"/>
    <x v="5"/>
    <n v="30363"/>
    <n v="40736"/>
    <d v="2025-08-27T00:00:00"/>
    <d v="2026-03-30T00:00:00"/>
    <n v="254051.08"/>
    <n v="59"/>
    <s v="NOTA FISCAL Nº 40736"/>
    <s v="ANDREI RIEGER"/>
  </r>
  <r>
    <s v="CL09447"/>
    <x v="5"/>
    <n v="30582"/>
    <n v="41001"/>
    <d v="2025-09-15T00:00:00"/>
    <d v="2026-03-30T00:00:00"/>
    <n v="200349.48"/>
    <n v="59"/>
    <s v="NOTA FISCAL Nº 41001"/>
    <s v="ANDREI RIEGER"/>
  </r>
  <r>
    <s v="CL09371"/>
    <x v="6"/>
    <n v="30903"/>
    <n v="41385"/>
    <d v="2025-10-07T00:00:00"/>
    <d v="2026-03-30T00:00:00"/>
    <n v="225666.8"/>
    <n v="59"/>
    <s v="NOTA FISCAL Nº 41385"/>
    <s v="ANDREI RIEGER"/>
  </r>
  <r>
    <s v="CL09371"/>
    <x v="6"/>
    <n v="30910"/>
    <n v="41393"/>
    <d v="2025-10-07T00:00:00"/>
    <d v="2026-03-30T00:00:00"/>
    <n v="16616"/>
    <n v="59"/>
    <s v="NOTA FISCAL Nº 41393"/>
    <s v="ANDREI RIEGER"/>
  </r>
  <r>
    <s v="CL09447"/>
    <x v="5"/>
    <n v="30912"/>
    <n v="41396"/>
    <d v="2025-10-08T00:00:00"/>
    <d v="2026-03-30T00:00:00"/>
    <n v="370557.35"/>
    <n v="59"/>
    <s v="NOTA FISCAL Nº 41396"/>
    <s v="ANDREI RIEGER"/>
  </r>
  <r>
    <s v="CL09447"/>
    <x v="5"/>
    <n v="30942"/>
    <n v="41435"/>
    <d v="2025-10-13T00:00:00"/>
    <d v="2026-03-30T00:00:00"/>
    <n v="115903"/>
    <n v="59"/>
    <s v="NOTA FISCAL Nº 41435"/>
    <s v="ANDREI RIEGER"/>
  </r>
  <r>
    <s v="CL09447"/>
    <x v="5"/>
    <n v="30944"/>
    <n v="41436"/>
    <d v="2025-10-13T00:00:00"/>
    <d v="2026-03-30T00:00:00"/>
    <n v="564461.30000000005"/>
    <n v="59"/>
    <s v="NOTA FISCAL Nº 41436"/>
    <s v="ANDREI RIEGER"/>
  </r>
  <r>
    <s v="CL09447"/>
    <x v="5"/>
    <n v="30965"/>
    <n v="41460"/>
    <d v="2025-10-14T00:00:00"/>
    <d v="2026-03-30T00:00:00"/>
    <n v="25589.1"/>
    <n v="59"/>
    <s v="NOTA FISCAL Nº 41460"/>
    <s v="ANDREI RIEGER"/>
  </r>
  <r>
    <s v="CL09447"/>
    <x v="5"/>
    <n v="31345"/>
    <n v="41888"/>
    <d v="2025-11-13T00:00:00"/>
    <d v="2026-03-30T00:00:00"/>
    <n v="151414.79999999999"/>
    <n v="59"/>
    <s v="NOTA FISCAL Nº 41888"/>
    <s v="ANDREI RIEGER"/>
  </r>
  <r>
    <s v="CL08666"/>
    <x v="3"/>
    <n v="30162"/>
    <n v="40504"/>
    <d v="2025-08-05T00:00:00"/>
    <d v="2026-04-30T00:00:00"/>
    <n v="286465"/>
    <n v="28"/>
    <s v="NOTA FISCAL Nº 40504"/>
    <s v="CARLOS BERNARDES"/>
  </r>
  <r>
    <s v="CL09462"/>
    <x v="7"/>
    <n v="30278"/>
    <n v="40641"/>
    <d v="2025-08-19T00:00:00"/>
    <d v="2026-04-30T00:00:00"/>
    <n v="102040"/>
    <n v="28"/>
    <s v="NOTA FISCAL Nº 40641"/>
    <s v="ANDREI RIEGER"/>
  </r>
  <r>
    <s v="CL09462"/>
    <x v="7"/>
    <n v="30285"/>
    <n v="40653"/>
    <d v="2025-08-21T00:00:00"/>
    <d v="2026-04-30T00:00:00"/>
    <n v="173000"/>
    <n v="28"/>
    <s v="Notas Fiscais de Saída - CL09462"/>
    <s v="ANDREI RIEGER"/>
  </r>
  <r>
    <s v="CL09461"/>
    <x v="8"/>
    <n v="30341"/>
    <n v="40710"/>
    <d v="2025-08-26T00:00:00"/>
    <d v="2026-04-30T00:00:00"/>
    <n v="181560"/>
    <n v="28"/>
    <s v="NOTA FISCAL Nº 40710"/>
    <s v="ANDREI RIEGER"/>
  </r>
  <r>
    <s v="CL09462"/>
    <x v="7"/>
    <n v="30342"/>
    <n v="40711"/>
    <d v="2025-08-26T00:00:00"/>
    <d v="2026-04-30T00:00:00"/>
    <n v="480285"/>
    <n v="28"/>
    <s v="NOTA FISCAL Nº 40711"/>
    <s v="ANDREI RIEGER"/>
  </r>
  <r>
    <s v="CL09462"/>
    <x v="7"/>
    <n v="30343"/>
    <n v="40712"/>
    <d v="2025-08-26T00:00:00"/>
    <d v="2026-04-30T00:00:00"/>
    <n v="58000"/>
    <n v="28"/>
    <s v="NOTA FISCAL Nº 40712"/>
    <s v="ANDREI RIEGER"/>
  </r>
  <r>
    <s v="CL09461"/>
    <x v="8"/>
    <n v="30344"/>
    <n v="40713"/>
    <d v="2025-08-26T00:00:00"/>
    <d v="2026-04-30T00:00:00"/>
    <n v="14500"/>
    <n v="28"/>
    <s v="NOTA FISCAL Nº 40713"/>
    <s v="ANDREI RIEGER"/>
  </r>
  <r>
    <s v="CL08531"/>
    <x v="9"/>
    <n v="30475"/>
    <n v="40887"/>
    <d v="2025-09-08T00:00:00"/>
    <d v="2026-04-30T00:00:00"/>
    <n v="484628.8"/>
    <n v="28"/>
    <s v="NOTA FISCAL Nº 40887"/>
    <s v="CARLOS BERNARDES"/>
  </r>
  <r>
    <s v="CL08531"/>
    <x v="9"/>
    <n v="30543"/>
    <n v="40956"/>
    <d v="2025-09-11T00:00:00"/>
    <d v="2026-04-30T00:00:00"/>
    <n v="30750"/>
    <n v="28"/>
    <s v="NOTA FISCAL Nº 40956"/>
    <s v="CARLOS BERNARDES"/>
  </r>
  <r>
    <s v="CL08531"/>
    <x v="9"/>
    <n v="30544"/>
    <n v="40957"/>
    <d v="2025-09-11T00:00:00"/>
    <d v="2026-04-30T00:00:00"/>
    <n v="33000"/>
    <n v="28"/>
    <s v="NOTA FISCAL Nº 40957"/>
    <s v="CARLOS BERNARDES"/>
  </r>
  <r>
    <s v="CL09787"/>
    <x v="10"/>
    <n v="30669"/>
    <n v="41101"/>
    <d v="2025-09-18T00:00:00"/>
    <d v="2026-04-30T00:00:00"/>
    <n v="33000"/>
    <n v="28"/>
    <s v="NOTA FISCAL Nº 41101"/>
    <s v="JOAO BRIZUENA"/>
  </r>
  <r>
    <s v="CL08821"/>
    <x v="2"/>
    <n v="30842"/>
    <n v="41302"/>
    <d v="2025-09-30T00:00:00"/>
    <d v="2026-04-30T00:00:00"/>
    <n v="172260"/>
    <n v="28"/>
    <s v="NOTA FISCAL Nº 41302"/>
    <s v="JOAO BRIZUENA"/>
  </r>
  <r>
    <s v="CL09371"/>
    <x v="6"/>
    <n v="30902"/>
    <n v="41384"/>
    <d v="2025-10-07T00:00:00"/>
    <d v="2026-04-30T00:00:00"/>
    <n v="460192.4"/>
    <n v="28"/>
    <s v="NOTA FISCAL Nº 41384"/>
    <s v="ANDREI RIEGER"/>
  </r>
  <r>
    <s v="CL09371"/>
    <x v="6"/>
    <n v="30955"/>
    <n v="41452"/>
    <d v="2025-10-13T00:00:00"/>
    <d v="2026-04-30T00:00:00"/>
    <n v="47776.2"/>
    <n v="28"/>
    <s v="NOTA FISCAL Nº 41452"/>
    <s v="ANDREI RIEGER"/>
  </r>
  <r>
    <s v="CL08821"/>
    <x v="2"/>
    <n v="31215"/>
    <n v="41732"/>
    <d v="2025-10-31T00:00:00"/>
    <d v="2026-04-30T00:00:00"/>
    <n v="199144"/>
    <n v="28"/>
    <s v="NOTA FISCAL Nº 41732"/>
    <s v="JOAO BRIZUENA"/>
  </r>
  <r>
    <s v="CL08821"/>
    <x v="2"/>
    <n v="31216"/>
    <n v="41733"/>
    <d v="2025-10-31T00:00:00"/>
    <d v="2026-04-30T00:00:00"/>
    <n v="14300"/>
    <n v="28"/>
    <s v="NOTA FISCAL Nº 41733"/>
    <s v="JOAO BRIZUENA"/>
  </r>
  <r>
    <s v="CL09787"/>
    <x v="10"/>
    <n v="31404"/>
    <n v="41951"/>
    <d v="2025-11-18T00:00:00"/>
    <d v="2026-04-30T00:00:00"/>
    <n v="90730"/>
    <n v="28"/>
    <s v="NOTA FISCAL Nº 41951"/>
    <s v="JOAO BRIZUENA"/>
  </r>
  <r>
    <s v="CL09787"/>
    <x v="10"/>
    <n v="31616"/>
    <n v="42178"/>
    <d v="2025-12-09T00:00:00"/>
    <d v="2026-04-30T00:00:00"/>
    <n v="171444"/>
    <n v="28"/>
    <s v="Notas Fiscais de Saída - CL09787"/>
    <s v="JOAO BRIZUENA"/>
  </r>
  <r>
    <s v="CL09787"/>
    <x v="10"/>
    <n v="31844"/>
    <n v="42429"/>
    <d v="2026-01-05T00:00:00"/>
    <d v="2026-04-30T00:00:00"/>
    <n v="27667.5"/>
    <n v="28"/>
    <s v="Notas Fiscais de Saída - CL09787"/>
    <s v="JOAO BRIZUENA"/>
  </r>
  <r>
    <s v="CL09221"/>
    <x v="11"/>
    <n v="30453"/>
    <n v="40866"/>
    <d v="2025-09-08T00:00:00"/>
    <d v="2026-05-11T00:00:00"/>
    <n v="174253.19"/>
    <n v="17"/>
    <s v="NOTA FISCAL Nº 40866"/>
    <s v="MARYANNA SILVEIRA"/>
  </r>
  <r>
    <s v="CL09221"/>
    <x v="11"/>
    <n v="30696"/>
    <n v="41131"/>
    <d v="2025-09-19T00:00:00"/>
    <d v="2026-05-11T00:00:00"/>
    <n v="101510"/>
    <n v="17"/>
    <s v="NOTA FISCAL Nº 41131"/>
    <s v="MARYANNA SILVEIRA"/>
  </r>
  <r>
    <s v="CL09221"/>
    <x v="11"/>
    <n v="30697"/>
    <n v="41132"/>
    <d v="2025-09-19T00:00:00"/>
    <d v="2026-05-11T00:00:00"/>
    <n v="4997.21"/>
    <n v="17"/>
    <s v="NOTA FISCAL Nº 41132"/>
    <s v="MARYANNA SILVEIRA"/>
  </r>
  <r>
    <s v="CL09221"/>
    <x v="11"/>
    <n v="31508"/>
    <n v="42054"/>
    <d v="2025-11-28T00:00:00"/>
    <d v="2026-05-11T00:00:00"/>
    <n v="64998"/>
    <n v="17"/>
    <s v="NOTA FISCAL Nº 42054"/>
    <s v="MARYANNA SILVEIRA"/>
  </r>
  <r>
    <s v="CL08832"/>
    <x v="3"/>
    <n v="32293"/>
    <n v="42927"/>
    <d v="2026-02-13T00:00:00"/>
    <d v="2026-05-14T00:00:00"/>
    <n v="137474.23999999999"/>
    <n v="14"/>
    <s v="Notas Fiscais de Saída - CL08832"/>
    <s v="CARLOS BERNARDES"/>
  </r>
  <r>
    <s v="CL09221"/>
    <x v="11"/>
    <n v="31634"/>
    <n v="42198"/>
    <d v="2025-12-10T00:00:00"/>
    <d v="2026-05-15T00:00:00"/>
    <n v="23062.5"/>
    <n v="13"/>
    <s v="NOTA FISCAL Nº 42198"/>
    <s v="MARYANNA SILVEIRA"/>
  </r>
  <r>
    <s v="CL09382"/>
    <x v="12"/>
    <n v="32701"/>
    <n v="43355"/>
    <d v="2026-03-20T00:00:00"/>
    <d v="2026-05-19T00:00:00"/>
    <n v="3460.54"/>
    <n v="9"/>
    <s v="Notas Fiscais de Saída - CL09382"/>
    <s v="JOAO GARCI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7487C47-A338-4FC2-A832-29E137DBE96D}" name="Tabela dinâmica1" cacheId="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C17" firstHeaderRow="0" firstDataRow="1" firstDataCol="1"/>
  <pivotFields count="10">
    <pivotField showAll="0"/>
    <pivotField axis="axisRow" showAll="0">
      <items count="14">
        <item x="0"/>
        <item x="10"/>
        <item x="9"/>
        <item x="6"/>
        <item x="4"/>
        <item x="5"/>
        <item x="8"/>
        <item x="1"/>
        <item x="7"/>
        <item x="11"/>
        <item x="2"/>
        <item x="3"/>
        <item x="12"/>
        <item t="default"/>
      </items>
    </pivotField>
    <pivotField showAll="0"/>
    <pivotField showAll="0"/>
    <pivotField numFmtId="14" showAll="0"/>
    <pivotField numFmtId="14" showAll="0"/>
    <pivotField dataField="1" showAll="0"/>
    <pivotField dataField="1" showAll="0"/>
    <pivotField showAll="0"/>
    <pivotField showAll="0"/>
  </pivotFields>
  <rowFields count="1">
    <field x="1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Valor R$" fld="6" baseField="0" baseItem="0" numFmtId="44"/>
    <dataField name="Máx. de Dias Atraso" fld="7" subtotal="max" baseField="1" baseItem="0"/>
  </dataFields>
  <formats count="27">
    <format dxfId="26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5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4">
      <pivotArea collapsedLevelsAreSubtotals="1" fieldPosition="0">
        <references count="1">
          <reference field="1" count="0"/>
        </references>
      </pivotArea>
    </format>
    <format dxfId="23">
      <pivotArea field="1" type="button" dataOnly="0" labelOnly="1" outline="0" axis="axisRow" fieldPosition="0"/>
    </format>
    <format dxfId="22">
      <pivotArea dataOnly="0" labelOnly="1" fieldPosition="0">
        <references count="1">
          <reference field="1" count="0"/>
        </references>
      </pivotArea>
    </format>
    <format dxfId="21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0">
      <pivotArea type="all" dataOnly="0" outline="0" fieldPosition="0"/>
    </format>
    <format dxfId="19">
      <pivotArea outline="0" collapsedLevelsAreSubtotals="1" fieldPosition="0"/>
    </format>
    <format dxfId="1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7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16">
      <pivotArea field="1" type="button" dataOnly="0" labelOnly="1" outline="0" axis="axisRow" fieldPosition="0"/>
    </format>
    <format dxfId="15">
      <pivotArea dataOnly="0" labelOnly="1" fieldPosition="0">
        <references count="1">
          <reference field="1" count="0"/>
        </references>
      </pivotArea>
    </format>
    <format dxfId="14">
      <pivotArea dataOnly="0" labelOnly="1" grandRow="1" outline="0" fieldPosition="0"/>
    </format>
    <format dxfId="13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2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11">
      <pivotArea collapsedLevelsAreSubtotals="1" fieldPosition="0">
        <references count="1">
          <reference field="1" count="0"/>
        </references>
      </pivotArea>
    </format>
    <format dxfId="10">
      <pivotArea field="1" type="button" dataOnly="0" labelOnly="1" outline="0" axis="axisRow" fieldPosition="0"/>
    </format>
    <format dxfId="9">
      <pivotArea dataOnly="0" labelOnly="1" fieldPosition="0">
        <references count="1">
          <reference field="1" count="0"/>
        </references>
      </pivotArea>
    </format>
    <format dxfId="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7">
      <pivotArea collapsedLevelsAreSubtotals="1" fieldPosition="0">
        <references count="1">
          <reference field="1" count="0"/>
        </references>
      </pivotArea>
    </format>
    <format dxfId="6">
      <pivotArea field="1" type="button" dataOnly="0" labelOnly="1" outline="0" axis="axisRow" fieldPosition="0"/>
    </format>
    <format dxfId="5">
      <pivotArea dataOnly="0" labelOnly="1" fieldPosition="0">
        <references count="1">
          <reference field="1" count="0"/>
        </references>
      </pivotArea>
    </format>
    <format dxfId="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">
      <pivotArea collapsedLevelsAreSubtotals="1" fieldPosition="0">
        <references count="1">
          <reference field="1" count="0"/>
        </references>
      </pivotArea>
    </format>
    <format dxfId="2">
      <pivotArea field="1" type="button" dataOnly="0" labelOnly="1" outline="0" axis="axisRow" fieldPosition="0"/>
    </format>
    <format dxfId="1">
      <pivotArea dataOnly="0" labelOnly="1" fieldPosition="0">
        <references count="1">
          <reference field="1" count="0"/>
        </references>
      </pivotArea>
    </format>
    <format dxfId="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F6E9A9-D555-4DDF-A9AB-399BCD68DC74}">
  <sheetPr>
    <tabColor theme="9" tint="0.59999389629810485"/>
  </sheetPr>
  <dimension ref="A1:J1423"/>
  <sheetViews>
    <sheetView showGridLines="0" workbookViewId="0">
      <selection activeCell="C1" sqref="C1"/>
    </sheetView>
  </sheetViews>
  <sheetFormatPr defaultRowHeight="14.4" x14ac:dyDescent="0.3"/>
  <cols>
    <col min="1" max="1" width="10.109375" bestFit="1" customWidth="1"/>
    <col min="2" max="2" width="81" bestFit="1" customWidth="1"/>
    <col min="3" max="3" width="9.88671875" bestFit="1" customWidth="1"/>
    <col min="4" max="4" width="7" bestFit="1" customWidth="1"/>
    <col min="5" max="5" width="10.44140625" bestFit="1" customWidth="1"/>
    <col min="6" max="6" width="11.44140625" bestFit="1" customWidth="1"/>
    <col min="7" max="7" width="10.109375" bestFit="1" customWidth="1"/>
    <col min="8" max="8" width="11.109375" bestFit="1" customWidth="1"/>
    <col min="9" max="9" width="31.88671875" bestFit="1" customWidth="1"/>
    <col min="10" max="10" width="30.6640625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2" t="s">
        <v>16</v>
      </c>
      <c r="B2" s="2" t="s">
        <v>17</v>
      </c>
      <c r="C2" s="2">
        <v>28424</v>
      </c>
      <c r="D2" s="2">
        <v>38418</v>
      </c>
      <c r="E2" s="3">
        <v>45671</v>
      </c>
      <c r="F2" s="3">
        <v>45791</v>
      </c>
      <c r="G2" s="4">
        <v>37386.9</v>
      </c>
      <c r="H2" s="2">
        <v>379</v>
      </c>
      <c r="I2" s="2" t="s">
        <v>35</v>
      </c>
      <c r="J2" s="2" t="s">
        <v>19</v>
      </c>
    </row>
    <row r="3" spans="1:10" x14ac:dyDescent="0.3">
      <c r="A3" s="2" t="s">
        <v>16</v>
      </c>
      <c r="B3" s="2" t="s">
        <v>17</v>
      </c>
      <c r="C3" s="2">
        <v>28425</v>
      </c>
      <c r="D3" s="2">
        <v>38419</v>
      </c>
      <c r="E3" s="3">
        <v>45671</v>
      </c>
      <c r="F3" s="3">
        <v>45791</v>
      </c>
      <c r="G3" s="4">
        <v>20055.04</v>
      </c>
      <c r="H3" s="2">
        <v>379</v>
      </c>
      <c r="I3" s="2" t="s">
        <v>36</v>
      </c>
      <c r="J3" s="2" t="s">
        <v>19</v>
      </c>
    </row>
    <row r="4" spans="1:10" x14ac:dyDescent="0.3">
      <c r="A4" s="2" t="s">
        <v>16</v>
      </c>
      <c r="B4" s="2" t="s">
        <v>17</v>
      </c>
      <c r="C4" s="2">
        <v>28452</v>
      </c>
      <c r="D4" s="2">
        <v>38449</v>
      </c>
      <c r="E4" s="3">
        <v>45672</v>
      </c>
      <c r="F4" s="3">
        <v>45792</v>
      </c>
      <c r="G4" s="4">
        <v>5732.02</v>
      </c>
      <c r="H4" s="2">
        <v>378</v>
      </c>
      <c r="I4" s="2" t="s">
        <v>37</v>
      </c>
      <c r="J4" s="2" t="s">
        <v>19</v>
      </c>
    </row>
    <row r="5" spans="1:10" x14ac:dyDescent="0.3">
      <c r="A5" s="2" t="s">
        <v>16</v>
      </c>
      <c r="B5" s="2" t="s">
        <v>17</v>
      </c>
      <c r="C5" s="2">
        <v>27488</v>
      </c>
      <c r="D5" s="2">
        <v>37254</v>
      </c>
      <c r="E5" s="3">
        <v>45588</v>
      </c>
      <c r="F5" s="3">
        <v>45798</v>
      </c>
      <c r="G5" s="4">
        <v>1620.34</v>
      </c>
      <c r="H5" s="2">
        <v>372</v>
      </c>
      <c r="I5" s="2" t="s">
        <v>21</v>
      </c>
      <c r="J5" s="2" t="s">
        <v>19</v>
      </c>
    </row>
    <row r="6" spans="1:10" x14ac:dyDescent="0.3">
      <c r="A6" s="2" t="s">
        <v>16</v>
      </c>
      <c r="B6" s="2" t="s">
        <v>17</v>
      </c>
      <c r="C6" s="2">
        <v>27492</v>
      </c>
      <c r="D6" s="2">
        <v>37257</v>
      </c>
      <c r="E6" s="3">
        <v>45588</v>
      </c>
      <c r="F6" s="3">
        <v>45798</v>
      </c>
      <c r="G6" s="2">
        <v>952.5</v>
      </c>
      <c r="H6" s="2">
        <v>372</v>
      </c>
      <c r="I6" s="2" t="s">
        <v>22</v>
      </c>
      <c r="J6" s="2" t="s">
        <v>19</v>
      </c>
    </row>
    <row r="7" spans="1:10" x14ac:dyDescent="0.3">
      <c r="A7" s="2" t="s">
        <v>23</v>
      </c>
      <c r="B7" s="2" t="s">
        <v>24</v>
      </c>
      <c r="C7" s="2">
        <v>27505</v>
      </c>
      <c r="D7" s="2">
        <v>37271</v>
      </c>
      <c r="E7" s="3">
        <v>45589</v>
      </c>
      <c r="F7" s="3">
        <v>45807</v>
      </c>
      <c r="G7" s="4">
        <v>30277.200000000001</v>
      </c>
      <c r="H7" s="2">
        <v>363</v>
      </c>
      <c r="I7" s="2" t="s">
        <v>25</v>
      </c>
      <c r="J7" s="2" t="s">
        <v>26</v>
      </c>
    </row>
    <row r="8" spans="1:10" x14ac:dyDescent="0.3">
      <c r="A8" s="2" t="s">
        <v>23</v>
      </c>
      <c r="B8" s="2" t="s">
        <v>24</v>
      </c>
      <c r="C8" s="2">
        <v>27583</v>
      </c>
      <c r="D8" s="2">
        <v>37349</v>
      </c>
      <c r="E8" s="3">
        <v>45594</v>
      </c>
      <c r="F8" s="3">
        <v>45807</v>
      </c>
      <c r="G8" s="4">
        <v>285376</v>
      </c>
      <c r="H8" s="2">
        <v>363</v>
      </c>
      <c r="I8" s="2" t="s">
        <v>27</v>
      </c>
      <c r="J8" s="2" t="s">
        <v>26</v>
      </c>
    </row>
    <row r="9" spans="1:10" x14ac:dyDescent="0.3">
      <c r="A9" s="2" t="s">
        <v>23</v>
      </c>
      <c r="B9" s="2" t="s">
        <v>24</v>
      </c>
      <c r="C9" s="2">
        <v>27635</v>
      </c>
      <c r="D9" s="2">
        <v>37408</v>
      </c>
      <c r="E9" s="3">
        <v>45596</v>
      </c>
      <c r="F9" s="3">
        <v>45807</v>
      </c>
      <c r="G9" s="4">
        <v>204624</v>
      </c>
      <c r="H9" s="2">
        <v>363</v>
      </c>
      <c r="I9" s="2" t="s">
        <v>28</v>
      </c>
      <c r="J9" s="2" t="s">
        <v>26</v>
      </c>
    </row>
    <row r="10" spans="1:10" x14ac:dyDescent="0.3">
      <c r="A10" s="2" t="s">
        <v>16</v>
      </c>
      <c r="B10" s="2" t="s">
        <v>17</v>
      </c>
      <c r="C10" s="2">
        <v>27260</v>
      </c>
      <c r="D10" s="2">
        <v>36967</v>
      </c>
      <c r="E10" s="3">
        <v>45568</v>
      </c>
      <c r="F10" s="3">
        <v>45810</v>
      </c>
      <c r="G10" s="2">
        <v>493.9</v>
      </c>
      <c r="H10" s="2">
        <v>360</v>
      </c>
      <c r="I10" s="2" t="s">
        <v>18</v>
      </c>
      <c r="J10" s="2" t="s">
        <v>19</v>
      </c>
    </row>
    <row r="11" spans="1:10" x14ac:dyDescent="0.3">
      <c r="A11" s="2" t="s">
        <v>16</v>
      </c>
      <c r="B11" s="2" t="s">
        <v>17</v>
      </c>
      <c r="C11" s="2">
        <v>28073</v>
      </c>
      <c r="D11" s="2">
        <v>37995</v>
      </c>
      <c r="E11" s="3">
        <v>45638</v>
      </c>
      <c r="F11" s="3">
        <v>45818</v>
      </c>
      <c r="G11" s="4">
        <v>20579</v>
      </c>
      <c r="H11" s="2">
        <v>352</v>
      </c>
      <c r="I11" s="2" t="s">
        <v>32</v>
      </c>
      <c r="J11" s="2" t="s">
        <v>19</v>
      </c>
    </row>
    <row r="12" spans="1:10" x14ac:dyDescent="0.3">
      <c r="A12" s="2" t="s">
        <v>16</v>
      </c>
      <c r="B12" s="2" t="s">
        <v>17</v>
      </c>
      <c r="C12" s="2">
        <v>28074</v>
      </c>
      <c r="D12" s="2">
        <v>37996</v>
      </c>
      <c r="E12" s="3">
        <v>45638</v>
      </c>
      <c r="F12" s="3">
        <v>45818</v>
      </c>
      <c r="G12" s="4">
        <v>2800</v>
      </c>
      <c r="H12" s="2">
        <v>352</v>
      </c>
      <c r="I12" s="2" t="s">
        <v>33</v>
      </c>
      <c r="J12" s="2" t="s">
        <v>19</v>
      </c>
    </row>
    <row r="13" spans="1:10" x14ac:dyDescent="0.3">
      <c r="A13" s="2" t="s">
        <v>16</v>
      </c>
      <c r="B13" s="2" t="s">
        <v>17</v>
      </c>
      <c r="C13" s="2">
        <v>28076</v>
      </c>
      <c r="D13" s="2">
        <v>37998</v>
      </c>
      <c r="E13" s="3">
        <v>45638</v>
      </c>
      <c r="F13" s="3">
        <v>45818</v>
      </c>
      <c r="G13" s="4">
        <v>3240.67</v>
      </c>
      <c r="H13" s="2">
        <v>352</v>
      </c>
      <c r="I13" s="2" t="s">
        <v>34</v>
      </c>
      <c r="J13" s="2" t="s">
        <v>19</v>
      </c>
    </row>
    <row r="14" spans="1:10" x14ac:dyDescent="0.3">
      <c r="A14" s="2" t="s">
        <v>16</v>
      </c>
      <c r="B14" s="2" t="s">
        <v>17</v>
      </c>
      <c r="C14" s="2">
        <v>27384</v>
      </c>
      <c r="D14" s="2">
        <v>37110</v>
      </c>
      <c r="E14" s="3">
        <v>45579</v>
      </c>
      <c r="F14" s="3">
        <v>45819</v>
      </c>
      <c r="G14" s="4">
        <v>35515.339999999997</v>
      </c>
      <c r="H14" s="2">
        <v>351</v>
      </c>
      <c r="I14" s="2" t="s">
        <v>20</v>
      </c>
      <c r="J14" s="2" t="s">
        <v>19</v>
      </c>
    </row>
    <row r="15" spans="1:10" x14ac:dyDescent="0.3">
      <c r="A15" s="2" t="s">
        <v>16</v>
      </c>
      <c r="B15" s="2" t="s">
        <v>17</v>
      </c>
      <c r="C15" s="2">
        <v>27488</v>
      </c>
      <c r="D15" s="2">
        <v>37254</v>
      </c>
      <c r="E15" s="3">
        <v>45588</v>
      </c>
      <c r="F15" s="3">
        <v>45828</v>
      </c>
      <c r="G15" s="4">
        <v>1620.34</v>
      </c>
      <c r="H15" s="2">
        <v>342</v>
      </c>
      <c r="I15" s="2" t="s">
        <v>21</v>
      </c>
      <c r="J15" s="2" t="s">
        <v>19</v>
      </c>
    </row>
    <row r="16" spans="1:10" x14ac:dyDescent="0.3">
      <c r="A16" s="2" t="s">
        <v>16</v>
      </c>
      <c r="B16" s="2" t="s">
        <v>17</v>
      </c>
      <c r="C16" s="2">
        <v>27492</v>
      </c>
      <c r="D16" s="2">
        <v>37257</v>
      </c>
      <c r="E16" s="3">
        <v>45588</v>
      </c>
      <c r="F16" s="3">
        <v>45828</v>
      </c>
      <c r="G16" s="2">
        <v>952.5</v>
      </c>
      <c r="H16" s="2">
        <v>342</v>
      </c>
      <c r="I16" s="2" t="s">
        <v>22</v>
      </c>
      <c r="J16" s="2" t="s">
        <v>19</v>
      </c>
    </row>
    <row r="17" spans="1:10" x14ac:dyDescent="0.3">
      <c r="A17" s="2" t="s">
        <v>16</v>
      </c>
      <c r="B17" s="2" t="s">
        <v>17</v>
      </c>
      <c r="C17" s="2">
        <v>27260</v>
      </c>
      <c r="D17" s="2">
        <v>36967</v>
      </c>
      <c r="E17" s="3">
        <v>45568</v>
      </c>
      <c r="F17" s="3">
        <v>45838</v>
      </c>
      <c r="G17" s="2">
        <v>493.9</v>
      </c>
      <c r="H17" s="2">
        <v>332</v>
      </c>
      <c r="I17" s="2" t="s">
        <v>18</v>
      </c>
      <c r="J17" s="2" t="s">
        <v>19</v>
      </c>
    </row>
    <row r="18" spans="1:10" x14ac:dyDescent="0.3">
      <c r="A18" s="2" t="s">
        <v>16</v>
      </c>
      <c r="B18" s="2" t="s">
        <v>17</v>
      </c>
      <c r="C18" s="2">
        <v>28073</v>
      </c>
      <c r="D18" s="2">
        <v>37995</v>
      </c>
      <c r="E18" s="3">
        <v>45638</v>
      </c>
      <c r="F18" s="3">
        <v>45848</v>
      </c>
      <c r="G18" s="4">
        <v>20579</v>
      </c>
      <c r="H18" s="2">
        <v>322</v>
      </c>
      <c r="I18" s="2" t="s">
        <v>32</v>
      </c>
      <c r="J18" s="2" t="s">
        <v>19</v>
      </c>
    </row>
    <row r="19" spans="1:10" x14ac:dyDescent="0.3">
      <c r="A19" s="2" t="s">
        <v>16</v>
      </c>
      <c r="B19" s="2" t="s">
        <v>17</v>
      </c>
      <c r="C19" s="2">
        <v>28074</v>
      </c>
      <c r="D19" s="2">
        <v>37996</v>
      </c>
      <c r="E19" s="3">
        <v>45638</v>
      </c>
      <c r="F19" s="3">
        <v>45848</v>
      </c>
      <c r="G19" s="4">
        <v>2800</v>
      </c>
      <c r="H19" s="2">
        <v>322</v>
      </c>
      <c r="I19" s="2" t="s">
        <v>33</v>
      </c>
      <c r="J19" s="2" t="s">
        <v>19</v>
      </c>
    </row>
    <row r="20" spans="1:10" x14ac:dyDescent="0.3">
      <c r="A20" s="2" t="s">
        <v>16</v>
      </c>
      <c r="B20" s="2" t="s">
        <v>17</v>
      </c>
      <c r="C20" s="2">
        <v>28076</v>
      </c>
      <c r="D20" s="2">
        <v>37998</v>
      </c>
      <c r="E20" s="3">
        <v>45638</v>
      </c>
      <c r="F20" s="3">
        <v>45848</v>
      </c>
      <c r="G20" s="4">
        <v>3240.67</v>
      </c>
      <c r="H20" s="2">
        <v>322</v>
      </c>
      <c r="I20" s="2" t="s">
        <v>34</v>
      </c>
      <c r="J20" s="2" t="s">
        <v>19</v>
      </c>
    </row>
    <row r="21" spans="1:10" x14ac:dyDescent="0.3">
      <c r="A21" s="2" t="s">
        <v>16</v>
      </c>
      <c r="B21" s="2" t="s">
        <v>17</v>
      </c>
      <c r="C21" s="2">
        <v>27384</v>
      </c>
      <c r="D21" s="2">
        <v>37110</v>
      </c>
      <c r="E21" s="3">
        <v>45579</v>
      </c>
      <c r="F21" s="3">
        <v>45849</v>
      </c>
      <c r="G21" s="4">
        <v>35514.9</v>
      </c>
      <c r="H21" s="2">
        <v>321</v>
      </c>
      <c r="I21" s="2" t="s">
        <v>20</v>
      </c>
      <c r="J21" s="2" t="s">
        <v>19</v>
      </c>
    </row>
    <row r="22" spans="1:10" x14ac:dyDescent="0.3">
      <c r="A22" s="2" t="s">
        <v>16</v>
      </c>
      <c r="B22" s="2" t="s">
        <v>17</v>
      </c>
      <c r="C22" s="2">
        <v>27488</v>
      </c>
      <c r="D22" s="2">
        <v>37254</v>
      </c>
      <c r="E22" s="3">
        <v>45588</v>
      </c>
      <c r="F22" s="3">
        <v>45859</v>
      </c>
      <c r="G22" s="4">
        <v>1620.3</v>
      </c>
      <c r="H22" s="2">
        <v>311</v>
      </c>
      <c r="I22" s="2" t="s">
        <v>21</v>
      </c>
      <c r="J22" s="2" t="s">
        <v>19</v>
      </c>
    </row>
    <row r="23" spans="1:10" x14ac:dyDescent="0.3">
      <c r="A23" s="2" t="s">
        <v>16</v>
      </c>
      <c r="B23" s="2" t="s">
        <v>17</v>
      </c>
      <c r="C23" s="2">
        <v>27492</v>
      </c>
      <c r="D23" s="2">
        <v>37257</v>
      </c>
      <c r="E23" s="3">
        <v>45588</v>
      </c>
      <c r="F23" s="3">
        <v>45859</v>
      </c>
      <c r="G23" s="2">
        <v>952.5</v>
      </c>
      <c r="H23" s="2">
        <v>311</v>
      </c>
      <c r="I23" s="2" t="s">
        <v>22</v>
      </c>
      <c r="J23" s="2" t="s">
        <v>19</v>
      </c>
    </row>
    <row r="24" spans="1:10" x14ac:dyDescent="0.3">
      <c r="A24" s="2" t="s">
        <v>16</v>
      </c>
      <c r="B24" s="2" t="s">
        <v>17</v>
      </c>
      <c r="C24" s="2">
        <v>28586</v>
      </c>
      <c r="D24" s="2">
        <v>38610</v>
      </c>
      <c r="E24" s="3">
        <v>45680</v>
      </c>
      <c r="F24" s="3">
        <v>45860</v>
      </c>
      <c r="G24" s="4">
        <v>5838.65</v>
      </c>
      <c r="H24" s="2">
        <v>310</v>
      </c>
      <c r="I24" s="2" t="s">
        <v>38</v>
      </c>
      <c r="J24" s="2" t="s">
        <v>19</v>
      </c>
    </row>
    <row r="25" spans="1:10" x14ac:dyDescent="0.3">
      <c r="A25" s="2" t="s">
        <v>16</v>
      </c>
      <c r="B25" s="2" t="s">
        <v>17</v>
      </c>
      <c r="C25" s="2">
        <v>27942</v>
      </c>
      <c r="D25" s="2">
        <v>37810</v>
      </c>
      <c r="E25" s="3">
        <v>45625</v>
      </c>
      <c r="F25" s="3">
        <v>45866</v>
      </c>
      <c r="G25" s="4">
        <v>5211</v>
      </c>
      <c r="H25" s="2">
        <v>304</v>
      </c>
      <c r="I25" s="2" t="s">
        <v>29</v>
      </c>
      <c r="J25" s="2" t="s">
        <v>19</v>
      </c>
    </row>
    <row r="26" spans="1:10" x14ac:dyDescent="0.3">
      <c r="A26" s="2" t="s">
        <v>16</v>
      </c>
      <c r="B26" s="2" t="s">
        <v>17</v>
      </c>
      <c r="C26" s="2">
        <v>28073</v>
      </c>
      <c r="D26" s="2">
        <v>37995</v>
      </c>
      <c r="E26" s="3">
        <v>45638</v>
      </c>
      <c r="F26" s="3">
        <v>45880</v>
      </c>
      <c r="G26" s="4">
        <v>20579</v>
      </c>
      <c r="H26" s="2">
        <v>290</v>
      </c>
      <c r="I26" s="2" t="s">
        <v>32</v>
      </c>
      <c r="J26" s="2" t="s">
        <v>19</v>
      </c>
    </row>
    <row r="27" spans="1:10" x14ac:dyDescent="0.3">
      <c r="A27" s="2" t="s">
        <v>16</v>
      </c>
      <c r="B27" s="2" t="s">
        <v>17</v>
      </c>
      <c r="C27" s="2">
        <v>28074</v>
      </c>
      <c r="D27" s="2">
        <v>37996</v>
      </c>
      <c r="E27" s="3">
        <v>45638</v>
      </c>
      <c r="F27" s="3">
        <v>45880</v>
      </c>
      <c r="G27" s="4">
        <v>2800</v>
      </c>
      <c r="H27" s="2">
        <v>290</v>
      </c>
      <c r="I27" s="2" t="s">
        <v>33</v>
      </c>
      <c r="J27" s="2" t="s">
        <v>19</v>
      </c>
    </row>
    <row r="28" spans="1:10" x14ac:dyDescent="0.3">
      <c r="A28" s="2" t="s">
        <v>16</v>
      </c>
      <c r="B28" s="2" t="s">
        <v>17</v>
      </c>
      <c r="C28" s="2">
        <v>28076</v>
      </c>
      <c r="D28" s="2">
        <v>37998</v>
      </c>
      <c r="E28" s="3">
        <v>45638</v>
      </c>
      <c r="F28" s="3">
        <v>45880</v>
      </c>
      <c r="G28" s="4">
        <v>3240.67</v>
      </c>
      <c r="H28" s="2">
        <v>290</v>
      </c>
      <c r="I28" s="2" t="s">
        <v>34</v>
      </c>
      <c r="J28" s="2" t="s">
        <v>19</v>
      </c>
    </row>
    <row r="29" spans="1:10" x14ac:dyDescent="0.3">
      <c r="A29" s="2" t="s">
        <v>16</v>
      </c>
      <c r="B29" s="2" t="s">
        <v>17</v>
      </c>
      <c r="C29" s="2">
        <v>28586</v>
      </c>
      <c r="D29" s="2">
        <v>38610</v>
      </c>
      <c r="E29" s="3">
        <v>45680</v>
      </c>
      <c r="F29" s="3">
        <v>45890</v>
      </c>
      <c r="G29" s="4">
        <v>5838.65</v>
      </c>
      <c r="H29" s="2">
        <v>280</v>
      </c>
      <c r="I29" s="2" t="s">
        <v>38</v>
      </c>
      <c r="J29" s="2" t="s">
        <v>19</v>
      </c>
    </row>
    <row r="30" spans="1:10" x14ac:dyDescent="0.3">
      <c r="A30" s="2" t="s">
        <v>16</v>
      </c>
      <c r="B30" s="2" t="s">
        <v>17</v>
      </c>
      <c r="C30" s="2">
        <v>27944</v>
      </c>
      <c r="D30" s="2">
        <v>37812</v>
      </c>
      <c r="E30" s="3">
        <v>45625</v>
      </c>
      <c r="F30" s="3">
        <v>45895</v>
      </c>
      <c r="G30" s="4">
        <v>113024.7</v>
      </c>
      <c r="H30" s="2">
        <v>275</v>
      </c>
      <c r="I30" s="2" t="s">
        <v>30</v>
      </c>
      <c r="J30" s="2" t="s">
        <v>19</v>
      </c>
    </row>
    <row r="31" spans="1:10" x14ac:dyDescent="0.3">
      <c r="A31" s="2" t="s">
        <v>16</v>
      </c>
      <c r="B31" s="2" t="s">
        <v>17</v>
      </c>
      <c r="C31" s="2">
        <v>28071</v>
      </c>
      <c r="D31" s="2">
        <v>37993</v>
      </c>
      <c r="E31" s="3">
        <v>45638</v>
      </c>
      <c r="F31" s="3">
        <v>45908</v>
      </c>
      <c r="G31" s="4">
        <v>10932</v>
      </c>
      <c r="H31" s="2">
        <v>262</v>
      </c>
      <c r="I31" s="2" t="s">
        <v>31</v>
      </c>
      <c r="J31" s="2" t="s">
        <v>19</v>
      </c>
    </row>
    <row r="32" spans="1:10" x14ac:dyDescent="0.3">
      <c r="A32" s="2" t="s">
        <v>16</v>
      </c>
      <c r="B32" s="2" t="s">
        <v>17</v>
      </c>
      <c r="C32" s="2">
        <v>28073</v>
      </c>
      <c r="D32" s="2">
        <v>37995</v>
      </c>
      <c r="E32" s="3">
        <v>45638</v>
      </c>
      <c r="F32" s="3">
        <v>45908</v>
      </c>
      <c r="G32" s="4">
        <v>20579</v>
      </c>
      <c r="H32" s="2">
        <v>262</v>
      </c>
      <c r="I32" s="2" t="s">
        <v>32</v>
      </c>
      <c r="J32" s="2" t="s">
        <v>19</v>
      </c>
    </row>
    <row r="33" spans="1:10" x14ac:dyDescent="0.3">
      <c r="A33" s="2" t="s">
        <v>16</v>
      </c>
      <c r="B33" s="2" t="s">
        <v>17</v>
      </c>
      <c r="C33" s="2">
        <v>28074</v>
      </c>
      <c r="D33" s="2">
        <v>37996</v>
      </c>
      <c r="E33" s="3">
        <v>45638</v>
      </c>
      <c r="F33" s="3">
        <v>45908</v>
      </c>
      <c r="G33" s="4">
        <v>2800</v>
      </c>
      <c r="H33" s="2">
        <v>262</v>
      </c>
      <c r="I33" s="2" t="s">
        <v>33</v>
      </c>
      <c r="J33" s="2" t="s">
        <v>19</v>
      </c>
    </row>
    <row r="34" spans="1:10" x14ac:dyDescent="0.3">
      <c r="A34" s="2" t="s">
        <v>16</v>
      </c>
      <c r="B34" s="2" t="s">
        <v>17</v>
      </c>
      <c r="C34" s="2">
        <v>28076</v>
      </c>
      <c r="D34" s="2">
        <v>37998</v>
      </c>
      <c r="E34" s="3">
        <v>45638</v>
      </c>
      <c r="F34" s="3">
        <v>45908</v>
      </c>
      <c r="G34" s="4">
        <v>3240.65</v>
      </c>
      <c r="H34" s="2">
        <v>262</v>
      </c>
      <c r="I34" s="2" t="s">
        <v>34</v>
      </c>
      <c r="J34" s="2" t="s">
        <v>19</v>
      </c>
    </row>
    <row r="35" spans="1:10" x14ac:dyDescent="0.3">
      <c r="A35" s="2" t="s">
        <v>16</v>
      </c>
      <c r="B35" s="2" t="s">
        <v>17</v>
      </c>
      <c r="C35" s="2">
        <v>28586</v>
      </c>
      <c r="D35" s="2">
        <v>38610</v>
      </c>
      <c r="E35" s="3">
        <v>45680</v>
      </c>
      <c r="F35" s="3">
        <v>45922</v>
      </c>
      <c r="G35" s="4">
        <v>5838.65</v>
      </c>
      <c r="H35" s="2">
        <v>248</v>
      </c>
      <c r="I35" s="2" t="s">
        <v>38</v>
      </c>
      <c r="J35" s="2" t="s">
        <v>19</v>
      </c>
    </row>
    <row r="36" spans="1:10" x14ac:dyDescent="0.3">
      <c r="A36" s="2" t="s">
        <v>39</v>
      </c>
      <c r="B36" s="2" t="s">
        <v>40</v>
      </c>
      <c r="C36" s="2">
        <v>28587</v>
      </c>
      <c r="D36" s="2">
        <v>38612</v>
      </c>
      <c r="E36" s="3">
        <v>45680</v>
      </c>
      <c r="F36" s="3">
        <v>45930</v>
      </c>
      <c r="G36" s="4">
        <v>603134.04</v>
      </c>
      <c r="H36" s="2">
        <v>240</v>
      </c>
      <c r="I36" s="2" t="s">
        <v>41</v>
      </c>
      <c r="J36" s="2" t="s">
        <v>42</v>
      </c>
    </row>
    <row r="37" spans="1:10" x14ac:dyDescent="0.3">
      <c r="A37" s="2" t="s">
        <v>39</v>
      </c>
      <c r="B37" s="2" t="s">
        <v>40</v>
      </c>
      <c r="C37" s="2">
        <v>28857</v>
      </c>
      <c r="D37" s="2">
        <v>38948</v>
      </c>
      <c r="E37" s="3">
        <v>45699</v>
      </c>
      <c r="F37" s="3">
        <v>45930</v>
      </c>
      <c r="G37" s="4">
        <v>93118.57</v>
      </c>
      <c r="H37" s="2">
        <v>240</v>
      </c>
      <c r="I37" s="2" t="s">
        <v>41</v>
      </c>
      <c r="J37" s="2" t="s">
        <v>42</v>
      </c>
    </row>
    <row r="38" spans="1:10" x14ac:dyDescent="0.3">
      <c r="A38" s="2" t="s">
        <v>39</v>
      </c>
      <c r="B38" s="2" t="s">
        <v>40</v>
      </c>
      <c r="C38" s="2">
        <v>28964</v>
      </c>
      <c r="D38" s="2">
        <v>39085</v>
      </c>
      <c r="E38" s="3">
        <v>45707</v>
      </c>
      <c r="F38" s="3">
        <v>45930</v>
      </c>
      <c r="G38" s="4">
        <v>134366</v>
      </c>
      <c r="H38" s="2">
        <v>240</v>
      </c>
      <c r="I38" s="2" t="s">
        <v>41</v>
      </c>
      <c r="J38" s="2" t="s">
        <v>42</v>
      </c>
    </row>
    <row r="39" spans="1:10" x14ac:dyDescent="0.3">
      <c r="A39" s="2" t="s">
        <v>43</v>
      </c>
      <c r="B39" s="2" t="s">
        <v>44</v>
      </c>
      <c r="C39" s="2">
        <v>29425</v>
      </c>
      <c r="D39" s="2">
        <v>39646</v>
      </c>
      <c r="E39" s="3">
        <v>45769</v>
      </c>
      <c r="F39" s="3">
        <v>45930</v>
      </c>
      <c r="G39" s="4">
        <v>36252.69</v>
      </c>
      <c r="H39" s="2">
        <v>240</v>
      </c>
      <c r="I39" s="2" t="s">
        <v>45</v>
      </c>
      <c r="J39" s="2" t="s">
        <v>46</v>
      </c>
    </row>
    <row r="40" spans="1:10" x14ac:dyDescent="0.3">
      <c r="A40" s="2" t="s">
        <v>16</v>
      </c>
      <c r="B40" s="2" t="s">
        <v>17</v>
      </c>
      <c r="C40" s="2">
        <v>28586</v>
      </c>
      <c r="D40" s="2">
        <v>38610</v>
      </c>
      <c r="E40" s="3">
        <v>45680</v>
      </c>
      <c r="F40" s="3">
        <v>45950</v>
      </c>
      <c r="G40" s="4">
        <v>5838.65</v>
      </c>
      <c r="H40" s="2">
        <v>220</v>
      </c>
      <c r="I40" s="2" t="s">
        <v>38</v>
      </c>
      <c r="J40" s="2" t="s">
        <v>19</v>
      </c>
    </row>
    <row r="41" spans="1:10" x14ac:dyDescent="0.3">
      <c r="A41" s="2" t="s">
        <v>43</v>
      </c>
      <c r="B41" s="2" t="s">
        <v>44</v>
      </c>
      <c r="C41" s="2">
        <v>29596</v>
      </c>
      <c r="D41" s="2">
        <v>39846</v>
      </c>
      <c r="E41" s="3">
        <v>45791</v>
      </c>
      <c r="F41" s="3">
        <v>45960</v>
      </c>
      <c r="G41" s="4">
        <v>20800</v>
      </c>
      <c r="H41" s="2">
        <v>210</v>
      </c>
      <c r="I41" s="2" t="s">
        <v>45</v>
      </c>
      <c r="J41" s="2" t="s">
        <v>46</v>
      </c>
    </row>
    <row r="42" spans="1:10" x14ac:dyDescent="0.3">
      <c r="A42" s="2" t="s">
        <v>43</v>
      </c>
      <c r="B42" s="2" t="s">
        <v>44</v>
      </c>
      <c r="C42" s="2">
        <v>29625</v>
      </c>
      <c r="D42" s="2">
        <v>39877</v>
      </c>
      <c r="E42" s="3">
        <v>45796</v>
      </c>
      <c r="F42" s="3">
        <v>45960</v>
      </c>
      <c r="G42" s="4">
        <v>107100</v>
      </c>
      <c r="H42" s="2">
        <v>210</v>
      </c>
      <c r="I42" s="2" t="s">
        <v>45</v>
      </c>
      <c r="J42" s="2" t="s">
        <v>46</v>
      </c>
    </row>
    <row r="43" spans="1:10" x14ac:dyDescent="0.3">
      <c r="A43" s="2" t="s">
        <v>43</v>
      </c>
      <c r="B43" s="2" t="s">
        <v>44</v>
      </c>
      <c r="C43" s="2">
        <v>29753</v>
      </c>
      <c r="D43" s="2">
        <v>40028</v>
      </c>
      <c r="E43" s="3">
        <v>45817</v>
      </c>
      <c r="F43" s="3">
        <v>45960</v>
      </c>
      <c r="G43" s="4">
        <v>13550</v>
      </c>
      <c r="H43" s="2">
        <v>210</v>
      </c>
      <c r="I43" s="2" t="s">
        <v>45</v>
      </c>
      <c r="J43" s="2" t="s">
        <v>46</v>
      </c>
    </row>
    <row r="44" spans="1:10" x14ac:dyDescent="0.3">
      <c r="A44" s="2" t="s">
        <v>43</v>
      </c>
      <c r="B44" s="2" t="s">
        <v>44</v>
      </c>
      <c r="C44" s="2">
        <v>29754</v>
      </c>
      <c r="D44" s="2">
        <v>40029</v>
      </c>
      <c r="E44" s="3">
        <v>45817</v>
      </c>
      <c r="F44" s="3">
        <v>45960</v>
      </c>
      <c r="G44" s="4">
        <v>76500</v>
      </c>
      <c r="H44" s="2">
        <v>210</v>
      </c>
      <c r="I44" s="2" t="s">
        <v>45</v>
      </c>
      <c r="J44" s="2" t="s">
        <v>46</v>
      </c>
    </row>
    <row r="45" spans="1:10" x14ac:dyDescent="0.3">
      <c r="A45" s="2" t="s">
        <v>159</v>
      </c>
      <c r="B45" s="2" t="s">
        <v>160</v>
      </c>
      <c r="C45" s="2">
        <v>30633</v>
      </c>
      <c r="D45" s="2">
        <v>41061</v>
      </c>
      <c r="E45" s="3">
        <v>45917</v>
      </c>
      <c r="F45" s="3">
        <v>46007</v>
      </c>
      <c r="G45" s="4">
        <v>26756.06</v>
      </c>
      <c r="H45" s="2">
        <v>163</v>
      </c>
      <c r="I45" s="2" t="s">
        <v>161</v>
      </c>
      <c r="J45" s="2" t="s">
        <v>162</v>
      </c>
    </row>
    <row r="46" spans="1:10" x14ac:dyDescent="0.3">
      <c r="A46" s="2" t="s">
        <v>43</v>
      </c>
      <c r="B46" s="2" t="s">
        <v>44</v>
      </c>
      <c r="C46" s="2">
        <v>29977</v>
      </c>
      <c r="D46" s="2">
        <v>40302</v>
      </c>
      <c r="E46" s="3">
        <v>45855</v>
      </c>
      <c r="F46" s="3">
        <v>46010</v>
      </c>
      <c r="G46" s="4">
        <v>56862</v>
      </c>
      <c r="H46" s="2">
        <v>160</v>
      </c>
      <c r="I46" s="2" t="s">
        <v>45</v>
      </c>
      <c r="J46" s="2" t="s">
        <v>46</v>
      </c>
    </row>
    <row r="47" spans="1:10" x14ac:dyDescent="0.3">
      <c r="A47" s="2" t="s">
        <v>159</v>
      </c>
      <c r="B47" s="2" t="s">
        <v>160</v>
      </c>
      <c r="C47" s="2">
        <v>30712</v>
      </c>
      <c r="D47" s="2">
        <v>41148</v>
      </c>
      <c r="E47" s="3">
        <v>45922</v>
      </c>
      <c r="F47" s="3">
        <v>46013</v>
      </c>
      <c r="G47" s="4">
        <v>11985</v>
      </c>
      <c r="H47" s="2">
        <v>157</v>
      </c>
      <c r="I47" s="2" t="s">
        <v>184</v>
      </c>
      <c r="J47" s="2" t="s">
        <v>162</v>
      </c>
    </row>
    <row r="48" spans="1:10" x14ac:dyDescent="0.3">
      <c r="A48" s="2" t="s">
        <v>159</v>
      </c>
      <c r="B48" s="2" t="s">
        <v>160</v>
      </c>
      <c r="C48" s="2">
        <v>30713</v>
      </c>
      <c r="D48" s="2">
        <v>41149</v>
      </c>
      <c r="E48" s="3">
        <v>45922</v>
      </c>
      <c r="F48" s="3">
        <v>46013</v>
      </c>
      <c r="G48" s="4">
        <v>5137.25</v>
      </c>
      <c r="H48" s="2">
        <v>157</v>
      </c>
      <c r="I48" s="2" t="s">
        <v>185</v>
      </c>
      <c r="J48" s="2" t="s">
        <v>162</v>
      </c>
    </row>
    <row r="49" spans="1:10" x14ac:dyDescent="0.3">
      <c r="A49" s="2" t="s">
        <v>159</v>
      </c>
      <c r="B49" s="2" t="s">
        <v>160</v>
      </c>
      <c r="C49" s="2">
        <v>30633</v>
      </c>
      <c r="D49" s="2">
        <v>41061</v>
      </c>
      <c r="E49" s="3">
        <v>45917</v>
      </c>
      <c r="F49" s="3">
        <v>46037</v>
      </c>
      <c r="G49" s="4">
        <v>30528.06</v>
      </c>
      <c r="H49" s="2">
        <v>133</v>
      </c>
      <c r="I49" s="2" t="s">
        <v>161</v>
      </c>
      <c r="J49" s="2" t="s">
        <v>162</v>
      </c>
    </row>
    <row r="50" spans="1:10" x14ac:dyDescent="0.3">
      <c r="A50" s="2" t="s">
        <v>84</v>
      </c>
      <c r="B50" s="2" t="s">
        <v>85</v>
      </c>
      <c r="C50" s="2">
        <v>30363</v>
      </c>
      <c r="D50" s="2">
        <v>40736</v>
      </c>
      <c r="E50" s="3">
        <v>45896</v>
      </c>
      <c r="F50" s="3">
        <v>46111</v>
      </c>
      <c r="G50" s="4">
        <v>254051.08</v>
      </c>
      <c r="H50" s="2">
        <v>59</v>
      </c>
      <c r="I50" s="2" t="s">
        <v>86</v>
      </c>
      <c r="J50" s="2" t="s">
        <v>66</v>
      </c>
    </row>
    <row r="51" spans="1:10" x14ac:dyDescent="0.3">
      <c r="A51" s="2" t="s">
        <v>84</v>
      </c>
      <c r="B51" s="2" t="s">
        <v>85</v>
      </c>
      <c r="C51" s="2">
        <v>30582</v>
      </c>
      <c r="D51" s="2">
        <v>41001</v>
      </c>
      <c r="E51" s="3">
        <v>45915</v>
      </c>
      <c r="F51" s="3">
        <v>46111</v>
      </c>
      <c r="G51" s="4">
        <v>200349.48</v>
      </c>
      <c r="H51" s="2">
        <v>59</v>
      </c>
      <c r="I51" s="2" t="s">
        <v>148</v>
      </c>
      <c r="J51" s="2" t="s">
        <v>66</v>
      </c>
    </row>
    <row r="52" spans="1:10" x14ac:dyDescent="0.3">
      <c r="A52" s="2" t="s">
        <v>244</v>
      </c>
      <c r="B52" s="2" t="s">
        <v>245</v>
      </c>
      <c r="C52" s="2">
        <v>30903</v>
      </c>
      <c r="D52" s="2">
        <v>41385</v>
      </c>
      <c r="E52" s="3">
        <v>45937</v>
      </c>
      <c r="F52" s="3">
        <v>46111</v>
      </c>
      <c r="G52" s="4">
        <v>225666.8</v>
      </c>
      <c r="H52" s="2">
        <v>59</v>
      </c>
      <c r="I52" s="2" t="s">
        <v>248</v>
      </c>
      <c r="J52" s="2" t="s">
        <v>66</v>
      </c>
    </row>
    <row r="53" spans="1:10" x14ac:dyDescent="0.3">
      <c r="A53" s="2" t="s">
        <v>244</v>
      </c>
      <c r="B53" s="2" t="s">
        <v>245</v>
      </c>
      <c r="C53" s="2">
        <v>30910</v>
      </c>
      <c r="D53" s="2">
        <v>41393</v>
      </c>
      <c r="E53" s="3">
        <v>45937</v>
      </c>
      <c r="F53" s="3">
        <v>46111</v>
      </c>
      <c r="G53" s="4">
        <v>16616</v>
      </c>
      <c r="H53" s="2">
        <v>59</v>
      </c>
      <c r="I53" s="2" t="s">
        <v>252</v>
      </c>
      <c r="J53" s="2" t="s">
        <v>66</v>
      </c>
    </row>
    <row r="54" spans="1:10" x14ac:dyDescent="0.3">
      <c r="A54" s="2" t="s">
        <v>84</v>
      </c>
      <c r="B54" s="2" t="s">
        <v>85</v>
      </c>
      <c r="C54" s="2">
        <v>30912</v>
      </c>
      <c r="D54" s="2">
        <v>41396</v>
      </c>
      <c r="E54" s="3">
        <v>45938</v>
      </c>
      <c r="F54" s="3">
        <v>46111</v>
      </c>
      <c r="G54" s="4">
        <v>370557.35</v>
      </c>
      <c r="H54" s="2">
        <v>59</v>
      </c>
      <c r="I54" s="2" t="s">
        <v>253</v>
      </c>
      <c r="J54" s="2" t="s">
        <v>66</v>
      </c>
    </row>
    <row r="55" spans="1:10" x14ac:dyDescent="0.3">
      <c r="A55" s="2" t="s">
        <v>84</v>
      </c>
      <c r="B55" s="2" t="s">
        <v>85</v>
      </c>
      <c r="C55" s="2">
        <v>30942</v>
      </c>
      <c r="D55" s="2">
        <v>41435</v>
      </c>
      <c r="E55" s="3">
        <v>45943</v>
      </c>
      <c r="F55" s="3">
        <v>46111</v>
      </c>
      <c r="G55" s="4">
        <v>115903</v>
      </c>
      <c r="H55" s="2">
        <v>59</v>
      </c>
      <c r="I55" s="2" t="s">
        <v>262</v>
      </c>
      <c r="J55" s="2" t="s">
        <v>66</v>
      </c>
    </row>
    <row r="56" spans="1:10" x14ac:dyDescent="0.3">
      <c r="A56" s="2" t="s">
        <v>84</v>
      </c>
      <c r="B56" s="2" t="s">
        <v>85</v>
      </c>
      <c r="C56" s="2">
        <v>30944</v>
      </c>
      <c r="D56" s="2">
        <v>41436</v>
      </c>
      <c r="E56" s="3">
        <v>45943</v>
      </c>
      <c r="F56" s="3">
        <v>46111</v>
      </c>
      <c r="G56" s="4">
        <v>564461.30000000005</v>
      </c>
      <c r="H56" s="2">
        <v>59</v>
      </c>
      <c r="I56" s="2" t="s">
        <v>263</v>
      </c>
      <c r="J56" s="2" t="s">
        <v>66</v>
      </c>
    </row>
    <row r="57" spans="1:10" x14ac:dyDescent="0.3">
      <c r="A57" s="2" t="s">
        <v>84</v>
      </c>
      <c r="B57" s="2" t="s">
        <v>85</v>
      </c>
      <c r="C57" s="2">
        <v>30965</v>
      </c>
      <c r="D57" s="2">
        <v>41460</v>
      </c>
      <c r="E57" s="3">
        <v>45944</v>
      </c>
      <c r="F57" s="3">
        <v>46111</v>
      </c>
      <c r="G57" s="4">
        <v>25589.1</v>
      </c>
      <c r="H57" s="2">
        <v>59</v>
      </c>
      <c r="I57" s="2" t="s">
        <v>265</v>
      </c>
      <c r="J57" s="2" t="s">
        <v>66</v>
      </c>
    </row>
    <row r="58" spans="1:10" x14ac:dyDescent="0.3">
      <c r="A58" s="2" t="s">
        <v>84</v>
      </c>
      <c r="B58" s="2" t="s">
        <v>85</v>
      </c>
      <c r="C58" s="2">
        <v>31345</v>
      </c>
      <c r="D58" s="2">
        <v>41888</v>
      </c>
      <c r="E58" s="3">
        <v>45974</v>
      </c>
      <c r="F58" s="3">
        <v>46111</v>
      </c>
      <c r="G58" s="4">
        <v>151414.79999999999</v>
      </c>
      <c r="H58" s="2">
        <v>59</v>
      </c>
      <c r="I58" s="2" t="s">
        <v>327</v>
      </c>
      <c r="J58" s="2" t="s">
        <v>66</v>
      </c>
    </row>
    <row r="59" spans="1:10" x14ac:dyDescent="0.3">
      <c r="A59" s="2" t="s">
        <v>43</v>
      </c>
      <c r="B59" s="2" t="s">
        <v>44</v>
      </c>
      <c r="C59" s="2">
        <v>30162</v>
      </c>
      <c r="D59" s="2">
        <v>40504</v>
      </c>
      <c r="E59" s="3">
        <v>45874</v>
      </c>
      <c r="F59" s="3">
        <v>46142</v>
      </c>
      <c r="G59" s="4">
        <v>286465</v>
      </c>
      <c r="H59" s="2">
        <v>28</v>
      </c>
      <c r="I59" s="2" t="s">
        <v>58</v>
      </c>
      <c r="J59" s="2" t="s">
        <v>46</v>
      </c>
    </row>
    <row r="60" spans="1:10" x14ac:dyDescent="0.3">
      <c r="A60" s="2" t="s">
        <v>63</v>
      </c>
      <c r="B60" s="2" t="s">
        <v>64</v>
      </c>
      <c r="C60" s="2">
        <v>30278</v>
      </c>
      <c r="D60" s="2">
        <v>40641</v>
      </c>
      <c r="E60" s="3">
        <v>45888</v>
      </c>
      <c r="F60" s="3">
        <v>46142</v>
      </c>
      <c r="G60" s="4">
        <v>102040</v>
      </c>
      <c r="H60" s="2">
        <v>28</v>
      </c>
      <c r="I60" s="2" t="s">
        <v>65</v>
      </c>
      <c r="J60" s="2" t="s">
        <v>66</v>
      </c>
    </row>
    <row r="61" spans="1:10" x14ac:dyDescent="0.3">
      <c r="A61" s="2" t="s">
        <v>63</v>
      </c>
      <c r="B61" s="2" t="s">
        <v>64</v>
      </c>
      <c r="C61" s="2">
        <v>30285</v>
      </c>
      <c r="D61" s="2">
        <v>40653</v>
      </c>
      <c r="E61" s="3">
        <v>45890</v>
      </c>
      <c r="F61" s="3">
        <v>46142</v>
      </c>
      <c r="G61" s="4">
        <v>173000</v>
      </c>
      <c r="H61" s="2">
        <v>28</v>
      </c>
      <c r="I61" s="2" t="s">
        <v>67</v>
      </c>
      <c r="J61" s="2" t="s">
        <v>66</v>
      </c>
    </row>
    <row r="62" spans="1:10" x14ac:dyDescent="0.3">
      <c r="A62" s="2" t="s">
        <v>71</v>
      </c>
      <c r="B62" s="2" t="s">
        <v>72</v>
      </c>
      <c r="C62" s="2">
        <v>30341</v>
      </c>
      <c r="D62" s="2">
        <v>40710</v>
      </c>
      <c r="E62" s="3">
        <v>45895</v>
      </c>
      <c r="F62" s="3">
        <v>46142</v>
      </c>
      <c r="G62" s="4">
        <v>181560</v>
      </c>
      <c r="H62" s="2">
        <v>28</v>
      </c>
      <c r="I62" s="2" t="s">
        <v>73</v>
      </c>
      <c r="J62" s="2" t="s">
        <v>66</v>
      </c>
    </row>
    <row r="63" spans="1:10" x14ac:dyDescent="0.3">
      <c r="A63" s="2" t="s">
        <v>63</v>
      </c>
      <c r="B63" s="2" t="s">
        <v>64</v>
      </c>
      <c r="C63" s="2">
        <v>30342</v>
      </c>
      <c r="D63" s="2">
        <v>40711</v>
      </c>
      <c r="E63" s="3">
        <v>45895</v>
      </c>
      <c r="F63" s="3">
        <v>46142</v>
      </c>
      <c r="G63" s="4">
        <v>480285</v>
      </c>
      <c r="H63" s="2">
        <v>28</v>
      </c>
      <c r="I63" s="2" t="s">
        <v>74</v>
      </c>
      <c r="J63" s="2" t="s">
        <v>66</v>
      </c>
    </row>
    <row r="64" spans="1:10" x14ac:dyDescent="0.3">
      <c r="A64" s="2" t="s">
        <v>63</v>
      </c>
      <c r="B64" s="2" t="s">
        <v>64</v>
      </c>
      <c r="C64" s="2">
        <v>30343</v>
      </c>
      <c r="D64" s="2">
        <v>40712</v>
      </c>
      <c r="E64" s="3">
        <v>45895</v>
      </c>
      <c r="F64" s="3">
        <v>46142</v>
      </c>
      <c r="G64" s="4">
        <v>58000</v>
      </c>
      <c r="H64" s="2">
        <v>28</v>
      </c>
      <c r="I64" s="2" t="s">
        <v>75</v>
      </c>
      <c r="J64" s="2" t="s">
        <v>66</v>
      </c>
    </row>
    <row r="65" spans="1:10" x14ac:dyDescent="0.3">
      <c r="A65" s="2" t="s">
        <v>71</v>
      </c>
      <c r="B65" s="2" t="s">
        <v>72</v>
      </c>
      <c r="C65" s="2">
        <v>30344</v>
      </c>
      <c r="D65" s="2">
        <v>40713</v>
      </c>
      <c r="E65" s="3">
        <v>45895</v>
      </c>
      <c r="F65" s="3">
        <v>46142</v>
      </c>
      <c r="G65" s="4">
        <v>14500</v>
      </c>
      <c r="H65" s="2">
        <v>28</v>
      </c>
      <c r="I65" s="2" t="s">
        <v>76</v>
      </c>
      <c r="J65" s="2" t="s">
        <v>66</v>
      </c>
    </row>
    <row r="66" spans="1:10" x14ac:dyDescent="0.3">
      <c r="A66" s="2" t="s">
        <v>118</v>
      </c>
      <c r="B66" s="2" t="s">
        <v>119</v>
      </c>
      <c r="C66" s="2">
        <v>30475</v>
      </c>
      <c r="D66" s="2">
        <v>40887</v>
      </c>
      <c r="E66" s="3">
        <v>45908</v>
      </c>
      <c r="F66" s="3">
        <v>46142</v>
      </c>
      <c r="G66" s="4">
        <v>484628.8</v>
      </c>
      <c r="H66" s="2">
        <v>28</v>
      </c>
      <c r="I66" s="2" t="s">
        <v>120</v>
      </c>
      <c r="J66" s="2" t="s">
        <v>46</v>
      </c>
    </row>
    <row r="67" spans="1:10" x14ac:dyDescent="0.3">
      <c r="A67" s="2" t="s">
        <v>118</v>
      </c>
      <c r="B67" s="2" t="s">
        <v>119</v>
      </c>
      <c r="C67" s="2">
        <v>30543</v>
      </c>
      <c r="D67" s="2">
        <v>40956</v>
      </c>
      <c r="E67" s="3">
        <v>45911</v>
      </c>
      <c r="F67" s="3">
        <v>46142</v>
      </c>
      <c r="G67" s="4">
        <v>30750</v>
      </c>
      <c r="H67" s="2">
        <v>28</v>
      </c>
      <c r="I67" s="2" t="s">
        <v>126</v>
      </c>
      <c r="J67" s="2" t="s">
        <v>46</v>
      </c>
    </row>
    <row r="68" spans="1:10" x14ac:dyDescent="0.3">
      <c r="A68" s="2" t="s">
        <v>118</v>
      </c>
      <c r="B68" s="2" t="s">
        <v>119</v>
      </c>
      <c r="C68" s="2">
        <v>30544</v>
      </c>
      <c r="D68" s="2">
        <v>40957</v>
      </c>
      <c r="E68" s="3">
        <v>45911</v>
      </c>
      <c r="F68" s="3">
        <v>46142</v>
      </c>
      <c r="G68" s="4">
        <v>33000</v>
      </c>
      <c r="H68" s="2">
        <v>28</v>
      </c>
      <c r="I68" s="2" t="s">
        <v>127</v>
      </c>
      <c r="J68" s="2" t="s">
        <v>46</v>
      </c>
    </row>
    <row r="69" spans="1:10" x14ac:dyDescent="0.3">
      <c r="A69" s="2" t="s">
        <v>179</v>
      </c>
      <c r="B69" s="2" t="s">
        <v>180</v>
      </c>
      <c r="C69" s="2">
        <v>30669</v>
      </c>
      <c r="D69" s="2">
        <v>41101</v>
      </c>
      <c r="E69" s="3">
        <v>45918</v>
      </c>
      <c r="F69" s="3">
        <v>46142</v>
      </c>
      <c r="G69" s="4">
        <v>33000</v>
      </c>
      <c r="H69" s="2">
        <v>28</v>
      </c>
      <c r="I69" s="2" t="s">
        <v>181</v>
      </c>
      <c r="J69" s="2" t="s">
        <v>42</v>
      </c>
    </row>
    <row r="70" spans="1:10" x14ac:dyDescent="0.3">
      <c r="A70" s="2" t="s">
        <v>39</v>
      </c>
      <c r="B70" s="2" t="s">
        <v>40</v>
      </c>
      <c r="C70" s="2">
        <v>30842</v>
      </c>
      <c r="D70" s="2">
        <v>41302</v>
      </c>
      <c r="E70" s="3">
        <v>45930</v>
      </c>
      <c r="F70" s="3">
        <v>46142</v>
      </c>
      <c r="G70" s="4">
        <v>172260</v>
      </c>
      <c r="H70" s="2">
        <v>28</v>
      </c>
      <c r="I70" s="2" t="s">
        <v>225</v>
      </c>
      <c r="J70" s="2" t="s">
        <v>42</v>
      </c>
    </row>
    <row r="71" spans="1:10" x14ac:dyDescent="0.3">
      <c r="A71" s="2" t="s">
        <v>244</v>
      </c>
      <c r="B71" s="2" t="s">
        <v>245</v>
      </c>
      <c r="C71" s="2">
        <v>30902</v>
      </c>
      <c r="D71" s="2">
        <v>41384</v>
      </c>
      <c r="E71" s="3">
        <v>45937</v>
      </c>
      <c r="F71" s="3">
        <v>46142</v>
      </c>
      <c r="G71" s="4">
        <v>460192.4</v>
      </c>
      <c r="H71" s="2">
        <v>28</v>
      </c>
      <c r="I71" s="2" t="s">
        <v>247</v>
      </c>
      <c r="J71" s="2" t="s">
        <v>66</v>
      </c>
    </row>
    <row r="72" spans="1:10" x14ac:dyDescent="0.3">
      <c r="A72" s="2" t="s">
        <v>244</v>
      </c>
      <c r="B72" s="2" t="s">
        <v>245</v>
      </c>
      <c r="C72" s="2">
        <v>30955</v>
      </c>
      <c r="D72" s="2">
        <v>41452</v>
      </c>
      <c r="E72" s="3">
        <v>45943</v>
      </c>
      <c r="F72" s="3">
        <v>46142</v>
      </c>
      <c r="G72" s="4">
        <v>47776.2</v>
      </c>
      <c r="H72" s="2">
        <v>28</v>
      </c>
      <c r="I72" s="2" t="s">
        <v>264</v>
      </c>
      <c r="J72" s="2" t="s">
        <v>66</v>
      </c>
    </row>
    <row r="73" spans="1:10" x14ac:dyDescent="0.3">
      <c r="A73" s="2" t="s">
        <v>39</v>
      </c>
      <c r="B73" s="2" t="s">
        <v>40</v>
      </c>
      <c r="C73" s="2">
        <v>31215</v>
      </c>
      <c r="D73" s="2">
        <v>41732</v>
      </c>
      <c r="E73" s="3">
        <v>45961</v>
      </c>
      <c r="F73" s="3">
        <v>46142</v>
      </c>
      <c r="G73" s="4">
        <v>199144</v>
      </c>
      <c r="H73" s="2">
        <v>28</v>
      </c>
      <c r="I73" s="2" t="s">
        <v>308</v>
      </c>
      <c r="J73" s="2" t="s">
        <v>42</v>
      </c>
    </row>
    <row r="74" spans="1:10" x14ac:dyDescent="0.3">
      <c r="A74" s="2" t="s">
        <v>39</v>
      </c>
      <c r="B74" s="2" t="s">
        <v>40</v>
      </c>
      <c r="C74" s="2">
        <v>31216</v>
      </c>
      <c r="D74" s="2">
        <v>41733</v>
      </c>
      <c r="E74" s="3">
        <v>45961</v>
      </c>
      <c r="F74" s="3">
        <v>46142</v>
      </c>
      <c r="G74" s="4">
        <v>14300</v>
      </c>
      <c r="H74" s="2">
        <v>28</v>
      </c>
      <c r="I74" s="2" t="s">
        <v>309</v>
      </c>
      <c r="J74" s="2" t="s">
        <v>42</v>
      </c>
    </row>
    <row r="75" spans="1:10" x14ac:dyDescent="0.3">
      <c r="A75" s="2" t="s">
        <v>179</v>
      </c>
      <c r="B75" s="2" t="s">
        <v>180</v>
      </c>
      <c r="C75" s="2">
        <v>31404</v>
      </c>
      <c r="D75" s="2">
        <v>41951</v>
      </c>
      <c r="E75" s="3">
        <v>45979</v>
      </c>
      <c r="F75" s="3">
        <v>46142</v>
      </c>
      <c r="G75" s="4">
        <v>90730</v>
      </c>
      <c r="H75" s="2">
        <v>28</v>
      </c>
      <c r="I75" s="2" t="s">
        <v>335</v>
      </c>
      <c r="J75" s="2" t="s">
        <v>42</v>
      </c>
    </row>
    <row r="76" spans="1:10" x14ac:dyDescent="0.3">
      <c r="A76" s="2" t="s">
        <v>179</v>
      </c>
      <c r="B76" s="2" t="s">
        <v>180</v>
      </c>
      <c r="C76" s="2">
        <v>31616</v>
      </c>
      <c r="D76" s="2">
        <v>42178</v>
      </c>
      <c r="E76" s="3">
        <v>46000</v>
      </c>
      <c r="F76" s="3">
        <v>46142</v>
      </c>
      <c r="G76" s="4">
        <v>171444</v>
      </c>
      <c r="H76" s="2">
        <v>28</v>
      </c>
      <c r="I76" s="2" t="s">
        <v>401</v>
      </c>
      <c r="J76" s="2" t="s">
        <v>42</v>
      </c>
    </row>
    <row r="77" spans="1:10" x14ac:dyDescent="0.3">
      <c r="A77" s="2" t="s">
        <v>179</v>
      </c>
      <c r="B77" s="2" t="s">
        <v>180</v>
      </c>
      <c r="C77" s="2">
        <v>31844</v>
      </c>
      <c r="D77" s="2">
        <v>42429</v>
      </c>
      <c r="E77" s="3">
        <v>46027</v>
      </c>
      <c r="F77" s="3">
        <v>46142</v>
      </c>
      <c r="G77" s="4">
        <v>27667.5</v>
      </c>
      <c r="H77" s="2">
        <v>28</v>
      </c>
      <c r="I77" s="2" t="s">
        <v>401</v>
      </c>
      <c r="J77" s="2" t="s">
        <v>42</v>
      </c>
    </row>
    <row r="78" spans="1:10" x14ac:dyDescent="0.3">
      <c r="A78" s="2" t="s">
        <v>114</v>
      </c>
      <c r="B78" s="2" t="s">
        <v>115</v>
      </c>
      <c r="C78" s="2">
        <v>30453</v>
      </c>
      <c r="D78" s="2">
        <v>40866</v>
      </c>
      <c r="E78" s="3">
        <v>45908</v>
      </c>
      <c r="F78" s="3">
        <v>46153</v>
      </c>
      <c r="G78" s="4">
        <v>174253.19</v>
      </c>
      <c r="H78" s="2">
        <v>17</v>
      </c>
      <c r="I78" s="2" t="s">
        <v>116</v>
      </c>
      <c r="J78" s="2" t="s">
        <v>117</v>
      </c>
    </row>
    <row r="79" spans="1:10" x14ac:dyDescent="0.3">
      <c r="A79" s="2" t="s">
        <v>114</v>
      </c>
      <c r="B79" s="2" t="s">
        <v>115</v>
      </c>
      <c r="C79" s="2">
        <v>30696</v>
      </c>
      <c r="D79" s="2">
        <v>41131</v>
      </c>
      <c r="E79" s="3">
        <v>45919</v>
      </c>
      <c r="F79" s="3">
        <v>46153</v>
      </c>
      <c r="G79" s="4">
        <v>101510</v>
      </c>
      <c r="H79" s="2">
        <v>17</v>
      </c>
      <c r="I79" s="2" t="s">
        <v>182</v>
      </c>
      <c r="J79" s="2" t="s">
        <v>117</v>
      </c>
    </row>
    <row r="80" spans="1:10" x14ac:dyDescent="0.3">
      <c r="A80" s="2" t="s">
        <v>114</v>
      </c>
      <c r="B80" s="2" t="s">
        <v>115</v>
      </c>
      <c r="C80" s="2">
        <v>30697</v>
      </c>
      <c r="D80" s="2">
        <v>41132</v>
      </c>
      <c r="E80" s="3">
        <v>45919</v>
      </c>
      <c r="F80" s="3">
        <v>46153</v>
      </c>
      <c r="G80" s="4">
        <v>4997.21</v>
      </c>
      <c r="H80" s="2">
        <v>17</v>
      </c>
      <c r="I80" s="2" t="s">
        <v>183</v>
      </c>
      <c r="J80" s="2" t="s">
        <v>117</v>
      </c>
    </row>
    <row r="81" spans="1:10" x14ac:dyDescent="0.3">
      <c r="A81" s="2" t="s">
        <v>114</v>
      </c>
      <c r="B81" s="2" t="s">
        <v>115</v>
      </c>
      <c r="C81" s="2">
        <v>31508</v>
      </c>
      <c r="D81" s="2">
        <v>42054</v>
      </c>
      <c r="E81" s="3">
        <v>45989</v>
      </c>
      <c r="F81" s="3">
        <v>46153</v>
      </c>
      <c r="G81" s="4">
        <v>64998</v>
      </c>
      <c r="H81" s="2">
        <v>17</v>
      </c>
      <c r="I81" s="2" t="s">
        <v>356</v>
      </c>
      <c r="J81" s="2" t="s">
        <v>117</v>
      </c>
    </row>
    <row r="82" spans="1:10" x14ac:dyDescent="0.3">
      <c r="A82" s="2" t="s">
        <v>662</v>
      </c>
      <c r="B82" s="2" t="s">
        <v>44</v>
      </c>
      <c r="C82" s="2">
        <v>32293</v>
      </c>
      <c r="D82" s="2">
        <v>42927</v>
      </c>
      <c r="E82" s="3">
        <v>46066</v>
      </c>
      <c r="F82" s="3">
        <v>46156</v>
      </c>
      <c r="G82" s="4">
        <v>137474.23999999999</v>
      </c>
      <c r="H82" s="2">
        <v>14</v>
      </c>
      <c r="I82" s="2" t="s">
        <v>663</v>
      </c>
      <c r="J82" s="2" t="s">
        <v>46</v>
      </c>
    </row>
    <row r="83" spans="1:10" x14ac:dyDescent="0.3">
      <c r="A83" s="2" t="s">
        <v>114</v>
      </c>
      <c r="B83" s="2" t="s">
        <v>115</v>
      </c>
      <c r="C83" s="2">
        <v>31634</v>
      </c>
      <c r="D83" s="2">
        <v>42198</v>
      </c>
      <c r="E83" s="3">
        <v>46001</v>
      </c>
      <c r="F83" s="3">
        <v>46157</v>
      </c>
      <c r="G83" s="4">
        <v>23062.5</v>
      </c>
      <c r="H83" s="2">
        <v>13</v>
      </c>
      <c r="I83" s="2" t="s">
        <v>408</v>
      </c>
      <c r="J83" s="2" t="s">
        <v>117</v>
      </c>
    </row>
    <row r="84" spans="1:10" x14ac:dyDescent="0.3">
      <c r="A84" s="2" t="s">
        <v>857</v>
      </c>
      <c r="B84" s="2" t="s">
        <v>858</v>
      </c>
      <c r="C84" s="2">
        <v>32701</v>
      </c>
      <c r="D84" s="2">
        <v>43355</v>
      </c>
      <c r="E84" s="3">
        <v>46101</v>
      </c>
      <c r="F84" s="3">
        <v>46161</v>
      </c>
      <c r="G84" s="4">
        <v>3460.54</v>
      </c>
      <c r="H84" s="2">
        <v>9</v>
      </c>
      <c r="I84" s="2" t="s">
        <v>859</v>
      </c>
      <c r="J84" s="2" t="s">
        <v>260</v>
      </c>
    </row>
    <row r="85" spans="1:10" x14ac:dyDescent="0.3">
      <c r="A85" s="2" t="s">
        <v>121</v>
      </c>
      <c r="B85" s="2" t="s">
        <v>122</v>
      </c>
      <c r="C85" s="2">
        <v>30512</v>
      </c>
      <c r="D85" s="2">
        <v>40921</v>
      </c>
      <c r="E85" s="3">
        <v>45910</v>
      </c>
      <c r="F85" s="3">
        <v>46171</v>
      </c>
      <c r="G85" s="4">
        <v>374033.42</v>
      </c>
      <c r="H85" s="2">
        <v>0</v>
      </c>
      <c r="I85" s="2" t="s">
        <v>123</v>
      </c>
      <c r="J85" s="2" t="s">
        <v>92</v>
      </c>
    </row>
    <row r="86" spans="1:10" x14ac:dyDescent="0.3">
      <c r="A86" s="2" t="s">
        <v>43</v>
      </c>
      <c r="B86" s="2" t="s">
        <v>44</v>
      </c>
      <c r="C86" s="2">
        <v>30538</v>
      </c>
      <c r="D86" s="2">
        <v>40951</v>
      </c>
      <c r="E86" s="3">
        <v>45911</v>
      </c>
      <c r="F86" s="3">
        <v>46171</v>
      </c>
      <c r="G86" s="4">
        <v>132000</v>
      </c>
      <c r="H86" s="2">
        <v>0</v>
      </c>
      <c r="I86" s="2" t="s">
        <v>125</v>
      </c>
      <c r="J86" s="2" t="s">
        <v>46</v>
      </c>
    </row>
    <row r="87" spans="1:10" x14ac:dyDescent="0.3">
      <c r="A87" s="2" t="s">
        <v>121</v>
      </c>
      <c r="B87" s="2" t="s">
        <v>122</v>
      </c>
      <c r="C87" s="2">
        <v>30568</v>
      </c>
      <c r="D87" s="2">
        <v>40984</v>
      </c>
      <c r="E87" s="3">
        <v>45912</v>
      </c>
      <c r="F87" s="3">
        <v>46171</v>
      </c>
      <c r="G87" s="4">
        <v>168763</v>
      </c>
      <c r="H87" s="2">
        <v>0</v>
      </c>
      <c r="I87" s="2" t="s">
        <v>139</v>
      </c>
      <c r="J87" s="2" t="s">
        <v>92</v>
      </c>
    </row>
    <row r="88" spans="1:10" x14ac:dyDescent="0.3">
      <c r="A88" s="2" t="s">
        <v>219</v>
      </c>
      <c r="B88" s="2" t="s">
        <v>220</v>
      </c>
      <c r="C88" s="2">
        <v>30789</v>
      </c>
      <c r="D88" s="2">
        <v>41242</v>
      </c>
      <c r="E88" s="3">
        <v>45926</v>
      </c>
      <c r="F88" s="3">
        <v>46171</v>
      </c>
      <c r="G88" s="4">
        <v>15874.85</v>
      </c>
      <c r="H88" s="2">
        <v>0</v>
      </c>
      <c r="I88" s="2" t="s">
        <v>221</v>
      </c>
      <c r="J88" s="2" t="s">
        <v>66</v>
      </c>
    </row>
    <row r="89" spans="1:10" x14ac:dyDescent="0.3">
      <c r="A89" s="2" t="s">
        <v>229</v>
      </c>
      <c r="B89" s="2" t="s">
        <v>230</v>
      </c>
      <c r="C89" s="2">
        <v>30861</v>
      </c>
      <c r="D89" s="2">
        <v>41323</v>
      </c>
      <c r="E89" s="3">
        <v>45930</v>
      </c>
      <c r="F89" s="3">
        <v>46171</v>
      </c>
      <c r="G89" s="4">
        <v>371410</v>
      </c>
      <c r="H89" s="2">
        <v>0</v>
      </c>
      <c r="I89" s="2" t="s">
        <v>231</v>
      </c>
      <c r="J89" s="2" t="s">
        <v>46</v>
      </c>
    </row>
    <row r="90" spans="1:10" x14ac:dyDescent="0.3">
      <c r="A90" s="2" t="s">
        <v>229</v>
      </c>
      <c r="B90" s="2" t="s">
        <v>230</v>
      </c>
      <c r="C90" s="2">
        <v>30862</v>
      </c>
      <c r="D90" s="2">
        <v>41324</v>
      </c>
      <c r="E90" s="3">
        <v>45930</v>
      </c>
      <c r="F90" s="3">
        <v>46171</v>
      </c>
      <c r="G90" s="4">
        <v>14700</v>
      </c>
      <c r="H90" s="2">
        <v>0</v>
      </c>
      <c r="I90" s="2" t="s">
        <v>232</v>
      </c>
      <c r="J90" s="2" t="s">
        <v>46</v>
      </c>
    </row>
    <row r="91" spans="1:10" x14ac:dyDescent="0.3">
      <c r="A91" s="2" t="s">
        <v>229</v>
      </c>
      <c r="B91" s="2" t="s">
        <v>230</v>
      </c>
      <c r="C91" s="2">
        <v>31413</v>
      </c>
      <c r="D91" s="2">
        <v>41961</v>
      </c>
      <c r="E91" s="3">
        <v>45980</v>
      </c>
      <c r="F91" s="3">
        <v>46171</v>
      </c>
      <c r="G91" s="4">
        <v>223400</v>
      </c>
      <c r="H91" s="2">
        <v>0</v>
      </c>
      <c r="I91" s="2" t="s">
        <v>340</v>
      </c>
      <c r="J91" s="2" t="s">
        <v>46</v>
      </c>
    </row>
    <row r="92" spans="1:10" x14ac:dyDescent="0.3">
      <c r="A92" s="2" t="s">
        <v>360</v>
      </c>
      <c r="B92" s="2" t="s">
        <v>361</v>
      </c>
      <c r="C92" s="2">
        <v>31681</v>
      </c>
      <c r="D92" s="2">
        <v>42258</v>
      </c>
      <c r="E92" s="3">
        <v>46006</v>
      </c>
      <c r="F92" s="3">
        <v>46171</v>
      </c>
      <c r="G92" s="2">
        <v>221.82</v>
      </c>
      <c r="H92" s="2">
        <v>0</v>
      </c>
      <c r="I92" s="2" t="s">
        <v>425</v>
      </c>
      <c r="J92" s="2" t="s">
        <v>92</v>
      </c>
    </row>
    <row r="93" spans="1:10" x14ac:dyDescent="0.3">
      <c r="A93" s="2" t="s">
        <v>357</v>
      </c>
      <c r="B93" s="2" t="s">
        <v>358</v>
      </c>
      <c r="C93" s="2">
        <v>32158</v>
      </c>
      <c r="D93" s="2">
        <v>42780</v>
      </c>
      <c r="E93" s="3">
        <v>46051</v>
      </c>
      <c r="F93" s="3">
        <v>46171</v>
      </c>
      <c r="G93" s="4">
        <v>166432</v>
      </c>
      <c r="H93" s="2">
        <v>0</v>
      </c>
      <c r="I93" s="2" t="s">
        <v>578</v>
      </c>
      <c r="J93" s="2" t="s">
        <v>260</v>
      </c>
    </row>
    <row r="94" spans="1:10" x14ac:dyDescent="0.3">
      <c r="A94" s="2" t="s">
        <v>579</v>
      </c>
      <c r="B94" s="2" t="s">
        <v>580</v>
      </c>
      <c r="C94" s="2">
        <v>32159</v>
      </c>
      <c r="D94" s="2">
        <v>42781</v>
      </c>
      <c r="E94" s="3">
        <v>46051</v>
      </c>
      <c r="F94" s="3">
        <v>46171</v>
      </c>
      <c r="G94" s="4">
        <v>20755.04</v>
      </c>
      <c r="H94" s="2">
        <v>0</v>
      </c>
      <c r="I94" s="2" t="s">
        <v>581</v>
      </c>
      <c r="J94" s="2" t="s">
        <v>162</v>
      </c>
    </row>
    <row r="95" spans="1:10" x14ac:dyDescent="0.3">
      <c r="A95" s="2" t="s">
        <v>582</v>
      </c>
      <c r="B95" s="2" t="s">
        <v>583</v>
      </c>
      <c r="C95" s="2">
        <v>32164</v>
      </c>
      <c r="D95" s="2">
        <v>42787</v>
      </c>
      <c r="E95" s="3">
        <v>46051</v>
      </c>
      <c r="F95" s="3">
        <v>46171</v>
      </c>
      <c r="G95" s="4">
        <v>10556.43</v>
      </c>
      <c r="H95" s="2">
        <v>0</v>
      </c>
      <c r="I95" s="2" t="s">
        <v>584</v>
      </c>
      <c r="J95" s="2" t="s">
        <v>92</v>
      </c>
    </row>
    <row r="96" spans="1:10" x14ac:dyDescent="0.3">
      <c r="A96" s="2" t="s">
        <v>360</v>
      </c>
      <c r="B96" s="2" t="s">
        <v>361</v>
      </c>
      <c r="C96" s="2">
        <v>32771</v>
      </c>
      <c r="D96" s="2">
        <v>43427</v>
      </c>
      <c r="E96" s="3">
        <v>46111</v>
      </c>
      <c r="F96" s="3">
        <v>46171</v>
      </c>
      <c r="G96" s="4">
        <v>2565.4499999999998</v>
      </c>
      <c r="H96" s="2">
        <v>0</v>
      </c>
      <c r="I96" s="2" t="s">
        <v>895</v>
      </c>
      <c r="J96" s="2" t="s">
        <v>92</v>
      </c>
    </row>
    <row r="97" spans="1:10" x14ac:dyDescent="0.3">
      <c r="A97" s="2" t="s">
        <v>1074</v>
      </c>
      <c r="B97" s="2" t="s">
        <v>1075</v>
      </c>
      <c r="C97" s="2">
        <v>33042</v>
      </c>
      <c r="D97" s="2">
        <v>43692</v>
      </c>
      <c r="E97" s="3">
        <v>46141</v>
      </c>
      <c r="F97" s="3">
        <v>46171</v>
      </c>
      <c r="G97" s="4">
        <v>31500</v>
      </c>
      <c r="H97" s="2">
        <v>0</v>
      </c>
      <c r="I97" s="2" t="s">
        <v>1076</v>
      </c>
      <c r="J97" s="2" t="s">
        <v>412</v>
      </c>
    </row>
    <row r="98" spans="1:10" x14ac:dyDescent="0.3">
      <c r="A98" s="2" t="s">
        <v>1074</v>
      </c>
      <c r="B98" s="2" t="s">
        <v>1075</v>
      </c>
      <c r="C98" s="2">
        <v>33043</v>
      </c>
      <c r="D98" s="2">
        <v>43693</v>
      </c>
      <c r="E98" s="3">
        <v>46141</v>
      </c>
      <c r="F98" s="3">
        <v>46171</v>
      </c>
      <c r="G98" s="4">
        <v>72787.5</v>
      </c>
      <c r="H98" s="2">
        <v>0</v>
      </c>
      <c r="I98" s="2" t="s">
        <v>1077</v>
      </c>
      <c r="J98" s="2" t="s">
        <v>412</v>
      </c>
    </row>
    <row r="99" spans="1:10" x14ac:dyDescent="0.3">
      <c r="A99" s="2" t="s">
        <v>1079</v>
      </c>
      <c r="B99" s="2" t="s">
        <v>1080</v>
      </c>
      <c r="C99" s="2">
        <v>33046</v>
      </c>
      <c r="D99" s="2">
        <v>43696</v>
      </c>
      <c r="E99" s="3">
        <v>46141</v>
      </c>
      <c r="F99" s="3">
        <v>46171</v>
      </c>
      <c r="G99" s="4">
        <v>58175</v>
      </c>
      <c r="H99" s="2">
        <v>0</v>
      </c>
      <c r="I99" s="2" t="s">
        <v>1081</v>
      </c>
      <c r="J99" s="2" t="s">
        <v>339</v>
      </c>
    </row>
    <row r="100" spans="1:10" x14ac:dyDescent="0.3">
      <c r="A100" s="2" t="s">
        <v>1172</v>
      </c>
      <c r="B100" s="2" t="s">
        <v>1173</v>
      </c>
      <c r="C100" s="2">
        <v>33187</v>
      </c>
      <c r="D100" s="2">
        <v>43834</v>
      </c>
      <c r="E100" s="3">
        <v>46161</v>
      </c>
      <c r="F100" s="3">
        <v>46171</v>
      </c>
      <c r="G100" s="4">
        <v>21512</v>
      </c>
      <c r="H100" s="2">
        <v>0</v>
      </c>
      <c r="I100" s="2" t="s">
        <v>1174</v>
      </c>
      <c r="J100" s="2" t="s">
        <v>92</v>
      </c>
    </row>
    <row r="101" spans="1:10" x14ac:dyDescent="0.3">
      <c r="A101" s="2" t="s">
        <v>68</v>
      </c>
      <c r="B101" s="2" t="s">
        <v>69</v>
      </c>
      <c r="C101" s="2">
        <v>30300</v>
      </c>
      <c r="D101" s="2">
        <v>40671</v>
      </c>
      <c r="E101" s="3">
        <v>45891</v>
      </c>
      <c r="F101" s="3">
        <v>46172</v>
      </c>
      <c r="G101" s="4">
        <v>30670</v>
      </c>
      <c r="H101" s="2">
        <v>0</v>
      </c>
      <c r="I101" s="2" t="s">
        <v>70</v>
      </c>
      <c r="J101" s="2" t="s">
        <v>50</v>
      </c>
    </row>
    <row r="102" spans="1:10" x14ac:dyDescent="0.3">
      <c r="A102" s="2" t="s">
        <v>55</v>
      </c>
      <c r="B102" s="2" t="s">
        <v>52</v>
      </c>
      <c r="C102" s="2">
        <v>30347</v>
      </c>
      <c r="D102" s="2">
        <v>40716</v>
      </c>
      <c r="E102" s="3">
        <v>45895</v>
      </c>
      <c r="F102" s="3">
        <v>46172</v>
      </c>
      <c r="G102" s="4">
        <v>378519</v>
      </c>
      <c r="H102" s="2">
        <v>0</v>
      </c>
      <c r="I102" s="2" t="s">
        <v>77</v>
      </c>
      <c r="J102" s="2" t="s">
        <v>54</v>
      </c>
    </row>
    <row r="103" spans="1:10" x14ac:dyDescent="0.3">
      <c r="A103" s="2" t="s">
        <v>55</v>
      </c>
      <c r="B103" s="2" t="s">
        <v>52</v>
      </c>
      <c r="C103" s="2">
        <v>30348</v>
      </c>
      <c r="D103" s="2">
        <v>40717</v>
      </c>
      <c r="E103" s="3">
        <v>45895</v>
      </c>
      <c r="F103" s="3">
        <v>46172</v>
      </c>
      <c r="G103" s="4">
        <v>78000</v>
      </c>
      <c r="H103" s="2">
        <v>0</v>
      </c>
      <c r="I103" s="2" t="s">
        <v>78</v>
      </c>
      <c r="J103" s="2" t="s">
        <v>54</v>
      </c>
    </row>
    <row r="104" spans="1:10" x14ac:dyDescent="0.3">
      <c r="A104" s="2" t="s">
        <v>79</v>
      </c>
      <c r="B104" s="2" t="s">
        <v>52</v>
      </c>
      <c r="C104" s="2">
        <v>30349</v>
      </c>
      <c r="D104" s="2">
        <v>40718</v>
      </c>
      <c r="E104" s="3">
        <v>45895</v>
      </c>
      <c r="F104" s="3">
        <v>46172</v>
      </c>
      <c r="G104" s="4">
        <v>400000</v>
      </c>
      <c r="H104" s="2">
        <v>0</v>
      </c>
      <c r="I104" s="2" t="s">
        <v>80</v>
      </c>
      <c r="J104" s="2" t="s">
        <v>54</v>
      </c>
    </row>
    <row r="105" spans="1:10" x14ac:dyDescent="0.3">
      <c r="A105" s="2" t="s">
        <v>81</v>
      </c>
      <c r="B105" s="2" t="s">
        <v>52</v>
      </c>
      <c r="C105" s="2">
        <v>30350</v>
      </c>
      <c r="D105" s="2">
        <v>40719</v>
      </c>
      <c r="E105" s="3">
        <v>45895</v>
      </c>
      <c r="F105" s="3">
        <v>46172</v>
      </c>
      <c r="G105" s="4">
        <v>517412.5</v>
      </c>
      <c r="H105" s="2">
        <v>0</v>
      </c>
      <c r="I105" s="2" t="s">
        <v>82</v>
      </c>
      <c r="J105" s="2" t="s">
        <v>54</v>
      </c>
    </row>
    <row r="106" spans="1:10" x14ac:dyDescent="0.3">
      <c r="A106" s="2" t="s">
        <v>81</v>
      </c>
      <c r="B106" s="2" t="s">
        <v>52</v>
      </c>
      <c r="C106" s="2">
        <v>30351</v>
      </c>
      <c r="D106" s="2">
        <v>40720</v>
      </c>
      <c r="E106" s="3">
        <v>45895</v>
      </c>
      <c r="F106" s="3">
        <v>46172</v>
      </c>
      <c r="G106" s="4">
        <v>208000</v>
      </c>
      <c r="H106" s="2">
        <v>0</v>
      </c>
      <c r="I106" s="2" t="s">
        <v>83</v>
      </c>
      <c r="J106" s="2" t="s">
        <v>54</v>
      </c>
    </row>
    <row r="107" spans="1:10" x14ac:dyDescent="0.3">
      <c r="A107" s="2" t="s">
        <v>128</v>
      </c>
      <c r="B107" s="2" t="s">
        <v>129</v>
      </c>
      <c r="C107" s="2">
        <v>30556</v>
      </c>
      <c r="D107" s="2">
        <v>40970</v>
      </c>
      <c r="E107" s="3">
        <v>45912</v>
      </c>
      <c r="F107" s="3">
        <v>46172</v>
      </c>
      <c r="G107" s="4">
        <v>30000</v>
      </c>
      <c r="H107" s="2">
        <v>0</v>
      </c>
      <c r="I107" s="2" t="s">
        <v>131</v>
      </c>
      <c r="J107" s="2" t="s">
        <v>66</v>
      </c>
    </row>
    <row r="108" spans="1:10" x14ac:dyDescent="0.3">
      <c r="A108" s="2" t="s">
        <v>588</v>
      </c>
      <c r="B108" s="2" t="s">
        <v>589</v>
      </c>
      <c r="C108" s="2">
        <v>32185</v>
      </c>
      <c r="D108" s="2">
        <v>42808</v>
      </c>
      <c r="E108" s="3">
        <v>46052</v>
      </c>
      <c r="F108" s="3">
        <v>46172</v>
      </c>
      <c r="G108" s="4">
        <v>10317.08</v>
      </c>
      <c r="H108" s="2">
        <v>0</v>
      </c>
      <c r="I108" s="2" t="s">
        <v>590</v>
      </c>
      <c r="J108" s="2" t="s">
        <v>92</v>
      </c>
    </row>
    <row r="109" spans="1:10" x14ac:dyDescent="0.3">
      <c r="A109" s="2" t="s">
        <v>1083</v>
      </c>
      <c r="B109" s="2" t="s">
        <v>1084</v>
      </c>
      <c r="C109" s="2">
        <v>33062</v>
      </c>
      <c r="D109" s="2">
        <v>43709</v>
      </c>
      <c r="E109" s="3">
        <v>46142</v>
      </c>
      <c r="F109" s="3">
        <v>46172</v>
      </c>
      <c r="G109" s="4">
        <v>11198.83</v>
      </c>
      <c r="H109" s="2">
        <v>0</v>
      </c>
      <c r="I109" s="2" t="s">
        <v>1085</v>
      </c>
      <c r="J109" s="2" t="s">
        <v>313</v>
      </c>
    </row>
    <row r="110" spans="1:10" x14ac:dyDescent="0.3">
      <c r="A110" s="2" t="s">
        <v>79</v>
      </c>
      <c r="B110" s="2" t="s">
        <v>52</v>
      </c>
      <c r="C110" s="2">
        <v>30384</v>
      </c>
      <c r="D110" s="2">
        <v>40765</v>
      </c>
      <c r="E110" s="3">
        <v>45897</v>
      </c>
      <c r="F110" s="3">
        <v>46174</v>
      </c>
      <c r="G110" s="4">
        <v>40500</v>
      </c>
      <c r="H110" s="2">
        <v>0</v>
      </c>
      <c r="I110" s="2" t="s">
        <v>87</v>
      </c>
      <c r="J110" s="2" t="s">
        <v>54</v>
      </c>
    </row>
    <row r="111" spans="1:10" x14ac:dyDescent="0.3">
      <c r="A111" s="2" t="s">
        <v>79</v>
      </c>
      <c r="B111" s="2" t="s">
        <v>52</v>
      </c>
      <c r="C111" s="2">
        <v>30385</v>
      </c>
      <c r="D111" s="2">
        <v>40766</v>
      </c>
      <c r="E111" s="3">
        <v>45897</v>
      </c>
      <c r="F111" s="3">
        <v>46174</v>
      </c>
      <c r="G111" s="4">
        <v>394000</v>
      </c>
      <c r="H111" s="2">
        <v>0</v>
      </c>
      <c r="I111" s="2" t="s">
        <v>88</v>
      </c>
      <c r="J111" s="2" t="s">
        <v>54</v>
      </c>
    </row>
    <row r="112" spans="1:10" x14ac:dyDescent="0.3">
      <c r="A112" s="2" t="s">
        <v>89</v>
      </c>
      <c r="B112" s="2" t="s">
        <v>90</v>
      </c>
      <c r="C112" s="2">
        <v>30432</v>
      </c>
      <c r="D112" s="2">
        <v>40843</v>
      </c>
      <c r="E112" s="3">
        <v>45908</v>
      </c>
      <c r="F112" s="3">
        <v>46174</v>
      </c>
      <c r="G112" s="4">
        <v>50750</v>
      </c>
      <c r="H112" s="2">
        <v>0</v>
      </c>
      <c r="I112" s="2" t="s">
        <v>91</v>
      </c>
      <c r="J112" s="2" t="s">
        <v>92</v>
      </c>
    </row>
    <row r="113" spans="1:10" x14ac:dyDescent="0.3">
      <c r="A113" s="2" t="s">
        <v>93</v>
      </c>
      <c r="B113" s="2" t="s">
        <v>90</v>
      </c>
      <c r="C113" s="2">
        <v>30433</v>
      </c>
      <c r="D113" s="2">
        <v>40844</v>
      </c>
      <c r="E113" s="3">
        <v>45908</v>
      </c>
      <c r="F113" s="3">
        <v>46174</v>
      </c>
      <c r="G113" s="4">
        <v>14500</v>
      </c>
      <c r="H113" s="2">
        <v>0</v>
      </c>
      <c r="I113" s="2" t="s">
        <v>94</v>
      </c>
      <c r="J113" s="2" t="s">
        <v>92</v>
      </c>
    </row>
    <row r="114" spans="1:10" x14ac:dyDescent="0.3">
      <c r="A114" s="2" t="s">
        <v>95</v>
      </c>
      <c r="B114" s="2" t="s">
        <v>90</v>
      </c>
      <c r="C114" s="2">
        <v>30434</v>
      </c>
      <c r="D114" s="2">
        <v>40845</v>
      </c>
      <c r="E114" s="3">
        <v>45908</v>
      </c>
      <c r="F114" s="3">
        <v>46174</v>
      </c>
      <c r="G114" s="4">
        <v>14500</v>
      </c>
      <c r="H114" s="2">
        <v>0</v>
      </c>
      <c r="I114" s="2" t="s">
        <v>96</v>
      </c>
      <c r="J114" s="2" t="s">
        <v>97</v>
      </c>
    </row>
    <row r="115" spans="1:10" x14ac:dyDescent="0.3">
      <c r="A115" s="2" t="s">
        <v>98</v>
      </c>
      <c r="B115" s="2" t="s">
        <v>90</v>
      </c>
      <c r="C115" s="2">
        <v>30435</v>
      </c>
      <c r="D115" s="2">
        <v>40846</v>
      </c>
      <c r="E115" s="3">
        <v>45908</v>
      </c>
      <c r="F115" s="3">
        <v>46174</v>
      </c>
      <c r="G115" s="4">
        <v>29000</v>
      </c>
      <c r="H115" s="2">
        <v>0</v>
      </c>
      <c r="I115" s="2" t="s">
        <v>99</v>
      </c>
      <c r="J115" s="2" t="s">
        <v>92</v>
      </c>
    </row>
    <row r="116" spans="1:10" x14ac:dyDescent="0.3">
      <c r="A116" s="2" t="s">
        <v>100</v>
      </c>
      <c r="B116" s="2" t="s">
        <v>90</v>
      </c>
      <c r="C116" s="2">
        <v>30436</v>
      </c>
      <c r="D116" s="2">
        <v>40847</v>
      </c>
      <c r="E116" s="3">
        <v>45908</v>
      </c>
      <c r="F116" s="3">
        <v>46174</v>
      </c>
      <c r="G116" s="4">
        <v>29000</v>
      </c>
      <c r="H116" s="2">
        <v>0</v>
      </c>
      <c r="I116" s="2" t="s">
        <v>101</v>
      </c>
      <c r="J116" s="2" t="s">
        <v>97</v>
      </c>
    </row>
    <row r="117" spans="1:10" x14ac:dyDescent="0.3">
      <c r="A117" s="2" t="s">
        <v>102</v>
      </c>
      <c r="B117" s="2" t="s">
        <v>90</v>
      </c>
      <c r="C117" s="2">
        <v>30437</v>
      </c>
      <c r="D117" s="2">
        <v>40848</v>
      </c>
      <c r="E117" s="3">
        <v>45908</v>
      </c>
      <c r="F117" s="3">
        <v>46174</v>
      </c>
      <c r="G117" s="4">
        <v>87000</v>
      </c>
      <c r="H117" s="2">
        <v>0</v>
      </c>
      <c r="I117" s="2" t="s">
        <v>103</v>
      </c>
      <c r="J117" s="2" t="s">
        <v>97</v>
      </c>
    </row>
    <row r="118" spans="1:10" x14ac:dyDescent="0.3">
      <c r="A118" s="2" t="s">
        <v>104</v>
      </c>
      <c r="B118" s="2" t="s">
        <v>90</v>
      </c>
      <c r="C118" s="2">
        <v>30439</v>
      </c>
      <c r="D118" s="2">
        <v>40850</v>
      </c>
      <c r="E118" s="3">
        <v>45908</v>
      </c>
      <c r="F118" s="3">
        <v>46174</v>
      </c>
      <c r="G118" s="4">
        <v>107700</v>
      </c>
      <c r="H118" s="2">
        <v>0</v>
      </c>
      <c r="I118" s="2" t="s">
        <v>105</v>
      </c>
      <c r="J118" s="2" t="s">
        <v>97</v>
      </c>
    </row>
    <row r="119" spans="1:10" x14ac:dyDescent="0.3">
      <c r="A119" s="2" t="s">
        <v>106</v>
      </c>
      <c r="B119" s="2" t="s">
        <v>90</v>
      </c>
      <c r="C119" s="2">
        <v>30440</v>
      </c>
      <c r="D119" s="2">
        <v>40851</v>
      </c>
      <c r="E119" s="3">
        <v>45908</v>
      </c>
      <c r="F119" s="3">
        <v>46174</v>
      </c>
      <c r="G119" s="4">
        <v>7250</v>
      </c>
      <c r="H119" s="2">
        <v>0</v>
      </c>
      <c r="I119" s="2" t="s">
        <v>107</v>
      </c>
      <c r="J119" s="2" t="s">
        <v>97</v>
      </c>
    </row>
    <row r="120" spans="1:10" x14ac:dyDescent="0.3">
      <c r="A120" s="2" t="s">
        <v>108</v>
      </c>
      <c r="B120" s="2" t="s">
        <v>90</v>
      </c>
      <c r="C120" s="2">
        <v>30441</v>
      </c>
      <c r="D120" s="2">
        <v>40852</v>
      </c>
      <c r="E120" s="3">
        <v>45908</v>
      </c>
      <c r="F120" s="3">
        <v>46174</v>
      </c>
      <c r="G120" s="4">
        <v>14500</v>
      </c>
      <c r="H120" s="2">
        <v>0</v>
      </c>
      <c r="I120" s="2" t="s">
        <v>109</v>
      </c>
      <c r="J120" s="2" t="s">
        <v>92</v>
      </c>
    </row>
    <row r="121" spans="1:10" x14ac:dyDescent="0.3">
      <c r="A121" s="2" t="s">
        <v>110</v>
      </c>
      <c r="B121" s="2" t="s">
        <v>90</v>
      </c>
      <c r="C121" s="2">
        <v>30442</v>
      </c>
      <c r="D121" s="2">
        <v>40853</v>
      </c>
      <c r="E121" s="3">
        <v>45908</v>
      </c>
      <c r="F121" s="3">
        <v>46174</v>
      </c>
      <c r="G121" s="4">
        <v>7250</v>
      </c>
      <c r="H121" s="2">
        <v>0</v>
      </c>
      <c r="I121" s="2" t="s">
        <v>111</v>
      </c>
      <c r="J121" s="2" t="s">
        <v>97</v>
      </c>
    </row>
    <row r="122" spans="1:10" x14ac:dyDescent="0.3">
      <c r="A122" s="2" t="s">
        <v>112</v>
      </c>
      <c r="B122" s="2" t="s">
        <v>90</v>
      </c>
      <c r="C122" s="2">
        <v>30443</v>
      </c>
      <c r="D122" s="2">
        <v>40855</v>
      </c>
      <c r="E122" s="3">
        <v>45908</v>
      </c>
      <c r="F122" s="3">
        <v>46174</v>
      </c>
      <c r="G122" s="4">
        <v>43500</v>
      </c>
      <c r="H122" s="2">
        <v>0</v>
      </c>
      <c r="I122" s="2" t="s">
        <v>113</v>
      </c>
      <c r="J122" s="2" t="s">
        <v>97</v>
      </c>
    </row>
    <row r="123" spans="1:10" x14ac:dyDescent="0.3">
      <c r="A123" s="2" t="s">
        <v>81</v>
      </c>
      <c r="B123" s="2" t="s">
        <v>52</v>
      </c>
      <c r="C123" s="2">
        <v>30517</v>
      </c>
      <c r="D123" s="2">
        <v>40928</v>
      </c>
      <c r="E123" s="3">
        <v>45910</v>
      </c>
      <c r="F123" s="3">
        <v>46174</v>
      </c>
      <c r="G123" s="4">
        <v>535530</v>
      </c>
      <c r="H123" s="2">
        <v>0</v>
      </c>
      <c r="I123" s="2" t="s">
        <v>124</v>
      </c>
      <c r="J123" s="2" t="s">
        <v>54</v>
      </c>
    </row>
    <row r="124" spans="1:10" x14ac:dyDescent="0.3">
      <c r="A124" s="2" t="s">
        <v>128</v>
      </c>
      <c r="B124" s="2" t="s">
        <v>129</v>
      </c>
      <c r="C124" s="2">
        <v>30555</v>
      </c>
      <c r="D124" s="2">
        <v>40969</v>
      </c>
      <c r="E124" s="3">
        <v>45912</v>
      </c>
      <c r="F124" s="3">
        <v>46174</v>
      </c>
      <c r="G124" s="4">
        <v>102000</v>
      </c>
      <c r="H124" s="2">
        <v>0</v>
      </c>
      <c r="I124" s="2" t="s">
        <v>130</v>
      </c>
      <c r="J124" s="2" t="s">
        <v>66</v>
      </c>
    </row>
    <row r="125" spans="1:10" x14ac:dyDescent="0.3">
      <c r="A125" s="2" t="s">
        <v>128</v>
      </c>
      <c r="B125" s="2" t="s">
        <v>129</v>
      </c>
      <c r="C125" s="2">
        <v>30557</v>
      </c>
      <c r="D125" s="2">
        <v>40971</v>
      </c>
      <c r="E125" s="3">
        <v>45912</v>
      </c>
      <c r="F125" s="3">
        <v>46174</v>
      </c>
      <c r="G125" s="4">
        <v>37500</v>
      </c>
      <c r="H125" s="2">
        <v>0</v>
      </c>
      <c r="I125" s="2" t="s">
        <v>132</v>
      </c>
      <c r="J125" s="2" t="s">
        <v>66</v>
      </c>
    </row>
    <row r="126" spans="1:10" x14ac:dyDescent="0.3">
      <c r="A126" s="2" t="s">
        <v>128</v>
      </c>
      <c r="B126" s="2" t="s">
        <v>129</v>
      </c>
      <c r="C126" s="2">
        <v>30558</v>
      </c>
      <c r="D126" s="2">
        <v>40972</v>
      </c>
      <c r="E126" s="3">
        <v>45912</v>
      </c>
      <c r="F126" s="3">
        <v>46174</v>
      </c>
      <c r="G126" s="4">
        <v>58200</v>
      </c>
      <c r="H126" s="2">
        <v>0</v>
      </c>
      <c r="I126" s="2" t="s">
        <v>133</v>
      </c>
      <c r="J126" s="2" t="s">
        <v>66</v>
      </c>
    </row>
    <row r="127" spans="1:10" x14ac:dyDescent="0.3">
      <c r="A127" s="2" t="s">
        <v>134</v>
      </c>
      <c r="B127" s="2" t="s">
        <v>135</v>
      </c>
      <c r="C127" s="2">
        <v>30559</v>
      </c>
      <c r="D127" s="2">
        <v>40973</v>
      </c>
      <c r="E127" s="3">
        <v>45912</v>
      </c>
      <c r="F127" s="3">
        <v>46174</v>
      </c>
      <c r="G127" s="4">
        <v>30000</v>
      </c>
      <c r="H127" s="2">
        <v>0</v>
      </c>
      <c r="I127" s="2" t="s">
        <v>136</v>
      </c>
      <c r="J127" s="2" t="s">
        <v>66</v>
      </c>
    </row>
    <row r="128" spans="1:10" x14ac:dyDescent="0.3">
      <c r="A128" s="2" t="s">
        <v>134</v>
      </c>
      <c r="B128" s="2" t="s">
        <v>135</v>
      </c>
      <c r="C128" s="2">
        <v>30560</v>
      </c>
      <c r="D128" s="2">
        <v>40974</v>
      </c>
      <c r="E128" s="3">
        <v>45912</v>
      </c>
      <c r="F128" s="3">
        <v>46174</v>
      </c>
      <c r="G128" s="4">
        <v>194614.39999999999</v>
      </c>
      <c r="H128" s="2">
        <v>0</v>
      </c>
      <c r="I128" s="2" t="s">
        <v>137</v>
      </c>
      <c r="J128" s="2" t="s">
        <v>66</v>
      </c>
    </row>
    <row r="129" spans="1:10" x14ac:dyDescent="0.3">
      <c r="A129" s="2" t="s">
        <v>134</v>
      </c>
      <c r="B129" s="2" t="s">
        <v>135</v>
      </c>
      <c r="C129" s="2">
        <v>30561</v>
      </c>
      <c r="D129" s="2">
        <v>40975</v>
      </c>
      <c r="E129" s="3">
        <v>45912</v>
      </c>
      <c r="F129" s="3">
        <v>46174</v>
      </c>
      <c r="G129" s="4">
        <v>53760</v>
      </c>
      <c r="H129" s="2">
        <v>0</v>
      </c>
      <c r="I129" s="2" t="s">
        <v>138</v>
      </c>
      <c r="J129" s="2" t="s">
        <v>66</v>
      </c>
    </row>
    <row r="130" spans="1:10" x14ac:dyDescent="0.3">
      <c r="A130" s="2" t="s">
        <v>79</v>
      </c>
      <c r="B130" s="2" t="s">
        <v>52</v>
      </c>
      <c r="C130" s="2">
        <v>30571</v>
      </c>
      <c r="D130" s="2">
        <v>40987</v>
      </c>
      <c r="E130" s="3">
        <v>45912</v>
      </c>
      <c r="F130" s="3">
        <v>46174</v>
      </c>
      <c r="G130" s="4">
        <v>486000</v>
      </c>
      <c r="H130" s="2">
        <v>0</v>
      </c>
      <c r="I130" s="2" t="s">
        <v>141</v>
      </c>
      <c r="J130" s="2" t="s">
        <v>54</v>
      </c>
    </row>
    <row r="131" spans="1:10" x14ac:dyDescent="0.3">
      <c r="A131" s="2" t="s">
        <v>79</v>
      </c>
      <c r="B131" s="2" t="s">
        <v>52</v>
      </c>
      <c r="C131" s="2">
        <v>30572</v>
      </c>
      <c r="D131" s="2">
        <v>40989</v>
      </c>
      <c r="E131" s="3">
        <v>45912</v>
      </c>
      <c r="F131" s="3">
        <v>46174</v>
      </c>
      <c r="G131" s="4">
        <v>300500</v>
      </c>
      <c r="H131" s="2">
        <v>0</v>
      </c>
      <c r="I131" s="2" t="s">
        <v>142</v>
      </c>
      <c r="J131" s="2" t="s">
        <v>54</v>
      </c>
    </row>
    <row r="132" spans="1:10" x14ac:dyDescent="0.3">
      <c r="A132" s="2" t="s">
        <v>143</v>
      </c>
      <c r="B132" s="2" t="s">
        <v>144</v>
      </c>
      <c r="C132" s="2">
        <v>30580</v>
      </c>
      <c r="D132" s="2">
        <v>40999</v>
      </c>
      <c r="E132" s="3">
        <v>45915</v>
      </c>
      <c r="F132" s="3">
        <v>46174</v>
      </c>
      <c r="G132" s="4">
        <v>80600</v>
      </c>
      <c r="H132" s="2">
        <v>0</v>
      </c>
      <c r="I132" s="2" t="s">
        <v>145</v>
      </c>
      <c r="J132" s="2" t="s">
        <v>146</v>
      </c>
    </row>
    <row r="133" spans="1:10" x14ac:dyDescent="0.3">
      <c r="A133" s="2" t="s">
        <v>143</v>
      </c>
      <c r="B133" s="2" t="s">
        <v>144</v>
      </c>
      <c r="C133" s="2">
        <v>30581</v>
      </c>
      <c r="D133" s="2">
        <v>41000</v>
      </c>
      <c r="E133" s="3">
        <v>45915</v>
      </c>
      <c r="F133" s="3">
        <v>46174</v>
      </c>
      <c r="G133" s="4">
        <v>56000</v>
      </c>
      <c r="H133" s="2">
        <v>0</v>
      </c>
      <c r="I133" s="2" t="s">
        <v>147</v>
      </c>
      <c r="J133" s="2" t="s">
        <v>146</v>
      </c>
    </row>
    <row r="134" spans="1:10" x14ac:dyDescent="0.3">
      <c r="A134" s="2" t="s">
        <v>55</v>
      </c>
      <c r="B134" s="2" t="s">
        <v>52</v>
      </c>
      <c r="C134" s="2">
        <v>30587</v>
      </c>
      <c r="D134" s="2">
        <v>41006</v>
      </c>
      <c r="E134" s="3">
        <v>45915</v>
      </c>
      <c r="F134" s="3">
        <v>46174</v>
      </c>
      <c r="G134" s="4">
        <v>535530</v>
      </c>
      <c r="H134" s="2">
        <v>0</v>
      </c>
      <c r="I134" s="2" t="s">
        <v>149</v>
      </c>
      <c r="J134" s="2" t="s">
        <v>54</v>
      </c>
    </row>
    <row r="135" spans="1:10" x14ac:dyDescent="0.3">
      <c r="A135" s="2" t="s">
        <v>143</v>
      </c>
      <c r="B135" s="2" t="s">
        <v>144</v>
      </c>
      <c r="C135" s="2">
        <v>30596</v>
      </c>
      <c r="D135" s="2">
        <v>41020</v>
      </c>
      <c r="E135" s="3">
        <v>45916</v>
      </c>
      <c r="F135" s="3">
        <v>46174</v>
      </c>
      <c r="G135" s="4">
        <v>110000</v>
      </c>
      <c r="H135" s="2">
        <v>0</v>
      </c>
      <c r="I135" s="2" t="s">
        <v>151</v>
      </c>
      <c r="J135" s="2" t="s">
        <v>146</v>
      </c>
    </row>
    <row r="136" spans="1:10" x14ac:dyDescent="0.3">
      <c r="A136" s="2" t="s">
        <v>55</v>
      </c>
      <c r="B136" s="2" t="s">
        <v>52</v>
      </c>
      <c r="C136" s="2">
        <v>30625</v>
      </c>
      <c r="D136" s="2">
        <v>41052</v>
      </c>
      <c r="E136" s="3">
        <v>45917</v>
      </c>
      <c r="F136" s="3">
        <v>46174</v>
      </c>
      <c r="G136" s="4">
        <v>446971</v>
      </c>
      <c r="H136" s="2">
        <v>0</v>
      </c>
      <c r="I136" s="2" t="s">
        <v>156</v>
      </c>
      <c r="J136" s="2" t="s">
        <v>54</v>
      </c>
    </row>
    <row r="137" spans="1:10" x14ac:dyDescent="0.3">
      <c r="A137" s="2" t="s">
        <v>79</v>
      </c>
      <c r="B137" s="2" t="s">
        <v>52</v>
      </c>
      <c r="C137" s="2">
        <v>30626</v>
      </c>
      <c r="D137" s="2">
        <v>41053</v>
      </c>
      <c r="E137" s="3">
        <v>45917</v>
      </c>
      <c r="F137" s="3">
        <v>46174</v>
      </c>
      <c r="G137" s="4">
        <v>142029</v>
      </c>
      <c r="H137" s="2">
        <v>0</v>
      </c>
      <c r="I137" s="2" t="s">
        <v>157</v>
      </c>
      <c r="J137" s="2" t="s">
        <v>54</v>
      </c>
    </row>
    <row r="138" spans="1:10" x14ac:dyDescent="0.3">
      <c r="A138" s="2" t="s">
        <v>79</v>
      </c>
      <c r="B138" s="2" t="s">
        <v>52</v>
      </c>
      <c r="C138" s="2">
        <v>30627</v>
      </c>
      <c r="D138" s="2">
        <v>41054</v>
      </c>
      <c r="E138" s="3">
        <v>45917</v>
      </c>
      <c r="F138" s="3">
        <v>46174</v>
      </c>
      <c r="G138" s="4">
        <v>267500</v>
      </c>
      <c r="H138" s="2">
        <v>0</v>
      </c>
      <c r="I138" s="2" t="s">
        <v>158</v>
      </c>
      <c r="J138" s="2" t="s">
        <v>54</v>
      </c>
    </row>
    <row r="139" spans="1:10" x14ac:dyDescent="0.3">
      <c r="A139" s="2" t="s">
        <v>163</v>
      </c>
      <c r="B139" s="2" t="s">
        <v>164</v>
      </c>
      <c r="C139" s="2">
        <v>30634</v>
      </c>
      <c r="D139" s="2">
        <v>41062</v>
      </c>
      <c r="E139" s="3">
        <v>45917</v>
      </c>
      <c r="F139" s="3">
        <v>46174</v>
      </c>
      <c r="G139" s="4">
        <v>122500</v>
      </c>
      <c r="H139" s="2">
        <v>0</v>
      </c>
      <c r="I139" s="2" t="s">
        <v>165</v>
      </c>
      <c r="J139" s="2" t="s">
        <v>50</v>
      </c>
    </row>
    <row r="140" spans="1:10" x14ac:dyDescent="0.3">
      <c r="A140" s="2" t="s">
        <v>172</v>
      </c>
      <c r="B140" s="2" t="s">
        <v>173</v>
      </c>
      <c r="C140" s="2">
        <v>30654</v>
      </c>
      <c r="D140" s="2">
        <v>41084</v>
      </c>
      <c r="E140" s="3">
        <v>45918</v>
      </c>
      <c r="F140" s="3">
        <v>46174</v>
      </c>
      <c r="G140" s="4">
        <v>72600</v>
      </c>
      <c r="H140" s="2">
        <v>0</v>
      </c>
      <c r="I140" s="2" t="s">
        <v>174</v>
      </c>
      <c r="J140" s="2" t="s">
        <v>66</v>
      </c>
    </row>
    <row r="141" spans="1:10" x14ac:dyDescent="0.3">
      <c r="A141" s="2" t="s">
        <v>172</v>
      </c>
      <c r="B141" s="2" t="s">
        <v>173</v>
      </c>
      <c r="C141" s="2">
        <v>30655</v>
      </c>
      <c r="D141" s="2">
        <v>41085</v>
      </c>
      <c r="E141" s="3">
        <v>45918</v>
      </c>
      <c r="F141" s="3">
        <v>46174</v>
      </c>
      <c r="G141" s="4">
        <v>76880</v>
      </c>
      <c r="H141" s="2">
        <v>0</v>
      </c>
      <c r="I141" s="2" t="s">
        <v>175</v>
      </c>
      <c r="J141" s="2" t="s">
        <v>66</v>
      </c>
    </row>
    <row r="142" spans="1:10" x14ac:dyDescent="0.3">
      <c r="A142" s="2" t="s">
        <v>176</v>
      </c>
      <c r="B142" s="2" t="s">
        <v>177</v>
      </c>
      <c r="C142" s="2">
        <v>30656</v>
      </c>
      <c r="D142" s="2">
        <v>41086</v>
      </c>
      <c r="E142" s="3">
        <v>45918</v>
      </c>
      <c r="F142" s="3">
        <v>46174</v>
      </c>
      <c r="G142" s="4">
        <v>72350</v>
      </c>
      <c r="H142" s="2">
        <v>0</v>
      </c>
      <c r="I142" s="2" t="s">
        <v>178</v>
      </c>
      <c r="J142" s="2" t="s">
        <v>66</v>
      </c>
    </row>
    <row r="143" spans="1:10" x14ac:dyDescent="0.3">
      <c r="A143" s="2" t="s">
        <v>186</v>
      </c>
      <c r="B143" s="2" t="s">
        <v>52</v>
      </c>
      <c r="C143" s="2">
        <v>30717</v>
      </c>
      <c r="D143" s="2">
        <v>41152</v>
      </c>
      <c r="E143" s="3">
        <v>45922</v>
      </c>
      <c r="F143" s="3">
        <v>46174</v>
      </c>
      <c r="G143" s="4">
        <v>469209</v>
      </c>
      <c r="H143" s="2">
        <v>0</v>
      </c>
      <c r="I143" s="2" t="s">
        <v>187</v>
      </c>
      <c r="J143" s="2" t="s">
        <v>54</v>
      </c>
    </row>
    <row r="144" spans="1:10" x14ac:dyDescent="0.3">
      <c r="A144" s="2" t="s">
        <v>188</v>
      </c>
      <c r="B144" s="2" t="s">
        <v>189</v>
      </c>
      <c r="C144" s="2">
        <v>30721</v>
      </c>
      <c r="D144" s="2">
        <v>41156</v>
      </c>
      <c r="E144" s="3">
        <v>45922</v>
      </c>
      <c r="F144" s="3">
        <v>46174</v>
      </c>
      <c r="G144" s="4">
        <v>46280</v>
      </c>
      <c r="H144" s="2">
        <v>0</v>
      </c>
      <c r="I144" s="2" t="s">
        <v>190</v>
      </c>
      <c r="J144" s="2" t="s">
        <v>66</v>
      </c>
    </row>
    <row r="145" spans="1:10" x14ac:dyDescent="0.3">
      <c r="A145" s="2" t="s">
        <v>172</v>
      </c>
      <c r="B145" s="2" t="s">
        <v>173</v>
      </c>
      <c r="C145" s="2">
        <v>30726</v>
      </c>
      <c r="D145" s="2">
        <v>41161</v>
      </c>
      <c r="E145" s="3">
        <v>45922</v>
      </c>
      <c r="F145" s="3">
        <v>46174</v>
      </c>
      <c r="G145" s="4">
        <v>59360</v>
      </c>
      <c r="H145" s="2">
        <v>0</v>
      </c>
      <c r="I145" s="2" t="s">
        <v>191</v>
      </c>
      <c r="J145" s="2" t="s">
        <v>66</v>
      </c>
    </row>
    <row r="146" spans="1:10" x14ac:dyDescent="0.3">
      <c r="A146" s="2" t="s">
        <v>172</v>
      </c>
      <c r="B146" s="2" t="s">
        <v>173</v>
      </c>
      <c r="C146" s="2">
        <v>30727</v>
      </c>
      <c r="D146" s="2">
        <v>41162</v>
      </c>
      <c r="E146" s="3">
        <v>45922</v>
      </c>
      <c r="F146" s="3">
        <v>46174</v>
      </c>
      <c r="G146" s="4">
        <v>141500</v>
      </c>
      <c r="H146" s="2">
        <v>0</v>
      </c>
      <c r="I146" s="2" t="s">
        <v>192</v>
      </c>
      <c r="J146" s="2" t="s">
        <v>66</v>
      </c>
    </row>
    <row r="147" spans="1:10" x14ac:dyDescent="0.3">
      <c r="A147" s="2" t="s">
        <v>193</v>
      </c>
      <c r="B147" s="2" t="s">
        <v>194</v>
      </c>
      <c r="C147" s="2">
        <v>30728</v>
      </c>
      <c r="D147" s="2">
        <v>41163</v>
      </c>
      <c r="E147" s="3">
        <v>45922</v>
      </c>
      <c r="F147" s="3">
        <v>46174</v>
      </c>
      <c r="G147" s="4">
        <v>50400</v>
      </c>
      <c r="H147" s="2">
        <v>0</v>
      </c>
      <c r="I147" s="2" t="s">
        <v>195</v>
      </c>
      <c r="J147" s="2" t="s">
        <v>66</v>
      </c>
    </row>
    <row r="148" spans="1:10" x14ac:dyDescent="0.3">
      <c r="A148" s="2" t="s">
        <v>196</v>
      </c>
      <c r="B148" s="2" t="s">
        <v>197</v>
      </c>
      <c r="C148" s="2">
        <v>30729</v>
      </c>
      <c r="D148" s="2">
        <v>41164</v>
      </c>
      <c r="E148" s="3">
        <v>45922</v>
      </c>
      <c r="F148" s="3">
        <v>46174</v>
      </c>
      <c r="G148" s="4">
        <v>62186.8</v>
      </c>
      <c r="H148" s="2">
        <v>0</v>
      </c>
      <c r="I148" s="2" t="s">
        <v>198</v>
      </c>
      <c r="J148" s="2" t="s">
        <v>66</v>
      </c>
    </row>
    <row r="149" spans="1:10" x14ac:dyDescent="0.3">
      <c r="A149" s="2" t="s">
        <v>199</v>
      </c>
      <c r="B149" s="2" t="s">
        <v>200</v>
      </c>
      <c r="C149" s="2">
        <v>30732</v>
      </c>
      <c r="D149" s="2">
        <v>41167</v>
      </c>
      <c r="E149" s="3">
        <v>45922</v>
      </c>
      <c r="F149" s="3">
        <v>46174</v>
      </c>
      <c r="G149" s="4">
        <v>149997</v>
      </c>
      <c r="H149" s="2">
        <v>0</v>
      </c>
      <c r="I149" s="2" t="s">
        <v>201</v>
      </c>
      <c r="J149" s="2" t="s">
        <v>66</v>
      </c>
    </row>
    <row r="150" spans="1:10" x14ac:dyDescent="0.3">
      <c r="A150" s="2" t="s">
        <v>199</v>
      </c>
      <c r="B150" s="2" t="s">
        <v>200</v>
      </c>
      <c r="C150" s="2">
        <v>30733</v>
      </c>
      <c r="D150" s="2">
        <v>41168</v>
      </c>
      <c r="E150" s="3">
        <v>45922</v>
      </c>
      <c r="F150" s="3">
        <v>46174</v>
      </c>
      <c r="G150" s="4">
        <v>100428</v>
      </c>
      <c r="H150" s="2">
        <v>0</v>
      </c>
      <c r="I150" s="2" t="s">
        <v>202</v>
      </c>
      <c r="J150" s="2" t="s">
        <v>66</v>
      </c>
    </row>
    <row r="151" spans="1:10" x14ac:dyDescent="0.3">
      <c r="A151" s="2" t="s">
        <v>203</v>
      </c>
      <c r="B151" s="2" t="s">
        <v>204</v>
      </c>
      <c r="C151" s="2">
        <v>30753</v>
      </c>
      <c r="D151" s="2">
        <v>41193</v>
      </c>
      <c r="E151" s="3">
        <v>45923</v>
      </c>
      <c r="F151" s="3">
        <v>46174</v>
      </c>
      <c r="G151" s="4">
        <v>253504</v>
      </c>
      <c r="H151" s="2">
        <v>0</v>
      </c>
      <c r="I151" s="2" t="s">
        <v>205</v>
      </c>
      <c r="J151" s="2" t="s">
        <v>26</v>
      </c>
    </row>
    <row r="152" spans="1:10" x14ac:dyDescent="0.3">
      <c r="A152" s="2" t="s">
        <v>206</v>
      </c>
      <c r="B152" s="2" t="s">
        <v>207</v>
      </c>
      <c r="C152" s="2">
        <v>30754</v>
      </c>
      <c r="D152" s="2">
        <v>41194</v>
      </c>
      <c r="E152" s="3">
        <v>45923</v>
      </c>
      <c r="F152" s="3">
        <v>46174</v>
      </c>
      <c r="G152" s="4">
        <v>60000</v>
      </c>
      <c r="H152" s="2">
        <v>0</v>
      </c>
      <c r="I152" s="2" t="s">
        <v>208</v>
      </c>
      <c r="J152" s="2" t="s">
        <v>26</v>
      </c>
    </row>
    <row r="153" spans="1:10" x14ac:dyDescent="0.3">
      <c r="A153" s="2" t="s">
        <v>209</v>
      </c>
      <c r="B153" s="2" t="s">
        <v>210</v>
      </c>
      <c r="C153" s="2">
        <v>30755</v>
      </c>
      <c r="D153" s="2">
        <v>41195</v>
      </c>
      <c r="E153" s="3">
        <v>45923</v>
      </c>
      <c r="F153" s="3">
        <v>46174</v>
      </c>
      <c r="G153" s="4">
        <v>28000</v>
      </c>
      <c r="H153" s="2">
        <v>0</v>
      </c>
      <c r="I153" s="2" t="s">
        <v>211</v>
      </c>
      <c r="J153" s="2" t="s">
        <v>26</v>
      </c>
    </row>
    <row r="154" spans="1:10" x14ac:dyDescent="0.3">
      <c r="A154" s="2" t="s">
        <v>213</v>
      </c>
      <c r="B154" s="2" t="s">
        <v>214</v>
      </c>
      <c r="C154" s="2">
        <v>30773</v>
      </c>
      <c r="D154" s="2">
        <v>41215</v>
      </c>
      <c r="E154" s="3">
        <v>45924</v>
      </c>
      <c r="F154" s="3">
        <v>46174</v>
      </c>
      <c r="G154" s="4">
        <v>126880</v>
      </c>
      <c r="H154" s="2">
        <v>0</v>
      </c>
      <c r="I154" s="2" t="s">
        <v>215</v>
      </c>
      <c r="J154" s="2" t="s">
        <v>66</v>
      </c>
    </row>
    <row r="155" spans="1:10" x14ac:dyDescent="0.3">
      <c r="A155" s="2" t="s">
        <v>134</v>
      </c>
      <c r="B155" s="2" t="s">
        <v>135</v>
      </c>
      <c r="C155" s="2">
        <v>30775</v>
      </c>
      <c r="D155" s="2">
        <v>41217</v>
      </c>
      <c r="E155" s="3">
        <v>45924</v>
      </c>
      <c r="F155" s="3">
        <v>46174</v>
      </c>
      <c r="G155" s="4">
        <v>126020</v>
      </c>
      <c r="H155" s="2">
        <v>0</v>
      </c>
      <c r="I155" s="2" t="s">
        <v>216</v>
      </c>
      <c r="J155" s="2" t="s">
        <v>66</v>
      </c>
    </row>
    <row r="156" spans="1:10" x14ac:dyDescent="0.3">
      <c r="A156" s="2" t="s">
        <v>134</v>
      </c>
      <c r="B156" s="2" t="s">
        <v>135</v>
      </c>
      <c r="C156" s="2">
        <v>30776</v>
      </c>
      <c r="D156" s="2">
        <v>41219</v>
      </c>
      <c r="E156" s="3">
        <v>45924</v>
      </c>
      <c r="F156" s="3">
        <v>46174</v>
      </c>
      <c r="G156" s="4">
        <v>144780</v>
      </c>
      <c r="H156" s="2">
        <v>0</v>
      </c>
      <c r="I156" s="2" t="s">
        <v>217</v>
      </c>
      <c r="J156" s="2" t="s">
        <v>66</v>
      </c>
    </row>
    <row r="157" spans="1:10" x14ac:dyDescent="0.3">
      <c r="A157" s="2" t="s">
        <v>222</v>
      </c>
      <c r="B157" s="2" t="s">
        <v>223</v>
      </c>
      <c r="C157" s="2">
        <v>30794</v>
      </c>
      <c r="D157" s="2">
        <v>41248</v>
      </c>
      <c r="E157" s="3">
        <v>45929</v>
      </c>
      <c r="F157" s="3">
        <v>46174</v>
      </c>
      <c r="G157" s="4">
        <v>264500</v>
      </c>
      <c r="H157" s="2">
        <v>0</v>
      </c>
      <c r="I157" s="2" t="s">
        <v>224</v>
      </c>
      <c r="J157" s="2" t="s">
        <v>26</v>
      </c>
    </row>
    <row r="158" spans="1:10" x14ac:dyDescent="0.3">
      <c r="A158" s="2" t="s">
        <v>203</v>
      </c>
      <c r="B158" s="2" t="s">
        <v>204</v>
      </c>
      <c r="C158" s="2">
        <v>30851</v>
      </c>
      <c r="D158" s="2">
        <v>41311</v>
      </c>
      <c r="E158" s="3">
        <v>45930</v>
      </c>
      <c r="F158" s="3">
        <v>46174</v>
      </c>
      <c r="G158" s="4">
        <v>70720</v>
      </c>
      <c r="H158" s="2">
        <v>0</v>
      </c>
      <c r="I158" s="2" t="s">
        <v>226</v>
      </c>
      <c r="J158" s="2" t="s">
        <v>26</v>
      </c>
    </row>
    <row r="159" spans="1:10" x14ac:dyDescent="0.3">
      <c r="A159" s="2" t="s">
        <v>203</v>
      </c>
      <c r="B159" s="2" t="s">
        <v>204</v>
      </c>
      <c r="C159" s="2">
        <v>30852</v>
      </c>
      <c r="D159" s="2">
        <v>41312</v>
      </c>
      <c r="E159" s="3">
        <v>45930</v>
      </c>
      <c r="F159" s="3">
        <v>46174</v>
      </c>
      <c r="G159" s="4">
        <v>17680</v>
      </c>
      <c r="H159" s="2">
        <v>0</v>
      </c>
      <c r="I159" s="2" t="s">
        <v>227</v>
      </c>
      <c r="J159" s="2" t="s">
        <v>26</v>
      </c>
    </row>
    <row r="160" spans="1:10" x14ac:dyDescent="0.3">
      <c r="A160" s="2" t="s">
        <v>84</v>
      </c>
      <c r="B160" s="2" t="s">
        <v>85</v>
      </c>
      <c r="C160" s="2">
        <v>30874</v>
      </c>
      <c r="D160" s="2">
        <v>41341</v>
      </c>
      <c r="E160" s="3">
        <v>45932</v>
      </c>
      <c r="F160" s="3">
        <v>46174</v>
      </c>
      <c r="G160" s="4">
        <v>77750</v>
      </c>
      <c r="H160" s="2">
        <v>0</v>
      </c>
      <c r="I160" s="2" t="s">
        <v>233</v>
      </c>
      <c r="J160" s="2" t="s">
        <v>66</v>
      </c>
    </row>
    <row r="161" spans="1:10" x14ac:dyDescent="0.3">
      <c r="A161" s="2" t="s">
        <v>239</v>
      </c>
      <c r="B161" s="2" t="s">
        <v>240</v>
      </c>
      <c r="C161" s="2">
        <v>30884</v>
      </c>
      <c r="D161" s="2">
        <v>41353</v>
      </c>
      <c r="E161" s="3">
        <v>45932</v>
      </c>
      <c r="F161" s="3">
        <v>46174</v>
      </c>
      <c r="G161" s="4">
        <v>134400</v>
      </c>
      <c r="H161" s="2">
        <v>0</v>
      </c>
      <c r="I161" s="2" t="s">
        <v>241</v>
      </c>
      <c r="J161" s="2" t="s">
        <v>238</v>
      </c>
    </row>
    <row r="162" spans="1:10" x14ac:dyDescent="0.3">
      <c r="A162" s="2" t="s">
        <v>239</v>
      </c>
      <c r="B162" s="2" t="s">
        <v>240</v>
      </c>
      <c r="C162" s="2">
        <v>30888</v>
      </c>
      <c r="D162" s="2">
        <v>41358</v>
      </c>
      <c r="E162" s="3">
        <v>45933</v>
      </c>
      <c r="F162" s="3">
        <v>46174</v>
      </c>
      <c r="G162" s="4">
        <v>25200</v>
      </c>
      <c r="H162" s="2">
        <v>0</v>
      </c>
      <c r="I162" s="2" t="s">
        <v>243</v>
      </c>
      <c r="J162" s="2" t="s">
        <v>238</v>
      </c>
    </row>
    <row r="163" spans="1:10" x14ac:dyDescent="0.3">
      <c r="A163" s="2" t="s">
        <v>188</v>
      </c>
      <c r="B163" s="2" t="s">
        <v>189</v>
      </c>
      <c r="C163" s="2">
        <v>30904</v>
      </c>
      <c r="D163" s="2">
        <v>41387</v>
      </c>
      <c r="E163" s="3">
        <v>45937</v>
      </c>
      <c r="F163" s="3">
        <v>46174</v>
      </c>
      <c r="G163" s="4">
        <v>32482.400000000001</v>
      </c>
      <c r="H163" s="2">
        <v>0</v>
      </c>
      <c r="I163" s="2" t="s">
        <v>249</v>
      </c>
      <c r="J163" s="2" t="s">
        <v>66</v>
      </c>
    </row>
    <row r="164" spans="1:10" x14ac:dyDescent="0.3">
      <c r="A164" s="2" t="s">
        <v>213</v>
      </c>
      <c r="B164" s="2" t="s">
        <v>214</v>
      </c>
      <c r="C164" s="2">
        <v>30913</v>
      </c>
      <c r="D164" s="2">
        <v>41397</v>
      </c>
      <c r="E164" s="3">
        <v>45938</v>
      </c>
      <c r="F164" s="3">
        <v>46174</v>
      </c>
      <c r="G164" s="4">
        <v>180966.39999999999</v>
      </c>
      <c r="H164" s="2">
        <v>0</v>
      </c>
      <c r="I164" s="2" t="s">
        <v>254</v>
      </c>
      <c r="J164" s="2" t="s">
        <v>66</v>
      </c>
    </row>
    <row r="165" spans="1:10" x14ac:dyDescent="0.3">
      <c r="A165" s="2" t="s">
        <v>213</v>
      </c>
      <c r="B165" s="2" t="s">
        <v>214</v>
      </c>
      <c r="C165" s="2">
        <v>30914</v>
      </c>
      <c r="D165" s="2">
        <v>41398</v>
      </c>
      <c r="E165" s="3">
        <v>45938</v>
      </c>
      <c r="F165" s="3">
        <v>46174</v>
      </c>
      <c r="G165" s="4">
        <v>55620</v>
      </c>
      <c r="H165" s="2">
        <v>0</v>
      </c>
      <c r="I165" s="2" t="s">
        <v>255</v>
      </c>
      <c r="J165" s="2" t="s">
        <v>66</v>
      </c>
    </row>
    <row r="166" spans="1:10" x14ac:dyDescent="0.3">
      <c r="A166" s="2" t="s">
        <v>219</v>
      </c>
      <c r="B166" s="2" t="s">
        <v>220</v>
      </c>
      <c r="C166" s="2">
        <v>30925</v>
      </c>
      <c r="D166" s="2">
        <v>41412</v>
      </c>
      <c r="E166" s="3">
        <v>45939</v>
      </c>
      <c r="F166" s="3">
        <v>46174</v>
      </c>
      <c r="G166" s="4">
        <v>20340</v>
      </c>
      <c r="H166" s="2">
        <v>0</v>
      </c>
      <c r="I166" s="2" t="s">
        <v>256</v>
      </c>
      <c r="J166" s="2" t="s">
        <v>66</v>
      </c>
    </row>
    <row r="167" spans="1:10" x14ac:dyDescent="0.3">
      <c r="A167" s="2" t="s">
        <v>239</v>
      </c>
      <c r="B167" s="2" t="s">
        <v>240</v>
      </c>
      <c r="C167" s="2">
        <v>30971</v>
      </c>
      <c r="D167" s="2">
        <v>41470</v>
      </c>
      <c r="E167" s="3">
        <v>45944</v>
      </c>
      <c r="F167" s="3">
        <v>46174</v>
      </c>
      <c r="G167" s="4">
        <v>5250</v>
      </c>
      <c r="H167" s="2">
        <v>0</v>
      </c>
      <c r="I167" s="2" t="s">
        <v>266</v>
      </c>
      <c r="J167" s="2" t="s">
        <v>238</v>
      </c>
    </row>
    <row r="168" spans="1:10" x14ac:dyDescent="0.3">
      <c r="A168" s="2" t="s">
        <v>209</v>
      </c>
      <c r="B168" s="2" t="s">
        <v>210</v>
      </c>
      <c r="C168" s="2">
        <v>31015</v>
      </c>
      <c r="D168" s="2">
        <v>41518</v>
      </c>
      <c r="E168" s="3">
        <v>45947</v>
      </c>
      <c r="F168" s="3">
        <v>46174</v>
      </c>
      <c r="G168" s="4">
        <v>153000</v>
      </c>
      <c r="H168" s="2">
        <v>0</v>
      </c>
      <c r="I168" s="2" t="s">
        <v>270</v>
      </c>
      <c r="J168" s="2" t="s">
        <v>26</v>
      </c>
    </row>
    <row r="169" spans="1:10" x14ac:dyDescent="0.3">
      <c r="A169" s="2" t="s">
        <v>79</v>
      </c>
      <c r="B169" s="2" t="s">
        <v>52</v>
      </c>
      <c r="C169" s="2">
        <v>31047</v>
      </c>
      <c r="D169" s="2">
        <v>41554</v>
      </c>
      <c r="E169" s="3">
        <v>45951</v>
      </c>
      <c r="F169" s="3">
        <v>46174</v>
      </c>
      <c r="G169" s="4">
        <v>383320</v>
      </c>
      <c r="H169" s="2">
        <v>0</v>
      </c>
      <c r="I169" s="2" t="s">
        <v>275</v>
      </c>
      <c r="J169" s="2" t="s">
        <v>54</v>
      </c>
    </row>
    <row r="170" spans="1:10" x14ac:dyDescent="0.3">
      <c r="A170" s="2" t="s">
        <v>79</v>
      </c>
      <c r="B170" s="2" t="s">
        <v>52</v>
      </c>
      <c r="C170" s="2">
        <v>31048</v>
      </c>
      <c r="D170" s="2">
        <v>41555</v>
      </c>
      <c r="E170" s="3">
        <v>45951</v>
      </c>
      <c r="F170" s="3">
        <v>46174</v>
      </c>
      <c r="G170" s="4">
        <v>156375</v>
      </c>
      <c r="H170" s="2">
        <v>0</v>
      </c>
      <c r="I170" s="2" t="s">
        <v>276</v>
      </c>
      <c r="J170" s="2" t="s">
        <v>54</v>
      </c>
    </row>
    <row r="171" spans="1:10" x14ac:dyDescent="0.3">
      <c r="A171" s="2" t="s">
        <v>186</v>
      </c>
      <c r="B171" s="2" t="s">
        <v>52</v>
      </c>
      <c r="C171" s="2">
        <v>31050</v>
      </c>
      <c r="D171" s="2">
        <v>41557</v>
      </c>
      <c r="E171" s="3">
        <v>45951</v>
      </c>
      <c r="F171" s="3">
        <v>46174</v>
      </c>
      <c r="G171" s="4">
        <v>171761</v>
      </c>
      <c r="H171" s="2">
        <v>0</v>
      </c>
      <c r="I171" s="2" t="s">
        <v>277</v>
      </c>
      <c r="J171" s="2" t="s">
        <v>54</v>
      </c>
    </row>
    <row r="172" spans="1:10" x14ac:dyDescent="0.3">
      <c r="A172" s="2" t="s">
        <v>106</v>
      </c>
      <c r="B172" s="2" t="s">
        <v>90</v>
      </c>
      <c r="C172" s="2">
        <v>31065</v>
      </c>
      <c r="D172" s="2">
        <v>41576</v>
      </c>
      <c r="E172" s="3">
        <v>45951</v>
      </c>
      <c r="F172" s="3">
        <v>46174</v>
      </c>
      <c r="G172" s="4">
        <v>14500</v>
      </c>
      <c r="H172" s="2">
        <v>0</v>
      </c>
      <c r="I172" s="2" t="s">
        <v>280</v>
      </c>
      <c r="J172" s="2" t="s">
        <v>97</v>
      </c>
    </row>
    <row r="173" spans="1:10" x14ac:dyDescent="0.3">
      <c r="A173" s="2" t="s">
        <v>112</v>
      </c>
      <c r="B173" s="2" t="s">
        <v>90</v>
      </c>
      <c r="C173" s="2">
        <v>31066</v>
      </c>
      <c r="D173" s="2">
        <v>41577</v>
      </c>
      <c r="E173" s="3">
        <v>45951</v>
      </c>
      <c r="F173" s="3">
        <v>46174</v>
      </c>
      <c r="G173" s="4">
        <v>101500</v>
      </c>
      <c r="H173" s="2">
        <v>0</v>
      </c>
      <c r="I173" s="2" t="s">
        <v>281</v>
      </c>
      <c r="J173" s="2" t="s">
        <v>97</v>
      </c>
    </row>
    <row r="174" spans="1:10" x14ac:dyDescent="0.3">
      <c r="A174" s="2" t="s">
        <v>79</v>
      </c>
      <c r="B174" s="2" t="s">
        <v>52</v>
      </c>
      <c r="C174" s="2">
        <v>31074</v>
      </c>
      <c r="D174" s="2">
        <v>41586</v>
      </c>
      <c r="E174" s="3">
        <v>45952</v>
      </c>
      <c r="F174" s="3">
        <v>46174</v>
      </c>
      <c r="G174" s="4">
        <v>103680</v>
      </c>
      <c r="H174" s="2">
        <v>0</v>
      </c>
      <c r="I174" s="2" t="s">
        <v>282</v>
      </c>
      <c r="J174" s="2" t="s">
        <v>54</v>
      </c>
    </row>
    <row r="175" spans="1:10" x14ac:dyDescent="0.3">
      <c r="A175" s="2" t="s">
        <v>55</v>
      </c>
      <c r="B175" s="2" t="s">
        <v>52</v>
      </c>
      <c r="C175" s="2">
        <v>31075</v>
      </c>
      <c r="D175" s="2">
        <v>41587</v>
      </c>
      <c r="E175" s="3">
        <v>45952</v>
      </c>
      <c r="F175" s="3">
        <v>46174</v>
      </c>
      <c r="G175" s="4">
        <v>40500</v>
      </c>
      <c r="H175" s="2">
        <v>0</v>
      </c>
      <c r="I175" s="2" t="s">
        <v>283</v>
      </c>
      <c r="J175" s="2" t="s">
        <v>54</v>
      </c>
    </row>
    <row r="176" spans="1:10" x14ac:dyDescent="0.3">
      <c r="A176" s="2" t="s">
        <v>286</v>
      </c>
      <c r="B176" s="2" t="s">
        <v>90</v>
      </c>
      <c r="C176" s="2">
        <v>31100</v>
      </c>
      <c r="D176" s="2">
        <v>41617</v>
      </c>
      <c r="E176" s="3">
        <v>45954</v>
      </c>
      <c r="F176" s="3">
        <v>46174</v>
      </c>
      <c r="G176" s="4">
        <v>14500</v>
      </c>
      <c r="H176" s="2">
        <v>0</v>
      </c>
      <c r="I176" s="2" t="s">
        <v>287</v>
      </c>
      <c r="J176" s="2" t="s">
        <v>97</v>
      </c>
    </row>
    <row r="177" spans="1:10" x14ac:dyDescent="0.3">
      <c r="A177" s="2" t="s">
        <v>102</v>
      </c>
      <c r="B177" s="2" t="s">
        <v>90</v>
      </c>
      <c r="C177" s="2">
        <v>31101</v>
      </c>
      <c r="D177" s="2">
        <v>41618</v>
      </c>
      <c r="E177" s="3">
        <v>45954</v>
      </c>
      <c r="F177" s="3">
        <v>46174</v>
      </c>
      <c r="G177" s="4">
        <v>43500</v>
      </c>
      <c r="H177" s="2">
        <v>0</v>
      </c>
      <c r="I177" s="2" t="s">
        <v>288</v>
      </c>
      <c r="J177" s="2" t="s">
        <v>97</v>
      </c>
    </row>
    <row r="178" spans="1:10" x14ac:dyDescent="0.3">
      <c r="A178" s="2" t="s">
        <v>100</v>
      </c>
      <c r="B178" s="2" t="s">
        <v>90</v>
      </c>
      <c r="C178" s="2">
        <v>31102</v>
      </c>
      <c r="D178" s="2">
        <v>41619</v>
      </c>
      <c r="E178" s="3">
        <v>45954</v>
      </c>
      <c r="F178" s="3">
        <v>46174</v>
      </c>
      <c r="G178" s="4">
        <v>14500</v>
      </c>
      <c r="H178" s="2">
        <v>0</v>
      </c>
      <c r="I178" s="2" t="s">
        <v>289</v>
      </c>
      <c r="J178" s="2" t="s">
        <v>97</v>
      </c>
    </row>
    <row r="179" spans="1:10" x14ac:dyDescent="0.3">
      <c r="A179" s="2" t="s">
        <v>89</v>
      </c>
      <c r="B179" s="2" t="s">
        <v>90</v>
      </c>
      <c r="C179" s="2">
        <v>31103</v>
      </c>
      <c r="D179" s="2">
        <v>41620</v>
      </c>
      <c r="E179" s="3">
        <v>45954</v>
      </c>
      <c r="F179" s="3">
        <v>46174</v>
      </c>
      <c r="G179" s="4">
        <v>58000</v>
      </c>
      <c r="H179" s="2">
        <v>0</v>
      </c>
      <c r="I179" s="2" t="s">
        <v>290</v>
      </c>
      <c r="J179" s="2" t="s">
        <v>92</v>
      </c>
    </row>
    <row r="180" spans="1:10" x14ac:dyDescent="0.3">
      <c r="A180" s="2" t="s">
        <v>98</v>
      </c>
      <c r="B180" s="2" t="s">
        <v>90</v>
      </c>
      <c r="C180" s="2">
        <v>31104</v>
      </c>
      <c r="D180" s="2">
        <v>41621</v>
      </c>
      <c r="E180" s="3">
        <v>45954</v>
      </c>
      <c r="F180" s="3">
        <v>46174</v>
      </c>
      <c r="G180" s="4">
        <v>72500</v>
      </c>
      <c r="H180" s="2">
        <v>0</v>
      </c>
      <c r="I180" s="2" t="s">
        <v>291</v>
      </c>
      <c r="J180" s="2" t="s">
        <v>92</v>
      </c>
    </row>
    <row r="181" spans="1:10" x14ac:dyDescent="0.3">
      <c r="A181" s="2" t="s">
        <v>68</v>
      </c>
      <c r="B181" s="2" t="s">
        <v>69</v>
      </c>
      <c r="C181" s="2">
        <v>31165</v>
      </c>
      <c r="D181" s="2">
        <v>41686</v>
      </c>
      <c r="E181" s="3">
        <v>45960</v>
      </c>
      <c r="F181" s="3">
        <v>46174</v>
      </c>
      <c r="G181" s="4">
        <v>80212.5</v>
      </c>
      <c r="H181" s="2">
        <v>0</v>
      </c>
      <c r="I181" s="2" t="s">
        <v>293</v>
      </c>
      <c r="J181" s="2" t="s">
        <v>50</v>
      </c>
    </row>
    <row r="182" spans="1:10" x14ac:dyDescent="0.3">
      <c r="A182" s="2" t="s">
        <v>219</v>
      </c>
      <c r="B182" s="2" t="s">
        <v>220</v>
      </c>
      <c r="C182" s="2">
        <v>31167</v>
      </c>
      <c r="D182" s="2">
        <v>41688</v>
      </c>
      <c r="E182" s="3">
        <v>45960</v>
      </c>
      <c r="F182" s="3">
        <v>46174</v>
      </c>
      <c r="G182" s="4">
        <v>42273</v>
      </c>
      <c r="H182" s="2">
        <v>0</v>
      </c>
      <c r="I182" s="2" t="s">
        <v>294</v>
      </c>
      <c r="J182" s="2" t="s">
        <v>66</v>
      </c>
    </row>
    <row r="183" spans="1:10" x14ac:dyDescent="0.3">
      <c r="A183" s="2" t="s">
        <v>302</v>
      </c>
      <c r="B183" s="2" t="s">
        <v>303</v>
      </c>
      <c r="C183" s="2">
        <v>31195</v>
      </c>
      <c r="D183" s="2">
        <v>41713</v>
      </c>
      <c r="E183" s="3">
        <v>45961</v>
      </c>
      <c r="F183" s="3">
        <v>46174</v>
      </c>
      <c r="G183" s="4">
        <v>56400</v>
      </c>
      <c r="H183" s="2">
        <v>0</v>
      </c>
      <c r="I183" s="2" t="s">
        <v>305</v>
      </c>
      <c r="J183" s="2" t="s">
        <v>26</v>
      </c>
    </row>
    <row r="184" spans="1:10" x14ac:dyDescent="0.3">
      <c r="A184" s="2" t="s">
        <v>219</v>
      </c>
      <c r="B184" s="2" t="s">
        <v>220</v>
      </c>
      <c r="C184" s="2">
        <v>31343</v>
      </c>
      <c r="D184" s="2">
        <v>41886</v>
      </c>
      <c r="E184" s="3">
        <v>45974</v>
      </c>
      <c r="F184" s="3">
        <v>46174</v>
      </c>
      <c r="G184" s="4">
        <v>15500</v>
      </c>
      <c r="H184" s="2">
        <v>0</v>
      </c>
      <c r="I184" s="2" t="s">
        <v>326</v>
      </c>
      <c r="J184" s="2" t="s">
        <v>66</v>
      </c>
    </row>
    <row r="185" spans="1:10" x14ac:dyDescent="0.3">
      <c r="A185" s="2" t="s">
        <v>193</v>
      </c>
      <c r="B185" s="2" t="s">
        <v>194</v>
      </c>
      <c r="C185" s="2">
        <v>31347</v>
      </c>
      <c r="D185" s="2">
        <v>41890</v>
      </c>
      <c r="E185" s="3">
        <v>45974</v>
      </c>
      <c r="F185" s="3">
        <v>46174</v>
      </c>
      <c r="G185" s="4">
        <v>45970</v>
      </c>
      <c r="H185" s="2">
        <v>0</v>
      </c>
      <c r="I185" s="2" t="s">
        <v>328</v>
      </c>
      <c r="J185" s="2" t="s">
        <v>66</v>
      </c>
    </row>
    <row r="186" spans="1:10" x14ac:dyDescent="0.3">
      <c r="A186" s="2" t="s">
        <v>68</v>
      </c>
      <c r="B186" s="2" t="s">
        <v>69</v>
      </c>
      <c r="C186" s="2">
        <v>31777</v>
      </c>
      <c r="D186" s="2">
        <v>42346</v>
      </c>
      <c r="E186" s="3">
        <v>46009</v>
      </c>
      <c r="F186" s="3">
        <v>46174</v>
      </c>
      <c r="G186" s="4">
        <v>89116.800000000003</v>
      </c>
      <c r="H186" s="2">
        <v>0</v>
      </c>
      <c r="I186" s="2" t="s">
        <v>457</v>
      </c>
      <c r="J186" s="2" t="s">
        <v>50</v>
      </c>
    </row>
    <row r="187" spans="1:10" x14ac:dyDescent="0.3">
      <c r="A187" s="2" t="s">
        <v>84</v>
      </c>
      <c r="B187" s="2" t="s">
        <v>85</v>
      </c>
      <c r="C187" s="2">
        <v>31820</v>
      </c>
      <c r="D187" s="2">
        <v>42396</v>
      </c>
      <c r="E187" s="3">
        <v>46013</v>
      </c>
      <c r="F187" s="3">
        <v>46174</v>
      </c>
      <c r="G187" s="4">
        <v>8163.75</v>
      </c>
      <c r="H187" s="2">
        <v>0</v>
      </c>
      <c r="I187" s="2" t="s">
        <v>472</v>
      </c>
      <c r="J187" s="2" t="s">
        <v>66</v>
      </c>
    </row>
    <row r="188" spans="1:10" x14ac:dyDescent="0.3">
      <c r="A188" s="2" t="s">
        <v>84</v>
      </c>
      <c r="B188" s="2" t="s">
        <v>85</v>
      </c>
      <c r="C188" s="2">
        <v>31957</v>
      </c>
      <c r="D188" s="2">
        <v>42570</v>
      </c>
      <c r="E188" s="3">
        <v>46038</v>
      </c>
      <c r="F188" s="3">
        <v>46174</v>
      </c>
      <c r="G188" s="4">
        <v>50926.25</v>
      </c>
      <c r="H188" s="2">
        <v>0</v>
      </c>
      <c r="I188" s="2" t="s">
        <v>513</v>
      </c>
      <c r="J188" s="2" t="s">
        <v>66</v>
      </c>
    </row>
    <row r="189" spans="1:10" x14ac:dyDescent="0.3">
      <c r="A189" s="2" t="s">
        <v>391</v>
      </c>
      <c r="B189" s="2" t="s">
        <v>392</v>
      </c>
      <c r="C189" s="2">
        <v>32188</v>
      </c>
      <c r="D189" s="2">
        <v>42813</v>
      </c>
      <c r="E189" s="3">
        <v>46055</v>
      </c>
      <c r="F189" s="3">
        <v>46174</v>
      </c>
      <c r="G189" s="4">
        <v>110000</v>
      </c>
      <c r="H189" s="2">
        <v>0</v>
      </c>
      <c r="I189" s="2" t="s">
        <v>499</v>
      </c>
      <c r="J189" s="2" t="s">
        <v>394</v>
      </c>
    </row>
    <row r="190" spans="1:10" x14ac:dyDescent="0.3">
      <c r="A190" s="2" t="s">
        <v>662</v>
      </c>
      <c r="B190" s="2" t="s">
        <v>44</v>
      </c>
      <c r="C190" s="2">
        <v>32294</v>
      </c>
      <c r="D190" s="2">
        <v>42929</v>
      </c>
      <c r="E190" s="3">
        <v>46066</v>
      </c>
      <c r="F190" s="3">
        <v>46174</v>
      </c>
      <c r="G190" s="4">
        <v>137474.23999999999</v>
      </c>
      <c r="H190" s="2">
        <v>0</v>
      </c>
      <c r="I190" s="2" t="s">
        <v>664</v>
      </c>
      <c r="J190" s="2" t="s">
        <v>46</v>
      </c>
    </row>
    <row r="191" spans="1:10" x14ac:dyDescent="0.3">
      <c r="A191" s="2" t="s">
        <v>662</v>
      </c>
      <c r="B191" s="2" t="s">
        <v>44</v>
      </c>
      <c r="C191" s="2">
        <v>32341</v>
      </c>
      <c r="D191" s="2">
        <v>42978</v>
      </c>
      <c r="E191" s="3">
        <v>46072</v>
      </c>
      <c r="F191" s="3">
        <v>46174</v>
      </c>
      <c r="G191" s="4">
        <v>96603</v>
      </c>
      <c r="H191" s="2">
        <v>0</v>
      </c>
      <c r="I191" s="2" t="s">
        <v>690</v>
      </c>
      <c r="J191" s="2" t="s">
        <v>46</v>
      </c>
    </row>
    <row r="192" spans="1:10" x14ac:dyDescent="0.3">
      <c r="A192" s="2" t="s">
        <v>748</v>
      </c>
      <c r="B192" s="2" t="s">
        <v>749</v>
      </c>
      <c r="C192" s="2">
        <v>32477</v>
      </c>
      <c r="D192" s="2">
        <v>43144</v>
      </c>
      <c r="E192" s="3">
        <v>46083</v>
      </c>
      <c r="F192" s="3">
        <v>46174</v>
      </c>
      <c r="G192" s="4">
        <v>11643.36</v>
      </c>
      <c r="H192" s="2">
        <v>0</v>
      </c>
      <c r="I192" s="2" t="s">
        <v>750</v>
      </c>
      <c r="J192" s="2" t="s">
        <v>339</v>
      </c>
    </row>
    <row r="193" spans="1:10" x14ac:dyDescent="0.3">
      <c r="A193" s="2" t="s">
        <v>753</v>
      </c>
      <c r="B193" s="2" t="s">
        <v>754</v>
      </c>
      <c r="C193" s="2">
        <v>32481</v>
      </c>
      <c r="D193" s="2">
        <v>43149</v>
      </c>
      <c r="E193" s="3">
        <v>46083</v>
      </c>
      <c r="F193" s="3">
        <v>46174</v>
      </c>
      <c r="G193" s="4">
        <v>4756.0200000000004</v>
      </c>
      <c r="H193" s="2">
        <v>0</v>
      </c>
      <c r="I193" s="2" t="s">
        <v>755</v>
      </c>
      <c r="J193" s="2" t="s">
        <v>756</v>
      </c>
    </row>
    <row r="194" spans="1:10" x14ac:dyDescent="0.3">
      <c r="A194" s="2" t="s">
        <v>653</v>
      </c>
      <c r="B194" s="2" t="s">
        <v>654</v>
      </c>
      <c r="C194" s="2">
        <v>32485</v>
      </c>
      <c r="D194" s="2">
        <v>43152</v>
      </c>
      <c r="E194" s="3">
        <v>46084</v>
      </c>
      <c r="F194" s="3">
        <v>46174</v>
      </c>
      <c r="G194" s="4">
        <v>133206</v>
      </c>
      <c r="H194" s="2">
        <v>0</v>
      </c>
      <c r="I194" s="2" t="s">
        <v>655</v>
      </c>
      <c r="J194" s="2" t="s">
        <v>412</v>
      </c>
    </row>
    <row r="195" spans="1:10" x14ac:dyDescent="0.3">
      <c r="A195" s="2" t="s">
        <v>514</v>
      </c>
      <c r="B195" s="2" t="s">
        <v>515</v>
      </c>
      <c r="C195" s="2">
        <v>32500</v>
      </c>
      <c r="D195" s="2">
        <v>43166</v>
      </c>
      <c r="E195" s="3">
        <v>46084</v>
      </c>
      <c r="F195" s="3">
        <v>46174</v>
      </c>
      <c r="G195" s="4">
        <v>4902.82</v>
      </c>
      <c r="H195" s="2">
        <v>0</v>
      </c>
      <c r="I195" s="2" t="s">
        <v>516</v>
      </c>
      <c r="J195" s="2" t="s">
        <v>238</v>
      </c>
    </row>
    <row r="196" spans="1:10" x14ac:dyDescent="0.3">
      <c r="A196" s="2" t="s">
        <v>302</v>
      </c>
      <c r="B196" s="2" t="s">
        <v>303</v>
      </c>
      <c r="C196" s="2">
        <v>32697</v>
      </c>
      <c r="D196" s="2">
        <v>43351</v>
      </c>
      <c r="E196" s="3">
        <v>46101</v>
      </c>
      <c r="F196" s="3">
        <v>46174</v>
      </c>
      <c r="G196" s="4">
        <v>10500</v>
      </c>
      <c r="H196" s="2">
        <v>0</v>
      </c>
      <c r="I196" s="2" t="s">
        <v>854</v>
      </c>
      <c r="J196" s="2" t="s">
        <v>26</v>
      </c>
    </row>
    <row r="197" spans="1:10" x14ac:dyDescent="0.3">
      <c r="A197" s="2" t="s">
        <v>910</v>
      </c>
      <c r="B197" s="2" t="s">
        <v>911</v>
      </c>
      <c r="C197" s="2">
        <v>32786</v>
      </c>
      <c r="D197" s="2">
        <v>43442</v>
      </c>
      <c r="E197" s="3">
        <v>46111</v>
      </c>
      <c r="F197" s="3">
        <v>46174</v>
      </c>
      <c r="G197" s="4">
        <v>31372</v>
      </c>
      <c r="H197" s="2">
        <v>0</v>
      </c>
      <c r="I197" s="2" t="s">
        <v>912</v>
      </c>
      <c r="J197" s="2" t="s">
        <v>238</v>
      </c>
    </row>
    <row r="198" spans="1:10" x14ac:dyDescent="0.3">
      <c r="A198" s="2" t="s">
        <v>932</v>
      </c>
      <c r="B198" s="2" t="s">
        <v>911</v>
      </c>
      <c r="C198" s="2">
        <v>32816</v>
      </c>
      <c r="D198" s="2">
        <v>43473</v>
      </c>
      <c r="E198" s="3">
        <v>46112</v>
      </c>
      <c r="F198" s="3">
        <v>46174</v>
      </c>
      <c r="G198" s="4">
        <v>20240</v>
      </c>
      <c r="H198" s="2">
        <v>0</v>
      </c>
      <c r="I198" s="2" t="s">
        <v>933</v>
      </c>
      <c r="J198" s="2" t="s">
        <v>238</v>
      </c>
    </row>
    <row r="199" spans="1:10" x14ac:dyDescent="0.3">
      <c r="A199" s="2" t="s">
        <v>934</v>
      </c>
      <c r="B199" s="2" t="s">
        <v>911</v>
      </c>
      <c r="C199" s="2">
        <v>32818</v>
      </c>
      <c r="D199" s="2">
        <v>43475</v>
      </c>
      <c r="E199" s="3">
        <v>46112</v>
      </c>
      <c r="F199" s="3">
        <v>46174</v>
      </c>
      <c r="G199" s="4">
        <v>20240</v>
      </c>
      <c r="H199" s="2">
        <v>0</v>
      </c>
      <c r="I199" s="2" t="s">
        <v>935</v>
      </c>
      <c r="J199" s="2" t="s">
        <v>238</v>
      </c>
    </row>
    <row r="200" spans="1:10" x14ac:dyDescent="0.3">
      <c r="A200" s="2" t="s">
        <v>409</v>
      </c>
      <c r="B200" s="2" t="s">
        <v>410</v>
      </c>
      <c r="C200" s="2">
        <v>32822</v>
      </c>
      <c r="D200" s="2">
        <v>43479</v>
      </c>
      <c r="E200" s="3">
        <v>46112</v>
      </c>
      <c r="F200" s="3">
        <v>46174</v>
      </c>
      <c r="G200" s="4">
        <v>50613.7</v>
      </c>
      <c r="H200" s="2">
        <v>0</v>
      </c>
      <c r="I200" s="2" t="s">
        <v>938</v>
      </c>
      <c r="J200" s="2" t="s">
        <v>412</v>
      </c>
    </row>
    <row r="201" spans="1:10" x14ac:dyDescent="0.3">
      <c r="A201" s="2" t="s">
        <v>414</v>
      </c>
      <c r="B201" s="2" t="s">
        <v>415</v>
      </c>
      <c r="C201" s="2">
        <v>32827</v>
      </c>
      <c r="D201" s="2">
        <v>43484</v>
      </c>
      <c r="E201" s="3">
        <v>46112</v>
      </c>
      <c r="F201" s="3">
        <v>46174</v>
      </c>
      <c r="G201" s="4">
        <v>29199.97</v>
      </c>
      <c r="H201" s="2">
        <v>0</v>
      </c>
      <c r="I201" s="2" t="s">
        <v>945</v>
      </c>
      <c r="J201" s="2" t="s">
        <v>417</v>
      </c>
    </row>
    <row r="202" spans="1:10" x14ac:dyDescent="0.3">
      <c r="A202" s="2" t="s">
        <v>414</v>
      </c>
      <c r="B202" s="2" t="s">
        <v>415</v>
      </c>
      <c r="C202" s="2">
        <v>32831</v>
      </c>
      <c r="D202" s="2">
        <v>43488</v>
      </c>
      <c r="E202" s="3">
        <v>46112</v>
      </c>
      <c r="F202" s="3">
        <v>46174</v>
      </c>
      <c r="G202" s="4">
        <v>2544</v>
      </c>
      <c r="H202" s="2">
        <v>0</v>
      </c>
      <c r="I202" s="2" t="s">
        <v>949</v>
      </c>
      <c r="J202" s="2" t="s">
        <v>417</v>
      </c>
    </row>
    <row r="203" spans="1:10" x14ac:dyDescent="0.3">
      <c r="A203" s="2" t="s">
        <v>414</v>
      </c>
      <c r="B203" s="2" t="s">
        <v>415</v>
      </c>
      <c r="C203" s="2">
        <v>32844</v>
      </c>
      <c r="D203" s="2">
        <v>43498</v>
      </c>
      <c r="E203" s="3">
        <v>46114</v>
      </c>
      <c r="F203" s="3">
        <v>46174</v>
      </c>
      <c r="G203" s="2">
        <v>566.66999999999996</v>
      </c>
      <c r="H203" s="2">
        <v>0</v>
      </c>
      <c r="I203" s="2" t="s">
        <v>955</v>
      </c>
      <c r="J203" s="2" t="s">
        <v>417</v>
      </c>
    </row>
    <row r="204" spans="1:10" x14ac:dyDescent="0.3">
      <c r="A204" s="2" t="s">
        <v>970</v>
      </c>
      <c r="B204" s="2" t="s">
        <v>971</v>
      </c>
      <c r="C204" s="2">
        <v>32886</v>
      </c>
      <c r="D204" s="2">
        <v>43541</v>
      </c>
      <c r="E204" s="3">
        <v>46121</v>
      </c>
      <c r="F204" s="3">
        <v>46174</v>
      </c>
      <c r="G204" s="4">
        <v>6075</v>
      </c>
      <c r="H204" s="2">
        <v>0</v>
      </c>
      <c r="I204" s="2" t="s">
        <v>972</v>
      </c>
      <c r="J204" s="2" t="s">
        <v>66</v>
      </c>
    </row>
    <row r="205" spans="1:10" x14ac:dyDescent="0.3">
      <c r="A205" s="2" t="s">
        <v>360</v>
      </c>
      <c r="B205" s="2" t="s">
        <v>361</v>
      </c>
      <c r="C205" s="2">
        <v>31523</v>
      </c>
      <c r="D205" s="2">
        <v>42076</v>
      </c>
      <c r="E205" s="3">
        <v>45995</v>
      </c>
      <c r="F205" s="3">
        <v>46175</v>
      </c>
      <c r="G205" s="4">
        <v>7000.1</v>
      </c>
      <c r="H205" s="2">
        <v>0</v>
      </c>
      <c r="I205" s="2" t="s">
        <v>362</v>
      </c>
      <c r="J205" s="2" t="s">
        <v>92</v>
      </c>
    </row>
    <row r="206" spans="1:10" x14ac:dyDescent="0.3">
      <c r="A206" s="2" t="s">
        <v>409</v>
      </c>
      <c r="B206" s="2" t="s">
        <v>410</v>
      </c>
      <c r="C206" s="2">
        <v>32189</v>
      </c>
      <c r="D206" s="2">
        <v>42816</v>
      </c>
      <c r="E206" s="3">
        <v>46055</v>
      </c>
      <c r="F206" s="3">
        <v>46175</v>
      </c>
      <c r="G206" s="4">
        <v>46925</v>
      </c>
      <c r="H206" s="2">
        <v>0</v>
      </c>
      <c r="I206" s="2" t="s">
        <v>591</v>
      </c>
      <c r="J206" s="2" t="s">
        <v>412</v>
      </c>
    </row>
    <row r="207" spans="1:10" x14ac:dyDescent="0.3">
      <c r="A207" s="2" t="s">
        <v>440</v>
      </c>
      <c r="B207" s="2" t="s">
        <v>441</v>
      </c>
      <c r="C207" s="2">
        <v>32663</v>
      </c>
      <c r="D207" s="2">
        <v>43318</v>
      </c>
      <c r="E207" s="3">
        <v>46100</v>
      </c>
      <c r="F207" s="3">
        <v>46175</v>
      </c>
      <c r="G207" s="4">
        <v>36913.96</v>
      </c>
      <c r="H207" s="2">
        <v>0</v>
      </c>
      <c r="I207" s="2" t="s">
        <v>829</v>
      </c>
      <c r="J207" s="2" t="s">
        <v>417</v>
      </c>
    </row>
    <row r="208" spans="1:10" x14ac:dyDescent="0.3">
      <c r="A208" s="2" t="s">
        <v>315</v>
      </c>
      <c r="B208" s="2" t="s">
        <v>316</v>
      </c>
      <c r="C208" s="2">
        <v>31543</v>
      </c>
      <c r="D208" s="2">
        <v>42099</v>
      </c>
      <c r="E208" s="3">
        <v>45996</v>
      </c>
      <c r="F208" s="3">
        <v>46176</v>
      </c>
      <c r="G208" s="4">
        <v>148640</v>
      </c>
      <c r="H208" s="2">
        <v>0</v>
      </c>
      <c r="I208" s="2" t="s">
        <v>379</v>
      </c>
      <c r="J208" s="2" t="s">
        <v>318</v>
      </c>
    </row>
    <row r="209" spans="1:10" x14ac:dyDescent="0.3">
      <c r="A209" s="2" t="s">
        <v>360</v>
      </c>
      <c r="B209" s="2" t="s">
        <v>361</v>
      </c>
      <c r="C209" s="2">
        <v>32190</v>
      </c>
      <c r="D209" s="2">
        <v>42818</v>
      </c>
      <c r="E209" s="3">
        <v>46056</v>
      </c>
      <c r="F209" s="3">
        <v>46176</v>
      </c>
      <c r="G209" s="4">
        <v>2036.56</v>
      </c>
      <c r="H209" s="2">
        <v>0</v>
      </c>
      <c r="I209" s="2" t="s">
        <v>362</v>
      </c>
      <c r="J209" s="2" t="s">
        <v>92</v>
      </c>
    </row>
    <row r="210" spans="1:10" x14ac:dyDescent="0.3">
      <c r="A210" s="2" t="s">
        <v>360</v>
      </c>
      <c r="B210" s="2" t="s">
        <v>361</v>
      </c>
      <c r="C210" s="2">
        <v>32191</v>
      </c>
      <c r="D210" s="2">
        <v>42819</v>
      </c>
      <c r="E210" s="3">
        <v>46056</v>
      </c>
      <c r="F210" s="3">
        <v>46176</v>
      </c>
      <c r="G210" s="4">
        <v>16750</v>
      </c>
      <c r="H210" s="2">
        <v>0</v>
      </c>
      <c r="I210" s="2" t="s">
        <v>362</v>
      </c>
      <c r="J210" s="2" t="s">
        <v>92</v>
      </c>
    </row>
    <row r="211" spans="1:10" x14ac:dyDescent="0.3">
      <c r="A211" s="2" t="s">
        <v>440</v>
      </c>
      <c r="B211" s="2" t="s">
        <v>441</v>
      </c>
      <c r="C211" s="2">
        <v>32192</v>
      </c>
      <c r="D211" s="2">
        <v>42820</v>
      </c>
      <c r="E211" s="3">
        <v>46056</v>
      </c>
      <c r="F211" s="3">
        <v>46176</v>
      </c>
      <c r="G211" s="2">
        <v>33</v>
      </c>
      <c r="H211" s="2">
        <v>0</v>
      </c>
      <c r="I211" s="2" t="s">
        <v>552</v>
      </c>
      <c r="J211" s="2" t="s">
        <v>417</v>
      </c>
    </row>
    <row r="212" spans="1:10" x14ac:dyDescent="0.3">
      <c r="A212" s="2" t="s">
        <v>409</v>
      </c>
      <c r="B212" s="2" t="s">
        <v>410</v>
      </c>
      <c r="C212" s="2">
        <v>32193</v>
      </c>
      <c r="D212" s="2">
        <v>42821</v>
      </c>
      <c r="E212" s="3">
        <v>46056</v>
      </c>
      <c r="F212" s="3">
        <v>46176</v>
      </c>
      <c r="G212" s="4">
        <v>5750</v>
      </c>
      <c r="H212" s="2">
        <v>0</v>
      </c>
      <c r="I212" s="2" t="s">
        <v>591</v>
      </c>
      <c r="J212" s="2" t="s">
        <v>412</v>
      </c>
    </row>
    <row r="213" spans="1:10" x14ac:dyDescent="0.3">
      <c r="A213" s="2" t="s">
        <v>599</v>
      </c>
      <c r="B213" s="2" t="s">
        <v>600</v>
      </c>
      <c r="C213" s="2">
        <v>32204</v>
      </c>
      <c r="D213" s="2">
        <v>42837</v>
      </c>
      <c r="E213" s="3">
        <v>46058</v>
      </c>
      <c r="F213" s="3">
        <v>46176</v>
      </c>
      <c r="G213" s="4">
        <v>44820</v>
      </c>
      <c r="H213" s="2">
        <v>0</v>
      </c>
      <c r="I213" s="2" t="s">
        <v>601</v>
      </c>
      <c r="J213" s="2" t="s">
        <v>26</v>
      </c>
    </row>
    <row r="214" spans="1:10" x14ac:dyDescent="0.3">
      <c r="A214" s="2" t="s">
        <v>1086</v>
      </c>
      <c r="B214" s="2" t="s">
        <v>1087</v>
      </c>
      <c r="C214" s="2">
        <v>33069</v>
      </c>
      <c r="D214" s="2">
        <v>43714</v>
      </c>
      <c r="E214" s="3">
        <v>46146</v>
      </c>
      <c r="F214" s="3">
        <v>46176</v>
      </c>
      <c r="G214" s="4">
        <v>4346.5</v>
      </c>
      <c r="H214" s="2">
        <v>0</v>
      </c>
      <c r="I214" s="2" t="s">
        <v>1088</v>
      </c>
      <c r="J214" s="2" t="s">
        <v>260</v>
      </c>
    </row>
    <row r="215" spans="1:10" x14ac:dyDescent="0.3">
      <c r="A215" s="2" t="s">
        <v>504</v>
      </c>
      <c r="B215" s="2" t="s">
        <v>505</v>
      </c>
      <c r="C215" s="2">
        <v>33077</v>
      </c>
      <c r="D215" s="2">
        <v>43722</v>
      </c>
      <c r="E215" s="3">
        <v>46147</v>
      </c>
      <c r="F215" s="3">
        <v>46176</v>
      </c>
      <c r="G215" s="4">
        <v>1099</v>
      </c>
      <c r="H215" s="2">
        <v>0</v>
      </c>
      <c r="I215" s="2" t="s">
        <v>1094</v>
      </c>
      <c r="J215" s="2" t="s">
        <v>117</v>
      </c>
    </row>
    <row r="216" spans="1:10" x14ac:dyDescent="0.3">
      <c r="A216" s="2" t="s">
        <v>480</v>
      </c>
      <c r="B216" s="2" t="s">
        <v>481</v>
      </c>
      <c r="C216" s="2">
        <v>31866</v>
      </c>
      <c r="D216" s="2">
        <v>42451</v>
      </c>
      <c r="E216" s="3">
        <v>46028</v>
      </c>
      <c r="F216" s="3">
        <v>46178</v>
      </c>
      <c r="G216" s="4">
        <v>7077.13</v>
      </c>
      <c r="H216" s="2">
        <v>0</v>
      </c>
      <c r="I216" s="2" t="s">
        <v>482</v>
      </c>
      <c r="J216" s="2" t="s">
        <v>238</v>
      </c>
    </row>
    <row r="217" spans="1:10" x14ac:dyDescent="0.3">
      <c r="A217" s="2" t="s">
        <v>557</v>
      </c>
      <c r="B217" s="2" t="s">
        <v>558</v>
      </c>
      <c r="C217" s="2">
        <v>32198</v>
      </c>
      <c r="D217" s="2">
        <v>42831</v>
      </c>
      <c r="E217" s="3">
        <v>46058</v>
      </c>
      <c r="F217" s="3">
        <v>46178</v>
      </c>
      <c r="G217" s="4">
        <v>8925</v>
      </c>
      <c r="H217" s="2">
        <v>0</v>
      </c>
      <c r="I217" s="2" t="s">
        <v>593</v>
      </c>
      <c r="J217" s="2" t="s">
        <v>19</v>
      </c>
    </row>
    <row r="218" spans="1:10" x14ac:dyDescent="0.3">
      <c r="A218" s="2" t="s">
        <v>594</v>
      </c>
      <c r="B218" s="2" t="s">
        <v>595</v>
      </c>
      <c r="C218" s="2">
        <v>32200</v>
      </c>
      <c r="D218" s="2">
        <v>42833</v>
      </c>
      <c r="E218" s="3">
        <v>46058</v>
      </c>
      <c r="F218" s="3">
        <v>46178</v>
      </c>
      <c r="G218" s="4">
        <v>13466.12</v>
      </c>
      <c r="H218" s="2">
        <v>0</v>
      </c>
      <c r="I218" s="2" t="s">
        <v>596</v>
      </c>
      <c r="J218" s="2" t="s">
        <v>535</v>
      </c>
    </row>
    <row r="219" spans="1:10" x14ac:dyDescent="0.3">
      <c r="A219" s="2" t="s">
        <v>440</v>
      </c>
      <c r="B219" s="2" t="s">
        <v>441</v>
      </c>
      <c r="C219" s="2">
        <v>32354</v>
      </c>
      <c r="D219" s="2">
        <v>42989</v>
      </c>
      <c r="E219" s="3">
        <v>46073</v>
      </c>
      <c r="F219" s="3">
        <v>46178</v>
      </c>
      <c r="G219" s="2">
        <v>372</v>
      </c>
      <c r="H219" s="2">
        <v>0</v>
      </c>
      <c r="I219" s="2" t="s">
        <v>552</v>
      </c>
      <c r="J219" s="2" t="s">
        <v>417</v>
      </c>
    </row>
    <row r="220" spans="1:10" x14ac:dyDescent="0.3">
      <c r="A220" s="2" t="s">
        <v>440</v>
      </c>
      <c r="B220" s="2" t="s">
        <v>441</v>
      </c>
      <c r="C220" s="2">
        <v>32355</v>
      </c>
      <c r="D220" s="2">
        <v>42990</v>
      </c>
      <c r="E220" s="3">
        <v>46073</v>
      </c>
      <c r="F220" s="3">
        <v>46178</v>
      </c>
      <c r="G220" s="4">
        <v>18465.54</v>
      </c>
      <c r="H220" s="2">
        <v>0</v>
      </c>
      <c r="I220" s="2" t="s">
        <v>552</v>
      </c>
      <c r="J220" s="2" t="s">
        <v>417</v>
      </c>
    </row>
    <row r="221" spans="1:10" x14ac:dyDescent="0.3">
      <c r="A221" s="2" t="s">
        <v>440</v>
      </c>
      <c r="B221" s="2" t="s">
        <v>441</v>
      </c>
      <c r="C221" s="2">
        <v>32358</v>
      </c>
      <c r="D221" s="2">
        <v>42993</v>
      </c>
      <c r="E221" s="3">
        <v>46073</v>
      </c>
      <c r="F221" s="3">
        <v>46178</v>
      </c>
      <c r="G221" s="4">
        <v>3240</v>
      </c>
      <c r="H221" s="2">
        <v>0</v>
      </c>
      <c r="I221" s="2" t="s">
        <v>552</v>
      </c>
      <c r="J221" s="2" t="s">
        <v>417</v>
      </c>
    </row>
    <row r="222" spans="1:10" x14ac:dyDescent="0.3">
      <c r="A222" s="2" t="s">
        <v>960</v>
      </c>
      <c r="B222" s="2" t="s">
        <v>961</v>
      </c>
      <c r="C222" s="2">
        <v>32862</v>
      </c>
      <c r="D222" s="2">
        <v>43515</v>
      </c>
      <c r="E222" s="3">
        <v>46118</v>
      </c>
      <c r="F222" s="3">
        <v>46178</v>
      </c>
      <c r="G222" s="4">
        <v>14220</v>
      </c>
      <c r="H222" s="2">
        <v>0</v>
      </c>
      <c r="I222" s="2" t="s">
        <v>962</v>
      </c>
      <c r="J222" s="2" t="s">
        <v>339</v>
      </c>
    </row>
    <row r="223" spans="1:10" x14ac:dyDescent="0.3">
      <c r="A223" s="2" t="s">
        <v>775</v>
      </c>
      <c r="B223" s="2" t="s">
        <v>776</v>
      </c>
      <c r="C223" s="2">
        <v>33078</v>
      </c>
      <c r="D223" s="2">
        <v>43723</v>
      </c>
      <c r="E223" s="3">
        <v>46147</v>
      </c>
      <c r="F223" s="3">
        <v>46178</v>
      </c>
      <c r="G223" s="4">
        <v>10110.57</v>
      </c>
      <c r="H223" s="2">
        <v>0</v>
      </c>
      <c r="I223" s="2" t="s">
        <v>1095</v>
      </c>
      <c r="J223" s="2" t="s">
        <v>117</v>
      </c>
    </row>
    <row r="224" spans="1:10" x14ac:dyDescent="0.3">
      <c r="A224" s="2" t="s">
        <v>1096</v>
      </c>
      <c r="B224" s="2" t="s">
        <v>1097</v>
      </c>
      <c r="C224" s="2">
        <v>33079</v>
      </c>
      <c r="D224" s="2">
        <v>43724</v>
      </c>
      <c r="E224" s="3">
        <v>46147</v>
      </c>
      <c r="F224" s="3">
        <v>46178</v>
      </c>
      <c r="G224" s="4">
        <v>42740</v>
      </c>
      <c r="H224" s="2">
        <v>0</v>
      </c>
      <c r="I224" s="2" t="s">
        <v>1098</v>
      </c>
      <c r="J224" s="2" t="s">
        <v>97</v>
      </c>
    </row>
    <row r="225" spans="1:10" x14ac:dyDescent="0.3">
      <c r="A225" s="2" t="s">
        <v>104</v>
      </c>
      <c r="B225" s="2" t="s">
        <v>90</v>
      </c>
      <c r="C225" s="2">
        <v>33080</v>
      </c>
      <c r="D225" s="2">
        <v>43725</v>
      </c>
      <c r="E225" s="3">
        <v>46147</v>
      </c>
      <c r="F225" s="3">
        <v>46178</v>
      </c>
      <c r="G225" s="4">
        <v>7812</v>
      </c>
      <c r="H225" s="2">
        <v>0</v>
      </c>
      <c r="I225" s="2" t="s">
        <v>1099</v>
      </c>
      <c r="J225" s="2" t="s">
        <v>97</v>
      </c>
    </row>
    <row r="226" spans="1:10" x14ac:dyDescent="0.3">
      <c r="A226" s="2" t="s">
        <v>1100</v>
      </c>
      <c r="B226" s="2" t="s">
        <v>90</v>
      </c>
      <c r="C226" s="2">
        <v>33081</v>
      </c>
      <c r="D226" s="2">
        <v>43726</v>
      </c>
      <c r="E226" s="3">
        <v>46147</v>
      </c>
      <c r="F226" s="3">
        <v>46178</v>
      </c>
      <c r="G226" s="4">
        <v>18228</v>
      </c>
      <c r="H226" s="2">
        <v>0</v>
      </c>
      <c r="I226" s="2" t="s">
        <v>1101</v>
      </c>
      <c r="J226" s="2" t="s">
        <v>97</v>
      </c>
    </row>
    <row r="227" spans="1:10" x14ac:dyDescent="0.3">
      <c r="A227" s="2" t="s">
        <v>1104</v>
      </c>
      <c r="B227" s="2" t="s">
        <v>1105</v>
      </c>
      <c r="C227" s="2">
        <v>33087</v>
      </c>
      <c r="D227" s="2">
        <v>43732</v>
      </c>
      <c r="E227" s="3">
        <v>46148</v>
      </c>
      <c r="F227" s="3">
        <v>46178</v>
      </c>
      <c r="G227" s="4">
        <v>16375</v>
      </c>
      <c r="H227" s="2">
        <v>0</v>
      </c>
      <c r="I227" s="2" t="s">
        <v>1106</v>
      </c>
      <c r="J227" s="2" t="s">
        <v>238</v>
      </c>
    </row>
    <row r="228" spans="1:10" x14ac:dyDescent="0.3">
      <c r="A228" s="2" t="s">
        <v>1229</v>
      </c>
      <c r="B228" s="2" t="s">
        <v>1230</v>
      </c>
      <c r="C228" s="2"/>
      <c r="D228" s="2">
        <v>309191</v>
      </c>
      <c r="E228" s="3">
        <v>46169</v>
      </c>
      <c r="F228" s="3">
        <v>46180</v>
      </c>
      <c r="G228" s="4">
        <v>5730.61</v>
      </c>
      <c r="H228" s="2">
        <v>0</v>
      </c>
      <c r="I228" s="2" t="s">
        <v>1231</v>
      </c>
      <c r="J228" s="2" t="s">
        <v>563</v>
      </c>
    </row>
    <row r="229" spans="1:10" x14ac:dyDescent="0.3">
      <c r="A229" s="2" t="s">
        <v>336</v>
      </c>
      <c r="B229" s="2" t="s">
        <v>337</v>
      </c>
      <c r="C229" s="2">
        <v>31574</v>
      </c>
      <c r="D229" s="2">
        <v>42131</v>
      </c>
      <c r="E229" s="3">
        <v>45999</v>
      </c>
      <c r="F229" s="3">
        <v>46181</v>
      </c>
      <c r="G229" s="4">
        <v>9380</v>
      </c>
      <c r="H229" s="2">
        <v>0</v>
      </c>
      <c r="I229" s="2" t="s">
        <v>388</v>
      </c>
      <c r="J229" s="2" t="s">
        <v>339</v>
      </c>
    </row>
    <row r="230" spans="1:10" x14ac:dyDescent="0.3">
      <c r="A230" s="2" t="s">
        <v>391</v>
      </c>
      <c r="B230" s="2" t="s">
        <v>392</v>
      </c>
      <c r="C230" s="2">
        <v>31596</v>
      </c>
      <c r="D230" s="2">
        <v>42154</v>
      </c>
      <c r="E230" s="3">
        <v>45999</v>
      </c>
      <c r="F230" s="3">
        <v>46181</v>
      </c>
      <c r="G230" s="4">
        <v>72626</v>
      </c>
      <c r="H230" s="2">
        <v>0</v>
      </c>
      <c r="I230" s="2" t="s">
        <v>393</v>
      </c>
      <c r="J230" s="2" t="s">
        <v>394</v>
      </c>
    </row>
    <row r="231" spans="1:10" x14ac:dyDescent="0.3">
      <c r="A231" s="2" t="s">
        <v>391</v>
      </c>
      <c r="B231" s="2" t="s">
        <v>392</v>
      </c>
      <c r="C231" s="2">
        <v>31598</v>
      </c>
      <c r="D231" s="2">
        <v>42156</v>
      </c>
      <c r="E231" s="3">
        <v>45999</v>
      </c>
      <c r="F231" s="3">
        <v>46181</v>
      </c>
      <c r="G231" s="4">
        <v>8580</v>
      </c>
      <c r="H231" s="2">
        <v>0</v>
      </c>
      <c r="I231" s="2" t="s">
        <v>395</v>
      </c>
      <c r="J231" s="2" t="s">
        <v>394</v>
      </c>
    </row>
    <row r="232" spans="1:10" x14ac:dyDescent="0.3">
      <c r="A232" s="2" t="s">
        <v>396</v>
      </c>
      <c r="B232" s="2" t="s">
        <v>392</v>
      </c>
      <c r="C232" s="2">
        <v>31600</v>
      </c>
      <c r="D232" s="2">
        <v>42158</v>
      </c>
      <c r="E232" s="3">
        <v>45999</v>
      </c>
      <c r="F232" s="3">
        <v>46181</v>
      </c>
      <c r="G232" s="4">
        <v>22305</v>
      </c>
      <c r="H232" s="2">
        <v>0</v>
      </c>
      <c r="I232" s="2" t="s">
        <v>397</v>
      </c>
      <c r="J232" s="2" t="s">
        <v>394</v>
      </c>
    </row>
    <row r="233" spans="1:10" x14ac:dyDescent="0.3">
      <c r="A233" s="2" t="s">
        <v>398</v>
      </c>
      <c r="B233" s="2" t="s">
        <v>399</v>
      </c>
      <c r="C233" s="2">
        <v>31601</v>
      </c>
      <c r="D233" s="2">
        <v>42159</v>
      </c>
      <c r="E233" s="3">
        <v>45999</v>
      </c>
      <c r="F233" s="3">
        <v>46181</v>
      </c>
      <c r="G233" s="4">
        <v>63128.800000000003</v>
      </c>
      <c r="H233" s="2">
        <v>0</v>
      </c>
      <c r="I233" s="2" t="s">
        <v>400</v>
      </c>
      <c r="J233" s="2" t="s">
        <v>394</v>
      </c>
    </row>
    <row r="234" spans="1:10" x14ac:dyDescent="0.3">
      <c r="A234" s="2" t="s">
        <v>409</v>
      </c>
      <c r="B234" s="2" t="s">
        <v>410</v>
      </c>
      <c r="C234" s="2">
        <v>31635</v>
      </c>
      <c r="D234" s="2">
        <v>42199</v>
      </c>
      <c r="E234" s="3">
        <v>46001</v>
      </c>
      <c r="F234" s="3">
        <v>46181</v>
      </c>
      <c r="G234" s="4">
        <v>40475</v>
      </c>
      <c r="H234" s="2">
        <v>0</v>
      </c>
      <c r="I234" s="2" t="s">
        <v>411</v>
      </c>
      <c r="J234" s="2" t="s">
        <v>412</v>
      </c>
    </row>
    <row r="235" spans="1:10" x14ac:dyDescent="0.3">
      <c r="A235" s="2" t="s">
        <v>440</v>
      </c>
      <c r="B235" s="2" t="s">
        <v>441</v>
      </c>
      <c r="C235" s="2">
        <v>32053</v>
      </c>
      <c r="D235" s="2">
        <v>42683</v>
      </c>
      <c r="E235" s="3">
        <v>46045</v>
      </c>
      <c r="F235" s="3">
        <v>46181</v>
      </c>
      <c r="G235" s="4">
        <v>4815.55</v>
      </c>
      <c r="H235" s="2">
        <v>0</v>
      </c>
      <c r="I235" s="2" t="s">
        <v>552</v>
      </c>
      <c r="J235" s="2" t="s">
        <v>417</v>
      </c>
    </row>
    <row r="236" spans="1:10" x14ac:dyDescent="0.3">
      <c r="A236" s="2" t="s">
        <v>440</v>
      </c>
      <c r="B236" s="2" t="s">
        <v>441</v>
      </c>
      <c r="C236" s="2">
        <v>32054</v>
      </c>
      <c r="D236" s="2">
        <v>42684</v>
      </c>
      <c r="E236" s="3">
        <v>46045</v>
      </c>
      <c r="F236" s="3">
        <v>46181</v>
      </c>
      <c r="G236" s="4">
        <v>7456.88</v>
      </c>
      <c r="H236" s="2">
        <v>0</v>
      </c>
      <c r="I236" s="2" t="s">
        <v>552</v>
      </c>
      <c r="J236" s="2" t="s">
        <v>417</v>
      </c>
    </row>
    <row r="237" spans="1:10" x14ac:dyDescent="0.3">
      <c r="A237" s="2" t="s">
        <v>440</v>
      </c>
      <c r="B237" s="2" t="s">
        <v>441</v>
      </c>
      <c r="C237" s="2">
        <v>32055</v>
      </c>
      <c r="D237" s="2">
        <v>42685</v>
      </c>
      <c r="E237" s="3">
        <v>46045</v>
      </c>
      <c r="F237" s="3">
        <v>46181</v>
      </c>
      <c r="G237" s="2">
        <v>566.33000000000004</v>
      </c>
      <c r="H237" s="2">
        <v>0</v>
      </c>
      <c r="I237" s="2" t="s">
        <v>552</v>
      </c>
      <c r="J237" s="2" t="s">
        <v>417</v>
      </c>
    </row>
    <row r="238" spans="1:10" x14ac:dyDescent="0.3">
      <c r="A238" s="2" t="s">
        <v>446</v>
      </c>
      <c r="B238" s="2" t="s">
        <v>447</v>
      </c>
      <c r="C238" s="2">
        <v>32426</v>
      </c>
      <c r="D238" s="2">
        <v>43089</v>
      </c>
      <c r="E238" s="3">
        <v>46079</v>
      </c>
      <c r="F238" s="3">
        <v>46181</v>
      </c>
      <c r="G238" s="4">
        <v>49799.95</v>
      </c>
      <c r="H238" s="2">
        <v>0</v>
      </c>
      <c r="I238" s="2" t="s">
        <v>722</v>
      </c>
      <c r="J238" s="2" t="s">
        <v>417</v>
      </c>
    </row>
    <row r="239" spans="1:10" x14ac:dyDescent="0.3">
      <c r="A239" s="2" t="s">
        <v>662</v>
      </c>
      <c r="B239" s="2" t="s">
        <v>44</v>
      </c>
      <c r="C239" s="2">
        <v>32530</v>
      </c>
      <c r="D239" s="2">
        <v>43206</v>
      </c>
      <c r="E239" s="3">
        <v>46090</v>
      </c>
      <c r="F239" s="3">
        <v>46181</v>
      </c>
      <c r="G239" s="4">
        <v>135631.47</v>
      </c>
      <c r="H239" s="2">
        <v>0</v>
      </c>
      <c r="I239" s="2" t="s">
        <v>663</v>
      </c>
      <c r="J239" s="2" t="s">
        <v>46</v>
      </c>
    </row>
    <row r="240" spans="1:10" x14ac:dyDescent="0.3">
      <c r="A240" s="2" t="s">
        <v>662</v>
      </c>
      <c r="B240" s="2" t="s">
        <v>44</v>
      </c>
      <c r="C240" s="2">
        <v>32534</v>
      </c>
      <c r="D240" s="2">
        <v>43209</v>
      </c>
      <c r="E240" s="3">
        <v>46090</v>
      </c>
      <c r="F240" s="3">
        <v>46181</v>
      </c>
      <c r="G240" s="4">
        <v>135631.47</v>
      </c>
      <c r="H240" s="2">
        <v>0</v>
      </c>
      <c r="I240" s="2" t="s">
        <v>663</v>
      </c>
      <c r="J240" s="2" t="s">
        <v>46</v>
      </c>
    </row>
    <row r="241" spans="1:10" x14ac:dyDescent="0.3">
      <c r="A241" s="2" t="s">
        <v>662</v>
      </c>
      <c r="B241" s="2" t="s">
        <v>44</v>
      </c>
      <c r="C241" s="2">
        <v>32535</v>
      </c>
      <c r="D241" s="2">
        <v>43210</v>
      </c>
      <c r="E241" s="3">
        <v>46090</v>
      </c>
      <c r="F241" s="3">
        <v>46181</v>
      </c>
      <c r="G241" s="4">
        <v>135631.47</v>
      </c>
      <c r="H241" s="2">
        <v>0</v>
      </c>
      <c r="I241" s="2" t="s">
        <v>663</v>
      </c>
      <c r="J241" s="2" t="s">
        <v>46</v>
      </c>
    </row>
    <row r="242" spans="1:10" x14ac:dyDescent="0.3">
      <c r="A242" s="2" t="s">
        <v>662</v>
      </c>
      <c r="B242" s="2" t="s">
        <v>44</v>
      </c>
      <c r="C242" s="2">
        <v>32536</v>
      </c>
      <c r="D242" s="2">
        <v>43211</v>
      </c>
      <c r="E242" s="3">
        <v>46090</v>
      </c>
      <c r="F242" s="3">
        <v>46181</v>
      </c>
      <c r="G242" s="4">
        <v>135631.47</v>
      </c>
      <c r="H242" s="2">
        <v>0</v>
      </c>
      <c r="I242" s="2" t="s">
        <v>663</v>
      </c>
      <c r="J242" s="2" t="s">
        <v>46</v>
      </c>
    </row>
    <row r="243" spans="1:10" x14ac:dyDescent="0.3">
      <c r="A243" s="2" t="s">
        <v>662</v>
      </c>
      <c r="B243" s="2" t="s">
        <v>44</v>
      </c>
      <c r="C243" s="2">
        <v>32537</v>
      </c>
      <c r="D243" s="2">
        <v>43212</v>
      </c>
      <c r="E243" s="3">
        <v>46090</v>
      </c>
      <c r="F243" s="3">
        <v>46181</v>
      </c>
      <c r="G243" s="4">
        <v>38255.03</v>
      </c>
      <c r="H243" s="2">
        <v>0</v>
      </c>
      <c r="I243" s="2" t="s">
        <v>663</v>
      </c>
      <c r="J243" s="2" t="s">
        <v>46</v>
      </c>
    </row>
    <row r="244" spans="1:10" x14ac:dyDescent="0.3">
      <c r="A244" s="2" t="s">
        <v>662</v>
      </c>
      <c r="B244" s="2" t="s">
        <v>44</v>
      </c>
      <c r="C244" s="2">
        <v>32538</v>
      </c>
      <c r="D244" s="2">
        <v>43213</v>
      </c>
      <c r="E244" s="3">
        <v>46090</v>
      </c>
      <c r="F244" s="3">
        <v>46181</v>
      </c>
      <c r="G244" s="4">
        <v>75553.399999999994</v>
      </c>
      <c r="H244" s="2">
        <v>0</v>
      </c>
      <c r="I244" s="2" t="s">
        <v>663</v>
      </c>
      <c r="J244" s="2" t="s">
        <v>46</v>
      </c>
    </row>
    <row r="245" spans="1:10" x14ac:dyDescent="0.3">
      <c r="A245" s="2" t="s">
        <v>582</v>
      </c>
      <c r="B245" s="2" t="s">
        <v>583</v>
      </c>
      <c r="C245" s="2">
        <v>32539</v>
      </c>
      <c r="D245" s="2">
        <v>43214</v>
      </c>
      <c r="E245" s="3">
        <v>46090</v>
      </c>
      <c r="F245" s="3">
        <v>46181</v>
      </c>
      <c r="G245" s="4">
        <v>6577.5</v>
      </c>
      <c r="H245" s="2">
        <v>0</v>
      </c>
      <c r="I245" s="2" t="s">
        <v>584</v>
      </c>
      <c r="J245" s="2" t="s">
        <v>92</v>
      </c>
    </row>
    <row r="246" spans="1:10" x14ac:dyDescent="0.3">
      <c r="A246" s="2" t="s">
        <v>775</v>
      </c>
      <c r="B246" s="2" t="s">
        <v>776</v>
      </c>
      <c r="C246" s="2">
        <v>32543</v>
      </c>
      <c r="D246" s="2">
        <v>43218</v>
      </c>
      <c r="E246" s="3">
        <v>46091</v>
      </c>
      <c r="F246" s="3">
        <v>46181</v>
      </c>
      <c r="G246" s="4">
        <v>4281.25</v>
      </c>
      <c r="H246" s="2">
        <v>0</v>
      </c>
      <c r="I246" s="2" t="s">
        <v>777</v>
      </c>
      <c r="J246" s="2" t="s">
        <v>117</v>
      </c>
    </row>
    <row r="247" spans="1:10" x14ac:dyDescent="0.3">
      <c r="A247" s="2" t="s">
        <v>735</v>
      </c>
      <c r="B247" s="2" t="s">
        <v>736</v>
      </c>
      <c r="C247" s="2">
        <v>32549</v>
      </c>
      <c r="D247" s="2">
        <v>43225</v>
      </c>
      <c r="E247" s="3">
        <v>46091</v>
      </c>
      <c r="F247" s="3">
        <v>46181</v>
      </c>
      <c r="G247" s="4">
        <v>51860</v>
      </c>
      <c r="H247" s="2">
        <v>0</v>
      </c>
      <c r="I247" s="2" t="s">
        <v>737</v>
      </c>
      <c r="J247" s="2" t="s">
        <v>19</v>
      </c>
    </row>
    <row r="248" spans="1:10" x14ac:dyDescent="0.3">
      <c r="A248" s="2" t="s">
        <v>668</v>
      </c>
      <c r="B248" s="2" t="s">
        <v>669</v>
      </c>
      <c r="C248" s="2">
        <v>32874</v>
      </c>
      <c r="D248" s="2">
        <v>43529</v>
      </c>
      <c r="E248" s="3">
        <v>46121</v>
      </c>
      <c r="F248" s="3">
        <v>46181</v>
      </c>
      <c r="G248" s="4">
        <v>5481.25</v>
      </c>
      <c r="H248" s="2">
        <v>0</v>
      </c>
      <c r="I248" s="2" t="s">
        <v>964</v>
      </c>
      <c r="J248" s="2" t="s">
        <v>339</v>
      </c>
    </row>
    <row r="249" spans="1:10" x14ac:dyDescent="0.3">
      <c r="A249" s="2" t="s">
        <v>662</v>
      </c>
      <c r="B249" s="2" t="s">
        <v>44</v>
      </c>
      <c r="C249" s="2">
        <v>32875</v>
      </c>
      <c r="D249" s="2">
        <v>43530</v>
      </c>
      <c r="E249" s="3">
        <v>46121</v>
      </c>
      <c r="F249" s="3">
        <v>46181</v>
      </c>
      <c r="G249" s="4">
        <v>146757.1</v>
      </c>
      <c r="H249" s="2">
        <v>0</v>
      </c>
      <c r="I249" s="2" t="s">
        <v>965</v>
      </c>
      <c r="J249" s="2" t="s">
        <v>46</v>
      </c>
    </row>
    <row r="250" spans="1:10" x14ac:dyDescent="0.3">
      <c r="A250" s="2" t="s">
        <v>743</v>
      </c>
      <c r="B250" s="2" t="s">
        <v>744</v>
      </c>
      <c r="C250" s="2">
        <v>32885</v>
      </c>
      <c r="D250" s="2">
        <v>43540</v>
      </c>
      <c r="E250" s="3">
        <v>46121</v>
      </c>
      <c r="F250" s="3">
        <v>46181</v>
      </c>
      <c r="G250" s="4">
        <v>20318.98</v>
      </c>
      <c r="H250" s="2">
        <v>0</v>
      </c>
      <c r="I250" s="2" t="s">
        <v>969</v>
      </c>
      <c r="J250" s="2" t="s">
        <v>46</v>
      </c>
    </row>
    <row r="251" spans="1:10" x14ac:dyDescent="0.3">
      <c r="A251" s="2" t="s">
        <v>822</v>
      </c>
      <c r="B251" s="2" t="s">
        <v>823</v>
      </c>
      <c r="C251" s="2">
        <v>33100</v>
      </c>
      <c r="D251" s="2">
        <v>43746</v>
      </c>
      <c r="E251" s="3">
        <v>46149</v>
      </c>
      <c r="F251" s="3">
        <v>46181</v>
      </c>
      <c r="G251" s="4">
        <v>10023.75</v>
      </c>
      <c r="H251" s="2">
        <v>0</v>
      </c>
      <c r="I251" s="2" t="s">
        <v>1114</v>
      </c>
      <c r="J251" s="2" t="s">
        <v>535</v>
      </c>
    </row>
    <row r="252" spans="1:10" x14ac:dyDescent="0.3">
      <c r="A252" s="2" t="s">
        <v>315</v>
      </c>
      <c r="B252" s="2" t="s">
        <v>316</v>
      </c>
      <c r="C252" s="2">
        <v>31294</v>
      </c>
      <c r="D252" s="2">
        <v>41829</v>
      </c>
      <c r="E252" s="3">
        <v>45972</v>
      </c>
      <c r="F252" s="3">
        <v>46182</v>
      </c>
      <c r="G252" s="4">
        <v>94007</v>
      </c>
      <c r="H252" s="2">
        <v>0</v>
      </c>
      <c r="I252" s="2" t="s">
        <v>317</v>
      </c>
      <c r="J252" s="2" t="s">
        <v>318</v>
      </c>
    </row>
    <row r="253" spans="1:10" x14ac:dyDescent="0.3">
      <c r="A253" s="2" t="s">
        <v>414</v>
      </c>
      <c r="B253" s="2" t="s">
        <v>415</v>
      </c>
      <c r="C253" s="2">
        <v>31639</v>
      </c>
      <c r="D253" s="2">
        <v>42207</v>
      </c>
      <c r="E253" s="3">
        <v>46002</v>
      </c>
      <c r="F253" s="3">
        <v>46182</v>
      </c>
      <c r="G253" s="4">
        <v>55756.2</v>
      </c>
      <c r="H253" s="2">
        <v>0</v>
      </c>
      <c r="I253" s="2" t="s">
        <v>416</v>
      </c>
      <c r="J253" s="2" t="s">
        <v>417</v>
      </c>
    </row>
    <row r="254" spans="1:10" x14ac:dyDescent="0.3">
      <c r="A254" s="2" t="s">
        <v>315</v>
      </c>
      <c r="B254" s="2" t="s">
        <v>316</v>
      </c>
      <c r="C254" s="2">
        <v>31646</v>
      </c>
      <c r="D254" s="2">
        <v>42213</v>
      </c>
      <c r="E254" s="3">
        <v>46002</v>
      </c>
      <c r="F254" s="3">
        <v>46182</v>
      </c>
      <c r="G254" s="4">
        <v>8300</v>
      </c>
      <c r="H254" s="2">
        <v>0</v>
      </c>
      <c r="I254" s="2" t="s">
        <v>419</v>
      </c>
      <c r="J254" s="2" t="s">
        <v>318</v>
      </c>
    </row>
    <row r="255" spans="1:10" x14ac:dyDescent="0.3">
      <c r="A255" s="2" t="s">
        <v>532</v>
      </c>
      <c r="B255" s="2" t="s">
        <v>533</v>
      </c>
      <c r="C255" s="2">
        <v>32000</v>
      </c>
      <c r="D255" s="2">
        <v>42619</v>
      </c>
      <c r="E255" s="3">
        <v>46042</v>
      </c>
      <c r="F255" s="3">
        <v>46182</v>
      </c>
      <c r="G255" s="4">
        <v>10903.24</v>
      </c>
      <c r="H255" s="2">
        <v>0</v>
      </c>
      <c r="I255" s="2" t="s">
        <v>534</v>
      </c>
      <c r="J255" s="2" t="s">
        <v>535</v>
      </c>
    </row>
    <row r="256" spans="1:10" x14ac:dyDescent="0.3">
      <c r="A256" s="2" t="s">
        <v>532</v>
      </c>
      <c r="B256" s="2" t="s">
        <v>533</v>
      </c>
      <c r="C256" s="2">
        <v>32001</v>
      </c>
      <c r="D256" s="2">
        <v>42620</v>
      </c>
      <c r="E256" s="3">
        <v>46042</v>
      </c>
      <c r="F256" s="3">
        <v>46182</v>
      </c>
      <c r="G256" s="4">
        <v>1698.72</v>
      </c>
      <c r="H256" s="2">
        <v>0</v>
      </c>
      <c r="I256" s="2" t="s">
        <v>534</v>
      </c>
      <c r="J256" s="2" t="s">
        <v>535</v>
      </c>
    </row>
    <row r="257" spans="1:10" x14ac:dyDescent="0.3">
      <c r="A257" s="2" t="s">
        <v>440</v>
      </c>
      <c r="B257" s="2" t="s">
        <v>441</v>
      </c>
      <c r="C257" s="2">
        <v>32378</v>
      </c>
      <c r="D257" s="2">
        <v>43041</v>
      </c>
      <c r="E257" s="3">
        <v>46077</v>
      </c>
      <c r="F257" s="3">
        <v>46182</v>
      </c>
      <c r="G257" s="2">
        <v>664</v>
      </c>
      <c r="H257" s="2">
        <v>0</v>
      </c>
      <c r="I257" s="2" t="s">
        <v>552</v>
      </c>
      <c r="J257" s="2" t="s">
        <v>417</v>
      </c>
    </row>
    <row r="258" spans="1:10" x14ac:dyDescent="0.3">
      <c r="A258" s="2" t="s">
        <v>257</v>
      </c>
      <c r="B258" s="2" t="s">
        <v>258</v>
      </c>
      <c r="C258" s="2">
        <v>32554</v>
      </c>
      <c r="D258" s="2">
        <v>43231</v>
      </c>
      <c r="E258" s="3">
        <v>46092</v>
      </c>
      <c r="F258" s="3">
        <v>46182</v>
      </c>
      <c r="G258" s="4">
        <v>17999.98</v>
      </c>
      <c r="H258" s="2">
        <v>0</v>
      </c>
      <c r="I258" s="2" t="s">
        <v>551</v>
      </c>
      <c r="J258" s="2" t="s">
        <v>260</v>
      </c>
    </row>
    <row r="259" spans="1:10" x14ac:dyDescent="0.3">
      <c r="A259" s="2" t="s">
        <v>781</v>
      </c>
      <c r="B259" s="2" t="s">
        <v>782</v>
      </c>
      <c r="C259" s="2">
        <v>32558</v>
      </c>
      <c r="D259" s="2">
        <v>43235</v>
      </c>
      <c r="E259" s="3">
        <v>46092</v>
      </c>
      <c r="F259" s="3">
        <v>46182</v>
      </c>
      <c r="G259" s="4">
        <v>29155.5</v>
      </c>
      <c r="H259" s="2">
        <v>0</v>
      </c>
      <c r="I259" s="2" t="s">
        <v>783</v>
      </c>
      <c r="J259" s="2" t="s">
        <v>339</v>
      </c>
    </row>
    <row r="260" spans="1:10" x14ac:dyDescent="0.3">
      <c r="A260" s="2" t="s">
        <v>102</v>
      </c>
      <c r="B260" s="2" t="s">
        <v>90</v>
      </c>
      <c r="C260" s="2">
        <v>32906</v>
      </c>
      <c r="D260" s="2">
        <v>43561</v>
      </c>
      <c r="E260" s="3">
        <v>46122</v>
      </c>
      <c r="F260" s="3">
        <v>46182</v>
      </c>
      <c r="G260" s="4">
        <v>3255</v>
      </c>
      <c r="H260" s="2">
        <v>0</v>
      </c>
      <c r="I260" s="2" t="s">
        <v>983</v>
      </c>
      <c r="J260" s="2" t="s">
        <v>97</v>
      </c>
    </row>
    <row r="261" spans="1:10" x14ac:dyDescent="0.3">
      <c r="A261" s="2" t="s">
        <v>102</v>
      </c>
      <c r="B261" s="2" t="s">
        <v>90</v>
      </c>
      <c r="C261" s="2">
        <v>32907</v>
      </c>
      <c r="D261" s="2">
        <v>43562</v>
      </c>
      <c r="E261" s="3">
        <v>46122</v>
      </c>
      <c r="F261" s="3">
        <v>46182</v>
      </c>
      <c r="G261" s="4">
        <v>33852</v>
      </c>
      <c r="H261" s="2">
        <v>0</v>
      </c>
      <c r="I261" s="2" t="s">
        <v>984</v>
      </c>
      <c r="J261" s="2" t="s">
        <v>97</v>
      </c>
    </row>
    <row r="262" spans="1:10" x14ac:dyDescent="0.3">
      <c r="A262" s="2" t="s">
        <v>748</v>
      </c>
      <c r="B262" s="2" t="s">
        <v>749</v>
      </c>
      <c r="C262" s="2">
        <v>32909</v>
      </c>
      <c r="D262" s="2">
        <v>43564</v>
      </c>
      <c r="E262" s="3">
        <v>46122</v>
      </c>
      <c r="F262" s="3">
        <v>46182</v>
      </c>
      <c r="G262" s="4">
        <v>8863.99</v>
      </c>
      <c r="H262" s="2">
        <v>0</v>
      </c>
      <c r="I262" s="2" t="s">
        <v>985</v>
      </c>
      <c r="J262" s="2" t="s">
        <v>339</v>
      </c>
    </row>
    <row r="263" spans="1:10" x14ac:dyDescent="0.3">
      <c r="A263" s="2" t="s">
        <v>360</v>
      </c>
      <c r="B263" s="2" t="s">
        <v>361</v>
      </c>
      <c r="C263" s="2">
        <v>33074</v>
      </c>
      <c r="D263" s="2">
        <v>43719</v>
      </c>
      <c r="E263" s="3">
        <v>46147</v>
      </c>
      <c r="F263" s="3">
        <v>46182</v>
      </c>
      <c r="G263" s="2">
        <v>505.82</v>
      </c>
      <c r="H263" s="2">
        <v>0</v>
      </c>
      <c r="I263" s="2" t="s">
        <v>1092</v>
      </c>
      <c r="J263" s="2" t="s">
        <v>92</v>
      </c>
    </row>
    <row r="264" spans="1:10" x14ac:dyDescent="0.3">
      <c r="A264" s="2" t="s">
        <v>235</v>
      </c>
      <c r="B264" s="2" t="s">
        <v>236</v>
      </c>
      <c r="C264" s="2">
        <v>30881</v>
      </c>
      <c r="D264" s="2">
        <v>41349</v>
      </c>
      <c r="E264" s="3">
        <v>45932</v>
      </c>
      <c r="F264" s="3">
        <v>46183</v>
      </c>
      <c r="G264" s="4">
        <v>237809</v>
      </c>
      <c r="H264" s="2">
        <v>0</v>
      </c>
      <c r="I264" s="2" t="s">
        <v>237</v>
      </c>
      <c r="J264" s="2" t="s">
        <v>238</v>
      </c>
    </row>
    <row r="265" spans="1:10" x14ac:dyDescent="0.3">
      <c r="A265" s="2" t="s">
        <v>271</v>
      </c>
      <c r="B265" s="2" t="s">
        <v>272</v>
      </c>
      <c r="C265" s="2">
        <v>31042</v>
      </c>
      <c r="D265" s="2">
        <v>41549</v>
      </c>
      <c r="E265" s="3">
        <v>45950</v>
      </c>
      <c r="F265" s="3">
        <v>46183</v>
      </c>
      <c r="G265" s="4">
        <v>52900</v>
      </c>
      <c r="H265" s="2">
        <v>0</v>
      </c>
      <c r="I265" s="2" t="s">
        <v>273</v>
      </c>
      <c r="J265" s="2" t="s">
        <v>238</v>
      </c>
    </row>
    <row r="266" spans="1:10" x14ac:dyDescent="0.3">
      <c r="A266" s="2" t="s">
        <v>235</v>
      </c>
      <c r="B266" s="2" t="s">
        <v>236</v>
      </c>
      <c r="C266" s="2">
        <v>31044</v>
      </c>
      <c r="D266" s="2">
        <v>41551</v>
      </c>
      <c r="E266" s="3">
        <v>45950</v>
      </c>
      <c r="F266" s="3">
        <v>46183</v>
      </c>
      <c r="G266" s="4">
        <v>10482</v>
      </c>
      <c r="H266" s="2">
        <v>0</v>
      </c>
      <c r="I266" s="2" t="s">
        <v>274</v>
      </c>
      <c r="J266" s="2" t="s">
        <v>238</v>
      </c>
    </row>
    <row r="267" spans="1:10" x14ac:dyDescent="0.3">
      <c r="A267" s="2" t="s">
        <v>363</v>
      </c>
      <c r="B267" s="2" t="s">
        <v>364</v>
      </c>
      <c r="C267" s="2">
        <v>31524</v>
      </c>
      <c r="D267" s="2">
        <v>42078</v>
      </c>
      <c r="E267" s="3">
        <v>45995</v>
      </c>
      <c r="F267" s="3">
        <v>46183</v>
      </c>
      <c r="G267" s="4">
        <v>77078.179999999993</v>
      </c>
      <c r="H267" s="2">
        <v>0</v>
      </c>
      <c r="I267" s="2" t="s">
        <v>365</v>
      </c>
      <c r="J267" s="2" t="s">
        <v>66</v>
      </c>
    </row>
    <row r="268" spans="1:10" x14ac:dyDescent="0.3">
      <c r="A268" s="2" t="s">
        <v>363</v>
      </c>
      <c r="B268" s="2" t="s">
        <v>364</v>
      </c>
      <c r="C268" s="2">
        <v>31525</v>
      </c>
      <c r="D268" s="2">
        <v>42079</v>
      </c>
      <c r="E268" s="3">
        <v>45995</v>
      </c>
      <c r="F268" s="3">
        <v>46183</v>
      </c>
      <c r="G268" s="4">
        <v>50410.8</v>
      </c>
      <c r="H268" s="2">
        <v>0</v>
      </c>
      <c r="I268" s="2" t="s">
        <v>366</v>
      </c>
      <c r="J268" s="2" t="s">
        <v>66</v>
      </c>
    </row>
    <row r="269" spans="1:10" x14ac:dyDescent="0.3">
      <c r="A269" s="2" t="s">
        <v>363</v>
      </c>
      <c r="B269" s="2" t="s">
        <v>364</v>
      </c>
      <c r="C269" s="2">
        <v>31526</v>
      </c>
      <c r="D269" s="2">
        <v>42080</v>
      </c>
      <c r="E269" s="3">
        <v>45995</v>
      </c>
      <c r="F269" s="3">
        <v>46183</v>
      </c>
      <c r="G269" s="4">
        <v>7625</v>
      </c>
      <c r="H269" s="2">
        <v>0</v>
      </c>
      <c r="I269" s="2" t="s">
        <v>367</v>
      </c>
      <c r="J269" s="2" t="s">
        <v>66</v>
      </c>
    </row>
    <row r="270" spans="1:10" x14ac:dyDescent="0.3">
      <c r="A270" s="2" t="s">
        <v>363</v>
      </c>
      <c r="B270" s="2" t="s">
        <v>364</v>
      </c>
      <c r="C270" s="2">
        <v>31528</v>
      </c>
      <c r="D270" s="2">
        <v>42082</v>
      </c>
      <c r="E270" s="3">
        <v>45995</v>
      </c>
      <c r="F270" s="3">
        <v>46183</v>
      </c>
      <c r="G270" s="4">
        <v>77224.25</v>
      </c>
      <c r="H270" s="2">
        <v>0</v>
      </c>
      <c r="I270" s="2" t="s">
        <v>368</v>
      </c>
      <c r="J270" s="2" t="s">
        <v>66</v>
      </c>
    </row>
    <row r="271" spans="1:10" x14ac:dyDescent="0.3">
      <c r="A271" s="2" t="s">
        <v>363</v>
      </c>
      <c r="B271" s="2" t="s">
        <v>364</v>
      </c>
      <c r="C271" s="2">
        <v>31529</v>
      </c>
      <c r="D271" s="2">
        <v>42083</v>
      </c>
      <c r="E271" s="3">
        <v>45995</v>
      </c>
      <c r="F271" s="3">
        <v>46183</v>
      </c>
      <c r="G271" s="4">
        <v>16428.259999999998</v>
      </c>
      <c r="H271" s="2">
        <v>0</v>
      </c>
      <c r="I271" s="2" t="s">
        <v>369</v>
      </c>
      <c r="J271" s="2" t="s">
        <v>66</v>
      </c>
    </row>
    <row r="272" spans="1:10" x14ac:dyDescent="0.3">
      <c r="A272" s="2" t="s">
        <v>363</v>
      </c>
      <c r="B272" s="2" t="s">
        <v>364</v>
      </c>
      <c r="C272" s="2">
        <v>31530</v>
      </c>
      <c r="D272" s="2">
        <v>42084</v>
      </c>
      <c r="E272" s="3">
        <v>45995</v>
      </c>
      <c r="F272" s="3">
        <v>46183</v>
      </c>
      <c r="G272" s="4">
        <v>39884.400000000001</v>
      </c>
      <c r="H272" s="2">
        <v>0</v>
      </c>
      <c r="I272" s="2" t="s">
        <v>370</v>
      </c>
      <c r="J272" s="2" t="s">
        <v>66</v>
      </c>
    </row>
    <row r="273" spans="1:10" x14ac:dyDescent="0.3">
      <c r="A273" s="2" t="s">
        <v>363</v>
      </c>
      <c r="B273" s="2" t="s">
        <v>364</v>
      </c>
      <c r="C273" s="2">
        <v>31551</v>
      </c>
      <c r="D273" s="2">
        <v>42107</v>
      </c>
      <c r="E273" s="3">
        <v>45996</v>
      </c>
      <c r="F273" s="3">
        <v>46183</v>
      </c>
      <c r="G273" s="4">
        <v>5900</v>
      </c>
      <c r="H273" s="2">
        <v>0</v>
      </c>
      <c r="I273" s="2" t="s">
        <v>365</v>
      </c>
      <c r="J273" s="2" t="s">
        <v>66</v>
      </c>
    </row>
    <row r="274" spans="1:10" x14ac:dyDescent="0.3">
      <c r="A274" s="2" t="s">
        <v>360</v>
      </c>
      <c r="B274" s="2" t="s">
        <v>361</v>
      </c>
      <c r="C274" s="2">
        <v>31659</v>
      </c>
      <c r="D274" s="2">
        <v>42229</v>
      </c>
      <c r="E274" s="3">
        <v>46003</v>
      </c>
      <c r="F274" s="3">
        <v>46183</v>
      </c>
      <c r="G274" s="4">
        <v>4000</v>
      </c>
      <c r="H274" s="2">
        <v>0</v>
      </c>
      <c r="I274" s="2" t="s">
        <v>420</v>
      </c>
      <c r="J274" s="2" t="s">
        <v>92</v>
      </c>
    </row>
    <row r="275" spans="1:10" x14ac:dyDescent="0.3">
      <c r="A275" s="2" t="s">
        <v>271</v>
      </c>
      <c r="B275" s="2" t="s">
        <v>272</v>
      </c>
      <c r="C275" s="2">
        <v>31788</v>
      </c>
      <c r="D275" s="2">
        <v>42358</v>
      </c>
      <c r="E275" s="3">
        <v>46010</v>
      </c>
      <c r="F275" s="3">
        <v>46183</v>
      </c>
      <c r="G275" s="4">
        <v>153825</v>
      </c>
      <c r="H275" s="2">
        <v>0</v>
      </c>
      <c r="I275" s="2" t="s">
        <v>329</v>
      </c>
      <c r="J275" s="2" t="s">
        <v>238</v>
      </c>
    </row>
    <row r="276" spans="1:10" x14ac:dyDescent="0.3">
      <c r="A276" s="2" t="s">
        <v>235</v>
      </c>
      <c r="B276" s="2" t="s">
        <v>236</v>
      </c>
      <c r="C276" s="2">
        <v>31790</v>
      </c>
      <c r="D276" s="2">
        <v>42361</v>
      </c>
      <c r="E276" s="3">
        <v>46010</v>
      </c>
      <c r="F276" s="3">
        <v>46183</v>
      </c>
      <c r="G276" s="4">
        <v>76048</v>
      </c>
      <c r="H276" s="2">
        <v>0</v>
      </c>
      <c r="I276" s="2" t="s">
        <v>459</v>
      </c>
      <c r="J276" s="2" t="s">
        <v>238</v>
      </c>
    </row>
    <row r="277" spans="1:10" x14ac:dyDescent="0.3">
      <c r="A277" s="2" t="s">
        <v>235</v>
      </c>
      <c r="B277" s="2" t="s">
        <v>236</v>
      </c>
      <c r="C277" s="2">
        <v>31864</v>
      </c>
      <c r="D277" s="2">
        <v>42448</v>
      </c>
      <c r="E277" s="3">
        <v>46028</v>
      </c>
      <c r="F277" s="3">
        <v>46183</v>
      </c>
      <c r="G277" s="4">
        <v>32650</v>
      </c>
      <c r="H277" s="2">
        <v>0</v>
      </c>
      <c r="I277" s="2" t="s">
        <v>274</v>
      </c>
      <c r="J277" s="2" t="s">
        <v>238</v>
      </c>
    </row>
    <row r="278" spans="1:10" x14ac:dyDescent="0.3">
      <c r="A278" s="2" t="s">
        <v>235</v>
      </c>
      <c r="B278" s="2" t="s">
        <v>236</v>
      </c>
      <c r="C278" s="2">
        <v>31958</v>
      </c>
      <c r="D278" s="2">
        <v>42571</v>
      </c>
      <c r="E278" s="3">
        <v>46038</v>
      </c>
      <c r="F278" s="3">
        <v>46183</v>
      </c>
      <c r="G278" s="4">
        <v>6530</v>
      </c>
      <c r="H278" s="2">
        <v>0</v>
      </c>
      <c r="I278" s="2" t="s">
        <v>274</v>
      </c>
      <c r="J278" s="2" t="s">
        <v>238</v>
      </c>
    </row>
    <row r="279" spans="1:10" x14ac:dyDescent="0.3">
      <c r="A279" s="2" t="s">
        <v>440</v>
      </c>
      <c r="B279" s="2" t="s">
        <v>441</v>
      </c>
      <c r="C279" s="2">
        <v>32088</v>
      </c>
      <c r="D279" s="2">
        <v>42721</v>
      </c>
      <c r="E279" s="3">
        <v>46048</v>
      </c>
      <c r="F279" s="3">
        <v>46183</v>
      </c>
      <c r="G279" s="4">
        <v>1322.67</v>
      </c>
      <c r="H279" s="2">
        <v>0</v>
      </c>
      <c r="I279" s="2" t="s">
        <v>552</v>
      </c>
      <c r="J279" s="2" t="s">
        <v>417</v>
      </c>
    </row>
    <row r="280" spans="1:10" x14ac:dyDescent="0.3">
      <c r="A280" s="2" t="s">
        <v>440</v>
      </c>
      <c r="B280" s="2" t="s">
        <v>441</v>
      </c>
      <c r="C280" s="2">
        <v>32089</v>
      </c>
      <c r="D280" s="2">
        <v>42722</v>
      </c>
      <c r="E280" s="3">
        <v>46048</v>
      </c>
      <c r="F280" s="3">
        <v>46183</v>
      </c>
      <c r="G280" s="4">
        <v>1322.67</v>
      </c>
      <c r="H280" s="2">
        <v>0</v>
      </c>
      <c r="I280" s="2" t="s">
        <v>552</v>
      </c>
      <c r="J280" s="2" t="s">
        <v>417</v>
      </c>
    </row>
    <row r="281" spans="1:10" x14ac:dyDescent="0.3">
      <c r="A281" s="2" t="s">
        <v>391</v>
      </c>
      <c r="B281" s="2" t="s">
        <v>392</v>
      </c>
      <c r="C281" s="2">
        <v>31912</v>
      </c>
      <c r="D281" s="2">
        <v>42511</v>
      </c>
      <c r="E281" s="3">
        <v>46034</v>
      </c>
      <c r="F281" s="3">
        <v>46184</v>
      </c>
      <c r="G281" s="4">
        <v>26940</v>
      </c>
      <c r="H281" s="2">
        <v>0</v>
      </c>
      <c r="I281" s="2" t="s">
        <v>499</v>
      </c>
      <c r="J281" s="2" t="s">
        <v>394</v>
      </c>
    </row>
    <row r="282" spans="1:10" x14ac:dyDescent="0.3">
      <c r="A282" s="2" t="s">
        <v>398</v>
      </c>
      <c r="B282" s="2" t="s">
        <v>399</v>
      </c>
      <c r="C282" s="2">
        <v>31915</v>
      </c>
      <c r="D282" s="2">
        <v>42514</v>
      </c>
      <c r="E282" s="3">
        <v>46034</v>
      </c>
      <c r="F282" s="3">
        <v>46184</v>
      </c>
      <c r="G282" s="4">
        <v>52820.6</v>
      </c>
      <c r="H282" s="2">
        <v>0</v>
      </c>
      <c r="I282" s="2" t="s">
        <v>500</v>
      </c>
      <c r="J282" s="2" t="s">
        <v>394</v>
      </c>
    </row>
    <row r="283" spans="1:10" x14ac:dyDescent="0.3">
      <c r="A283" s="2" t="s">
        <v>398</v>
      </c>
      <c r="B283" s="2" t="s">
        <v>399</v>
      </c>
      <c r="C283" s="2">
        <v>31917</v>
      </c>
      <c r="D283" s="2">
        <v>42516</v>
      </c>
      <c r="E283" s="3">
        <v>46034</v>
      </c>
      <c r="F283" s="3">
        <v>46184</v>
      </c>
      <c r="G283" s="4">
        <v>21390</v>
      </c>
      <c r="H283" s="2">
        <v>0</v>
      </c>
      <c r="I283" s="2" t="s">
        <v>500</v>
      </c>
      <c r="J283" s="2" t="s">
        <v>394</v>
      </c>
    </row>
    <row r="284" spans="1:10" x14ac:dyDescent="0.3">
      <c r="A284" s="2" t="s">
        <v>391</v>
      </c>
      <c r="B284" s="2" t="s">
        <v>392</v>
      </c>
      <c r="C284" s="2">
        <v>31918</v>
      </c>
      <c r="D284" s="2">
        <v>42517</v>
      </c>
      <c r="E284" s="3">
        <v>46034</v>
      </c>
      <c r="F284" s="3">
        <v>46184</v>
      </c>
      <c r="G284" s="4">
        <v>12680</v>
      </c>
      <c r="H284" s="2">
        <v>0</v>
      </c>
      <c r="I284" s="2" t="s">
        <v>499</v>
      </c>
      <c r="J284" s="2" t="s">
        <v>394</v>
      </c>
    </row>
    <row r="285" spans="1:10" x14ac:dyDescent="0.3">
      <c r="A285" s="2" t="s">
        <v>653</v>
      </c>
      <c r="B285" s="2" t="s">
        <v>654</v>
      </c>
      <c r="C285" s="2">
        <v>32280</v>
      </c>
      <c r="D285" s="2">
        <v>42911</v>
      </c>
      <c r="E285" s="3">
        <v>46064</v>
      </c>
      <c r="F285" s="3">
        <v>46184</v>
      </c>
      <c r="G285" s="4">
        <v>82340</v>
      </c>
      <c r="H285" s="2">
        <v>0</v>
      </c>
      <c r="I285" s="2" t="s">
        <v>655</v>
      </c>
      <c r="J285" s="2" t="s">
        <v>412</v>
      </c>
    </row>
    <row r="286" spans="1:10" x14ac:dyDescent="0.3">
      <c r="A286" s="2" t="s">
        <v>656</v>
      </c>
      <c r="B286" s="2" t="s">
        <v>657</v>
      </c>
      <c r="C286" s="2">
        <v>32288</v>
      </c>
      <c r="D286" s="2">
        <v>42920</v>
      </c>
      <c r="E286" s="3">
        <v>46064</v>
      </c>
      <c r="F286" s="3">
        <v>46184</v>
      </c>
      <c r="G286" s="4">
        <v>15112.9</v>
      </c>
      <c r="H286" s="2">
        <v>0</v>
      </c>
      <c r="I286" s="2" t="s">
        <v>658</v>
      </c>
      <c r="J286" s="2" t="s">
        <v>162</v>
      </c>
    </row>
    <row r="287" spans="1:10" x14ac:dyDescent="0.3">
      <c r="A287" s="2" t="s">
        <v>662</v>
      </c>
      <c r="B287" s="2" t="s">
        <v>44</v>
      </c>
      <c r="C287" s="2">
        <v>32580</v>
      </c>
      <c r="D287" s="2">
        <v>43254</v>
      </c>
      <c r="E287" s="3">
        <v>46094</v>
      </c>
      <c r="F287" s="3">
        <v>46184</v>
      </c>
      <c r="G287" s="4">
        <v>186267.6</v>
      </c>
      <c r="H287" s="2">
        <v>0</v>
      </c>
      <c r="I287" s="2" t="s">
        <v>663</v>
      </c>
      <c r="J287" s="2" t="s">
        <v>46</v>
      </c>
    </row>
    <row r="288" spans="1:10" x14ac:dyDescent="0.3">
      <c r="A288" s="2" t="s">
        <v>662</v>
      </c>
      <c r="B288" s="2" t="s">
        <v>44</v>
      </c>
      <c r="C288" s="2">
        <v>32581</v>
      </c>
      <c r="D288" s="2">
        <v>43255</v>
      </c>
      <c r="E288" s="3">
        <v>46094</v>
      </c>
      <c r="F288" s="3">
        <v>46184</v>
      </c>
      <c r="G288" s="4">
        <v>226732.79999999999</v>
      </c>
      <c r="H288" s="2">
        <v>0</v>
      </c>
      <c r="I288" s="2" t="s">
        <v>663</v>
      </c>
      <c r="J288" s="2" t="s">
        <v>46</v>
      </c>
    </row>
    <row r="289" spans="1:10" x14ac:dyDescent="0.3">
      <c r="A289" s="2" t="s">
        <v>861</v>
      </c>
      <c r="B289" s="2" t="s">
        <v>862</v>
      </c>
      <c r="C289" s="2">
        <v>33141</v>
      </c>
      <c r="D289" s="2">
        <v>43785</v>
      </c>
      <c r="E289" s="3">
        <v>46154</v>
      </c>
      <c r="F289" s="3">
        <v>46184</v>
      </c>
      <c r="G289" s="4">
        <v>10028.99</v>
      </c>
      <c r="H289" s="2">
        <v>0</v>
      </c>
      <c r="I289" s="2" t="s">
        <v>1142</v>
      </c>
      <c r="J289" s="2" t="s">
        <v>162</v>
      </c>
    </row>
    <row r="290" spans="1:10" x14ac:dyDescent="0.3">
      <c r="A290" s="2" t="s">
        <v>271</v>
      </c>
      <c r="B290" s="2" t="s">
        <v>272</v>
      </c>
      <c r="C290" s="2">
        <v>31381</v>
      </c>
      <c r="D290" s="2">
        <v>41921</v>
      </c>
      <c r="E290" s="3">
        <v>45975</v>
      </c>
      <c r="F290" s="3">
        <v>46185</v>
      </c>
      <c r="G290" s="4">
        <v>30660</v>
      </c>
      <c r="H290" s="2">
        <v>0</v>
      </c>
      <c r="I290" s="2" t="s">
        <v>329</v>
      </c>
      <c r="J290" s="2" t="s">
        <v>238</v>
      </c>
    </row>
    <row r="291" spans="1:10" x14ac:dyDescent="0.3">
      <c r="A291" s="2" t="s">
        <v>336</v>
      </c>
      <c r="B291" s="2" t="s">
        <v>337</v>
      </c>
      <c r="C291" s="2">
        <v>31933</v>
      </c>
      <c r="D291" s="2">
        <v>42531</v>
      </c>
      <c r="E291" s="3">
        <v>46035</v>
      </c>
      <c r="F291" s="3">
        <v>46185</v>
      </c>
      <c r="G291" s="4">
        <v>34400</v>
      </c>
      <c r="H291" s="2">
        <v>0</v>
      </c>
      <c r="I291" s="2" t="s">
        <v>503</v>
      </c>
      <c r="J291" s="2" t="s">
        <v>339</v>
      </c>
    </row>
    <row r="292" spans="1:10" x14ac:dyDescent="0.3">
      <c r="A292" s="2" t="s">
        <v>582</v>
      </c>
      <c r="B292" s="2" t="s">
        <v>583</v>
      </c>
      <c r="C292" s="2">
        <v>32289</v>
      </c>
      <c r="D292" s="2">
        <v>42921</v>
      </c>
      <c r="E292" s="3">
        <v>46065</v>
      </c>
      <c r="F292" s="3">
        <v>46185</v>
      </c>
      <c r="G292" s="4">
        <v>7893</v>
      </c>
      <c r="H292" s="2">
        <v>0</v>
      </c>
      <c r="I292" s="2" t="s">
        <v>584</v>
      </c>
      <c r="J292" s="2" t="s">
        <v>92</v>
      </c>
    </row>
    <row r="293" spans="1:10" x14ac:dyDescent="0.3">
      <c r="A293" s="2" t="s">
        <v>599</v>
      </c>
      <c r="B293" s="2" t="s">
        <v>600</v>
      </c>
      <c r="C293" s="2">
        <v>32471</v>
      </c>
      <c r="D293" s="2">
        <v>43137</v>
      </c>
      <c r="E293" s="3">
        <v>46080</v>
      </c>
      <c r="F293" s="3">
        <v>46185</v>
      </c>
      <c r="G293" s="4">
        <v>30066</v>
      </c>
      <c r="H293" s="2">
        <v>0</v>
      </c>
      <c r="I293" s="2" t="s">
        <v>601</v>
      </c>
      <c r="J293" s="2" t="s">
        <v>26</v>
      </c>
    </row>
    <row r="294" spans="1:10" x14ac:dyDescent="0.3">
      <c r="A294" s="2" t="s">
        <v>440</v>
      </c>
      <c r="B294" s="2" t="s">
        <v>441</v>
      </c>
      <c r="C294" s="2">
        <v>32914</v>
      </c>
      <c r="D294" s="2">
        <v>43569</v>
      </c>
      <c r="E294" s="3">
        <v>46125</v>
      </c>
      <c r="F294" s="3">
        <v>46185</v>
      </c>
      <c r="G294" s="4">
        <v>23646.2</v>
      </c>
      <c r="H294" s="2">
        <v>0</v>
      </c>
      <c r="I294" s="2" t="s">
        <v>987</v>
      </c>
      <c r="J294" s="2" t="s">
        <v>417</v>
      </c>
    </row>
    <row r="295" spans="1:10" x14ac:dyDescent="0.3">
      <c r="A295" s="2" t="s">
        <v>861</v>
      </c>
      <c r="B295" s="2" t="s">
        <v>862</v>
      </c>
      <c r="C295" s="2">
        <v>32920</v>
      </c>
      <c r="D295" s="2">
        <v>43575</v>
      </c>
      <c r="E295" s="3">
        <v>46125</v>
      </c>
      <c r="F295" s="3">
        <v>46185</v>
      </c>
      <c r="G295" s="4">
        <v>9584.69</v>
      </c>
      <c r="H295" s="2">
        <v>0</v>
      </c>
      <c r="I295" s="2" t="s">
        <v>993</v>
      </c>
      <c r="J295" s="2" t="s">
        <v>162</v>
      </c>
    </row>
    <row r="296" spans="1:10" x14ac:dyDescent="0.3">
      <c r="A296" s="2" t="s">
        <v>440</v>
      </c>
      <c r="B296" s="2" t="s">
        <v>441</v>
      </c>
      <c r="C296" s="2">
        <v>32926</v>
      </c>
      <c r="D296" s="2">
        <v>43581</v>
      </c>
      <c r="E296" s="3">
        <v>46125</v>
      </c>
      <c r="F296" s="3">
        <v>46185</v>
      </c>
      <c r="G296" s="4">
        <v>13716.43</v>
      </c>
      <c r="H296" s="2">
        <v>0</v>
      </c>
      <c r="I296" s="2" t="s">
        <v>996</v>
      </c>
      <c r="J296" s="2" t="s">
        <v>417</v>
      </c>
    </row>
    <row r="297" spans="1:10" x14ac:dyDescent="0.3">
      <c r="A297" s="2" t="s">
        <v>440</v>
      </c>
      <c r="B297" s="2" t="s">
        <v>441</v>
      </c>
      <c r="C297" s="2">
        <v>32927</v>
      </c>
      <c r="D297" s="2">
        <v>43582</v>
      </c>
      <c r="E297" s="3">
        <v>46125</v>
      </c>
      <c r="F297" s="3">
        <v>46185</v>
      </c>
      <c r="G297" s="4">
        <v>9599.99</v>
      </c>
      <c r="H297" s="2">
        <v>0</v>
      </c>
      <c r="I297" s="2" t="s">
        <v>997</v>
      </c>
      <c r="J297" s="2" t="s">
        <v>417</v>
      </c>
    </row>
    <row r="298" spans="1:10" x14ac:dyDescent="0.3">
      <c r="A298" s="2" t="s">
        <v>440</v>
      </c>
      <c r="B298" s="2" t="s">
        <v>441</v>
      </c>
      <c r="C298" s="2">
        <v>32928</v>
      </c>
      <c r="D298" s="2">
        <v>43583</v>
      </c>
      <c r="E298" s="3">
        <v>46125</v>
      </c>
      <c r="F298" s="3">
        <v>46185</v>
      </c>
      <c r="G298" s="4">
        <v>2933.33</v>
      </c>
      <c r="H298" s="2">
        <v>0</v>
      </c>
      <c r="I298" s="2" t="s">
        <v>998</v>
      </c>
      <c r="J298" s="2" t="s">
        <v>417</v>
      </c>
    </row>
    <row r="299" spans="1:10" x14ac:dyDescent="0.3">
      <c r="A299" s="2" t="s">
        <v>440</v>
      </c>
      <c r="B299" s="2" t="s">
        <v>441</v>
      </c>
      <c r="C299" s="2">
        <v>32930</v>
      </c>
      <c r="D299" s="2">
        <v>43584</v>
      </c>
      <c r="E299" s="3">
        <v>46125</v>
      </c>
      <c r="F299" s="3">
        <v>46185</v>
      </c>
      <c r="G299" s="4">
        <v>6191.55</v>
      </c>
      <c r="H299" s="2">
        <v>0</v>
      </c>
      <c r="I299" s="2" t="s">
        <v>999</v>
      </c>
      <c r="J299" s="2" t="s">
        <v>417</v>
      </c>
    </row>
    <row r="300" spans="1:10" x14ac:dyDescent="0.3">
      <c r="A300" s="2" t="s">
        <v>532</v>
      </c>
      <c r="B300" s="2" t="s">
        <v>533</v>
      </c>
      <c r="C300" s="2">
        <v>33159</v>
      </c>
      <c r="D300" s="2">
        <v>43800</v>
      </c>
      <c r="E300" s="3">
        <v>46155</v>
      </c>
      <c r="F300" s="3">
        <v>46185</v>
      </c>
      <c r="G300" s="4">
        <v>10692.42</v>
      </c>
      <c r="H300" s="2">
        <v>0</v>
      </c>
      <c r="I300" s="2" t="s">
        <v>1152</v>
      </c>
      <c r="J300" s="2" t="s">
        <v>535</v>
      </c>
    </row>
    <row r="301" spans="1:10" x14ac:dyDescent="0.3">
      <c r="A301" s="2" t="s">
        <v>582</v>
      </c>
      <c r="B301" s="2" t="s">
        <v>583</v>
      </c>
      <c r="C301" s="2">
        <v>33160</v>
      </c>
      <c r="D301" s="2">
        <v>43801</v>
      </c>
      <c r="E301" s="3">
        <v>46155</v>
      </c>
      <c r="F301" s="3">
        <v>46185</v>
      </c>
      <c r="G301" s="4">
        <v>5085.9399999999996</v>
      </c>
      <c r="H301" s="2">
        <v>0</v>
      </c>
      <c r="I301" s="2" t="s">
        <v>1153</v>
      </c>
      <c r="J301" s="2" t="s">
        <v>92</v>
      </c>
    </row>
    <row r="302" spans="1:10" x14ac:dyDescent="0.3">
      <c r="A302" s="2" t="s">
        <v>244</v>
      </c>
      <c r="B302" s="2" t="s">
        <v>245</v>
      </c>
      <c r="C302" s="2">
        <v>30901</v>
      </c>
      <c r="D302" s="2">
        <v>41383</v>
      </c>
      <c r="E302" s="3">
        <v>45937</v>
      </c>
      <c r="F302" s="3">
        <v>46188</v>
      </c>
      <c r="G302" s="4">
        <v>474650.8</v>
      </c>
      <c r="H302" s="2">
        <v>0</v>
      </c>
      <c r="I302" s="2" t="s">
        <v>246</v>
      </c>
      <c r="J302" s="2" t="s">
        <v>66</v>
      </c>
    </row>
    <row r="303" spans="1:10" x14ac:dyDescent="0.3">
      <c r="A303" s="2" t="s">
        <v>330</v>
      </c>
      <c r="B303" s="2" t="s">
        <v>331</v>
      </c>
      <c r="C303" s="2">
        <v>31389</v>
      </c>
      <c r="D303" s="2">
        <v>41933</v>
      </c>
      <c r="E303" s="3">
        <v>45978</v>
      </c>
      <c r="F303" s="3">
        <v>46188</v>
      </c>
      <c r="G303" s="4">
        <v>22659.38</v>
      </c>
      <c r="H303" s="2">
        <v>0</v>
      </c>
      <c r="I303" s="2" t="s">
        <v>332</v>
      </c>
      <c r="J303" s="2" t="s">
        <v>260</v>
      </c>
    </row>
    <row r="304" spans="1:10" x14ac:dyDescent="0.3">
      <c r="A304" s="2" t="s">
        <v>360</v>
      </c>
      <c r="B304" s="2" t="s">
        <v>361</v>
      </c>
      <c r="C304" s="2">
        <v>31681</v>
      </c>
      <c r="D304" s="2">
        <v>42258</v>
      </c>
      <c r="E304" s="3">
        <v>46006</v>
      </c>
      <c r="F304" s="3">
        <v>46188</v>
      </c>
      <c r="G304" s="2">
        <v>221.8</v>
      </c>
      <c r="H304" s="2">
        <v>0</v>
      </c>
      <c r="I304" s="2" t="s">
        <v>425</v>
      </c>
      <c r="J304" s="2" t="s">
        <v>92</v>
      </c>
    </row>
    <row r="305" spans="1:10" x14ac:dyDescent="0.3">
      <c r="A305" s="2" t="s">
        <v>427</v>
      </c>
      <c r="B305" s="2" t="s">
        <v>428</v>
      </c>
      <c r="C305" s="2">
        <v>31721</v>
      </c>
      <c r="D305" s="2">
        <v>42290</v>
      </c>
      <c r="E305" s="3">
        <v>46007</v>
      </c>
      <c r="F305" s="3">
        <v>46188</v>
      </c>
      <c r="G305" s="4">
        <v>31475.96</v>
      </c>
      <c r="H305" s="2">
        <v>0</v>
      </c>
      <c r="I305" s="2" t="s">
        <v>429</v>
      </c>
      <c r="J305" s="2" t="s">
        <v>260</v>
      </c>
    </row>
    <row r="306" spans="1:10" x14ac:dyDescent="0.3">
      <c r="A306" s="2" t="s">
        <v>440</v>
      </c>
      <c r="B306" s="2" t="s">
        <v>441</v>
      </c>
      <c r="C306" s="2">
        <v>31739</v>
      </c>
      <c r="D306" s="2">
        <v>42310</v>
      </c>
      <c r="E306" s="3">
        <v>46008</v>
      </c>
      <c r="F306" s="3">
        <v>46188</v>
      </c>
      <c r="G306" s="2">
        <v>946.64</v>
      </c>
      <c r="H306" s="2">
        <v>0</v>
      </c>
      <c r="I306" s="2" t="s">
        <v>442</v>
      </c>
      <c r="J306" s="2" t="s">
        <v>417</v>
      </c>
    </row>
    <row r="307" spans="1:10" x14ac:dyDescent="0.3">
      <c r="A307" s="2" t="s">
        <v>440</v>
      </c>
      <c r="B307" s="2" t="s">
        <v>441</v>
      </c>
      <c r="C307" s="2">
        <v>31740</v>
      </c>
      <c r="D307" s="2">
        <v>42311</v>
      </c>
      <c r="E307" s="3">
        <v>46008</v>
      </c>
      <c r="F307" s="3">
        <v>46188</v>
      </c>
      <c r="G307" s="4">
        <v>12886.24</v>
      </c>
      <c r="H307" s="2">
        <v>0</v>
      </c>
      <c r="I307" s="2" t="s">
        <v>443</v>
      </c>
      <c r="J307" s="2" t="s">
        <v>417</v>
      </c>
    </row>
    <row r="308" spans="1:10" x14ac:dyDescent="0.3">
      <c r="A308" s="2" t="s">
        <v>440</v>
      </c>
      <c r="B308" s="2" t="s">
        <v>441</v>
      </c>
      <c r="C308" s="2">
        <v>31743</v>
      </c>
      <c r="D308" s="2">
        <v>42313</v>
      </c>
      <c r="E308" s="3">
        <v>46008</v>
      </c>
      <c r="F308" s="3">
        <v>46188</v>
      </c>
      <c r="G308" s="4">
        <v>22192.639999999999</v>
      </c>
      <c r="H308" s="2">
        <v>0</v>
      </c>
      <c r="I308" s="2" t="s">
        <v>444</v>
      </c>
      <c r="J308" s="2" t="s">
        <v>417</v>
      </c>
    </row>
    <row r="309" spans="1:10" x14ac:dyDescent="0.3">
      <c r="A309" s="2" t="s">
        <v>414</v>
      </c>
      <c r="B309" s="2" t="s">
        <v>415</v>
      </c>
      <c r="C309" s="2">
        <v>31759</v>
      </c>
      <c r="D309" s="2">
        <v>42328</v>
      </c>
      <c r="E309" s="3">
        <v>46008</v>
      </c>
      <c r="F309" s="3">
        <v>46188</v>
      </c>
      <c r="G309" s="4">
        <v>7090.84</v>
      </c>
      <c r="H309" s="2">
        <v>0</v>
      </c>
      <c r="I309" s="2" t="s">
        <v>445</v>
      </c>
      <c r="J309" s="2" t="s">
        <v>417</v>
      </c>
    </row>
    <row r="310" spans="1:10" x14ac:dyDescent="0.3">
      <c r="A310" s="2" t="s">
        <v>446</v>
      </c>
      <c r="B310" s="2" t="s">
        <v>447</v>
      </c>
      <c r="C310" s="2">
        <v>31760</v>
      </c>
      <c r="D310" s="2">
        <v>42329</v>
      </c>
      <c r="E310" s="3">
        <v>46008</v>
      </c>
      <c r="F310" s="3">
        <v>46188</v>
      </c>
      <c r="G310" s="4">
        <v>16559</v>
      </c>
      <c r="H310" s="2">
        <v>0</v>
      </c>
      <c r="I310" s="2" t="s">
        <v>448</v>
      </c>
      <c r="J310" s="2" t="s">
        <v>417</v>
      </c>
    </row>
    <row r="311" spans="1:10" x14ac:dyDescent="0.3">
      <c r="A311" s="2" t="s">
        <v>440</v>
      </c>
      <c r="B311" s="2" t="s">
        <v>441</v>
      </c>
      <c r="C311" s="2">
        <v>31761</v>
      </c>
      <c r="D311" s="2">
        <v>42330</v>
      </c>
      <c r="E311" s="3">
        <v>46008</v>
      </c>
      <c r="F311" s="3">
        <v>46188</v>
      </c>
      <c r="G311" s="4">
        <v>12886.24</v>
      </c>
      <c r="H311" s="2">
        <v>0</v>
      </c>
      <c r="I311" s="2" t="s">
        <v>449</v>
      </c>
      <c r="J311" s="2" t="s">
        <v>417</v>
      </c>
    </row>
    <row r="312" spans="1:10" x14ac:dyDescent="0.3">
      <c r="A312" s="2" t="s">
        <v>440</v>
      </c>
      <c r="B312" s="2" t="s">
        <v>441</v>
      </c>
      <c r="C312" s="2">
        <v>31762</v>
      </c>
      <c r="D312" s="2">
        <v>42331</v>
      </c>
      <c r="E312" s="3">
        <v>46008</v>
      </c>
      <c r="F312" s="3">
        <v>46188</v>
      </c>
      <c r="G312" s="4">
        <v>8239.2000000000007</v>
      </c>
      <c r="H312" s="2">
        <v>0</v>
      </c>
      <c r="I312" s="2" t="s">
        <v>450</v>
      </c>
      <c r="J312" s="2" t="s">
        <v>417</v>
      </c>
    </row>
    <row r="313" spans="1:10" x14ac:dyDescent="0.3">
      <c r="A313" s="2" t="s">
        <v>514</v>
      </c>
      <c r="B313" s="2" t="s">
        <v>515</v>
      </c>
      <c r="C313" s="2">
        <v>31960</v>
      </c>
      <c r="D313" s="2">
        <v>42573</v>
      </c>
      <c r="E313" s="3">
        <v>46038</v>
      </c>
      <c r="F313" s="3">
        <v>46188</v>
      </c>
      <c r="G313" s="4">
        <v>11151.96</v>
      </c>
      <c r="H313" s="2">
        <v>0</v>
      </c>
      <c r="I313" s="2" t="s">
        <v>516</v>
      </c>
      <c r="J313" s="2" t="s">
        <v>238</v>
      </c>
    </row>
    <row r="314" spans="1:10" x14ac:dyDescent="0.3">
      <c r="A314" s="2" t="s">
        <v>514</v>
      </c>
      <c r="B314" s="2" t="s">
        <v>515</v>
      </c>
      <c r="C314" s="2">
        <v>31961</v>
      </c>
      <c r="D314" s="2">
        <v>42574</v>
      </c>
      <c r="E314" s="3">
        <v>46038</v>
      </c>
      <c r="F314" s="3">
        <v>46188</v>
      </c>
      <c r="G314" s="4">
        <v>2863.4</v>
      </c>
      <c r="H314" s="2">
        <v>0</v>
      </c>
      <c r="I314" s="2" t="s">
        <v>516</v>
      </c>
      <c r="J314" s="2" t="s">
        <v>238</v>
      </c>
    </row>
    <row r="315" spans="1:10" x14ac:dyDescent="0.3">
      <c r="A315" s="2" t="s">
        <v>514</v>
      </c>
      <c r="B315" s="2" t="s">
        <v>515</v>
      </c>
      <c r="C315" s="2">
        <v>31962</v>
      </c>
      <c r="D315" s="2">
        <v>42575</v>
      </c>
      <c r="E315" s="3">
        <v>46038</v>
      </c>
      <c r="F315" s="3">
        <v>46188</v>
      </c>
      <c r="G315" s="4">
        <v>4383.1400000000003</v>
      </c>
      <c r="H315" s="2">
        <v>0</v>
      </c>
      <c r="I315" s="2" t="s">
        <v>516</v>
      </c>
      <c r="J315" s="2" t="s">
        <v>238</v>
      </c>
    </row>
    <row r="316" spans="1:10" x14ac:dyDescent="0.3">
      <c r="A316" s="2" t="s">
        <v>517</v>
      </c>
      <c r="B316" s="2" t="s">
        <v>518</v>
      </c>
      <c r="C316" s="2">
        <v>31965</v>
      </c>
      <c r="D316" s="2">
        <v>42578</v>
      </c>
      <c r="E316" s="3">
        <v>46038</v>
      </c>
      <c r="F316" s="3">
        <v>46188</v>
      </c>
      <c r="G316" s="4">
        <v>1552.56</v>
      </c>
      <c r="H316" s="2">
        <v>0</v>
      </c>
      <c r="I316" s="2" t="s">
        <v>519</v>
      </c>
      <c r="J316" s="2" t="s">
        <v>238</v>
      </c>
    </row>
    <row r="317" spans="1:10" x14ac:dyDescent="0.3">
      <c r="A317" s="2" t="s">
        <v>517</v>
      </c>
      <c r="B317" s="2" t="s">
        <v>518</v>
      </c>
      <c r="C317" s="2">
        <v>31966</v>
      </c>
      <c r="D317" s="2">
        <v>42579</v>
      </c>
      <c r="E317" s="3">
        <v>46038</v>
      </c>
      <c r="F317" s="3">
        <v>46188</v>
      </c>
      <c r="G317" s="2">
        <v>466</v>
      </c>
      <c r="H317" s="2">
        <v>0</v>
      </c>
      <c r="I317" s="2" t="s">
        <v>519</v>
      </c>
      <c r="J317" s="2" t="s">
        <v>238</v>
      </c>
    </row>
    <row r="318" spans="1:10" x14ac:dyDescent="0.3">
      <c r="A318" s="2" t="s">
        <v>662</v>
      </c>
      <c r="B318" s="2" t="s">
        <v>44</v>
      </c>
      <c r="C318" s="2">
        <v>32296</v>
      </c>
      <c r="D318" s="2">
        <v>42931</v>
      </c>
      <c r="E318" s="3">
        <v>46066</v>
      </c>
      <c r="F318" s="3">
        <v>46188</v>
      </c>
      <c r="G318" s="4">
        <v>65127.8</v>
      </c>
      <c r="H318" s="2">
        <v>0</v>
      </c>
      <c r="I318" s="2" t="s">
        <v>663</v>
      </c>
      <c r="J318" s="2" t="s">
        <v>46</v>
      </c>
    </row>
    <row r="319" spans="1:10" x14ac:dyDescent="0.3">
      <c r="A319" s="2" t="s">
        <v>748</v>
      </c>
      <c r="B319" s="2" t="s">
        <v>749</v>
      </c>
      <c r="C319" s="2">
        <v>32643</v>
      </c>
      <c r="D319" s="2">
        <v>43297</v>
      </c>
      <c r="E319" s="3">
        <v>46098</v>
      </c>
      <c r="F319" s="3">
        <v>46188</v>
      </c>
      <c r="G319" s="4">
        <v>12522.7</v>
      </c>
      <c r="H319" s="2">
        <v>0</v>
      </c>
      <c r="I319" s="2" t="s">
        <v>811</v>
      </c>
      <c r="J319" s="2" t="s">
        <v>339</v>
      </c>
    </row>
    <row r="320" spans="1:10" x14ac:dyDescent="0.3">
      <c r="A320" s="2" t="s">
        <v>748</v>
      </c>
      <c r="B320" s="2" t="s">
        <v>749</v>
      </c>
      <c r="C320" s="2">
        <v>32644</v>
      </c>
      <c r="D320" s="2">
        <v>43298</v>
      </c>
      <c r="E320" s="3">
        <v>46098</v>
      </c>
      <c r="F320" s="3">
        <v>46188</v>
      </c>
      <c r="G320" s="4">
        <v>2176</v>
      </c>
      <c r="H320" s="2">
        <v>0</v>
      </c>
      <c r="I320" s="2" t="s">
        <v>812</v>
      </c>
      <c r="J320" s="2" t="s">
        <v>339</v>
      </c>
    </row>
    <row r="321" spans="1:10" x14ac:dyDescent="0.3">
      <c r="A321" s="2" t="s">
        <v>360</v>
      </c>
      <c r="B321" s="2" t="s">
        <v>361</v>
      </c>
      <c r="C321" s="2">
        <v>32771</v>
      </c>
      <c r="D321" s="2">
        <v>43427</v>
      </c>
      <c r="E321" s="3">
        <v>46111</v>
      </c>
      <c r="F321" s="3">
        <v>46188</v>
      </c>
      <c r="G321" s="4">
        <v>2565.4499999999998</v>
      </c>
      <c r="H321" s="2">
        <v>0</v>
      </c>
      <c r="I321" s="2" t="s">
        <v>895</v>
      </c>
      <c r="J321" s="2" t="s">
        <v>92</v>
      </c>
    </row>
    <row r="322" spans="1:10" x14ac:dyDescent="0.3">
      <c r="A322" s="2" t="s">
        <v>414</v>
      </c>
      <c r="B322" s="2" t="s">
        <v>415</v>
      </c>
      <c r="C322" s="2">
        <v>32827</v>
      </c>
      <c r="D322" s="2">
        <v>43484</v>
      </c>
      <c r="E322" s="3">
        <v>46112</v>
      </c>
      <c r="F322" s="3">
        <v>46188</v>
      </c>
      <c r="G322" s="4">
        <v>29199.97</v>
      </c>
      <c r="H322" s="2">
        <v>0</v>
      </c>
      <c r="I322" s="2" t="s">
        <v>945</v>
      </c>
      <c r="J322" s="2" t="s">
        <v>417</v>
      </c>
    </row>
    <row r="323" spans="1:10" x14ac:dyDescent="0.3">
      <c r="A323" s="2" t="s">
        <v>414</v>
      </c>
      <c r="B323" s="2" t="s">
        <v>415</v>
      </c>
      <c r="C323" s="2">
        <v>32831</v>
      </c>
      <c r="D323" s="2">
        <v>43488</v>
      </c>
      <c r="E323" s="3">
        <v>46112</v>
      </c>
      <c r="F323" s="3">
        <v>46188</v>
      </c>
      <c r="G323" s="4">
        <v>2544</v>
      </c>
      <c r="H323" s="2">
        <v>0</v>
      </c>
      <c r="I323" s="2" t="s">
        <v>949</v>
      </c>
      <c r="J323" s="2" t="s">
        <v>417</v>
      </c>
    </row>
    <row r="324" spans="1:10" x14ac:dyDescent="0.3">
      <c r="A324" s="2" t="s">
        <v>514</v>
      </c>
      <c r="B324" s="2" t="s">
        <v>515</v>
      </c>
      <c r="C324" s="2">
        <v>32947</v>
      </c>
      <c r="D324" s="2">
        <v>43600</v>
      </c>
      <c r="E324" s="3">
        <v>46127</v>
      </c>
      <c r="F324" s="3">
        <v>46188</v>
      </c>
      <c r="G324" s="4">
        <v>2640</v>
      </c>
      <c r="H324" s="2">
        <v>0</v>
      </c>
      <c r="I324" s="2" t="s">
        <v>1004</v>
      </c>
      <c r="J324" s="2" t="s">
        <v>238</v>
      </c>
    </row>
    <row r="325" spans="1:10" x14ac:dyDescent="0.3">
      <c r="A325" s="2" t="s">
        <v>1074</v>
      </c>
      <c r="B325" s="2" t="s">
        <v>1075</v>
      </c>
      <c r="C325" s="2">
        <v>33170</v>
      </c>
      <c r="D325" s="2">
        <v>43811</v>
      </c>
      <c r="E325" s="3">
        <v>46156</v>
      </c>
      <c r="F325" s="3">
        <v>46188</v>
      </c>
      <c r="G325" s="4">
        <v>31500</v>
      </c>
      <c r="H325" s="2">
        <v>0</v>
      </c>
      <c r="I325" s="2" t="s">
        <v>1158</v>
      </c>
      <c r="J325" s="2" t="s">
        <v>412</v>
      </c>
    </row>
    <row r="326" spans="1:10" x14ac:dyDescent="0.3">
      <c r="A326" s="2" t="s">
        <v>1074</v>
      </c>
      <c r="B326" s="2" t="s">
        <v>1075</v>
      </c>
      <c r="C326" s="2">
        <v>33171</v>
      </c>
      <c r="D326" s="2">
        <v>43812</v>
      </c>
      <c r="E326" s="3">
        <v>46156</v>
      </c>
      <c r="F326" s="3">
        <v>46188</v>
      </c>
      <c r="G326" s="4">
        <v>2259</v>
      </c>
      <c r="H326" s="2">
        <v>0</v>
      </c>
      <c r="I326" s="2" t="s">
        <v>1159</v>
      </c>
      <c r="J326" s="2" t="s">
        <v>412</v>
      </c>
    </row>
    <row r="327" spans="1:10" x14ac:dyDescent="0.3">
      <c r="A327" s="2" t="s">
        <v>1074</v>
      </c>
      <c r="B327" s="2" t="s">
        <v>1075</v>
      </c>
      <c r="C327" s="2">
        <v>33172</v>
      </c>
      <c r="D327" s="2">
        <v>43813</v>
      </c>
      <c r="E327" s="3">
        <v>46156</v>
      </c>
      <c r="F327" s="3">
        <v>46188</v>
      </c>
      <c r="G327" s="4">
        <v>46750</v>
      </c>
      <c r="H327" s="2">
        <v>0</v>
      </c>
      <c r="I327" s="2" t="s">
        <v>1160</v>
      </c>
      <c r="J327" s="2" t="s">
        <v>412</v>
      </c>
    </row>
    <row r="328" spans="1:10" x14ac:dyDescent="0.3">
      <c r="A328" s="2" t="s">
        <v>330</v>
      </c>
      <c r="B328" s="2" t="s">
        <v>331</v>
      </c>
      <c r="C328" s="2">
        <v>31781</v>
      </c>
      <c r="D328" s="2">
        <v>42351</v>
      </c>
      <c r="E328" s="3">
        <v>46009</v>
      </c>
      <c r="F328" s="3">
        <v>46189</v>
      </c>
      <c r="G328" s="4">
        <v>1737.46</v>
      </c>
      <c r="H328" s="2">
        <v>0</v>
      </c>
      <c r="I328" s="2" t="s">
        <v>458</v>
      </c>
      <c r="J328" s="2" t="s">
        <v>260</v>
      </c>
    </row>
    <row r="329" spans="1:10" x14ac:dyDescent="0.3">
      <c r="A329" s="2" t="s">
        <v>414</v>
      </c>
      <c r="B329" s="2" t="s">
        <v>415</v>
      </c>
      <c r="C329" s="2">
        <v>32844</v>
      </c>
      <c r="D329" s="2">
        <v>43498</v>
      </c>
      <c r="E329" s="3">
        <v>46114</v>
      </c>
      <c r="F329" s="3">
        <v>46189</v>
      </c>
      <c r="G329" s="2">
        <v>566.66999999999996</v>
      </c>
      <c r="H329" s="2">
        <v>0</v>
      </c>
      <c r="I329" s="2" t="s">
        <v>955</v>
      </c>
      <c r="J329" s="2" t="s">
        <v>417</v>
      </c>
    </row>
    <row r="330" spans="1:10" x14ac:dyDescent="0.3">
      <c r="A330" s="2" t="s">
        <v>1016</v>
      </c>
      <c r="B330" s="2" t="s">
        <v>1017</v>
      </c>
      <c r="C330" s="2">
        <v>32958</v>
      </c>
      <c r="D330" s="2">
        <v>43610</v>
      </c>
      <c r="E330" s="3">
        <v>46129</v>
      </c>
      <c r="F330" s="3">
        <v>46189</v>
      </c>
      <c r="G330" s="4">
        <v>3200.25</v>
      </c>
      <c r="H330" s="2">
        <v>0</v>
      </c>
      <c r="I330" s="2" t="s">
        <v>1018</v>
      </c>
      <c r="J330" s="2" t="s">
        <v>318</v>
      </c>
    </row>
    <row r="331" spans="1:10" x14ac:dyDescent="0.3">
      <c r="A331" s="2" t="s">
        <v>735</v>
      </c>
      <c r="B331" s="2" t="s">
        <v>736</v>
      </c>
      <c r="C331" s="2">
        <v>32657</v>
      </c>
      <c r="D331" s="2">
        <v>43312</v>
      </c>
      <c r="E331" s="3">
        <v>46100</v>
      </c>
      <c r="F331" s="3">
        <v>46190</v>
      </c>
      <c r="G331" s="4">
        <v>48624.95</v>
      </c>
      <c r="H331" s="2">
        <v>0</v>
      </c>
      <c r="I331" s="2" t="s">
        <v>821</v>
      </c>
      <c r="J331" s="2" t="s">
        <v>19</v>
      </c>
    </row>
    <row r="332" spans="1:10" x14ac:dyDescent="0.3">
      <c r="A332" s="2" t="s">
        <v>822</v>
      </c>
      <c r="B332" s="2" t="s">
        <v>823</v>
      </c>
      <c r="C332" s="2">
        <v>32660</v>
      </c>
      <c r="D332" s="2">
        <v>43315</v>
      </c>
      <c r="E332" s="3">
        <v>46100</v>
      </c>
      <c r="F332" s="3">
        <v>46190</v>
      </c>
      <c r="G332" s="4">
        <v>10134</v>
      </c>
      <c r="H332" s="2">
        <v>0</v>
      </c>
      <c r="I332" s="2" t="s">
        <v>824</v>
      </c>
      <c r="J332" s="2" t="s">
        <v>535</v>
      </c>
    </row>
    <row r="333" spans="1:10" x14ac:dyDescent="0.3">
      <c r="A333" s="2" t="s">
        <v>532</v>
      </c>
      <c r="B333" s="2" t="s">
        <v>533</v>
      </c>
      <c r="C333" s="2">
        <v>32661</v>
      </c>
      <c r="D333" s="2">
        <v>43316</v>
      </c>
      <c r="E333" s="3">
        <v>46100</v>
      </c>
      <c r="F333" s="3">
        <v>46190</v>
      </c>
      <c r="G333" s="4">
        <v>8689.61</v>
      </c>
      <c r="H333" s="2">
        <v>0</v>
      </c>
      <c r="I333" s="2" t="s">
        <v>825</v>
      </c>
      <c r="J333" s="2" t="s">
        <v>535</v>
      </c>
    </row>
    <row r="334" spans="1:10" x14ac:dyDescent="0.3">
      <c r="A334" s="2" t="s">
        <v>440</v>
      </c>
      <c r="B334" s="2" t="s">
        <v>441</v>
      </c>
      <c r="C334" s="2">
        <v>32663</v>
      </c>
      <c r="D334" s="2">
        <v>43318</v>
      </c>
      <c r="E334" s="3">
        <v>46100</v>
      </c>
      <c r="F334" s="3">
        <v>46190</v>
      </c>
      <c r="G334" s="4">
        <v>36913.96</v>
      </c>
      <c r="H334" s="2">
        <v>0</v>
      </c>
      <c r="I334" s="2" t="s">
        <v>829</v>
      </c>
      <c r="J334" s="2" t="s">
        <v>417</v>
      </c>
    </row>
    <row r="335" spans="1:10" x14ac:dyDescent="0.3">
      <c r="A335" s="2" t="s">
        <v>582</v>
      </c>
      <c r="B335" s="2" t="s">
        <v>583</v>
      </c>
      <c r="C335" s="2">
        <v>32681</v>
      </c>
      <c r="D335" s="2">
        <v>43336</v>
      </c>
      <c r="E335" s="3">
        <v>46100</v>
      </c>
      <c r="F335" s="3">
        <v>46190</v>
      </c>
      <c r="G335" s="4">
        <v>2009.34</v>
      </c>
      <c r="H335" s="2">
        <v>0</v>
      </c>
      <c r="I335" s="2" t="s">
        <v>845</v>
      </c>
      <c r="J335" s="2" t="s">
        <v>92</v>
      </c>
    </row>
    <row r="336" spans="1:10" x14ac:dyDescent="0.3">
      <c r="A336" s="2" t="s">
        <v>748</v>
      </c>
      <c r="B336" s="2" t="s">
        <v>749</v>
      </c>
      <c r="C336" s="2">
        <v>33175</v>
      </c>
      <c r="D336" s="2">
        <v>43820</v>
      </c>
      <c r="E336" s="3">
        <v>46160</v>
      </c>
      <c r="F336" s="3">
        <v>46190</v>
      </c>
      <c r="G336" s="4">
        <v>5235.83</v>
      </c>
      <c r="H336" s="2">
        <v>0</v>
      </c>
      <c r="I336" s="2" t="s">
        <v>1163</v>
      </c>
      <c r="J336" s="2" t="s">
        <v>339</v>
      </c>
    </row>
    <row r="337" spans="1:10" x14ac:dyDescent="0.3">
      <c r="A337" s="2" t="s">
        <v>514</v>
      </c>
      <c r="B337" s="2" t="s">
        <v>515</v>
      </c>
      <c r="C337" s="2">
        <v>31969</v>
      </c>
      <c r="D337" s="2">
        <v>42585</v>
      </c>
      <c r="E337" s="3">
        <v>46041</v>
      </c>
      <c r="F337" s="3">
        <v>46191</v>
      </c>
      <c r="G337" s="2">
        <v>842.4</v>
      </c>
      <c r="H337" s="2">
        <v>0</v>
      </c>
      <c r="I337" s="2" t="s">
        <v>522</v>
      </c>
      <c r="J337" s="2" t="s">
        <v>238</v>
      </c>
    </row>
    <row r="338" spans="1:10" x14ac:dyDescent="0.3">
      <c r="A338" s="2" t="s">
        <v>517</v>
      </c>
      <c r="B338" s="2" t="s">
        <v>518</v>
      </c>
      <c r="C338" s="2">
        <v>31971</v>
      </c>
      <c r="D338" s="2">
        <v>42587</v>
      </c>
      <c r="E338" s="3">
        <v>46041</v>
      </c>
      <c r="F338" s="3">
        <v>46191</v>
      </c>
      <c r="G338" s="4">
        <v>1196.6600000000001</v>
      </c>
      <c r="H338" s="2">
        <v>0</v>
      </c>
      <c r="I338" s="2" t="s">
        <v>523</v>
      </c>
      <c r="J338" s="2" t="s">
        <v>238</v>
      </c>
    </row>
    <row r="339" spans="1:10" x14ac:dyDescent="0.3">
      <c r="A339" s="2" t="s">
        <v>360</v>
      </c>
      <c r="B339" s="2" t="s">
        <v>361</v>
      </c>
      <c r="C339" s="2">
        <v>32190</v>
      </c>
      <c r="D339" s="2">
        <v>42818</v>
      </c>
      <c r="E339" s="3">
        <v>46056</v>
      </c>
      <c r="F339" s="3">
        <v>46191</v>
      </c>
      <c r="G339" s="4">
        <v>2036.56</v>
      </c>
      <c r="H339" s="2">
        <v>0</v>
      </c>
      <c r="I339" s="2" t="s">
        <v>362</v>
      </c>
      <c r="J339" s="2" t="s">
        <v>92</v>
      </c>
    </row>
    <row r="340" spans="1:10" x14ac:dyDescent="0.3">
      <c r="A340" s="2" t="s">
        <v>440</v>
      </c>
      <c r="B340" s="2" t="s">
        <v>441</v>
      </c>
      <c r="C340" s="2">
        <v>32192</v>
      </c>
      <c r="D340" s="2">
        <v>42820</v>
      </c>
      <c r="E340" s="3">
        <v>46056</v>
      </c>
      <c r="F340" s="3">
        <v>46191</v>
      </c>
      <c r="G340" s="2">
        <v>33</v>
      </c>
      <c r="H340" s="2">
        <v>0</v>
      </c>
      <c r="I340" s="2" t="s">
        <v>552</v>
      </c>
      <c r="J340" s="2" t="s">
        <v>417</v>
      </c>
    </row>
    <row r="341" spans="1:10" x14ac:dyDescent="0.3">
      <c r="A341" s="2" t="s">
        <v>659</v>
      </c>
      <c r="B341" s="2" t="s">
        <v>660</v>
      </c>
      <c r="C341" s="2">
        <v>32292</v>
      </c>
      <c r="D341" s="2">
        <v>42925</v>
      </c>
      <c r="E341" s="3">
        <v>46065</v>
      </c>
      <c r="F341" s="3">
        <v>46191</v>
      </c>
      <c r="G341" s="4">
        <v>34875</v>
      </c>
      <c r="H341" s="2">
        <v>0</v>
      </c>
      <c r="I341" s="2" t="s">
        <v>661</v>
      </c>
      <c r="J341" s="2" t="s">
        <v>535</v>
      </c>
    </row>
    <row r="342" spans="1:10" x14ac:dyDescent="0.3">
      <c r="A342" s="2" t="s">
        <v>585</v>
      </c>
      <c r="B342" s="2" t="s">
        <v>392</v>
      </c>
      <c r="C342" s="2">
        <v>32303</v>
      </c>
      <c r="D342" s="2">
        <v>42938</v>
      </c>
      <c r="E342" s="3">
        <v>46071</v>
      </c>
      <c r="F342" s="3">
        <v>46191</v>
      </c>
      <c r="G342" s="4">
        <v>495000</v>
      </c>
      <c r="H342" s="2">
        <v>0</v>
      </c>
      <c r="I342" s="2" t="s">
        <v>586</v>
      </c>
      <c r="J342" s="2" t="s">
        <v>394</v>
      </c>
    </row>
    <row r="343" spans="1:10" x14ac:dyDescent="0.3">
      <c r="A343" s="2" t="s">
        <v>585</v>
      </c>
      <c r="B343" s="2" t="s">
        <v>392</v>
      </c>
      <c r="C343" s="2">
        <v>32304</v>
      </c>
      <c r="D343" s="2">
        <v>42939</v>
      </c>
      <c r="E343" s="3">
        <v>46071</v>
      </c>
      <c r="F343" s="3">
        <v>46191</v>
      </c>
      <c r="G343" s="4">
        <v>34240</v>
      </c>
      <c r="H343" s="2">
        <v>0</v>
      </c>
      <c r="I343" s="2" t="s">
        <v>586</v>
      </c>
      <c r="J343" s="2" t="s">
        <v>394</v>
      </c>
    </row>
    <row r="344" spans="1:10" x14ac:dyDescent="0.3">
      <c r="A344" s="2" t="s">
        <v>857</v>
      </c>
      <c r="B344" s="2" t="s">
        <v>858</v>
      </c>
      <c r="C344" s="2">
        <v>32701</v>
      </c>
      <c r="D344" s="2">
        <v>43355</v>
      </c>
      <c r="E344" s="3">
        <v>46101</v>
      </c>
      <c r="F344" s="3">
        <v>46191</v>
      </c>
      <c r="G344" s="4">
        <v>6921.07</v>
      </c>
      <c r="H344" s="2">
        <v>0</v>
      </c>
      <c r="I344" s="2" t="s">
        <v>859</v>
      </c>
      <c r="J344" s="2" t="s">
        <v>260</v>
      </c>
    </row>
    <row r="345" spans="1:10" x14ac:dyDescent="0.3">
      <c r="A345" s="2" t="s">
        <v>861</v>
      </c>
      <c r="B345" s="2" t="s">
        <v>862</v>
      </c>
      <c r="C345" s="2">
        <v>32711</v>
      </c>
      <c r="D345" s="2">
        <v>43365</v>
      </c>
      <c r="E345" s="3">
        <v>46101</v>
      </c>
      <c r="F345" s="3">
        <v>46191</v>
      </c>
      <c r="G345" s="4">
        <v>14484.91</v>
      </c>
      <c r="H345" s="2">
        <v>0</v>
      </c>
      <c r="I345" s="2" t="s">
        <v>863</v>
      </c>
      <c r="J345" s="2" t="s">
        <v>162</v>
      </c>
    </row>
    <row r="346" spans="1:10" x14ac:dyDescent="0.3">
      <c r="A346" s="2" t="s">
        <v>861</v>
      </c>
      <c r="B346" s="2" t="s">
        <v>862</v>
      </c>
      <c r="C346" s="2">
        <v>32712</v>
      </c>
      <c r="D346" s="2">
        <v>43366</v>
      </c>
      <c r="E346" s="3">
        <v>46101</v>
      </c>
      <c r="F346" s="3">
        <v>46191</v>
      </c>
      <c r="G346" s="4">
        <v>7059.38</v>
      </c>
      <c r="H346" s="2">
        <v>0</v>
      </c>
      <c r="I346" s="2" t="s">
        <v>863</v>
      </c>
      <c r="J346" s="2" t="s">
        <v>162</v>
      </c>
    </row>
    <row r="347" spans="1:10" x14ac:dyDescent="0.3">
      <c r="A347" s="2" t="s">
        <v>784</v>
      </c>
      <c r="B347" s="2" t="s">
        <v>724</v>
      </c>
      <c r="C347" s="2">
        <v>32713</v>
      </c>
      <c r="D347" s="2">
        <v>43367</v>
      </c>
      <c r="E347" s="3">
        <v>46101</v>
      </c>
      <c r="F347" s="3">
        <v>46191</v>
      </c>
      <c r="G347" s="4">
        <v>38379.800000000003</v>
      </c>
      <c r="H347" s="2">
        <v>0</v>
      </c>
      <c r="I347" s="2" t="s">
        <v>864</v>
      </c>
      <c r="J347" s="2" t="s">
        <v>162</v>
      </c>
    </row>
    <row r="348" spans="1:10" x14ac:dyDescent="0.3">
      <c r="A348" s="2" t="s">
        <v>865</v>
      </c>
      <c r="B348" s="2" t="s">
        <v>866</v>
      </c>
      <c r="C348" s="2">
        <v>32714</v>
      </c>
      <c r="D348" s="2">
        <v>43368</v>
      </c>
      <c r="E348" s="3">
        <v>46101</v>
      </c>
      <c r="F348" s="3">
        <v>46191</v>
      </c>
      <c r="G348" s="4">
        <v>67321.039999999994</v>
      </c>
      <c r="H348" s="2">
        <v>0</v>
      </c>
      <c r="I348" s="2" t="s">
        <v>867</v>
      </c>
      <c r="J348" s="2" t="s">
        <v>162</v>
      </c>
    </row>
    <row r="349" spans="1:10" x14ac:dyDescent="0.3">
      <c r="A349" s="2" t="s">
        <v>357</v>
      </c>
      <c r="B349" s="2" t="s">
        <v>358</v>
      </c>
      <c r="C349" s="2">
        <v>32305</v>
      </c>
      <c r="D349" s="2">
        <v>42941</v>
      </c>
      <c r="E349" s="3">
        <v>46072</v>
      </c>
      <c r="F349" s="3">
        <v>46192</v>
      </c>
      <c r="G349" s="4">
        <v>37125</v>
      </c>
      <c r="H349" s="2">
        <v>0</v>
      </c>
      <c r="I349" s="2" t="s">
        <v>547</v>
      </c>
      <c r="J349" s="2" t="s">
        <v>260</v>
      </c>
    </row>
    <row r="350" spans="1:10" x14ac:dyDescent="0.3">
      <c r="A350" s="2" t="s">
        <v>357</v>
      </c>
      <c r="B350" s="2" t="s">
        <v>358</v>
      </c>
      <c r="C350" s="2">
        <v>32309</v>
      </c>
      <c r="D350" s="2">
        <v>42945</v>
      </c>
      <c r="E350" s="3">
        <v>46072</v>
      </c>
      <c r="F350" s="3">
        <v>46192</v>
      </c>
      <c r="G350" s="4">
        <v>4680</v>
      </c>
      <c r="H350" s="2">
        <v>0</v>
      </c>
      <c r="I350" s="2" t="s">
        <v>547</v>
      </c>
      <c r="J350" s="2" t="s">
        <v>260</v>
      </c>
    </row>
    <row r="351" spans="1:10" x14ac:dyDescent="0.3">
      <c r="A351" s="2" t="s">
        <v>257</v>
      </c>
      <c r="B351" s="2" t="s">
        <v>258</v>
      </c>
      <c r="C351" s="2">
        <v>32314</v>
      </c>
      <c r="D351" s="2">
        <v>42950</v>
      </c>
      <c r="E351" s="3">
        <v>46072</v>
      </c>
      <c r="F351" s="3">
        <v>46192</v>
      </c>
      <c r="G351" s="4">
        <v>1663.33</v>
      </c>
      <c r="H351" s="2">
        <v>0</v>
      </c>
      <c r="I351" s="2" t="s">
        <v>551</v>
      </c>
      <c r="J351" s="2" t="s">
        <v>260</v>
      </c>
    </row>
    <row r="352" spans="1:10" x14ac:dyDescent="0.3">
      <c r="A352" s="2" t="s">
        <v>665</v>
      </c>
      <c r="B352" s="2" t="s">
        <v>666</v>
      </c>
      <c r="C352" s="2">
        <v>32315</v>
      </c>
      <c r="D352" s="2">
        <v>42951</v>
      </c>
      <c r="E352" s="3">
        <v>46072</v>
      </c>
      <c r="F352" s="3">
        <v>46192</v>
      </c>
      <c r="G352" s="4">
        <v>6782.41</v>
      </c>
      <c r="H352" s="2">
        <v>0</v>
      </c>
      <c r="I352" s="2" t="s">
        <v>667</v>
      </c>
      <c r="J352" s="2" t="s">
        <v>238</v>
      </c>
    </row>
    <row r="353" spans="1:10" x14ac:dyDescent="0.3">
      <c r="A353" s="2" t="s">
        <v>668</v>
      </c>
      <c r="B353" s="2" t="s">
        <v>669</v>
      </c>
      <c r="C353" s="2">
        <v>32317</v>
      </c>
      <c r="D353" s="2">
        <v>42953</v>
      </c>
      <c r="E353" s="3">
        <v>46072</v>
      </c>
      <c r="F353" s="3">
        <v>46192</v>
      </c>
      <c r="G353" s="4">
        <v>5004.3599999999997</v>
      </c>
      <c r="H353" s="2">
        <v>0</v>
      </c>
      <c r="I353" s="2" t="s">
        <v>670</v>
      </c>
      <c r="J353" s="2" t="s">
        <v>339</v>
      </c>
    </row>
    <row r="354" spans="1:10" x14ac:dyDescent="0.3">
      <c r="A354" s="2" t="s">
        <v>683</v>
      </c>
      <c r="B354" s="2" t="s">
        <v>684</v>
      </c>
      <c r="C354" s="2">
        <v>32328</v>
      </c>
      <c r="D354" s="2">
        <v>42964</v>
      </c>
      <c r="E354" s="3">
        <v>46072</v>
      </c>
      <c r="F354" s="3">
        <v>46192</v>
      </c>
      <c r="G354" s="4">
        <v>38289.89</v>
      </c>
      <c r="H354" s="2">
        <v>0</v>
      </c>
      <c r="I354" s="2" t="s">
        <v>685</v>
      </c>
      <c r="J354" s="2" t="s">
        <v>412</v>
      </c>
    </row>
    <row r="355" spans="1:10" x14ac:dyDescent="0.3">
      <c r="A355" s="2" t="s">
        <v>490</v>
      </c>
      <c r="B355" s="2" t="s">
        <v>303</v>
      </c>
      <c r="C355" s="2">
        <v>32344</v>
      </c>
      <c r="D355" s="2">
        <v>42982</v>
      </c>
      <c r="E355" s="3">
        <v>46072</v>
      </c>
      <c r="F355" s="3">
        <v>46192</v>
      </c>
      <c r="G355" s="4">
        <v>26600</v>
      </c>
      <c r="H355" s="2">
        <v>0</v>
      </c>
      <c r="I355" s="2" t="s">
        <v>491</v>
      </c>
      <c r="J355" s="2" t="s">
        <v>92</v>
      </c>
    </row>
    <row r="356" spans="1:10" x14ac:dyDescent="0.3">
      <c r="A356" s="2" t="s">
        <v>683</v>
      </c>
      <c r="B356" s="2" t="s">
        <v>684</v>
      </c>
      <c r="C356" s="2">
        <v>32350</v>
      </c>
      <c r="D356" s="2">
        <v>42984</v>
      </c>
      <c r="E356" s="3">
        <v>46072</v>
      </c>
      <c r="F356" s="3">
        <v>46192</v>
      </c>
      <c r="G356" s="4">
        <v>1813.33</v>
      </c>
      <c r="H356" s="2">
        <v>0</v>
      </c>
      <c r="I356" s="2" t="s">
        <v>685</v>
      </c>
      <c r="J356" s="2" t="s">
        <v>412</v>
      </c>
    </row>
    <row r="357" spans="1:10" x14ac:dyDescent="0.3">
      <c r="A357" s="2" t="s">
        <v>257</v>
      </c>
      <c r="B357" s="2" t="s">
        <v>258</v>
      </c>
      <c r="C357" s="2">
        <v>32351</v>
      </c>
      <c r="D357" s="2">
        <v>42985</v>
      </c>
      <c r="E357" s="3">
        <v>46072</v>
      </c>
      <c r="F357" s="3">
        <v>46192</v>
      </c>
      <c r="G357" s="4">
        <v>34159.97</v>
      </c>
      <c r="H357" s="2">
        <v>0</v>
      </c>
      <c r="I357" s="2" t="s">
        <v>551</v>
      </c>
      <c r="J357" s="2" t="s">
        <v>260</v>
      </c>
    </row>
    <row r="358" spans="1:10" x14ac:dyDescent="0.3">
      <c r="A358" s="2" t="s">
        <v>691</v>
      </c>
      <c r="B358" s="2" t="s">
        <v>692</v>
      </c>
      <c r="C358" s="2">
        <v>32353</v>
      </c>
      <c r="D358" s="2">
        <v>42987</v>
      </c>
      <c r="E358" s="3">
        <v>46072</v>
      </c>
      <c r="F358" s="3">
        <v>46192</v>
      </c>
      <c r="G358" s="4">
        <v>6777.08</v>
      </c>
      <c r="H358" s="2">
        <v>0</v>
      </c>
      <c r="I358" s="2" t="s">
        <v>693</v>
      </c>
      <c r="J358" s="2" t="s">
        <v>260</v>
      </c>
    </row>
    <row r="359" spans="1:10" x14ac:dyDescent="0.3">
      <c r="A359" s="2" t="s">
        <v>360</v>
      </c>
      <c r="B359" s="2" t="s">
        <v>361</v>
      </c>
      <c r="C359" s="2">
        <v>33074</v>
      </c>
      <c r="D359" s="2">
        <v>43719</v>
      </c>
      <c r="E359" s="3">
        <v>46147</v>
      </c>
      <c r="F359" s="3">
        <v>46192</v>
      </c>
      <c r="G359" s="2">
        <v>505.82</v>
      </c>
      <c r="H359" s="2">
        <v>0</v>
      </c>
      <c r="I359" s="2" t="s">
        <v>1092</v>
      </c>
      <c r="J359" s="2" t="s">
        <v>92</v>
      </c>
    </row>
    <row r="360" spans="1:10" x14ac:dyDescent="0.3">
      <c r="A360" s="2" t="s">
        <v>360</v>
      </c>
      <c r="B360" s="2" t="s">
        <v>361</v>
      </c>
      <c r="C360" s="2">
        <v>33173</v>
      </c>
      <c r="D360" s="2">
        <v>43816</v>
      </c>
      <c r="E360" s="3">
        <v>46157</v>
      </c>
      <c r="F360" s="3">
        <v>46192</v>
      </c>
      <c r="G360" s="4">
        <v>6768.18</v>
      </c>
      <c r="H360" s="2">
        <v>0</v>
      </c>
      <c r="I360" s="2" t="s">
        <v>1161</v>
      </c>
      <c r="J360" s="2" t="s">
        <v>92</v>
      </c>
    </row>
    <row r="361" spans="1:10" x14ac:dyDescent="0.3">
      <c r="A361" s="2" t="s">
        <v>310</v>
      </c>
      <c r="B361" s="2" t="s">
        <v>311</v>
      </c>
      <c r="C361" s="2">
        <v>31244</v>
      </c>
      <c r="D361" s="2">
        <v>41769</v>
      </c>
      <c r="E361" s="3">
        <v>45966</v>
      </c>
      <c r="F361" s="3">
        <v>46193</v>
      </c>
      <c r="G361" s="4">
        <v>114752</v>
      </c>
      <c r="H361" s="2">
        <v>0</v>
      </c>
      <c r="I361" s="2" t="s">
        <v>312</v>
      </c>
      <c r="J361" s="2" t="s">
        <v>313</v>
      </c>
    </row>
    <row r="362" spans="1:10" x14ac:dyDescent="0.3">
      <c r="A362" s="2" t="s">
        <v>310</v>
      </c>
      <c r="B362" s="2" t="s">
        <v>311</v>
      </c>
      <c r="C362" s="2">
        <v>32363</v>
      </c>
      <c r="D362" s="2">
        <v>42998</v>
      </c>
      <c r="E362" s="3">
        <v>46073</v>
      </c>
      <c r="F362" s="3">
        <v>46193</v>
      </c>
      <c r="G362" s="4">
        <v>52499.4</v>
      </c>
      <c r="H362" s="2">
        <v>0</v>
      </c>
      <c r="I362" s="2" t="s">
        <v>698</v>
      </c>
      <c r="J362" s="2" t="s">
        <v>313</v>
      </c>
    </row>
    <row r="363" spans="1:10" x14ac:dyDescent="0.3">
      <c r="A363" s="2" t="s">
        <v>310</v>
      </c>
      <c r="B363" s="2" t="s">
        <v>311</v>
      </c>
      <c r="C363" s="2">
        <v>32364</v>
      </c>
      <c r="D363" s="2">
        <v>42999</v>
      </c>
      <c r="E363" s="3">
        <v>46073</v>
      </c>
      <c r="F363" s="3">
        <v>46193</v>
      </c>
      <c r="G363" s="4">
        <v>83381.399999999994</v>
      </c>
      <c r="H363" s="2">
        <v>0</v>
      </c>
      <c r="I363" s="2" t="s">
        <v>699</v>
      </c>
      <c r="J363" s="2" t="s">
        <v>313</v>
      </c>
    </row>
    <row r="364" spans="1:10" x14ac:dyDescent="0.3">
      <c r="A364" s="2" t="s">
        <v>310</v>
      </c>
      <c r="B364" s="2" t="s">
        <v>311</v>
      </c>
      <c r="C364" s="2">
        <v>32365</v>
      </c>
      <c r="D364" s="2">
        <v>43000</v>
      </c>
      <c r="E364" s="3">
        <v>46073</v>
      </c>
      <c r="F364" s="3">
        <v>46193</v>
      </c>
      <c r="G364" s="4">
        <v>13706.5</v>
      </c>
      <c r="H364" s="2">
        <v>0</v>
      </c>
      <c r="I364" s="2" t="s">
        <v>700</v>
      </c>
      <c r="J364" s="2" t="s">
        <v>313</v>
      </c>
    </row>
    <row r="365" spans="1:10" x14ac:dyDescent="0.3">
      <c r="A365" s="2" t="s">
        <v>588</v>
      </c>
      <c r="B365" s="2" t="s">
        <v>589</v>
      </c>
      <c r="C365" s="2">
        <v>32977</v>
      </c>
      <c r="D365" s="2">
        <v>43627</v>
      </c>
      <c r="E365" s="3">
        <v>46134</v>
      </c>
      <c r="F365" s="3">
        <v>46194</v>
      </c>
      <c r="G365" s="4">
        <v>2243.33</v>
      </c>
      <c r="H365" s="2">
        <v>0</v>
      </c>
      <c r="I365" s="2" t="s">
        <v>1033</v>
      </c>
      <c r="J365" s="2" t="s">
        <v>92</v>
      </c>
    </row>
    <row r="366" spans="1:10" x14ac:dyDescent="0.3">
      <c r="A366" s="2" t="s">
        <v>588</v>
      </c>
      <c r="B366" s="2" t="s">
        <v>589</v>
      </c>
      <c r="C366" s="2">
        <v>32978</v>
      </c>
      <c r="D366" s="2">
        <v>43628</v>
      </c>
      <c r="E366" s="3">
        <v>46134</v>
      </c>
      <c r="F366" s="3">
        <v>46194</v>
      </c>
      <c r="G366" s="4">
        <v>6729.99</v>
      </c>
      <c r="H366" s="2">
        <v>0</v>
      </c>
      <c r="I366" s="2" t="s">
        <v>1034</v>
      </c>
      <c r="J366" s="2" t="s">
        <v>92</v>
      </c>
    </row>
    <row r="367" spans="1:10" x14ac:dyDescent="0.3">
      <c r="A367" s="2" t="s">
        <v>398</v>
      </c>
      <c r="B367" s="2" t="s">
        <v>399</v>
      </c>
      <c r="C367" s="2">
        <v>31812</v>
      </c>
      <c r="D367" s="2">
        <v>42388</v>
      </c>
      <c r="E367" s="3">
        <v>46013</v>
      </c>
      <c r="F367" s="3">
        <v>46195</v>
      </c>
      <c r="G367" s="4">
        <v>5108.5600000000004</v>
      </c>
      <c r="H367" s="2">
        <v>0</v>
      </c>
      <c r="I367" s="2" t="s">
        <v>468</v>
      </c>
      <c r="J367" s="2" t="s">
        <v>394</v>
      </c>
    </row>
    <row r="368" spans="1:10" x14ac:dyDescent="0.3">
      <c r="A368" s="2" t="s">
        <v>469</v>
      </c>
      <c r="B368" s="2" t="s">
        <v>470</v>
      </c>
      <c r="C368" s="2">
        <v>31814</v>
      </c>
      <c r="D368" s="2">
        <v>42390</v>
      </c>
      <c r="E368" s="3">
        <v>46013</v>
      </c>
      <c r="F368" s="3">
        <v>46195</v>
      </c>
      <c r="G368" s="4">
        <v>14750.4</v>
      </c>
      <c r="H368" s="2">
        <v>0</v>
      </c>
      <c r="I368" s="2" t="s">
        <v>471</v>
      </c>
      <c r="J368" s="2" t="s">
        <v>394</v>
      </c>
    </row>
    <row r="369" spans="1:10" x14ac:dyDescent="0.3">
      <c r="A369" s="2" t="s">
        <v>257</v>
      </c>
      <c r="B369" s="2" t="s">
        <v>258</v>
      </c>
      <c r="C369" s="2">
        <v>32046</v>
      </c>
      <c r="D369" s="2">
        <v>42676</v>
      </c>
      <c r="E369" s="3">
        <v>46045</v>
      </c>
      <c r="F369" s="3">
        <v>46195</v>
      </c>
      <c r="G369" s="4">
        <v>3156.76</v>
      </c>
      <c r="H369" s="2">
        <v>0</v>
      </c>
      <c r="I369" s="2" t="s">
        <v>551</v>
      </c>
      <c r="J369" s="2" t="s">
        <v>260</v>
      </c>
    </row>
    <row r="370" spans="1:10" x14ac:dyDescent="0.3">
      <c r="A370" s="2" t="s">
        <v>257</v>
      </c>
      <c r="B370" s="2" t="s">
        <v>258</v>
      </c>
      <c r="C370" s="2">
        <v>32047</v>
      </c>
      <c r="D370" s="2">
        <v>42677</v>
      </c>
      <c r="E370" s="3">
        <v>46045</v>
      </c>
      <c r="F370" s="3">
        <v>46195</v>
      </c>
      <c r="G370" s="4">
        <v>17613.36</v>
      </c>
      <c r="H370" s="2">
        <v>0</v>
      </c>
      <c r="I370" s="2" t="s">
        <v>551</v>
      </c>
      <c r="J370" s="2" t="s">
        <v>260</v>
      </c>
    </row>
    <row r="371" spans="1:10" x14ac:dyDescent="0.3">
      <c r="A371" s="2" t="s">
        <v>257</v>
      </c>
      <c r="B371" s="2" t="s">
        <v>258</v>
      </c>
      <c r="C371" s="2">
        <v>32048</v>
      </c>
      <c r="D371" s="2">
        <v>42678</v>
      </c>
      <c r="E371" s="3">
        <v>46045</v>
      </c>
      <c r="F371" s="3">
        <v>46195</v>
      </c>
      <c r="G371" s="4">
        <v>2223.33</v>
      </c>
      <c r="H371" s="2">
        <v>0</v>
      </c>
      <c r="I371" s="2" t="s">
        <v>551</v>
      </c>
      <c r="J371" s="2" t="s">
        <v>260</v>
      </c>
    </row>
    <row r="372" spans="1:10" x14ac:dyDescent="0.3">
      <c r="A372" s="2" t="s">
        <v>440</v>
      </c>
      <c r="B372" s="2" t="s">
        <v>441</v>
      </c>
      <c r="C372" s="2">
        <v>32053</v>
      </c>
      <c r="D372" s="2">
        <v>42683</v>
      </c>
      <c r="E372" s="3">
        <v>46045</v>
      </c>
      <c r="F372" s="3">
        <v>46195</v>
      </c>
      <c r="G372" s="4">
        <v>4815.55</v>
      </c>
      <c r="H372" s="2">
        <v>0</v>
      </c>
      <c r="I372" s="2" t="s">
        <v>552</v>
      </c>
      <c r="J372" s="2" t="s">
        <v>417</v>
      </c>
    </row>
    <row r="373" spans="1:10" x14ac:dyDescent="0.3">
      <c r="A373" s="2" t="s">
        <v>440</v>
      </c>
      <c r="B373" s="2" t="s">
        <v>441</v>
      </c>
      <c r="C373" s="2">
        <v>32054</v>
      </c>
      <c r="D373" s="2">
        <v>42684</v>
      </c>
      <c r="E373" s="3">
        <v>46045</v>
      </c>
      <c r="F373" s="3">
        <v>46195</v>
      </c>
      <c r="G373" s="4">
        <v>7456.88</v>
      </c>
      <c r="H373" s="2">
        <v>0</v>
      </c>
      <c r="I373" s="2" t="s">
        <v>552</v>
      </c>
      <c r="J373" s="2" t="s">
        <v>417</v>
      </c>
    </row>
    <row r="374" spans="1:10" x14ac:dyDescent="0.3">
      <c r="A374" s="2" t="s">
        <v>440</v>
      </c>
      <c r="B374" s="2" t="s">
        <v>441</v>
      </c>
      <c r="C374" s="2">
        <v>32055</v>
      </c>
      <c r="D374" s="2">
        <v>42685</v>
      </c>
      <c r="E374" s="3">
        <v>46045</v>
      </c>
      <c r="F374" s="3">
        <v>46195</v>
      </c>
      <c r="G374" s="2">
        <v>566.33000000000004</v>
      </c>
      <c r="H374" s="2">
        <v>0</v>
      </c>
      <c r="I374" s="2" t="s">
        <v>552</v>
      </c>
      <c r="J374" s="2" t="s">
        <v>417</v>
      </c>
    </row>
    <row r="375" spans="1:10" x14ac:dyDescent="0.3">
      <c r="A375" s="2" t="s">
        <v>514</v>
      </c>
      <c r="B375" s="2" t="s">
        <v>515</v>
      </c>
      <c r="C375" s="2">
        <v>32058</v>
      </c>
      <c r="D375" s="2">
        <v>42687</v>
      </c>
      <c r="E375" s="3">
        <v>46045</v>
      </c>
      <c r="F375" s="3">
        <v>46195</v>
      </c>
      <c r="G375" s="4">
        <v>23627.919999999998</v>
      </c>
      <c r="H375" s="2">
        <v>0</v>
      </c>
      <c r="I375" s="2" t="s">
        <v>516</v>
      </c>
      <c r="J375" s="2" t="s">
        <v>238</v>
      </c>
    </row>
    <row r="376" spans="1:10" x14ac:dyDescent="0.3">
      <c r="A376" s="2" t="s">
        <v>517</v>
      </c>
      <c r="B376" s="2" t="s">
        <v>518</v>
      </c>
      <c r="C376" s="2">
        <v>32059</v>
      </c>
      <c r="D376" s="2">
        <v>42688</v>
      </c>
      <c r="E376" s="3">
        <v>46045</v>
      </c>
      <c r="F376" s="3">
        <v>46195</v>
      </c>
      <c r="G376" s="2">
        <v>404.16</v>
      </c>
      <c r="H376" s="2">
        <v>0</v>
      </c>
      <c r="I376" s="2" t="s">
        <v>519</v>
      </c>
      <c r="J376" s="2" t="s">
        <v>238</v>
      </c>
    </row>
    <row r="377" spans="1:10" x14ac:dyDescent="0.3">
      <c r="A377" s="2" t="s">
        <v>440</v>
      </c>
      <c r="B377" s="2" t="s">
        <v>441</v>
      </c>
      <c r="C377" s="2">
        <v>32354</v>
      </c>
      <c r="D377" s="2">
        <v>42989</v>
      </c>
      <c r="E377" s="3">
        <v>46073</v>
      </c>
      <c r="F377" s="3">
        <v>46195</v>
      </c>
      <c r="G377" s="2">
        <v>372</v>
      </c>
      <c r="H377" s="2">
        <v>0</v>
      </c>
      <c r="I377" s="2" t="s">
        <v>552</v>
      </c>
      <c r="J377" s="2" t="s">
        <v>417</v>
      </c>
    </row>
    <row r="378" spans="1:10" x14ac:dyDescent="0.3">
      <c r="A378" s="2" t="s">
        <v>440</v>
      </c>
      <c r="B378" s="2" t="s">
        <v>441</v>
      </c>
      <c r="C378" s="2">
        <v>32355</v>
      </c>
      <c r="D378" s="2">
        <v>42990</v>
      </c>
      <c r="E378" s="3">
        <v>46073</v>
      </c>
      <c r="F378" s="3">
        <v>46195</v>
      </c>
      <c r="G378" s="4">
        <v>18465.54</v>
      </c>
      <c r="H378" s="2">
        <v>0</v>
      </c>
      <c r="I378" s="2" t="s">
        <v>552</v>
      </c>
      <c r="J378" s="2" t="s">
        <v>417</v>
      </c>
    </row>
    <row r="379" spans="1:10" x14ac:dyDescent="0.3">
      <c r="A379" s="2" t="s">
        <v>440</v>
      </c>
      <c r="B379" s="2" t="s">
        <v>441</v>
      </c>
      <c r="C379" s="2">
        <v>32358</v>
      </c>
      <c r="D379" s="2">
        <v>42993</v>
      </c>
      <c r="E379" s="3">
        <v>46073</v>
      </c>
      <c r="F379" s="3">
        <v>46195</v>
      </c>
      <c r="G379" s="4">
        <v>3240</v>
      </c>
      <c r="H379" s="2">
        <v>0</v>
      </c>
      <c r="I379" s="2" t="s">
        <v>552</v>
      </c>
      <c r="J379" s="2" t="s">
        <v>417</v>
      </c>
    </row>
    <row r="380" spans="1:10" x14ac:dyDescent="0.3">
      <c r="A380" s="2" t="s">
        <v>121</v>
      </c>
      <c r="B380" s="2" t="s">
        <v>122</v>
      </c>
      <c r="C380" s="2">
        <v>32359</v>
      </c>
      <c r="D380" s="2">
        <v>42994</v>
      </c>
      <c r="E380" s="3">
        <v>46073</v>
      </c>
      <c r="F380" s="3">
        <v>46195</v>
      </c>
      <c r="G380" s="4">
        <v>27635</v>
      </c>
      <c r="H380" s="2">
        <v>0</v>
      </c>
      <c r="I380" s="2" t="s">
        <v>694</v>
      </c>
      <c r="J380" s="2" t="s">
        <v>92</v>
      </c>
    </row>
    <row r="381" spans="1:10" x14ac:dyDescent="0.3">
      <c r="A381" s="2" t="s">
        <v>579</v>
      </c>
      <c r="B381" s="2" t="s">
        <v>580</v>
      </c>
      <c r="C381" s="2">
        <v>32361</v>
      </c>
      <c r="D381" s="2">
        <v>42996</v>
      </c>
      <c r="E381" s="3">
        <v>46073</v>
      </c>
      <c r="F381" s="3">
        <v>46195</v>
      </c>
      <c r="G381" s="4">
        <v>10479.02</v>
      </c>
      <c r="H381" s="2">
        <v>0</v>
      </c>
      <c r="I381" s="2" t="s">
        <v>581</v>
      </c>
      <c r="J381" s="2" t="s">
        <v>162</v>
      </c>
    </row>
    <row r="382" spans="1:10" x14ac:dyDescent="0.3">
      <c r="A382" s="2" t="s">
        <v>695</v>
      </c>
      <c r="B382" s="2" t="s">
        <v>696</v>
      </c>
      <c r="C382" s="2">
        <v>32362</v>
      </c>
      <c r="D382" s="2">
        <v>42997</v>
      </c>
      <c r="E382" s="3">
        <v>46073</v>
      </c>
      <c r="F382" s="3">
        <v>46195</v>
      </c>
      <c r="G382" s="4">
        <v>33172.03</v>
      </c>
      <c r="H382" s="2">
        <v>0</v>
      </c>
      <c r="I382" s="2" t="s">
        <v>697</v>
      </c>
      <c r="J382" s="2" t="s">
        <v>92</v>
      </c>
    </row>
    <row r="383" spans="1:10" x14ac:dyDescent="0.3">
      <c r="A383" s="2" t="s">
        <v>446</v>
      </c>
      <c r="B383" s="2" t="s">
        <v>447</v>
      </c>
      <c r="C383" s="2">
        <v>32563</v>
      </c>
      <c r="D383" s="2">
        <v>43240</v>
      </c>
      <c r="E383" s="3">
        <v>46093</v>
      </c>
      <c r="F383" s="3">
        <v>46195</v>
      </c>
      <c r="G383" s="4">
        <v>57759.94</v>
      </c>
      <c r="H383" s="2">
        <v>0</v>
      </c>
      <c r="I383" s="2" t="s">
        <v>448</v>
      </c>
      <c r="J383" s="2" t="s">
        <v>417</v>
      </c>
    </row>
    <row r="384" spans="1:10" x14ac:dyDescent="0.3">
      <c r="A384" s="2" t="s">
        <v>748</v>
      </c>
      <c r="B384" s="2" t="s">
        <v>749</v>
      </c>
      <c r="C384" s="2">
        <v>32972</v>
      </c>
      <c r="D384" s="2">
        <v>43623</v>
      </c>
      <c r="E384" s="3">
        <v>46134</v>
      </c>
      <c r="F384" s="3">
        <v>46195</v>
      </c>
      <c r="G384" s="4">
        <v>5210.66</v>
      </c>
      <c r="H384" s="2">
        <v>0</v>
      </c>
      <c r="I384" s="2" t="s">
        <v>1032</v>
      </c>
      <c r="J384" s="2" t="s">
        <v>339</v>
      </c>
    </row>
    <row r="385" spans="1:10" x14ac:dyDescent="0.3">
      <c r="A385" s="2" t="s">
        <v>514</v>
      </c>
      <c r="B385" s="2" t="s">
        <v>515</v>
      </c>
      <c r="C385" s="2">
        <v>32982</v>
      </c>
      <c r="D385" s="2">
        <v>43632</v>
      </c>
      <c r="E385" s="3">
        <v>46134</v>
      </c>
      <c r="F385" s="3">
        <v>46195</v>
      </c>
      <c r="G385" s="4">
        <v>4896.74</v>
      </c>
      <c r="H385" s="2">
        <v>0</v>
      </c>
      <c r="I385" s="2" t="s">
        <v>1035</v>
      </c>
      <c r="J385" s="2" t="s">
        <v>238</v>
      </c>
    </row>
    <row r="386" spans="1:10" x14ac:dyDescent="0.3">
      <c r="A386" s="2" t="s">
        <v>1051</v>
      </c>
      <c r="B386" s="2" t="s">
        <v>1052</v>
      </c>
      <c r="C386" s="2">
        <v>33005</v>
      </c>
      <c r="D386" s="2">
        <v>43654</v>
      </c>
      <c r="E386" s="3">
        <v>46135</v>
      </c>
      <c r="F386" s="3">
        <v>46195</v>
      </c>
      <c r="G386" s="4">
        <v>26500</v>
      </c>
      <c r="H386" s="2">
        <v>0</v>
      </c>
      <c r="I386" s="2" t="s">
        <v>1053</v>
      </c>
      <c r="J386" s="2" t="s">
        <v>97</v>
      </c>
    </row>
    <row r="387" spans="1:10" x14ac:dyDescent="0.3">
      <c r="A387" s="2" t="s">
        <v>104</v>
      </c>
      <c r="B387" s="2" t="s">
        <v>90</v>
      </c>
      <c r="C387" s="2">
        <v>33204</v>
      </c>
      <c r="D387" s="2">
        <v>43849</v>
      </c>
      <c r="E387" s="3">
        <v>46163</v>
      </c>
      <c r="F387" s="3">
        <v>46195</v>
      </c>
      <c r="G387" s="4">
        <v>36456</v>
      </c>
      <c r="H387" s="2">
        <v>0</v>
      </c>
      <c r="I387" s="2" t="s">
        <v>1186</v>
      </c>
      <c r="J387" s="2" t="s">
        <v>97</v>
      </c>
    </row>
    <row r="388" spans="1:10" x14ac:dyDescent="0.3">
      <c r="A388" s="2" t="s">
        <v>336</v>
      </c>
      <c r="B388" s="2" t="s">
        <v>337</v>
      </c>
      <c r="C388" s="2">
        <v>32370</v>
      </c>
      <c r="D388" s="2">
        <v>43033</v>
      </c>
      <c r="E388" s="3">
        <v>46076</v>
      </c>
      <c r="F388" s="3">
        <v>46196</v>
      </c>
      <c r="G388" s="4">
        <v>94850</v>
      </c>
      <c r="H388" s="2">
        <v>0</v>
      </c>
      <c r="I388" s="2" t="s">
        <v>701</v>
      </c>
      <c r="J388" s="2" t="s">
        <v>339</v>
      </c>
    </row>
    <row r="389" spans="1:10" x14ac:dyDescent="0.3">
      <c r="A389" s="2" t="s">
        <v>735</v>
      </c>
      <c r="B389" s="2" t="s">
        <v>736</v>
      </c>
      <c r="C389" s="2">
        <v>32733</v>
      </c>
      <c r="D389" s="2">
        <v>43391</v>
      </c>
      <c r="E389" s="3">
        <v>46106</v>
      </c>
      <c r="F389" s="3">
        <v>46196</v>
      </c>
      <c r="G389" s="4">
        <v>5040</v>
      </c>
      <c r="H389" s="2">
        <v>0</v>
      </c>
      <c r="I389" s="2" t="s">
        <v>880</v>
      </c>
      <c r="J389" s="2" t="s">
        <v>19</v>
      </c>
    </row>
    <row r="390" spans="1:10" x14ac:dyDescent="0.3">
      <c r="A390" s="2" t="s">
        <v>735</v>
      </c>
      <c r="B390" s="2" t="s">
        <v>736</v>
      </c>
      <c r="C390" s="2">
        <v>32734</v>
      </c>
      <c r="D390" s="2">
        <v>43392</v>
      </c>
      <c r="E390" s="3">
        <v>46106</v>
      </c>
      <c r="F390" s="3">
        <v>46196</v>
      </c>
      <c r="G390" s="4">
        <v>1750</v>
      </c>
      <c r="H390" s="2">
        <v>0</v>
      </c>
      <c r="I390" s="2" t="s">
        <v>881</v>
      </c>
      <c r="J390" s="2" t="s">
        <v>19</v>
      </c>
    </row>
    <row r="391" spans="1:10" x14ac:dyDescent="0.3">
      <c r="A391" s="2" t="s">
        <v>735</v>
      </c>
      <c r="B391" s="2" t="s">
        <v>736</v>
      </c>
      <c r="C391" s="2">
        <v>32735</v>
      </c>
      <c r="D391" s="2">
        <v>43393</v>
      </c>
      <c r="E391" s="3">
        <v>46106</v>
      </c>
      <c r="F391" s="3">
        <v>46196</v>
      </c>
      <c r="G391" s="4">
        <v>3120</v>
      </c>
      <c r="H391" s="2">
        <v>0</v>
      </c>
      <c r="I391" s="2" t="s">
        <v>882</v>
      </c>
      <c r="J391" s="2" t="s">
        <v>19</v>
      </c>
    </row>
    <row r="392" spans="1:10" x14ac:dyDescent="0.3">
      <c r="A392" s="2" t="s">
        <v>582</v>
      </c>
      <c r="B392" s="2" t="s">
        <v>583</v>
      </c>
      <c r="C392" s="2">
        <v>33012</v>
      </c>
      <c r="D392" s="2">
        <v>43661</v>
      </c>
      <c r="E392" s="3">
        <v>46136</v>
      </c>
      <c r="F392" s="3">
        <v>46196</v>
      </c>
      <c r="G392" s="4">
        <v>7189.5</v>
      </c>
      <c r="H392" s="2">
        <v>0</v>
      </c>
      <c r="I392" s="2" t="s">
        <v>1058</v>
      </c>
      <c r="J392" s="2" t="s">
        <v>92</v>
      </c>
    </row>
    <row r="393" spans="1:10" x14ac:dyDescent="0.3">
      <c r="A393" s="2" t="s">
        <v>51</v>
      </c>
      <c r="B393" s="2" t="s">
        <v>52</v>
      </c>
      <c r="C393" s="2">
        <v>29823</v>
      </c>
      <c r="D393" s="2">
        <v>40105</v>
      </c>
      <c r="E393" s="3">
        <v>45833</v>
      </c>
      <c r="F393" s="3">
        <v>46197</v>
      </c>
      <c r="G393" s="4">
        <v>195000</v>
      </c>
      <c r="H393" s="2">
        <v>0</v>
      </c>
      <c r="I393" s="2" t="s">
        <v>53</v>
      </c>
      <c r="J393" s="2" t="s">
        <v>54</v>
      </c>
    </row>
    <row r="394" spans="1:10" x14ac:dyDescent="0.3">
      <c r="A394" s="2" t="s">
        <v>55</v>
      </c>
      <c r="B394" s="2" t="s">
        <v>52</v>
      </c>
      <c r="C394" s="2">
        <v>29825</v>
      </c>
      <c r="D394" s="2">
        <v>40107</v>
      </c>
      <c r="E394" s="3">
        <v>45833</v>
      </c>
      <c r="F394" s="3">
        <v>46197</v>
      </c>
      <c r="G394" s="4">
        <v>233320</v>
      </c>
      <c r="H394" s="2">
        <v>0</v>
      </c>
      <c r="I394" s="2" t="s">
        <v>56</v>
      </c>
      <c r="J394" s="2" t="s">
        <v>54</v>
      </c>
    </row>
    <row r="395" spans="1:10" x14ac:dyDescent="0.3">
      <c r="A395" s="2" t="s">
        <v>51</v>
      </c>
      <c r="B395" s="2" t="s">
        <v>52</v>
      </c>
      <c r="C395" s="2">
        <v>29850</v>
      </c>
      <c r="D395" s="2">
        <v>40133</v>
      </c>
      <c r="E395" s="3">
        <v>45834</v>
      </c>
      <c r="F395" s="3">
        <v>46197</v>
      </c>
      <c r="G395" s="4">
        <v>253680</v>
      </c>
      <c r="H395" s="2">
        <v>0</v>
      </c>
      <c r="I395" s="2" t="s">
        <v>57</v>
      </c>
      <c r="J395" s="2" t="s">
        <v>54</v>
      </c>
    </row>
    <row r="396" spans="1:10" x14ac:dyDescent="0.3">
      <c r="A396" s="2" t="s">
        <v>315</v>
      </c>
      <c r="B396" s="2" t="s">
        <v>316</v>
      </c>
      <c r="C396" s="2">
        <v>31461</v>
      </c>
      <c r="D396" s="2">
        <v>42007</v>
      </c>
      <c r="E396" s="3">
        <v>45987</v>
      </c>
      <c r="F396" s="3">
        <v>46197</v>
      </c>
      <c r="G396" s="4">
        <v>224372</v>
      </c>
      <c r="H396" s="2">
        <v>0</v>
      </c>
      <c r="I396" s="2" t="s">
        <v>343</v>
      </c>
      <c r="J396" s="2" t="s">
        <v>318</v>
      </c>
    </row>
    <row r="397" spans="1:10" x14ac:dyDescent="0.3">
      <c r="A397" s="2" t="s">
        <v>315</v>
      </c>
      <c r="B397" s="2" t="s">
        <v>316</v>
      </c>
      <c r="C397" s="2">
        <v>31463</v>
      </c>
      <c r="D397" s="2">
        <v>42009</v>
      </c>
      <c r="E397" s="3">
        <v>45987</v>
      </c>
      <c r="F397" s="3">
        <v>46197</v>
      </c>
      <c r="G397" s="4">
        <v>17682</v>
      </c>
      <c r="H397" s="2">
        <v>0</v>
      </c>
      <c r="I397" s="2" t="s">
        <v>343</v>
      </c>
      <c r="J397" s="2" t="s">
        <v>318</v>
      </c>
    </row>
    <row r="398" spans="1:10" x14ac:dyDescent="0.3">
      <c r="A398" s="2" t="s">
        <v>440</v>
      </c>
      <c r="B398" s="2" t="s">
        <v>441</v>
      </c>
      <c r="C398" s="2">
        <v>32378</v>
      </c>
      <c r="D398" s="2">
        <v>43041</v>
      </c>
      <c r="E398" s="3">
        <v>46077</v>
      </c>
      <c r="F398" s="3">
        <v>46197</v>
      </c>
      <c r="G398" s="2">
        <v>664</v>
      </c>
      <c r="H398" s="2">
        <v>0</v>
      </c>
      <c r="I398" s="2" t="s">
        <v>552</v>
      </c>
      <c r="J398" s="2" t="s">
        <v>417</v>
      </c>
    </row>
    <row r="399" spans="1:10" x14ac:dyDescent="0.3">
      <c r="A399" s="2" t="s">
        <v>514</v>
      </c>
      <c r="B399" s="2" t="s">
        <v>515</v>
      </c>
      <c r="C399" s="2">
        <v>32386</v>
      </c>
      <c r="D399" s="2">
        <v>43051</v>
      </c>
      <c r="E399" s="3">
        <v>46077</v>
      </c>
      <c r="F399" s="3">
        <v>46197</v>
      </c>
      <c r="G399" s="4">
        <v>2368</v>
      </c>
      <c r="H399" s="2">
        <v>0</v>
      </c>
      <c r="I399" s="2" t="s">
        <v>516</v>
      </c>
      <c r="J399" s="2" t="s">
        <v>238</v>
      </c>
    </row>
    <row r="400" spans="1:10" x14ac:dyDescent="0.3">
      <c r="A400" s="2" t="s">
        <v>514</v>
      </c>
      <c r="B400" s="2" t="s">
        <v>515</v>
      </c>
      <c r="C400" s="2">
        <v>32387</v>
      </c>
      <c r="D400" s="2">
        <v>43052</v>
      </c>
      <c r="E400" s="3">
        <v>46077</v>
      </c>
      <c r="F400" s="3">
        <v>46197</v>
      </c>
      <c r="G400" s="4">
        <v>1227.3399999999999</v>
      </c>
      <c r="H400" s="2">
        <v>0</v>
      </c>
      <c r="I400" s="2" t="s">
        <v>516</v>
      </c>
      <c r="J400" s="2" t="s">
        <v>238</v>
      </c>
    </row>
    <row r="401" spans="1:10" x14ac:dyDescent="0.3">
      <c r="A401" s="2" t="s">
        <v>886</v>
      </c>
      <c r="B401" s="2" t="s">
        <v>415</v>
      </c>
      <c r="C401" s="2">
        <v>32743</v>
      </c>
      <c r="D401" s="2">
        <v>43401</v>
      </c>
      <c r="E401" s="3">
        <v>46107</v>
      </c>
      <c r="F401" s="3">
        <v>46197</v>
      </c>
      <c r="G401" s="4">
        <v>31866.63</v>
      </c>
      <c r="H401" s="2">
        <v>0</v>
      </c>
      <c r="I401" s="2" t="s">
        <v>887</v>
      </c>
      <c r="J401" s="2" t="s">
        <v>417</v>
      </c>
    </row>
    <row r="402" spans="1:10" x14ac:dyDescent="0.3">
      <c r="A402" s="2" t="s">
        <v>886</v>
      </c>
      <c r="B402" s="2" t="s">
        <v>415</v>
      </c>
      <c r="C402" s="2">
        <v>32744</v>
      </c>
      <c r="D402" s="2">
        <v>43402</v>
      </c>
      <c r="E402" s="3">
        <v>46107</v>
      </c>
      <c r="F402" s="3">
        <v>46197</v>
      </c>
      <c r="G402" s="2">
        <v>566.66999999999996</v>
      </c>
      <c r="H402" s="2">
        <v>0</v>
      </c>
      <c r="I402" s="2" t="s">
        <v>888</v>
      </c>
      <c r="J402" s="2" t="s">
        <v>417</v>
      </c>
    </row>
    <row r="403" spans="1:10" x14ac:dyDescent="0.3">
      <c r="A403" s="2" t="s">
        <v>557</v>
      </c>
      <c r="B403" s="2" t="s">
        <v>558</v>
      </c>
      <c r="C403" s="2">
        <v>32080</v>
      </c>
      <c r="D403" s="2">
        <v>42709</v>
      </c>
      <c r="E403" s="3">
        <v>46048</v>
      </c>
      <c r="F403" s="3">
        <v>46198</v>
      </c>
      <c r="G403" s="4">
        <v>39735.360000000001</v>
      </c>
      <c r="H403" s="2">
        <v>0</v>
      </c>
      <c r="I403" s="2" t="s">
        <v>559</v>
      </c>
      <c r="J403" s="2" t="s">
        <v>19</v>
      </c>
    </row>
    <row r="404" spans="1:10" x14ac:dyDescent="0.3">
      <c r="A404" s="2" t="s">
        <v>440</v>
      </c>
      <c r="B404" s="2" t="s">
        <v>441</v>
      </c>
      <c r="C404" s="2">
        <v>32088</v>
      </c>
      <c r="D404" s="2">
        <v>42721</v>
      </c>
      <c r="E404" s="3">
        <v>46048</v>
      </c>
      <c r="F404" s="3">
        <v>46198</v>
      </c>
      <c r="G404" s="4">
        <v>1322.67</v>
      </c>
      <c r="H404" s="2">
        <v>0</v>
      </c>
      <c r="I404" s="2" t="s">
        <v>552</v>
      </c>
      <c r="J404" s="2" t="s">
        <v>417</v>
      </c>
    </row>
    <row r="405" spans="1:10" x14ac:dyDescent="0.3">
      <c r="A405" s="2" t="s">
        <v>440</v>
      </c>
      <c r="B405" s="2" t="s">
        <v>441</v>
      </c>
      <c r="C405" s="2">
        <v>32089</v>
      </c>
      <c r="D405" s="2">
        <v>42722</v>
      </c>
      <c r="E405" s="3">
        <v>46048</v>
      </c>
      <c r="F405" s="3">
        <v>46198</v>
      </c>
      <c r="G405" s="4">
        <v>1322.67</v>
      </c>
      <c r="H405" s="2">
        <v>0</v>
      </c>
      <c r="I405" s="2" t="s">
        <v>552</v>
      </c>
      <c r="J405" s="2" t="s">
        <v>417</v>
      </c>
    </row>
    <row r="406" spans="1:10" x14ac:dyDescent="0.3">
      <c r="A406" s="2" t="s">
        <v>706</v>
      </c>
      <c r="B406" s="2" t="s">
        <v>707</v>
      </c>
      <c r="C406" s="2">
        <v>32405</v>
      </c>
      <c r="D406" s="2">
        <v>43068</v>
      </c>
      <c r="E406" s="3">
        <v>46078</v>
      </c>
      <c r="F406" s="3">
        <v>46198</v>
      </c>
      <c r="G406" s="4">
        <v>167809</v>
      </c>
      <c r="H406" s="2">
        <v>0</v>
      </c>
      <c r="I406" s="2" t="s">
        <v>708</v>
      </c>
      <c r="J406" s="2" t="s">
        <v>417</v>
      </c>
    </row>
    <row r="407" spans="1:10" x14ac:dyDescent="0.3">
      <c r="A407" s="2" t="s">
        <v>514</v>
      </c>
      <c r="B407" s="2" t="s">
        <v>515</v>
      </c>
      <c r="C407" s="2">
        <v>32751</v>
      </c>
      <c r="D407" s="2">
        <v>43408</v>
      </c>
      <c r="E407" s="3">
        <v>46108</v>
      </c>
      <c r="F407" s="3">
        <v>46198</v>
      </c>
      <c r="G407" s="4">
        <v>1057.4000000000001</v>
      </c>
      <c r="H407" s="2">
        <v>0</v>
      </c>
      <c r="I407" s="2" t="s">
        <v>516</v>
      </c>
      <c r="J407" s="2" t="s">
        <v>238</v>
      </c>
    </row>
    <row r="408" spans="1:10" x14ac:dyDescent="0.3">
      <c r="A408" s="2" t="s">
        <v>514</v>
      </c>
      <c r="B408" s="2" t="s">
        <v>515</v>
      </c>
      <c r="C408" s="2">
        <v>32752</v>
      </c>
      <c r="D408" s="2">
        <v>43409</v>
      </c>
      <c r="E408" s="3">
        <v>46108</v>
      </c>
      <c r="F408" s="3">
        <v>46198</v>
      </c>
      <c r="G408" s="2">
        <v>488</v>
      </c>
      <c r="H408" s="2">
        <v>0</v>
      </c>
      <c r="I408" s="2" t="s">
        <v>891</v>
      </c>
      <c r="J408" s="2" t="s">
        <v>238</v>
      </c>
    </row>
    <row r="409" spans="1:10" x14ac:dyDescent="0.3">
      <c r="A409" s="2" t="s">
        <v>514</v>
      </c>
      <c r="B409" s="2" t="s">
        <v>515</v>
      </c>
      <c r="C409" s="2">
        <v>32753</v>
      </c>
      <c r="D409" s="2">
        <v>43410</v>
      </c>
      <c r="E409" s="3">
        <v>46108</v>
      </c>
      <c r="F409" s="3">
        <v>46198</v>
      </c>
      <c r="G409" s="4">
        <v>2823.13</v>
      </c>
      <c r="H409" s="2">
        <v>0</v>
      </c>
      <c r="I409" s="2" t="s">
        <v>516</v>
      </c>
      <c r="J409" s="2" t="s">
        <v>238</v>
      </c>
    </row>
    <row r="410" spans="1:10" x14ac:dyDescent="0.3">
      <c r="A410" s="2" t="s">
        <v>514</v>
      </c>
      <c r="B410" s="2" t="s">
        <v>515</v>
      </c>
      <c r="C410" s="2">
        <v>32754</v>
      </c>
      <c r="D410" s="2">
        <v>43411</v>
      </c>
      <c r="E410" s="3">
        <v>46108</v>
      </c>
      <c r="F410" s="3">
        <v>46198</v>
      </c>
      <c r="G410" s="4">
        <v>4053</v>
      </c>
      <c r="H410" s="2">
        <v>0</v>
      </c>
      <c r="I410" s="2" t="s">
        <v>516</v>
      </c>
      <c r="J410" s="2" t="s">
        <v>238</v>
      </c>
    </row>
    <row r="411" spans="1:10" x14ac:dyDescent="0.3">
      <c r="A411" s="2" t="s">
        <v>514</v>
      </c>
      <c r="B411" s="2" t="s">
        <v>515</v>
      </c>
      <c r="C411" s="2">
        <v>32411</v>
      </c>
      <c r="D411" s="2">
        <v>43075</v>
      </c>
      <c r="E411" s="3">
        <v>46079</v>
      </c>
      <c r="F411" s="3">
        <v>46199</v>
      </c>
      <c r="G411" s="4">
        <v>1704</v>
      </c>
      <c r="H411" s="2">
        <v>0</v>
      </c>
      <c r="I411" s="2" t="s">
        <v>713</v>
      </c>
      <c r="J411" s="2" t="s">
        <v>238</v>
      </c>
    </row>
    <row r="412" spans="1:10" x14ac:dyDescent="0.3">
      <c r="A412" s="2" t="s">
        <v>446</v>
      </c>
      <c r="B412" s="2" t="s">
        <v>447</v>
      </c>
      <c r="C412" s="2">
        <v>32426</v>
      </c>
      <c r="D412" s="2">
        <v>43089</v>
      </c>
      <c r="E412" s="3">
        <v>46079</v>
      </c>
      <c r="F412" s="3">
        <v>46199</v>
      </c>
      <c r="G412" s="4">
        <v>49799.95</v>
      </c>
      <c r="H412" s="2">
        <v>0</v>
      </c>
      <c r="I412" s="2" t="s">
        <v>722</v>
      </c>
      <c r="J412" s="2" t="s">
        <v>417</v>
      </c>
    </row>
    <row r="413" spans="1:10" x14ac:dyDescent="0.3">
      <c r="A413" s="2" t="s">
        <v>398</v>
      </c>
      <c r="B413" s="2" t="s">
        <v>399</v>
      </c>
      <c r="C413" s="2">
        <v>32427</v>
      </c>
      <c r="D413" s="2">
        <v>43090</v>
      </c>
      <c r="E413" s="3">
        <v>46079</v>
      </c>
      <c r="F413" s="3">
        <v>46199</v>
      </c>
      <c r="G413" s="4">
        <v>162000</v>
      </c>
      <c r="H413" s="2">
        <v>0</v>
      </c>
      <c r="I413" s="2" t="s">
        <v>500</v>
      </c>
      <c r="J413" s="2" t="s">
        <v>394</v>
      </c>
    </row>
    <row r="414" spans="1:10" x14ac:dyDescent="0.3">
      <c r="A414" s="2" t="s">
        <v>398</v>
      </c>
      <c r="B414" s="2" t="s">
        <v>399</v>
      </c>
      <c r="C414" s="2">
        <v>32428</v>
      </c>
      <c r="D414" s="2">
        <v>43091</v>
      </c>
      <c r="E414" s="3">
        <v>46079</v>
      </c>
      <c r="F414" s="3">
        <v>46199</v>
      </c>
      <c r="G414" s="4">
        <v>144000</v>
      </c>
      <c r="H414" s="2">
        <v>0</v>
      </c>
      <c r="I414" s="2" t="s">
        <v>500</v>
      </c>
      <c r="J414" s="2" t="s">
        <v>394</v>
      </c>
    </row>
    <row r="415" spans="1:10" x14ac:dyDescent="0.3">
      <c r="A415" s="2" t="s">
        <v>398</v>
      </c>
      <c r="B415" s="2" t="s">
        <v>399</v>
      </c>
      <c r="C415" s="2">
        <v>32429</v>
      </c>
      <c r="D415" s="2">
        <v>43092</v>
      </c>
      <c r="E415" s="3">
        <v>46079</v>
      </c>
      <c r="F415" s="3">
        <v>46199</v>
      </c>
      <c r="G415" s="4">
        <v>139500</v>
      </c>
      <c r="H415" s="2">
        <v>0</v>
      </c>
      <c r="I415" s="2" t="s">
        <v>500</v>
      </c>
      <c r="J415" s="2" t="s">
        <v>394</v>
      </c>
    </row>
    <row r="416" spans="1:10" x14ac:dyDescent="0.3">
      <c r="A416" s="2" t="s">
        <v>723</v>
      </c>
      <c r="B416" s="2" t="s">
        <v>724</v>
      </c>
      <c r="C416" s="2">
        <v>32444</v>
      </c>
      <c r="D416" s="2">
        <v>43107</v>
      </c>
      <c r="E416" s="3">
        <v>46079</v>
      </c>
      <c r="F416" s="3">
        <v>46199</v>
      </c>
      <c r="G416" s="4">
        <v>30613.18</v>
      </c>
      <c r="H416" s="2">
        <v>0</v>
      </c>
      <c r="I416" s="2" t="s">
        <v>725</v>
      </c>
      <c r="J416" s="2" t="s">
        <v>162</v>
      </c>
    </row>
    <row r="417" spans="1:10" x14ac:dyDescent="0.3">
      <c r="A417" s="2" t="s">
        <v>726</v>
      </c>
      <c r="B417" s="2" t="s">
        <v>727</v>
      </c>
      <c r="C417" s="2">
        <v>32447</v>
      </c>
      <c r="D417" s="2">
        <v>43110</v>
      </c>
      <c r="E417" s="3">
        <v>46079</v>
      </c>
      <c r="F417" s="3">
        <v>46199</v>
      </c>
      <c r="G417" s="4">
        <v>42151.29</v>
      </c>
      <c r="H417" s="2">
        <v>0</v>
      </c>
      <c r="I417" s="2" t="s">
        <v>728</v>
      </c>
      <c r="J417" s="2" t="s">
        <v>394</v>
      </c>
    </row>
    <row r="418" spans="1:10" x14ac:dyDescent="0.3">
      <c r="A418" s="2" t="s">
        <v>729</v>
      </c>
      <c r="B418" s="2" t="s">
        <v>727</v>
      </c>
      <c r="C418" s="2">
        <v>32450</v>
      </c>
      <c r="D418" s="2">
        <v>43113</v>
      </c>
      <c r="E418" s="3">
        <v>46079</v>
      </c>
      <c r="F418" s="3">
        <v>46199</v>
      </c>
      <c r="G418" s="4">
        <v>15408</v>
      </c>
      <c r="H418" s="2">
        <v>0</v>
      </c>
      <c r="I418" s="2" t="s">
        <v>730</v>
      </c>
      <c r="J418" s="2" t="s">
        <v>394</v>
      </c>
    </row>
    <row r="419" spans="1:10" x14ac:dyDescent="0.3">
      <c r="A419" s="2" t="s">
        <v>729</v>
      </c>
      <c r="B419" s="2" t="s">
        <v>727</v>
      </c>
      <c r="C419" s="2">
        <v>32451</v>
      </c>
      <c r="D419" s="2">
        <v>43114</v>
      </c>
      <c r="E419" s="3">
        <v>46079</v>
      </c>
      <c r="F419" s="3">
        <v>46199</v>
      </c>
      <c r="G419" s="4">
        <v>70425</v>
      </c>
      <c r="H419" s="2">
        <v>0</v>
      </c>
      <c r="I419" s="2" t="s">
        <v>730</v>
      </c>
      <c r="J419" s="2" t="s">
        <v>394</v>
      </c>
    </row>
    <row r="420" spans="1:10" x14ac:dyDescent="0.3">
      <c r="A420" s="2" t="s">
        <v>733</v>
      </c>
      <c r="B420" s="2" t="s">
        <v>392</v>
      </c>
      <c r="C420" s="2">
        <v>32454</v>
      </c>
      <c r="D420" s="2">
        <v>43117</v>
      </c>
      <c r="E420" s="3">
        <v>46079</v>
      </c>
      <c r="F420" s="3">
        <v>46199</v>
      </c>
      <c r="G420" s="4">
        <v>112500</v>
      </c>
      <c r="H420" s="2">
        <v>0</v>
      </c>
      <c r="I420" s="2" t="s">
        <v>734</v>
      </c>
      <c r="J420" s="2" t="s">
        <v>260</v>
      </c>
    </row>
    <row r="421" spans="1:10" x14ac:dyDescent="0.3">
      <c r="A421" s="2" t="s">
        <v>585</v>
      </c>
      <c r="B421" s="2" t="s">
        <v>392</v>
      </c>
      <c r="C421" s="2">
        <v>32456</v>
      </c>
      <c r="D421" s="2">
        <v>43119</v>
      </c>
      <c r="E421" s="3">
        <v>46079</v>
      </c>
      <c r="F421" s="3">
        <v>46199</v>
      </c>
      <c r="G421" s="4">
        <v>113477</v>
      </c>
      <c r="H421" s="2">
        <v>0</v>
      </c>
      <c r="I421" s="2" t="s">
        <v>586</v>
      </c>
      <c r="J421" s="2" t="s">
        <v>394</v>
      </c>
    </row>
    <row r="422" spans="1:10" x14ac:dyDescent="0.3">
      <c r="A422" s="2" t="s">
        <v>1216</v>
      </c>
      <c r="B422" s="2" t="s">
        <v>1217</v>
      </c>
      <c r="C422" s="2">
        <v>33242</v>
      </c>
      <c r="D422" s="2">
        <v>43891</v>
      </c>
      <c r="E422" s="3">
        <v>46169</v>
      </c>
      <c r="F422" s="3">
        <v>46199</v>
      </c>
      <c r="G422" s="4">
        <v>29148</v>
      </c>
      <c r="H422" s="2">
        <v>0</v>
      </c>
      <c r="I422" s="2" t="s">
        <v>1218</v>
      </c>
      <c r="J422" s="2" t="s">
        <v>97</v>
      </c>
    </row>
    <row r="423" spans="1:10" x14ac:dyDescent="0.3">
      <c r="A423" s="2" t="s">
        <v>731</v>
      </c>
      <c r="B423" s="2" t="s">
        <v>392</v>
      </c>
      <c r="C423" s="2">
        <v>32464</v>
      </c>
      <c r="D423" s="2">
        <v>43130</v>
      </c>
      <c r="E423" s="3">
        <v>46080</v>
      </c>
      <c r="F423" s="3">
        <v>46200</v>
      </c>
      <c r="G423" s="4">
        <v>108150</v>
      </c>
      <c r="H423" s="2">
        <v>0</v>
      </c>
      <c r="I423" s="2" t="s">
        <v>739</v>
      </c>
      <c r="J423" s="2" t="s">
        <v>260</v>
      </c>
    </row>
    <row r="424" spans="1:10" x14ac:dyDescent="0.3">
      <c r="A424" s="2" t="s">
        <v>409</v>
      </c>
      <c r="B424" s="2" t="s">
        <v>410</v>
      </c>
      <c r="C424" s="2">
        <v>32469</v>
      </c>
      <c r="D424" s="2">
        <v>43135</v>
      </c>
      <c r="E424" s="3">
        <v>46080</v>
      </c>
      <c r="F424" s="3">
        <v>46200</v>
      </c>
      <c r="G424" s="4">
        <v>107929.5</v>
      </c>
      <c r="H424" s="2">
        <v>0</v>
      </c>
      <c r="I424" s="2" t="s">
        <v>742</v>
      </c>
      <c r="J424" s="2" t="s">
        <v>412</v>
      </c>
    </row>
    <row r="425" spans="1:10" x14ac:dyDescent="0.3">
      <c r="A425" s="2" t="s">
        <v>310</v>
      </c>
      <c r="B425" s="2" t="s">
        <v>311</v>
      </c>
      <c r="C425" s="2">
        <v>32475</v>
      </c>
      <c r="D425" s="2">
        <v>43141</v>
      </c>
      <c r="E425" s="3">
        <v>46080</v>
      </c>
      <c r="F425" s="3">
        <v>46200</v>
      </c>
      <c r="G425" s="4">
        <v>96483</v>
      </c>
      <c r="H425" s="2">
        <v>0</v>
      </c>
      <c r="I425" s="2" t="s">
        <v>747</v>
      </c>
      <c r="J425" s="2" t="s">
        <v>313</v>
      </c>
    </row>
    <row r="426" spans="1:10" x14ac:dyDescent="0.3">
      <c r="A426" s="2" t="s">
        <v>409</v>
      </c>
      <c r="B426" s="2" t="s">
        <v>410</v>
      </c>
      <c r="C426" s="2">
        <v>31826</v>
      </c>
      <c r="D426" s="2">
        <v>42407</v>
      </c>
      <c r="E426" s="3">
        <v>46020</v>
      </c>
      <c r="F426" s="3">
        <v>46202</v>
      </c>
      <c r="G426" s="4">
        <v>2600</v>
      </c>
      <c r="H426" s="2">
        <v>0</v>
      </c>
      <c r="I426" s="2" t="s">
        <v>475</v>
      </c>
      <c r="J426" s="2" t="s">
        <v>412</v>
      </c>
    </row>
    <row r="427" spans="1:10" x14ac:dyDescent="0.3">
      <c r="A427" s="2" t="s">
        <v>414</v>
      </c>
      <c r="B427" s="2" t="s">
        <v>415</v>
      </c>
      <c r="C427" s="2">
        <v>32114</v>
      </c>
      <c r="D427" s="2">
        <v>42741</v>
      </c>
      <c r="E427" s="3">
        <v>46050</v>
      </c>
      <c r="F427" s="3">
        <v>46202</v>
      </c>
      <c r="G427" s="4">
        <v>72011.820000000007</v>
      </c>
      <c r="H427" s="2">
        <v>0</v>
      </c>
      <c r="I427" s="2" t="s">
        <v>565</v>
      </c>
      <c r="J427" s="2" t="s">
        <v>417</v>
      </c>
    </row>
    <row r="428" spans="1:10" x14ac:dyDescent="0.3">
      <c r="A428" s="2" t="s">
        <v>257</v>
      </c>
      <c r="B428" s="2" t="s">
        <v>258</v>
      </c>
      <c r="C428" s="2">
        <v>32118</v>
      </c>
      <c r="D428" s="2">
        <v>42744</v>
      </c>
      <c r="E428" s="3">
        <v>46050</v>
      </c>
      <c r="F428" s="3">
        <v>46202</v>
      </c>
      <c r="G428" s="4">
        <v>54075.1</v>
      </c>
      <c r="H428" s="2">
        <v>0</v>
      </c>
      <c r="I428" s="2" t="s">
        <v>566</v>
      </c>
      <c r="J428" s="2" t="s">
        <v>260</v>
      </c>
    </row>
    <row r="429" spans="1:10" x14ac:dyDescent="0.3">
      <c r="A429" s="2" t="s">
        <v>257</v>
      </c>
      <c r="B429" s="2" t="s">
        <v>258</v>
      </c>
      <c r="C429" s="2">
        <v>32119</v>
      </c>
      <c r="D429" s="2">
        <v>42745</v>
      </c>
      <c r="E429" s="3">
        <v>46050</v>
      </c>
      <c r="F429" s="3">
        <v>46202</v>
      </c>
      <c r="G429" s="4">
        <v>18025.04</v>
      </c>
      <c r="H429" s="2">
        <v>0</v>
      </c>
      <c r="I429" s="2" t="s">
        <v>567</v>
      </c>
      <c r="J429" s="2" t="s">
        <v>260</v>
      </c>
    </row>
    <row r="430" spans="1:10" x14ac:dyDescent="0.3">
      <c r="A430" s="2" t="s">
        <v>391</v>
      </c>
      <c r="B430" s="2" t="s">
        <v>392</v>
      </c>
      <c r="C430" s="2">
        <v>32144</v>
      </c>
      <c r="D430" s="2">
        <v>42764</v>
      </c>
      <c r="E430" s="3">
        <v>46050</v>
      </c>
      <c r="F430" s="3">
        <v>46202</v>
      </c>
      <c r="G430" s="4">
        <v>32090</v>
      </c>
      <c r="H430" s="2">
        <v>0</v>
      </c>
      <c r="I430" s="2" t="s">
        <v>499</v>
      </c>
      <c r="J430" s="2" t="s">
        <v>394</v>
      </c>
    </row>
    <row r="431" spans="1:10" x14ac:dyDescent="0.3">
      <c r="A431" s="2" t="s">
        <v>398</v>
      </c>
      <c r="B431" s="2" t="s">
        <v>399</v>
      </c>
      <c r="C431" s="2">
        <v>32146</v>
      </c>
      <c r="D431" s="2">
        <v>42766</v>
      </c>
      <c r="E431" s="3">
        <v>46050</v>
      </c>
      <c r="F431" s="3">
        <v>46202</v>
      </c>
      <c r="G431" s="4">
        <v>42350</v>
      </c>
      <c r="H431" s="2">
        <v>0</v>
      </c>
      <c r="I431" s="2" t="s">
        <v>500</v>
      </c>
      <c r="J431" s="2" t="s">
        <v>394</v>
      </c>
    </row>
    <row r="432" spans="1:10" x14ac:dyDescent="0.3">
      <c r="A432" s="2" t="s">
        <v>396</v>
      </c>
      <c r="B432" s="2" t="s">
        <v>392</v>
      </c>
      <c r="C432" s="2">
        <v>32154</v>
      </c>
      <c r="D432" s="2">
        <v>42776</v>
      </c>
      <c r="E432" s="3">
        <v>46051</v>
      </c>
      <c r="F432" s="3">
        <v>46202</v>
      </c>
      <c r="G432" s="4">
        <v>37200</v>
      </c>
      <c r="H432" s="2">
        <v>0</v>
      </c>
      <c r="I432" s="2" t="s">
        <v>479</v>
      </c>
      <c r="J432" s="2" t="s">
        <v>394</v>
      </c>
    </row>
    <row r="433" spans="1:10" x14ac:dyDescent="0.3">
      <c r="A433" s="2" t="s">
        <v>585</v>
      </c>
      <c r="B433" s="2" t="s">
        <v>392</v>
      </c>
      <c r="C433" s="2">
        <v>32166</v>
      </c>
      <c r="D433" s="2">
        <v>42789</v>
      </c>
      <c r="E433" s="3">
        <v>46051</v>
      </c>
      <c r="F433" s="3">
        <v>46202</v>
      </c>
      <c r="G433" s="4">
        <v>230675</v>
      </c>
      <c r="H433" s="2">
        <v>0</v>
      </c>
      <c r="I433" s="2" t="s">
        <v>586</v>
      </c>
      <c r="J433" s="2" t="s">
        <v>394</v>
      </c>
    </row>
    <row r="434" spans="1:10" x14ac:dyDescent="0.3">
      <c r="A434" s="2" t="s">
        <v>585</v>
      </c>
      <c r="B434" s="2" t="s">
        <v>392</v>
      </c>
      <c r="C434" s="2">
        <v>32168</v>
      </c>
      <c r="D434" s="2">
        <v>42791</v>
      </c>
      <c r="E434" s="3">
        <v>46051</v>
      </c>
      <c r="F434" s="3">
        <v>46202</v>
      </c>
      <c r="G434" s="4">
        <v>5280</v>
      </c>
      <c r="H434" s="2">
        <v>0</v>
      </c>
      <c r="I434" s="2" t="s">
        <v>586</v>
      </c>
      <c r="J434" s="2" t="s">
        <v>394</v>
      </c>
    </row>
    <row r="435" spans="1:10" x14ac:dyDescent="0.3">
      <c r="A435" s="2" t="s">
        <v>735</v>
      </c>
      <c r="B435" s="2" t="s">
        <v>736</v>
      </c>
      <c r="C435" s="2">
        <v>32458</v>
      </c>
      <c r="D435" s="2">
        <v>43121</v>
      </c>
      <c r="E435" s="3">
        <v>46080</v>
      </c>
      <c r="F435" s="3">
        <v>46202</v>
      </c>
      <c r="G435" s="4">
        <v>3856.66</v>
      </c>
      <c r="H435" s="2">
        <v>0</v>
      </c>
      <c r="I435" s="2" t="s">
        <v>737</v>
      </c>
      <c r="J435" s="2" t="s">
        <v>19</v>
      </c>
    </row>
    <row r="436" spans="1:10" x14ac:dyDescent="0.3">
      <c r="A436" s="2" t="s">
        <v>446</v>
      </c>
      <c r="B436" s="2" t="s">
        <v>447</v>
      </c>
      <c r="C436" s="2">
        <v>32461</v>
      </c>
      <c r="D436" s="2">
        <v>43125</v>
      </c>
      <c r="E436" s="3">
        <v>46080</v>
      </c>
      <c r="F436" s="3">
        <v>46202</v>
      </c>
      <c r="G436" s="4">
        <v>34294.97</v>
      </c>
      <c r="H436" s="2">
        <v>0</v>
      </c>
      <c r="I436" s="2" t="s">
        <v>738</v>
      </c>
      <c r="J436" s="2" t="s">
        <v>417</v>
      </c>
    </row>
    <row r="437" spans="1:10" x14ac:dyDescent="0.3">
      <c r="A437" s="2" t="s">
        <v>121</v>
      </c>
      <c r="B437" s="2" t="s">
        <v>122</v>
      </c>
      <c r="C437" s="2">
        <v>32463</v>
      </c>
      <c r="D437" s="2">
        <v>43127</v>
      </c>
      <c r="E437" s="3">
        <v>46080</v>
      </c>
      <c r="F437" s="3">
        <v>46202</v>
      </c>
      <c r="G437" s="4">
        <v>8070</v>
      </c>
      <c r="H437" s="2">
        <v>0</v>
      </c>
      <c r="I437" s="2" t="s">
        <v>694</v>
      </c>
      <c r="J437" s="2" t="s">
        <v>92</v>
      </c>
    </row>
    <row r="438" spans="1:10" x14ac:dyDescent="0.3">
      <c r="A438" s="2" t="s">
        <v>740</v>
      </c>
      <c r="B438" s="2" t="s">
        <v>727</v>
      </c>
      <c r="C438" s="2">
        <v>32465</v>
      </c>
      <c r="D438" s="2">
        <v>43131</v>
      </c>
      <c r="E438" s="3">
        <v>46080</v>
      </c>
      <c r="F438" s="3">
        <v>46202</v>
      </c>
      <c r="G438" s="4">
        <v>91287</v>
      </c>
      <c r="H438" s="2">
        <v>0</v>
      </c>
      <c r="I438" s="2" t="s">
        <v>741</v>
      </c>
      <c r="J438" s="2" t="s">
        <v>394</v>
      </c>
    </row>
    <row r="439" spans="1:10" x14ac:dyDescent="0.3">
      <c r="A439" s="2" t="s">
        <v>743</v>
      </c>
      <c r="B439" s="2" t="s">
        <v>744</v>
      </c>
      <c r="C439" s="2">
        <v>32470</v>
      </c>
      <c r="D439" s="2">
        <v>43136</v>
      </c>
      <c r="E439" s="3">
        <v>46080</v>
      </c>
      <c r="F439" s="3">
        <v>46202</v>
      </c>
      <c r="G439" s="4">
        <v>34224.400000000001</v>
      </c>
      <c r="H439" s="2">
        <v>0</v>
      </c>
      <c r="I439" s="2" t="s">
        <v>745</v>
      </c>
      <c r="J439" s="2" t="s">
        <v>46</v>
      </c>
    </row>
    <row r="440" spans="1:10" x14ac:dyDescent="0.3">
      <c r="A440" s="2" t="s">
        <v>414</v>
      </c>
      <c r="B440" s="2" t="s">
        <v>415</v>
      </c>
      <c r="C440" s="2">
        <v>32473</v>
      </c>
      <c r="D440" s="2">
        <v>43139</v>
      </c>
      <c r="E440" s="3">
        <v>46080</v>
      </c>
      <c r="F440" s="3">
        <v>46202</v>
      </c>
      <c r="G440" s="2">
        <v>560</v>
      </c>
      <c r="H440" s="2">
        <v>0</v>
      </c>
      <c r="I440" s="2" t="s">
        <v>565</v>
      </c>
      <c r="J440" s="2" t="s">
        <v>417</v>
      </c>
    </row>
    <row r="441" spans="1:10" x14ac:dyDescent="0.3">
      <c r="A441" s="2" t="s">
        <v>414</v>
      </c>
      <c r="B441" s="2" t="s">
        <v>415</v>
      </c>
      <c r="C441" s="2">
        <v>32474</v>
      </c>
      <c r="D441" s="2">
        <v>43140</v>
      </c>
      <c r="E441" s="3">
        <v>46080</v>
      </c>
      <c r="F441" s="3">
        <v>46202</v>
      </c>
      <c r="G441" s="4">
        <v>75713.259999999995</v>
      </c>
      <c r="H441" s="2">
        <v>0</v>
      </c>
      <c r="I441" s="2" t="s">
        <v>565</v>
      </c>
      <c r="J441" s="2" t="s">
        <v>417</v>
      </c>
    </row>
    <row r="442" spans="1:10" x14ac:dyDescent="0.3">
      <c r="A442" s="2" t="s">
        <v>360</v>
      </c>
      <c r="B442" s="2" t="s">
        <v>361</v>
      </c>
      <c r="C442" s="2">
        <v>32771</v>
      </c>
      <c r="D442" s="2">
        <v>43427</v>
      </c>
      <c r="E442" s="3">
        <v>46111</v>
      </c>
      <c r="F442" s="3">
        <v>46202</v>
      </c>
      <c r="G442" s="4">
        <v>2565.4499999999998</v>
      </c>
      <c r="H442" s="2">
        <v>0</v>
      </c>
      <c r="I442" s="2" t="s">
        <v>895</v>
      </c>
      <c r="J442" s="2" t="s">
        <v>92</v>
      </c>
    </row>
    <row r="443" spans="1:10" x14ac:dyDescent="0.3">
      <c r="A443" s="2" t="s">
        <v>653</v>
      </c>
      <c r="B443" s="2" t="s">
        <v>654</v>
      </c>
      <c r="C443" s="2">
        <v>32782</v>
      </c>
      <c r="D443" s="2">
        <v>43438</v>
      </c>
      <c r="E443" s="3">
        <v>46111</v>
      </c>
      <c r="F443" s="3">
        <v>46202</v>
      </c>
      <c r="G443" s="4">
        <v>42000</v>
      </c>
      <c r="H443" s="2">
        <v>0</v>
      </c>
      <c r="I443" s="2" t="s">
        <v>908</v>
      </c>
      <c r="J443" s="2" t="s">
        <v>412</v>
      </c>
    </row>
    <row r="444" spans="1:10" x14ac:dyDescent="0.3">
      <c r="A444" s="2" t="s">
        <v>409</v>
      </c>
      <c r="B444" s="2" t="s">
        <v>410</v>
      </c>
      <c r="C444" s="2">
        <v>32822</v>
      </c>
      <c r="D444" s="2">
        <v>43479</v>
      </c>
      <c r="E444" s="3">
        <v>46112</v>
      </c>
      <c r="F444" s="3">
        <v>46202</v>
      </c>
      <c r="G444" s="4">
        <v>50613.7</v>
      </c>
      <c r="H444" s="2">
        <v>0</v>
      </c>
      <c r="I444" s="2" t="s">
        <v>938</v>
      </c>
      <c r="J444" s="2" t="s">
        <v>412</v>
      </c>
    </row>
    <row r="445" spans="1:10" x14ac:dyDescent="0.3">
      <c r="A445" s="2" t="s">
        <v>414</v>
      </c>
      <c r="B445" s="2" t="s">
        <v>415</v>
      </c>
      <c r="C445" s="2">
        <v>32827</v>
      </c>
      <c r="D445" s="2">
        <v>43484</v>
      </c>
      <c r="E445" s="3">
        <v>46112</v>
      </c>
      <c r="F445" s="3">
        <v>46202</v>
      </c>
      <c r="G445" s="4">
        <v>29199.97</v>
      </c>
      <c r="H445" s="2">
        <v>0</v>
      </c>
      <c r="I445" s="2" t="s">
        <v>945</v>
      </c>
      <c r="J445" s="2" t="s">
        <v>417</v>
      </c>
    </row>
    <row r="446" spans="1:10" x14ac:dyDescent="0.3">
      <c r="A446" s="2" t="s">
        <v>414</v>
      </c>
      <c r="B446" s="2" t="s">
        <v>415</v>
      </c>
      <c r="C446" s="2">
        <v>32828</v>
      </c>
      <c r="D446" s="2">
        <v>43485</v>
      </c>
      <c r="E446" s="3">
        <v>46112</v>
      </c>
      <c r="F446" s="3">
        <v>46202</v>
      </c>
      <c r="G446" s="4">
        <v>9473.32</v>
      </c>
      <c r="H446" s="2">
        <v>0</v>
      </c>
      <c r="I446" s="2" t="s">
        <v>946</v>
      </c>
      <c r="J446" s="2" t="s">
        <v>417</v>
      </c>
    </row>
    <row r="447" spans="1:10" x14ac:dyDescent="0.3">
      <c r="A447" s="2" t="s">
        <v>414</v>
      </c>
      <c r="B447" s="2" t="s">
        <v>415</v>
      </c>
      <c r="C447" s="2">
        <v>32831</v>
      </c>
      <c r="D447" s="2">
        <v>43488</v>
      </c>
      <c r="E447" s="3">
        <v>46112</v>
      </c>
      <c r="F447" s="3">
        <v>46202</v>
      </c>
      <c r="G447" s="4">
        <v>2544</v>
      </c>
      <c r="H447" s="2">
        <v>0</v>
      </c>
      <c r="I447" s="2" t="s">
        <v>949</v>
      </c>
      <c r="J447" s="2" t="s">
        <v>417</v>
      </c>
    </row>
    <row r="448" spans="1:10" x14ac:dyDescent="0.3">
      <c r="A448" s="2" t="s">
        <v>440</v>
      </c>
      <c r="B448" s="2" t="s">
        <v>441</v>
      </c>
      <c r="C448" s="2">
        <v>32914</v>
      </c>
      <c r="D448" s="2">
        <v>43569</v>
      </c>
      <c r="E448" s="3">
        <v>46125</v>
      </c>
      <c r="F448" s="3">
        <v>46202</v>
      </c>
      <c r="G448" s="4">
        <v>23646.2</v>
      </c>
      <c r="H448" s="2">
        <v>0</v>
      </c>
      <c r="I448" s="2" t="s">
        <v>987</v>
      </c>
      <c r="J448" s="2" t="s">
        <v>417</v>
      </c>
    </row>
    <row r="449" spans="1:10" x14ac:dyDescent="0.3">
      <c r="A449" s="2" t="s">
        <v>440</v>
      </c>
      <c r="B449" s="2" t="s">
        <v>441</v>
      </c>
      <c r="C449" s="2">
        <v>32926</v>
      </c>
      <c r="D449" s="2">
        <v>43581</v>
      </c>
      <c r="E449" s="3">
        <v>46125</v>
      </c>
      <c r="F449" s="3">
        <v>46202</v>
      </c>
      <c r="G449" s="4">
        <v>13716.43</v>
      </c>
      <c r="H449" s="2">
        <v>0</v>
      </c>
      <c r="I449" s="2" t="s">
        <v>996</v>
      </c>
      <c r="J449" s="2" t="s">
        <v>417</v>
      </c>
    </row>
    <row r="450" spans="1:10" x14ac:dyDescent="0.3">
      <c r="A450" s="2" t="s">
        <v>440</v>
      </c>
      <c r="B450" s="2" t="s">
        <v>441</v>
      </c>
      <c r="C450" s="2">
        <v>32927</v>
      </c>
      <c r="D450" s="2">
        <v>43582</v>
      </c>
      <c r="E450" s="3">
        <v>46125</v>
      </c>
      <c r="F450" s="3">
        <v>46202</v>
      </c>
      <c r="G450" s="4">
        <v>9599.99</v>
      </c>
      <c r="H450" s="2">
        <v>0</v>
      </c>
      <c r="I450" s="2" t="s">
        <v>997</v>
      </c>
      <c r="J450" s="2" t="s">
        <v>417</v>
      </c>
    </row>
    <row r="451" spans="1:10" x14ac:dyDescent="0.3">
      <c r="A451" s="2" t="s">
        <v>440</v>
      </c>
      <c r="B451" s="2" t="s">
        <v>441</v>
      </c>
      <c r="C451" s="2">
        <v>32928</v>
      </c>
      <c r="D451" s="2">
        <v>43583</v>
      </c>
      <c r="E451" s="3">
        <v>46125</v>
      </c>
      <c r="F451" s="3">
        <v>46202</v>
      </c>
      <c r="G451" s="4">
        <v>2933.33</v>
      </c>
      <c r="H451" s="2">
        <v>0</v>
      </c>
      <c r="I451" s="2" t="s">
        <v>998</v>
      </c>
      <c r="J451" s="2" t="s">
        <v>417</v>
      </c>
    </row>
    <row r="452" spans="1:10" x14ac:dyDescent="0.3">
      <c r="A452" s="2" t="s">
        <v>440</v>
      </c>
      <c r="B452" s="2" t="s">
        <v>441</v>
      </c>
      <c r="C452" s="2">
        <v>32930</v>
      </c>
      <c r="D452" s="2">
        <v>43584</v>
      </c>
      <c r="E452" s="3">
        <v>46125</v>
      </c>
      <c r="F452" s="3">
        <v>46202</v>
      </c>
      <c r="G452" s="4">
        <v>6191.55</v>
      </c>
      <c r="H452" s="2">
        <v>0</v>
      </c>
      <c r="I452" s="2" t="s">
        <v>999</v>
      </c>
      <c r="J452" s="2" t="s">
        <v>417</v>
      </c>
    </row>
    <row r="453" spans="1:10" x14ac:dyDescent="0.3">
      <c r="A453" s="2" t="s">
        <v>1083</v>
      </c>
      <c r="B453" s="2" t="s">
        <v>1084</v>
      </c>
      <c r="C453" s="2">
        <v>33062</v>
      </c>
      <c r="D453" s="2">
        <v>43709</v>
      </c>
      <c r="E453" s="3">
        <v>46142</v>
      </c>
      <c r="F453" s="3">
        <v>46202</v>
      </c>
      <c r="G453" s="4">
        <v>11198.83</v>
      </c>
      <c r="H453" s="2">
        <v>0</v>
      </c>
      <c r="I453" s="2" t="s">
        <v>1085</v>
      </c>
      <c r="J453" s="2" t="s">
        <v>313</v>
      </c>
    </row>
    <row r="454" spans="1:10" x14ac:dyDescent="0.3">
      <c r="A454" s="2" t="s">
        <v>360</v>
      </c>
      <c r="B454" s="2" t="s">
        <v>361</v>
      </c>
      <c r="C454" s="2">
        <v>33173</v>
      </c>
      <c r="D454" s="2">
        <v>43816</v>
      </c>
      <c r="E454" s="3">
        <v>46157</v>
      </c>
      <c r="F454" s="3">
        <v>46202</v>
      </c>
      <c r="G454" s="4">
        <v>6768.18</v>
      </c>
      <c r="H454" s="2">
        <v>0</v>
      </c>
      <c r="I454" s="2" t="s">
        <v>1161</v>
      </c>
      <c r="J454" s="2" t="s">
        <v>92</v>
      </c>
    </row>
    <row r="455" spans="1:10" x14ac:dyDescent="0.3">
      <c r="A455" s="2" t="s">
        <v>302</v>
      </c>
      <c r="B455" s="2" t="s">
        <v>303</v>
      </c>
      <c r="C455" s="2">
        <v>31194</v>
      </c>
      <c r="D455" s="2">
        <v>41712</v>
      </c>
      <c r="E455" s="3">
        <v>45961</v>
      </c>
      <c r="F455" s="3">
        <v>46203</v>
      </c>
      <c r="G455" s="4">
        <v>22190</v>
      </c>
      <c r="H455" s="2">
        <v>0</v>
      </c>
      <c r="I455" s="2" t="s">
        <v>304</v>
      </c>
      <c r="J455" s="2" t="s">
        <v>26</v>
      </c>
    </row>
    <row r="456" spans="1:10" x14ac:dyDescent="0.3">
      <c r="A456" s="2" t="s">
        <v>222</v>
      </c>
      <c r="B456" s="2" t="s">
        <v>223</v>
      </c>
      <c r="C456" s="2">
        <v>31795</v>
      </c>
      <c r="D456" s="2">
        <v>42367</v>
      </c>
      <c r="E456" s="3">
        <v>46010</v>
      </c>
      <c r="F456" s="3">
        <v>46203</v>
      </c>
      <c r="G456" s="4">
        <v>247950</v>
      </c>
      <c r="H456" s="2">
        <v>0</v>
      </c>
      <c r="I456" s="2" t="s">
        <v>460</v>
      </c>
      <c r="J456" s="2" t="s">
        <v>26</v>
      </c>
    </row>
    <row r="457" spans="1:10" x14ac:dyDescent="0.3">
      <c r="A457" s="2" t="s">
        <v>39</v>
      </c>
      <c r="B457" s="2" t="s">
        <v>40</v>
      </c>
      <c r="C457" s="2">
        <v>32172</v>
      </c>
      <c r="D457" s="2">
        <v>42796</v>
      </c>
      <c r="E457" s="3">
        <v>46052</v>
      </c>
      <c r="F457" s="3">
        <v>46203</v>
      </c>
      <c r="G457" s="4">
        <v>3960</v>
      </c>
      <c r="H457" s="2">
        <v>0</v>
      </c>
      <c r="I457" s="2" t="s">
        <v>41</v>
      </c>
      <c r="J457" s="2" t="s">
        <v>42</v>
      </c>
    </row>
    <row r="458" spans="1:10" x14ac:dyDescent="0.3">
      <c r="A458" s="2" t="s">
        <v>310</v>
      </c>
      <c r="B458" s="2" t="s">
        <v>311</v>
      </c>
      <c r="C458" s="2">
        <v>32478</v>
      </c>
      <c r="D458" s="2">
        <v>43145</v>
      </c>
      <c r="E458" s="3">
        <v>46083</v>
      </c>
      <c r="F458" s="3">
        <v>46203</v>
      </c>
      <c r="G458" s="4">
        <v>103137</v>
      </c>
      <c r="H458" s="2">
        <v>0</v>
      </c>
      <c r="I458" s="2" t="s">
        <v>751</v>
      </c>
      <c r="J458" s="2" t="s">
        <v>313</v>
      </c>
    </row>
    <row r="459" spans="1:10" x14ac:dyDescent="0.3">
      <c r="A459" s="2" t="s">
        <v>310</v>
      </c>
      <c r="B459" s="2" t="s">
        <v>311</v>
      </c>
      <c r="C459" s="2">
        <v>32479</v>
      </c>
      <c r="D459" s="2">
        <v>43146</v>
      </c>
      <c r="E459" s="3">
        <v>46083</v>
      </c>
      <c r="F459" s="3">
        <v>46203</v>
      </c>
      <c r="G459" s="4">
        <v>66540</v>
      </c>
      <c r="H459" s="2">
        <v>0</v>
      </c>
      <c r="I459" s="2" t="s">
        <v>752</v>
      </c>
      <c r="J459" s="2" t="s">
        <v>313</v>
      </c>
    </row>
    <row r="460" spans="1:10" x14ac:dyDescent="0.3">
      <c r="A460" s="2" t="s">
        <v>257</v>
      </c>
      <c r="B460" s="2" t="s">
        <v>258</v>
      </c>
      <c r="C460" s="2">
        <v>32480</v>
      </c>
      <c r="D460" s="2">
        <v>43147</v>
      </c>
      <c r="E460" s="3">
        <v>46083</v>
      </c>
      <c r="F460" s="3">
        <v>46203</v>
      </c>
      <c r="G460" s="4">
        <v>4395.46</v>
      </c>
      <c r="H460" s="2">
        <v>0</v>
      </c>
      <c r="I460" s="2" t="s">
        <v>551</v>
      </c>
      <c r="J460" s="2" t="s">
        <v>260</v>
      </c>
    </row>
    <row r="461" spans="1:10" x14ac:dyDescent="0.3">
      <c r="A461" s="2" t="s">
        <v>759</v>
      </c>
      <c r="B461" s="2" t="s">
        <v>760</v>
      </c>
      <c r="C461" s="2">
        <v>32499</v>
      </c>
      <c r="D461" s="2">
        <v>43165</v>
      </c>
      <c r="E461" s="3">
        <v>46084</v>
      </c>
      <c r="F461" s="3">
        <v>46203</v>
      </c>
      <c r="G461" s="4">
        <v>81118.75</v>
      </c>
      <c r="H461" s="2">
        <v>0</v>
      </c>
      <c r="I461" s="2" t="s">
        <v>761</v>
      </c>
      <c r="J461" s="2" t="s">
        <v>238</v>
      </c>
    </row>
    <row r="462" spans="1:10" x14ac:dyDescent="0.3">
      <c r="A462" s="2" t="s">
        <v>653</v>
      </c>
      <c r="B462" s="2" t="s">
        <v>654</v>
      </c>
      <c r="C462" s="2">
        <v>32486</v>
      </c>
      <c r="D462" s="2">
        <v>43153</v>
      </c>
      <c r="E462" s="3">
        <v>46084</v>
      </c>
      <c r="F462" s="3">
        <v>46204</v>
      </c>
      <c r="G462" s="4">
        <v>23000</v>
      </c>
      <c r="H462" s="2">
        <v>0</v>
      </c>
      <c r="I462" s="2" t="s">
        <v>655</v>
      </c>
      <c r="J462" s="2" t="s">
        <v>412</v>
      </c>
    </row>
    <row r="463" spans="1:10" x14ac:dyDescent="0.3">
      <c r="A463" s="2" t="s">
        <v>653</v>
      </c>
      <c r="B463" s="2" t="s">
        <v>654</v>
      </c>
      <c r="C463" s="2">
        <v>32490</v>
      </c>
      <c r="D463" s="2">
        <v>43156</v>
      </c>
      <c r="E463" s="3">
        <v>46084</v>
      </c>
      <c r="F463" s="3">
        <v>46204</v>
      </c>
      <c r="G463" s="2">
        <v>584</v>
      </c>
      <c r="H463" s="2">
        <v>0</v>
      </c>
      <c r="I463" s="2" t="s">
        <v>655</v>
      </c>
      <c r="J463" s="2" t="s">
        <v>412</v>
      </c>
    </row>
    <row r="464" spans="1:10" x14ac:dyDescent="0.3">
      <c r="A464" s="2" t="s">
        <v>653</v>
      </c>
      <c r="B464" s="2" t="s">
        <v>654</v>
      </c>
      <c r="C464" s="2">
        <v>32491</v>
      </c>
      <c r="D464" s="2">
        <v>43157</v>
      </c>
      <c r="E464" s="3">
        <v>46084</v>
      </c>
      <c r="F464" s="3">
        <v>46204</v>
      </c>
      <c r="G464" s="4">
        <v>577459</v>
      </c>
      <c r="H464" s="2">
        <v>0</v>
      </c>
      <c r="I464" s="2" t="s">
        <v>655</v>
      </c>
      <c r="J464" s="2" t="s">
        <v>412</v>
      </c>
    </row>
    <row r="465" spans="1:10" x14ac:dyDescent="0.3">
      <c r="A465" s="2" t="s">
        <v>733</v>
      </c>
      <c r="B465" s="2" t="s">
        <v>392</v>
      </c>
      <c r="C465" s="2">
        <v>32498</v>
      </c>
      <c r="D465" s="2">
        <v>43164</v>
      </c>
      <c r="E465" s="3">
        <v>46084</v>
      </c>
      <c r="F465" s="3">
        <v>46204</v>
      </c>
      <c r="G465" s="4">
        <v>108150</v>
      </c>
      <c r="H465" s="2">
        <v>0</v>
      </c>
      <c r="I465" s="2" t="s">
        <v>758</v>
      </c>
      <c r="J465" s="2" t="s">
        <v>260</v>
      </c>
    </row>
    <row r="466" spans="1:10" x14ac:dyDescent="0.3">
      <c r="A466" s="2" t="s">
        <v>514</v>
      </c>
      <c r="B466" s="2" t="s">
        <v>515</v>
      </c>
      <c r="C466" s="2">
        <v>32500</v>
      </c>
      <c r="D466" s="2">
        <v>43166</v>
      </c>
      <c r="E466" s="3">
        <v>46084</v>
      </c>
      <c r="F466" s="3">
        <v>46204</v>
      </c>
      <c r="G466" s="4">
        <v>4902.82</v>
      </c>
      <c r="H466" s="2">
        <v>0</v>
      </c>
      <c r="I466" s="2" t="s">
        <v>516</v>
      </c>
      <c r="J466" s="2" t="s">
        <v>238</v>
      </c>
    </row>
    <row r="467" spans="1:10" x14ac:dyDescent="0.3">
      <c r="A467" s="2" t="s">
        <v>414</v>
      </c>
      <c r="B467" s="2" t="s">
        <v>415</v>
      </c>
      <c r="C467" s="2">
        <v>32844</v>
      </c>
      <c r="D467" s="2">
        <v>43498</v>
      </c>
      <c r="E467" s="3">
        <v>46114</v>
      </c>
      <c r="F467" s="3">
        <v>46204</v>
      </c>
      <c r="G467" s="2">
        <v>566.66999999999996</v>
      </c>
      <c r="H467" s="2">
        <v>0</v>
      </c>
      <c r="I467" s="2" t="s">
        <v>955</v>
      </c>
      <c r="J467" s="2" t="s">
        <v>417</v>
      </c>
    </row>
    <row r="468" spans="1:10" x14ac:dyDescent="0.3">
      <c r="A468" s="2" t="s">
        <v>1096</v>
      </c>
      <c r="B468" s="2" t="s">
        <v>1097</v>
      </c>
      <c r="C468" s="2">
        <v>33178</v>
      </c>
      <c r="D468" s="2">
        <v>43825</v>
      </c>
      <c r="E468" s="3">
        <v>46160</v>
      </c>
      <c r="F468" s="3">
        <v>46204</v>
      </c>
      <c r="G468" s="4">
        <v>40652.5</v>
      </c>
      <c r="H468" s="2">
        <v>0</v>
      </c>
      <c r="I468" s="2" t="s">
        <v>1165</v>
      </c>
      <c r="J468" s="2" t="s">
        <v>97</v>
      </c>
    </row>
    <row r="469" spans="1:10" x14ac:dyDescent="0.3">
      <c r="A469" s="2" t="s">
        <v>391</v>
      </c>
      <c r="B469" s="2" t="s">
        <v>392</v>
      </c>
      <c r="C469" s="2">
        <v>32187</v>
      </c>
      <c r="D469" s="2">
        <v>42812</v>
      </c>
      <c r="E469" s="3">
        <v>46055</v>
      </c>
      <c r="F469" s="3">
        <v>46205</v>
      </c>
      <c r="G469" s="4">
        <v>28800</v>
      </c>
      <c r="H469" s="2">
        <v>0</v>
      </c>
      <c r="I469" s="2" t="s">
        <v>499</v>
      </c>
      <c r="J469" s="2" t="s">
        <v>394</v>
      </c>
    </row>
    <row r="470" spans="1:10" x14ac:dyDescent="0.3">
      <c r="A470" s="2" t="s">
        <v>762</v>
      </c>
      <c r="B470" s="2" t="s">
        <v>763</v>
      </c>
      <c r="C470" s="2">
        <v>32501</v>
      </c>
      <c r="D470" s="2">
        <v>43172</v>
      </c>
      <c r="E470" s="3">
        <v>46085</v>
      </c>
      <c r="F470" s="3">
        <v>46205</v>
      </c>
      <c r="G470" s="4">
        <v>15103.4</v>
      </c>
      <c r="H470" s="2">
        <v>0</v>
      </c>
      <c r="I470" s="2" t="s">
        <v>764</v>
      </c>
      <c r="J470" s="2" t="s">
        <v>92</v>
      </c>
    </row>
    <row r="471" spans="1:10" x14ac:dyDescent="0.3">
      <c r="A471" s="2" t="s">
        <v>440</v>
      </c>
      <c r="B471" s="2" t="s">
        <v>441</v>
      </c>
      <c r="C471" s="2">
        <v>32663</v>
      </c>
      <c r="D471" s="2">
        <v>43318</v>
      </c>
      <c r="E471" s="3">
        <v>46100</v>
      </c>
      <c r="F471" s="3">
        <v>46205</v>
      </c>
      <c r="G471" s="4">
        <v>36913.96</v>
      </c>
      <c r="H471" s="2">
        <v>0</v>
      </c>
      <c r="I471" s="2" t="s">
        <v>829</v>
      </c>
      <c r="J471" s="2" t="s">
        <v>417</v>
      </c>
    </row>
    <row r="472" spans="1:10" x14ac:dyDescent="0.3">
      <c r="A472" s="2" t="s">
        <v>360</v>
      </c>
      <c r="B472" s="2" t="s">
        <v>361</v>
      </c>
      <c r="C472" s="2">
        <v>32190</v>
      </c>
      <c r="D472" s="2">
        <v>42818</v>
      </c>
      <c r="E472" s="3">
        <v>46056</v>
      </c>
      <c r="F472" s="3">
        <v>46206</v>
      </c>
      <c r="G472" s="4">
        <v>2036.56</v>
      </c>
      <c r="H472" s="2">
        <v>0</v>
      </c>
      <c r="I472" s="2" t="s">
        <v>362</v>
      </c>
      <c r="J472" s="2" t="s">
        <v>92</v>
      </c>
    </row>
    <row r="473" spans="1:10" x14ac:dyDescent="0.3">
      <c r="A473" s="2" t="s">
        <v>440</v>
      </c>
      <c r="B473" s="2" t="s">
        <v>441</v>
      </c>
      <c r="C473" s="2">
        <v>32192</v>
      </c>
      <c r="D473" s="2">
        <v>42820</v>
      </c>
      <c r="E473" s="3">
        <v>46056</v>
      </c>
      <c r="F473" s="3">
        <v>46206</v>
      </c>
      <c r="G473" s="2">
        <v>33</v>
      </c>
      <c r="H473" s="2">
        <v>0</v>
      </c>
      <c r="I473" s="2" t="s">
        <v>552</v>
      </c>
      <c r="J473" s="2" t="s">
        <v>417</v>
      </c>
    </row>
    <row r="474" spans="1:10" x14ac:dyDescent="0.3">
      <c r="A474" s="2" t="s">
        <v>765</v>
      </c>
      <c r="B474" s="2" t="s">
        <v>392</v>
      </c>
      <c r="C474" s="2">
        <v>32508</v>
      </c>
      <c r="D474" s="2">
        <v>43182</v>
      </c>
      <c r="E474" s="3">
        <v>46086</v>
      </c>
      <c r="F474" s="3">
        <v>46206</v>
      </c>
      <c r="G474" s="4">
        <v>108150</v>
      </c>
      <c r="H474" s="2">
        <v>0</v>
      </c>
      <c r="I474" s="2" t="s">
        <v>766</v>
      </c>
      <c r="J474" s="2" t="s">
        <v>260</v>
      </c>
    </row>
    <row r="475" spans="1:10" x14ac:dyDescent="0.3">
      <c r="A475" s="2" t="s">
        <v>396</v>
      </c>
      <c r="B475" s="2" t="s">
        <v>392</v>
      </c>
      <c r="C475" s="2">
        <v>31851</v>
      </c>
      <c r="D475" s="2">
        <v>42436</v>
      </c>
      <c r="E475" s="3">
        <v>46027</v>
      </c>
      <c r="F475" s="3">
        <v>46209</v>
      </c>
      <c r="G475" s="4">
        <v>54056</v>
      </c>
      <c r="H475" s="2">
        <v>0</v>
      </c>
      <c r="I475" s="2" t="s">
        <v>479</v>
      </c>
      <c r="J475" s="2" t="s">
        <v>394</v>
      </c>
    </row>
    <row r="476" spans="1:10" x14ac:dyDescent="0.3">
      <c r="A476" s="2" t="s">
        <v>396</v>
      </c>
      <c r="B476" s="2" t="s">
        <v>392</v>
      </c>
      <c r="C476" s="2">
        <v>31852</v>
      </c>
      <c r="D476" s="2">
        <v>42437</v>
      </c>
      <c r="E476" s="3">
        <v>46027</v>
      </c>
      <c r="F476" s="3">
        <v>46209</v>
      </c>
      <c r="G476" s="4">
        <v>47299</v>
      </c>
      <c r="H476" s="2">
        <v>0</v>
      </c>
      <c r="I476" s="2" t="s">
        <v>479</v>
      </c>
      <c r="J476" s="2" t="s">
        <v>394</v>
      </c>
    </row>
    <row r="477" spans="1:10" x14ac:dyDescent="0.3">
      <c r="A477" s="2" t="s">
        <v>440</v>
      </c>
      <c r="B477" s="2" t="s">
        <v>441</v>
      </c>
      <c r="C477" s="2">
        <v>32354</v>
      </c>
      <c r="D477" s="2">
        <v>42989</v>
      </c>
      <c r="E477" s="3">
        <v>46073</v>
      </c>
      <c r="F477" s="3">
        <v>46209</v>
      </c>
      <c r="G477" s="2">
        <v>372</v>
      </c>
      <c r="H477" s="2">
        <v>0</v>
      </c>
      <c r="I477" s="2" t="s">
        <v>552</v>
      </c>
      <c r="J477" s="2" t="s">
        <v>417</v>
      </c>
    </row>
    <row r="478" spans="1:10" x14ac:dyDescent="0.3">
      <c r="A478" s="2" t="s">
        <v>440</v>
      </c>
      <c r="B478" s="2" t="s">
        <v>441</v>
      </c>
      <c r="C478" s="2">
        <v>32355</v>
      </c>
      <c r="D478" s="2">
        <v>42990</v>
      </c>
      <c r="E478" s="3">
        <v>46073</v>
      </c>
      <c r="F478" s="3">
        <v>46209</v>
      </c>
      <c r="G478" s="4">
        <v>18465.54</v>
      </c>
      <c r="H478" s="2">
        <v>0</v>
      </c>
      <c r="I478" s="2" t="s">
        <v>552</v>
      </c>
      <c r="J478" s="2" t="s">
        <v>417</v>
      </c>
    </row>
    <row r="479" spans="1:10" x14ac:dyDescent="0.3">
      <c r="A479" s="2" t="s">
        <v>440</v>
      </c>
      <c r="B479" s="2" t="s">
        <v>441</v>
      </c>
      <c r="C479" s="2">
        <v>32358</v>
      </c>
      <c r="D479" s="2">
        <v>42993</v>
      </c>
      <c r="E479" s="3">
        <v>46073</v>
      </c>
      <c r="F479" s="3">
        <v>46209</v>
      </c>
      <c r="G479" s="4">
        <v>3240</v>
      </c>
      <c r="H479" s="2">
        <v>0</v>
      </c>
      <c r="I479" s="2" t="s">
        <v>552</v>
      </c>
      <c r="J479" s="2" t="s">
        <v>417</v>
      </c>
    </row>
    <row r="480" spans="1:10" x14ac:dyDescent="0.3">
      <c r="A480" s="2" t="s">
        <v>360</v>
      </c>
      <c r="B480" s="2" t="s">
        <v>361</v>
      </c>
      <c r="C480" s="2">
        <v>33074</v>
      </c>
      <c r="D480" s="2">
        <v>43719</v>
      </c>
      <c r="E480" s="3">
        <v>46147</v>
      </c>
      <c r="F480" s="3">
        <v>46209</v>
      </c>
      <c r="G480" s="2">
        <v>505.82</v>
      </c>
      <c r="H480" s="2">
        <v>0</v>
      </c>
      <c r="I480" s="2" t="s">
        <v>1092</v>
      </c>
      <c r="J480" s="2" t="s">
        <v>92</v>
      </c>
    </row>
    <row r="481" spans="1:10" x14ac:dyDescent="0.3">
      <c r="A481" s="2" t="s">
        <v>775</v>
      </c>
      <c r="B481" s="2" t="s">
        <v>776</v>
      </c>
      <c r="C481" s="2">
        <v>33078</v>
      </c>
      <c r="D481" s="2">
        <v>43723</v>
      </c>
      <c r="E481" s="3">
        <v>46147</v>
      </c>
      <c r="F481" s="3">
        <v>46209</v>
      </c>
      <c r="G481" s="4">
        <v>10110.57</v>
      </c>
      <c r="H481" s="2">
        <v>0</v>
      </c>
      <c r="I481" s="2" t="s">
        <v>1095</v>
      </c>
      <c r="J481" s="2" t="s">
        <v>117</v>
      </c>
    </row>
    <row r="482" spans="1:10" x14ac:dyDescent="0.3">
      <c r="A482" s="2" t="s">
        <v>1096</v>
      </c>
      <c r="B482" s="2" t="s">
        <v>1097</v>
      </c>
      <c r="C482" s="2">
        <v>33079</v>
      </c>
      <c r="D482" s="2">
        <v>43724</v>
      </c>
      <c r="E482" s="3">
        <v>46147</v>
      </c>
      <c r="F482" s="3">
        <v>46209</v>
      </c>
      <c r="G482" s="4">
        <v>42740</v>
      </c>
      <c r="H482" s="2">
        <v>0</v>
      </c>
      <c r="I482" s="2" t="s">
        <v>1098</v>
      </c>
      <c r="J482" s="2" t="s">
        <v>97</v>
      </c>
    </row>
    <row r="483" spans="1:10" x14ac:dyDescent="0.3">
      <c r="A483" s="2" t="s">
        <v>1104</v>
      </c>
      <c r="B483" s="2" t="s">
        <v>1105</v>
      </c>
      <c r="C483" s="2">
        <v>33087</v>
      </c>
      <c r="D483" s="2">
        <v>43732</v>
      </c>
      <c r="E483" s="3">
        <v>46148</v>
      </c>
      <c r="F483" s="3">
        <v>46209</v>
      </c>
      <c r="G483" s="4">
        <v>16375</v>
      </c>
      <c r="H483" s="2">
        <v>0</v>
      </c>
      <c r="I483" s="2" t="s">
        <v>1106</v>
      </c>
      <c r="J483" s="2" t="s">
        <v>238</v>
      </c>
    </row>
    <row r="484" spans="1:10" x14ac:dyDescent="0.3">
      <c r="A484" s="2" t="s">
        <v>310</v>
      </c>
      <c r="B484" s="2" t="s">
        <v>311</v>
      </c>
      <c r="C484" s="2">
        <v>33088</v>
      </c>
      <c r="D484" s="2">
        <v>43734</v>
      </c>
      <c r="E484" s="3">
        <v>46148</v>
      </c>
      <c r="F484" s="3">
        <v>46209</v>
      </c>
      <c r="G484" s="4">
        <v>108710</v>
      </c>
      <c r="H484" s="2">
        <v>0</v>
      </c>
      <c r="I484" s="2" t="s">
        <v>1107</v>
      </c>
      <c r="J484" s="2" t="s">
        <v>313</v>
      </c>
    </row>
    <row r="485" spans="1:10" x14ac:dyDescent="0.3">
      <c r="A485" s="2" t="s">
        <v>822</v>
      </c>
      <c r="B485" s="2" t="s">
        <v>823</v>
      </c>
      <c r="C485" s="2">
        <v>33100</v>
      </c>
      <c r="D485" s="2">
        <v>43746</v>
      </c>
      <c r="E485" s="3">
        <v>46149</v>
      </c>
      <c r="F485" s="3">
        <v>46209</v>
      </c>
      <c r="G485" s="4">
        <v>10023.75</v>
      </c>
      <c r="H485" s="2">
        <v>0</v>
      </c>
      <c r="I485" s="2" t="s">
        <v>1114</v>
      </c>
      <c r="J485" s="2" t="s">
        <v>535</v>
      </c>
    </row>
    <row r="486" spans="1:10" x14ac:dyDescent="0.3">
      <c r="A486" s="2" t="s">
        <v>257</v>
      </c>
      <c r="B486" s="2" t="s">
        <v>258</v>
      </c>
      <c r="C486" s="2">
        <v>30930</v>
      </c>
      <c r="D486" s="2">
        <v>41424</v>
      </c>
      <c r="E486" s="3">
        <v>45940</v>
      </c>
      <c r="F486" s="3">
        <v>46210</v>
      </c>
      <c r="G486" s="4">
        <v>145395</v>
      </c>
      <c r="H486" s="2">
        <v>0</v>
      </c>
      <c r="I486" s="2" t="s">
        <v>259</v>
      </c>
      <c r="J486" s="2" t="s">
        <v>260</v>
      </c>
    </row>
    <row r="487" spans="1:10" x14ac:dyDescent="0.3">
      <c r="A487" s="2" t="s">
        <v>257</v>
      </c>
      <c r="B487" s="2" t="s">
        <v>258</v>
      </c>
      <c r="C487" s="2">
        <v>30931</v>
      </c>
      <c r="D487" s="2">
        <v>41425</v>
      </c>
      <c r="E487" s="3">
        <v>45940</v>
      </c>
      <c r="F487" s="3">
        <v>46210</v>
      </c>
      <c r="G487" s="4">
        <v>38700</v>
      </c>
      <c r="H487" s="2">
        <v>0</v>
      </c>
      <c r="I487" s="2" t="s">
        <v>261</v>
      </c>
      <c r="J487" s="2" t="s">
        <v>260</v>
      </c>
    </row>
    <row r="488" spans="1:10" x14ac:dyDescent="0.3">
      <c r="A488" s="2" t="s">
        <v>440</v>
      </c>
      <c r="B488" s="2" t="s">
        <v>441</v>
      </c>
      <c r="C488" s="2">
        <v>32053</v>
      </c>
      <c r="D488" s="2">
        <v>42683</v>
      </c>
      <c r="E488" s="3">
        <v>46045</v>
      </c>
      <c r="F488" s="3">
        <v>46210</v>
      </c>
      <c r="G488" s="4">
        <v>4815.55</v>
      </c>
      <c r="H488" s="2">
        <v>0</v>
      </c>
      <c r="I488" s="2" t="s">
        <v>552</v>
      </c>
      <c r="J488" s="2" t="s">
        <v>417</v>
      </c>
    </row>
    <row r="489" spans="1:10" x14ac:dyDescent="0.3">
      <c r="A489" s="2" t="s">
        <v>440</v>
      </c>
      <c r="B489" s="2" t="s">
        <v>441</v>
      </c>
      <c r="C489" s="2">
        <v>32054</v>
      </c>
      <c r="D489" s="2">
        <v>42684</v>
      </c>
      <c r="E489" s="3">
        <v>46045</v>
      </c>
      <c r="F489" s="3">
        <v>46210</v>
      </c>
      <c r="G489" s="4">
        <v>7456.88</v>
      </c>
      <c r="H489" s="2">
        <v>0</v>
      </c>
      <c r="I489" s="2" t="s">
        <v>552</v>
      </c>
      <c r="J489" s="2" t="s">
        <v>417</v>
      </c>
    </row>
    <row r="490" spans="1:10" x14ac:dyDescent="0.3">
      <c r="A490" s="2" t="s">
        <v>440</v>
      </c>
      <c r="B490" s="2" t="s">
        <v>441</v>
      </c>
      <c r="C490" s="2">
        <v>32055</v>
      </c>
      <c r="D490" s="2">
        <v>42685</v>
      </c>
      <c r="E490" s="3">
        <v>46045</v>
      </c>
      <c r="F490" s="3">
        <v>46210</v>
      </c>
      <c r="G490" s="2">
        <v>566.33000000000004</v>
      </c>
      <c r="H490" s="2">
        <v>0</v>
      </c>
      <c r="I490" s="2" t="s">
        <v>552</v>
      </c>
      <c r="J490" s="2" t="s">
        <v>417</v>
      </c>
    </row>
    <row r="491" spans="1:10" x14ac:dyDescent="0.3">
      <c r="A491" s="2" t="s">
        <v>771</v>
      </c>
      <c r="B491" s="2" t="s">
        <v>772</v>
      </c>
      <c r="C491" s="2">
        <v>32519</v>
      </c>
      <c r="D491" s="2">
        <v>43195</v>
      </c>
      <c r="E491" s="3">
        <v>46090</v>
      </c>
      <c r="F491" s="3">
        <v>46210</v>
      </c>
      <c r="G491" s="4">
        <v>7599.56</v>
      </c>
      <c r="H491" s="2">
        <v>0</v>
      </c>
      <c r="I491" s="2" t="s">
        <v>773</v>
      </c>
      <c r="J491" s="2" t="s">
        <v>146</v>
      </c>
    </row>
    <row r="492" spans="1:10" x14ac:dyDescent="0.3">
      <c r="A492" s="2" t="s">
        <v>771</v>
      </c>
      <c r="B492" s="2" t="s">
        <v>772</v>
      </c>
      <c r="C492" s="2">
        <v>32520</v>
      </c>
      <c r="D492" s="2">
        <v>43196</v>
      </c>
      <c r="E492" s="3">
        <v>46090</v>
      </c>
      <c r="F492" s="3">
        <v>46210</v>
      </c>
      <c r="G492" s="4">
        <v>82766.399999999994</v>
      </c>
      <c r="H492" s="2">
        <v>0</v>
      </c>
      <c r="I492" s="2" t="s">
        <v>773</v>
      </c>
      <c r="J492" s="2" t="s">
        <v>146</v>
      </c>
    </row>
    <row r="493" spans="1:10" x14ac:dyDescent="0.3">
      <c r="A493" s="2" t="s">
        <v>582</v>
      </c>
      <c r="B493" s="2" t="s">
        <v>583</v>
      </c>
      <c r="C493" s="2">
        <v>32539</v>
      </c>
      <c r="D493" s="2">
        <v>43214</v>
      </c>
      <c r="E493" s="3">
        <v>46090</v>
      </c>
      <c r="F493" s="3">
        <v>46210</v>
      </c>
      <c r="G493" s="4">
        <v>6577.5</v>
      </c>
      <c r="H493" s="2">
        <v>0</v>
      </c>
      <c r="I493" s="2" t="s">
        <v>584</v>
      </c>
      <c r="J493" s="2" t="s">
        <v>92</v>
      </c>
    </row>
    <row r="494" spans="1:10" x14ac:dyDescent="0.3">
      <c r="A494" s="2" t="s">
        <v>440</v>
      </c>
      <c r="B494" s="2" t="s">
        <v>441</v>
      </c>
      <c r="C494" s="2">
        <v>33120</v>
      </c>
      <c r="D494" s="2">
        <v>43765</v>
      </c>
      <c r="E494" s="3">
        <v>46150</v>
      </c>
      <c r="F494" s="3">
        <v>46210</v>
      </c>
      <c r="G494" s="4">
        <v>4666.66</v>
      </c>
      <c r="H494" s="2">
        <v>0</v>
      </c>
      <c r="I494" s="2" t="s">
        <v>1127</v>
      </c>
      <c r="J494" s="2" t="s">
        <v>417</v>
      </c>
    </row>
    <row r="495" spans="1:10" x14ac:dyDescent="0.3">
      <c r="A495" s="2" t="s">
        <v>440</v>
      </c>
      <c r="B495" s="2" t="s">
        <v>441</v>
      </c>
      <c r="C495" s="2">
        <v>33121</v>
      </c>
      <c r="D495" s="2">
        <v>43766</v>
      </c>
      <c r="E495" s="3">
        <v>46150</v>
      </c>
      <c r="F495" s="3">
        <v>46210</v>
      </c>
      <c r="G495" s="4">
        <v>16386.87</v>
      </c>
      <c r="H495" s="2">
        <v>0</v>
      </c>
      <c r="I495" s="2" t="s">
        <v>1128</v>
      </c>
      <c r="J495" s="2" t="s">
        <v>417</v>
      </c>
    </row>
    <row r="496" spans="1:10" x14ac:dyDescent="0.3">
      <c r="A496" s="2" t="s">
        <v>440</v>
      </c>
      <c r="B496" s="2" t="s">
        <v>441</v>
      </c>
      <c r="C496" s="2">
        <v>33122</v>
      </c>
      <c r="D496" s="2">
        <v>43767</v>
      </c>
      <c r="E496" s="3">
        <v>46150</v>
      </c>
      <c r="F496" s="3">
        <v>46210</v>
      </c>
      <c r="G496" s="4">
        <v>15771.98</v>
      </c>
      <c r="H496" s="2">
        <v>0</v>
      </c>
      <c r="I496" s="2" t="s">
        <v>1129</v>
      </c>
      <c r="J496" s="2" t="s">
        <v>417</v>
      </c>
    </row>
    <row r="497" spans="1:10" x14ac:dyDescent="0.3">
      <c r="A497" s="2" t="s">
        <v>585</v>
      </c>
      <c r="B497" s="2" t="s">
        <v>392</v>
      </c>
      <c r="C497" s="2">
        <v>32541</v>
      </c>
      <c r="D497" s="2">
        <v>43216</v>
      </c>
      <c r="E497" s="3">
        <v>46091</v>
      </c>
      <c r="F497" s="3">
        <v>46211</v>
      </c>
      <c r="G497" s="4">
        <v>128400</v>
      </c>
      <c r="H497" s="2">
        <v>0</v>
      </c>
      <c r="I497" s="2" t="s">
        <v>586</v>
      </c>
      <c r="J497" s="2" t="s">
        <v>394</v>
      </c>
    </row>
    <row r="498" spans="1:10" x14ac:dyDescent="0.3">
      <c r="A498" s="2" t="s">
        <v>585</v>
      </c>
      <c r="B498" s="2" t="s">
        <v>392</v>
      </c>
      <c r="C498" s="2">
        <v>32545</v>
      </c>
      <c r="D498" s="2">
        <v>43220</v>
      </c>
      <c r="E498" s="3">
        <v>46091</v>
      </c>
      <c r="F498" s="3">
        <v>46211</v>
      </c>
      <c r="G498" s="4">
        <v>526500</v>
      </c>
      <c r="H498" s="2">
        <v>0</v>
      </c>
      <c r="I498" s="2" t="s">
        <v>586</v>
      </c>
      <c r="J498" s="2" t="s">
        <v>394</v>
      </c>
    </row>
    <row r="499" spans="1:10" x14ac:dyDescent="0.3">
      <c r="A499" s="2" t="s">
        <v>585</v>
      </c>
      <c r="B499" s="2" t="s">
        <v>392</v>
      </c>
      <c r="C499" s="2">
        <v>32547</v>
      </c>
      <c r="D499" s="2">
        <v>43222</v>
      </c>
      <c r="E499" s="3">
        <v>46091</v>
      </c>
      <c r="F499" s="3">
        <v>46211</v>
      </c>
      <c r="G499" s="4">
        <v>161181.5</v>
      </c>
      <c r="H499" s="2">
        <v>0</v>
      </c>
      <c r="I499" s="2" t="s">
        <v>586</v>
      </c>
      <c r="J499" s="2" t="s">
        <v>394</v>
      </c>
    </row>
    <row r="500" spans="1:10" x14ac:dyDescent="0.3">
      <c r="A500" s="2" t="s">
        <v>735</v>
      </c>
      <c r="B500" s="2" t="s">
        <v>736</v>
      </c>
      <c r="C500" s="2">
        <v>32549</v>
      </c>
      <c r="D500" s="2">
        <v>43225</v>
      </c>
      <c r="E500" s="3">
        <v>46091</v>
      </c>
      <c r="F500" s="3">
        <v>46211</v>
      </c>
      <c r="G500" s="4">
        <v>51860</v>
      </c>
      <c r="H500" s="2">
        <v>0</v>
      </c>
      <c r="I500" s="2" t="s">
        <v>737</v>
      </c>
      <c r="J500" s="2" t="s">
        <v>19</v>
      </c>
    </row>
    <row r="501" spans="1:10" x14ac:dyDescent="0.3">
      <c r="A501" s="2" t="s">
        <v>847</v>
      </c>
      <c r="B501" s="2" t="s">
        <v>660</v>
      </c>
      <c r="C501" s="2">
        <v>32686</v>
      </c>
      <c r="D501" s="2">
        <v>43341</v>
      </c>
      <c r="E501" s="3">
        <v>46101</v>
      </c>
      <c r="F501" s="3">
        <v>46211</v>
      </c>
      <c r="G501" s="4">
        <v>31050</v>
      </c>
      <c r="H501" s="2">
        <v>0</v>
      </c>
      <c r="I501" s="2" t="s">
        <v>848</v>
      </c>
      <c r="J501" s="2" t="s">
        <v>535</v>
      </c>
    </row>
    <row r="502" spans="1:10" x14ac:dyDescent="0.3">
      <c r="A502" s="2" t="s">
        <v>668</v>
      </c>
      <c r="B502" s="2" t="s">
        <v>669</v>
      </c>
      <c r="C502" s="2">
        <v>32874</v>
      </c>
      <c r="D502" s="2">
        <v>43529</v>
      </c>
      <c r="E502" s="3">
        <v>46121</v>
      </c>
      <c r="F502" s="3">
        <v>46211</v>
      </c>
      <c r="G502" s="4">
        <v>5481.25</v>
      </c>
      <c r="H502" s="2">
        <v>0</v>
      </c>
      <c r="I502" s="2" t="s">
        <v>964</v>
      </c>
      <c r="J502" s="2" t="s">
        <v>339</v>
      </c>
    </row>
    <row r="503" spans="1:10" x14ac:dyDescent="0.3">
      <c r="A503" s="2" t="s">
        <v>735</v>
      </c>
      <c r="B503" s="2" t="s">
        <v>736</v>
      </c>
      <c r="C503" s="2">
        <v>32877</v>
      </c>
      <c r="D503" s="2">
        <v>43532</v>
      </c>
      <c r="E503" s="3">
        <v>46121</v>
      </c>
      <c r="F503" s="3">
        <v>46211</v>
      </c>
      <c r="G503" s="4">
        <v>12500</v>
      </c>
      <c r="H503" s="2">
        <v>0</v>
      </c>
      <c r="I503" s="2" t="s">
        <v>966</v>
      </c>
      <c r="J503" s="2" t="s">
        <v>19</v>
      </c>
    </row>
    <row r="504" spans="1:10" x14ac:dyDescent="0.3">
      <c r="A504" s="2" t="s">
        <v>735</v>
      </c>
      <c r="B504" s="2" t="s">
        <v>736</v>
      </c>
      <c r="C504" s="2">
        <v>32878</v>
      </c>
      <c r="D504" s="2">
        <v>43533</v>
      </c>
      <c r="E504" s="3">
        <v>46121</v>
      </c>
      <c r="F504" s="3">
        <v>46211</v>
      </c>
      <c r="G504" s="4">
        <v>4266.66</v>
      </c>
      <c r="H504" s="2">
        <v>0</v>
      </c>
      <c r="I504" s="2" t="s">
        <v>967</v>
      </c>
      <c r="J504" s="2" t="s">
        <v>19</v>
      </c>
    </row>
    <row r="505" spans="1:10" x14ac:dyDescent="0.3">
      <c r="A505" s="2" t="s">
        <v>735</v>
      </c>
      <c r="B505" s="2" t="s">
        <v>736</v>
      </c>
      <c r="C505" s="2">
        <v>32879</v>
      </c>
      <c r="D505" s="2">
        <v>43534</v>
      </c>
      <c r="E505" s="3">
        <v>46121</v>
      </c>
      <c r="F505" s="3">
        <v>46211</v>
      </c>
      <c r="G505" s="4">
        <v>4266.66</v>
      </c>
      <c r="H505" s="2">
        <v>0</v>
      </c>
      <c r="I505" s="2" t="s">
        <v>968</v>
      </c>
      <c r="J505" s="2" t="s">
        <v>19</v>
      </c>
    </row>
    <row r="506" spans="1:10" x14ac:dyDescent="0.3">
      <c r="A506" s="2" t="s">
        <v>743</v>
      </c>
      <c r="B506" s="2" t="s">
        <v>744</v>
      </c>
      <c r="C506" s="2">
        <v>32885</v>
      </c>
      <c r="D506" s="2">
        <v>43540</v>
      </c>
      <c r="E506" s="3">
        <v>46121</v>
      </c>
      <c r="F506" s="3">
        <v>46211</v>
      </c>
      <c r="G506" s="4">
        <v>20319.04</v>
      </c>
      <c r="H506" s="2">
        <v>0</v>
      </c>
      <c r="I506" s="2" t="s">
        <v>969</v>
      </c>
      <c r="J506" s="2" t="s">
        <v>46</v>
      </c>
    </row>
    <row r="507" spans="1:10" x14ac:dyDescent="0.3">
      <c r="A507" s="2" t="s">
        <v>440</v>
      </c>
      <c r="B507" s="2" t="s">
        <v>441</v>
      </c>
      <c r="C507" s="2">
        <v>32378</v>
      </c>
      <c r="D507" s="2">
        <v>43041</v>
      </c>
      <c r="E507" s="3">
        <v>46077</v>
      </c>
      <c r="F507" s="3">
        <v>46212</v>
      </c>
      <c r="G507" s="2">
        <v>664</v>
      </c>
      <c r="H507" s="2">
        <v>0</v>
      </c>
      <c r="I507" s="2" t="s">
        <v>552</v>
      </c>
      <c r="J507" s="2" t="s">
        <v>417</v>
      </c>
    </row>
    <row r="508" spans="1:10" x14ac:dyDescent="0.3">
      <c r="A508" s="2" t="s">
        <v>662</v>
      </c>
      <c r="B508" s="2" t="s">
        <v>44</v>
      </c>
      <c r="C508" s="2">
        <v>32552</v>
      </c>
      <c r="D508" s="2">
        <v>43229</v>
      </c>
      <c r="E508" s="3">
        <v>46092</v>
      </c>
      <c r="F508" s="3">
        <v>46212</v>
      </c>
      <c r="G508" s="4">
        <v>3955</v>
      </c>
      <c r="H508" s="2">
        <v>0</v>
      </c>
      <c r="I508" s="2" t="s">
        <v>663</v>
      </c>
      <c r="J508" s="2" t="s">
        <v>46</v>
      </c>
    </row>
    <row r="509" spans="1:10" x14ac:dyDescent="0.3">
      <c r="A509" s="2" t="s">
        <v>257</v>
      </c>
      <c r="B509" s="2" t="s">
        <v>258</v>
      </c>
      <c r="C509" s="2">
        <v>32553</v>
      </c>
      <c r="D509" s="2">
        <v>43230</v>
      </c>
      <c r="E509" s="3">
        <v>46092</v>
      </c>
      <c r="F509" s="3">
        <v>46212</v>
      </c>
      <c r="G509" s="4">
        <v>112833.22</v>
      </c>
      <c r="H509" s="2">
        <v>0</v>
      </c>
      <c r="I509" s="2" t="s">
        <v>551</v>
      </c>
      <c r="J509" s="2" t="s">
        <v>260</v>
      </c>
    </row>
    <row r="510" spans="1:10" x14ac:dyDescent="0.3">
      <c r="A510" s="2" t="s">
        <v>257</v>
      </c>
      <c r="B510" s="2" t="s">
        <v>258</v>
      </c>
      <c r="C510" s="2">
        <v>32554</v>
      </c>
      <c r="D510" s="2">
        <v>43231</v>
      </c>
      <c r="E510" s="3">
        <v>46092</v>
      </c>
      <c r="F510" s="3">
        <v>46212</v>
      </c>
      <c r="G510" s="4">
        <v>17999.98</v>
      </c>
      <c r="H510" s="2">
        <v>0</v>
      </c>
      <c r="I510" s="2" t="s">
        <v>551</v>
      </c>
      <c r="J510" s="2" t="s">
        <v>260</v>
      </c>
    </row>
    <row r="511" spans="1:10" x14ac:dyDescent="0.3">
      <c r="A511" s="2" t="s">
        <v>784</v>
      </c>
      <c r="B511" s="2" t="s">
        <v>724</v>
      </c>
      <c r="C511" s="2">
        <v>32561</v>
      </c>
      <c r="D511" s="2">
        <v>43238</v>
      </c>
      <c r="E511" s="3">
        <v>46092</v>
      </c>
      <c r="F511" s="3">
        <v>46212</v>
      </c>
      <c r="G511" s="4">
        <v>38680</v>
      </c>
      <c r="H511" s="2">
        <v>0</v>
      </c>
      <c r="I511" s="2" t="s">
        <v>785</v>
      </c>
      <c r="J511" s="2" t="s">
        <v>162</v>
      </c>
    </row>
    <row r="512" spans="1:10" x14ac:dyDescent="0.3">
      <c r="A512" s="2" t="s">
        <v>886</v>
      </c>
      <c r="B512" s="2" t="s">
        <v>415</v>
      </c>
      <c r="C512" s="2">
        <v>32743</v>
      </c>
      <c r="D512" s="2">
        <v>43401</v>
      </c>
      <c r="E512" s="3">
        <v>46107</v>
      </c>
      <c r="F512" s="3">
        <v>46212</v>
      </c>
      <c r="G512" s="4">
        <v>31866.63</v>
      </c>
      <c r="H512" s="2">
        <v>0</v>
      </c>
      <c r="I512" s="2" t="s">
        <v>887</v>
      </c>
      <c r="J512" s="2" t="s">
        <v>417</v>
      </c>
    </row>
    <row r="513" spans="1:10" x14ac:dyDescent="0.3">
      <c r="A513" s="2" t="s">
        <v>886</v>
      </c>
      <c r="B513" s="2" t="s">
        <v>415</v>
      </c>
      <c r="C513" s="2">
        <v>32744</v>
      </c>
      <c r="D513" s="2">
        <v>43402</v>
      </c>
      <c r="E513" s="3">
        <v>46107</v>
      </c>
      <c r="F513" s="3">
        <v>46212</v>
      </c>
      <c r="G513" s="2">
        <v>566.66999999999996</v>
      </c>
      <c r="H513" s="2">
        <v>0</v>
      </c>
      <c r="I513" s="2" t="s">
        <v>888</v>
      </c>
      <c r="J513" s="2" t="s">
        <v>417</v>
      </c>
    </row>
    <row r="514" spans="1:10" x14ac:dyDescent="0.3">
      <c r="A514" s="2" t="s">
        <v>748</v>
      </c>
      <c r="B514" s="2" t="s">
        <v>749</v>
      </c>
      <c r="C514" s="2">
        <v>32909</v>
      </c>
      <c r="D514" s="2">
        <v>43564</v>
      </c>
      <c r="E514" s="3">
        <v>46122</v>
      </c>
      <c r="F514" s="3">
        <v>46212</v>
      </c>
      <c r="G514" s="4">
        <v>8864.02</v>
      </c>
      <c r="H514" s="2">
        <v>0</v>
      </c>
      <c r="I514" s="2" t="s">
        <v>985</v>
      </c>
      <c r="J514" s="2" t="s">
        <v>339</v>
      </c>
    </row>
    <row r="515" spans="1:10" x14ac:dyDescent="0.3">
      <c r="A515" s="2" t="s">
        <v>440</v>
      </c>
      <c r="B515" s="2" t="s">
        <v>441</v>
      </c>
      <c r="C515" s="2">
        <v>32088</v>
      </c>
      <c r="D515" s="2">
        <v>42721</v>
      </c>
      <c r="E515" s="3">
        <v>46048</v>
      </c>
      <c r="F515" s="3">
        <v>46213</v>
      </c>
      <c r="G515" s="4">
        <v>1322.67</v>
      </c>
      <c r="H515" s="2">
        <v>0</v>
      </c>
      <c r="I515" s="2" t="s">
        <v>552</v>
      </c>
      <c r="J515" s="2" t="s">
        <v>417</v>
      </c>
    </row>
    <row r="516" spans="1:10" x14ac:dyDescent="0.3">
      <c r="A516" s="2" t="s">
        <v>440</v>
      </c>
      <c r="B516" s="2" t="s">
        <v>441</v>
      </c>
      <c r="C516" s="2">
        <v>32089</v>
      </c>
      <c r="D516" s="2">
        <v>42722</v>
      </c>
      <c r="E516" s="3">
        <v>46048</v>
      </c>
      <c r="F516" s="3">
        <v>46213</v>
      </c>
      <c r="G516" s="4">
        <v>1322.67</v>
      </c>
      <c r="H516" s="2">
        <v>0</v>
      </c>
      <c r="I516" s="2" t="s">
        <v>552</v>
      </c>
      <c r="J516" s="2" t="s">
        <v>417</v>
      </c>
    </row>
    <row r="517" spans="1:10" x14ac:dyDescent="0.3">
      <c r="A517" s="2" t="s">
        <v>446</v>
      </c>
      <c r="B517" s="2" t="s">
        <v>447</v>
      </c>
      <c r="C517" s="2">
        <v>32563</v>
      </c>
      <c r="D517" s="2">
        <v>43240</v>
      </c>
      <c r="E517" s="3">
        <v>46093</v>
      </c>
      <c r="F517" s="3">
        <v>46213</v>
      </c>
      <c r="G517" s="4">
        <v>57759.94</v>
      </c>
      <c r="H517" s="2">
        <v>0</v>
      </c>
      <c r="I517" s="2" t="s">
        <v>448</v>
      </c>
      <c r="J517" s="2" t="s">
        <v>417</v>
      </c>
    </row>
    <row r="518" spans="1:10" x14ac:dyDescent="0.3">
      <c r="A518" s="2" t="s">
        <v>786</v>
      </c>
      <c r="B518" s="2" t="s">
        <v>787</v>
      </c>
      <c r="C518" s="2">
        <v>32565</v>
      </c>
      <c r="D518" s="2">
        <v>43242</v>
      </c>
      <c r="E518" s="3">
        <v>46093</v>
      </c>
      <c r="F518" s="3">
        <v>46213</v>
      </c>
      <c r="G518" s="4">
        <v>7524</v>
      </c>
      <c r="H518" s="2">
        <v>0</v>
      </c>
      <c r="I518" s="2" t="s">
        <v>788</v>
      </c>
      <c r="J518" s="2" t="s">
        <v>260</v>
      </c>
    </row>
    <row r="519" spans="1:10" x14ac:dyDescent="0.3">
      <c r="A519" s="2" t="s">
        <v>789</v>
      </c>
      <c r="B519" s="2" t="s">
        <v>470</v>
      </c>
      <c r="C519" s="2">
        <v>32567</v>
      </c>
      <c r="D519" s="2">
        <v>43244</v>
      </c>
      <c r="E519" s="3">
        <v>46093</v>
      </c>
      <c r="F519" s="3">
        <v>46213</v>
      </c>
      <c r="G519" s="4">
        <v>186830</v>
      </c>
      <c r="H519" s="2">
        <v>0</v>
      </c>
      <c r="I519" s="2" t="s">
        <v>790</v>
      </c>
      <c r="J519" s="2" t="s">
        <v>394</v>
      </c>
    </row>
    <row r="520" spans="1:10" x14ac:dyDescent="0.3">
      <c r="A520" s="2" t="s">
        <v>791</v>
      </c>
      <c r="B520" s="2" t="s">
        <v>792</v>
      </c>
      <c r="C520" s="2">
        <v>32569</v>
      </c>
      <c r="D520" s="2">
        <v>43246</v>
      </c>
      <c r="E520" s="3">
        <v>46093</v>
      </c>
      <c r="F520" s="3">
        <v>46213</v>
      </c>
      <c r="G520" s="4">
        <v>32377.599999999999</v>
      </c>
      <c r="H520" s="2">
        <v>0</v>
      </c>
      <c r="I520" s="2" t="s">
        <v>793</v>
      </c>
      <c r="J520" s="2" t="s">
        <v>92</v>
      </c>
    </row>
    <row r="521" spans="1:10" x14ac:dyDescent="0.3">
      <c r="A521" s="2" t="s">
        <v>121</v>
      </c>
      <c r="B521" s="2" t="s">
        <v>122</v>
      </c>
      <c r="C521" s="2">
        <v>31003</v>
      </c>
      <c r="D521" s="2">
        <v>41506</v>
      </c>
      <c r="E521" s="3">
        <v>45945</v>
      </c>
      <c r="F521" s="3">
        <v>46216</v>
      </c>
      <c r="G521" s="4">
        <v>16072</v>
      </c>
      <c r="H521" s="2">
        <v>0</v>
      </c>
      <c r="I521" s="2" t="s">
        <v>268</v>
      </c>
      <c r="J521" s="2" t="s">
        <v>92</v>
      </c>
    </row>
    <row r="522" spans="1:10" x14ac:dyDescent="0.3">
      <c r="A522" s="2" t="s">
        <v>391</v>
      </c>
      <c r="B522" s="2" t="s">
        <v>392</v>
      </c>
      <c r="C522" s="2">
        <v>31913</v>
      </c>
      <c r="D522" s="2">
        <v>42512</v>
      </c>
      <c r="E522" s="3">
        <v>46034</v>
      </c>
      <c r="F522" s="3">
        <v>46216</v>
      </c>
      <c r="G522" s="4">
        <v>67570</v>
      </c>
      <c r="H522" s="2">
        <v>0</v>
      </c>
      <c r="I522" s="2" t="s">
        <v>499</v>
      </c>
      <c r="J522" s="2" t="s">
        <v>394</v>
      </c>
    </row>
    <row r="523" spans="1:10" x14ac:dyDescent="0.3">
      <c r="A523" s="2" t="s">
        <v>398</v>
      </c>
      <c r="B523" s="2" t="s">
        <v>399</v>
      </c>
      <c r="C523" s="2">
        <v>31914</v>
      </c>
      <c r="D523" s="2">
        <v>42513</v>
      </c>
      <c r="E523" s="3">
        <v>46034</v>
      </c>
      <c r="F523" s="3">
        <v>46216</v>
      </c>
      <c r="G523" s="4">
        <v>119370.6</v>
      </c>
      <c r="H523" s="2">
        <v>0</v>
      </c>
      <c r="I523" s="2" t="s">
        <v>500</v>
      </c>
      <c r="J523" s="2" t="s">
        <v>394</v>
      </c>
    </row>
    <row r="524" spans="1:10" x14ac:dyDescent="0.3">
      <c r="A524" s="2" t="s">
        <v>336</v>
      </c>
      <c r="B524" s="2" t="s">
        <v>337</v>
      </c>
      <c r="C524" s="2">
        <v>32284</v>
      </c>
      <c r="D524" s="2">
        <v>42916</v>
      </c>
      <c r="E524" s="3">
        <v>46064</v>
      </c>
      <c r="F524" s="3">
        <v>46216</v>
      </c>
      <c r="G524" s="4">
        <v>20610</v>
      </c>
      <c r="H524" s="2">
        <v>0</v>
      </c>
      <c r="I524" s="2" t="s">
        <v>503</v>
      </c>
      <c r="J524" s="2" t="s">
        <v>339</v>
      </c>
    </row>
    <row r="525" spans="1:10" x14ac:dyDescent="0.3">
      <c r="A525" s="2" t="s">
        <v>771</v>
      </c>
      <c r="B525" s="2" t="s">
        <v>772</v>
      </c>
      <c r="C525" s="2">
        <v>32574</v>
      </c>
      <c r="D525" s="2">
        <v>43248</v>
      </c>
      <c r="E525" s="3">
        <v>46094</v>
      </c>
      <c r="F525" s="3">
        <v>46216</v>
      </c>
      <c r="G525" s="4">
        <v>80964</v>
      </c>
      <c r="H525" s="2">
        <v>0</v>
      </c>
      <c r="I525" s="2" t="s">
        <v>773</v>
      </c>
      <c r="J525" s="2" t="s">
        <v>146</v>
      </c>
    </row>
    <row r="526" spans="1:10" x14ac:dyDescent="0.3">
      <c r="A526" s="2" t="s">
        <v>409</v>
      </c>
      <c r="B526" s="2" t="s">
        <v>410</v>
      </c>
      <c r="C526" s="2">
        <v>32582</v>
      </c>
      <c r="D526" s="2">
        <v>43256</v>
      </c>
      <c r="E526" s="3">
        <v>46094</v>
      </c>
      <c r="F526" s="3">
        <v>46216</v>
      </c>
      <c r="G526" s="4">
        <v>19900</v>
      </c>
      <c r="H526" s="2">
        <v>0</v>
      </c>
      <c r="I526" s="2" t="s">
        <v>591</v>
      </c>
      <c r="J526" s="2" t="s">
        <v>412</v>
      </c>
    </row>
    <row r="527" spans="1:10" x14ac:dyDescent="0.3">
      <c r="A527" s="2" t="s">
        <v>409</v>
      </c>
      <c r="B527" s="2" t="s">
        <v>410</v>
      </c>
      <c r="C527" s="2">
        <v>32583</v>
      </c>
      <c r="D527" s="2">
        <v>43257</v>
      </c>
      <c r="E527" s="3">
        <v>46094</v>
      </c>
      <c r="F527" s="3">
        <v>46216</v>
      </c>
      <c r="G527" s="4">
        <v>12200</v>
      </c>
      <c r="H527" s="2">
        <v>0</v>
      </c>
      <c r="I527" s="2" t="s">
        <v>591</v>
      </c>
      <c r="J527" s="2" t="s">
        <v>412</v>
      </c>
    </row>
    <row r="528" spans="1:10" x14ac:dyDescent="0.3">
      <c r="A528" s="2" t="s">
        <v>360</v>
      </c>
      <c r="B528" s="2" t="s">
        <v>361</v>
      </c>
      <c r="C528" s="2">
        <v>32771</v>
      </c>
      <c r="D528" s="2">
        <v>43427</v>
      </c>
      <c r="E528" s="3">
        <v>46111</v>
      </c>
      <c r="F528" s="3">
        <v>46216</v>
      </c>
      <c r="G528" s="4">
        <v>2565.4499999999998</v>
      </c>
      <c r="H528" s="2">
        <v>0</v>
      </c>
      <c r="I528" s="2" t="s">
        <v>895</v>
      </c>
      <c r="J528" s="2" t="s">
        <v>92</v>
      </c>
    </row>
    <row r="529" spans="1:10" x14ac:dyDescent="0.3">
      <c r="A529" s="2" t="s">
        <v>440</v>
      </c>
      <c r="B529" s="2" t="s">
        <v>441</v>
      </c>
      <c r="C529" s="2">
        <v>32914</v>
      </c>
      <c r="D529" s="2">
        <v>43569</v>
      </c>
      <c r="E529" s="3">
        <v>46125</v>
      </c>
      <c r="F529" s="3">
        <v>46216</v>
      </c>
      <c r="G529" s="4">
        <v>23646.2</v>
      </c>
      <c r="H529" s="2">
        <v>0</v>
      </c>
      <c r="I529" s="2" t="s">
        <v>987</v>
      </c>
      <c r="J529" s="2" t="s">
        <v>417</v>
      </c>
    </row>
    <row r="530" spans="1:10" x14ac:dyDescent="0.3">
      <c r="A530" s="2" t="s">
        <v>861</v>
      </c>
      <c r="B530" s="2" t="s">
        <v>862</v>
      </c>
      <c r="C530" s="2">
        <v>32920</v>
      </c>
      <c r="D530" s="2">
        <v>43575</v>
      </c>
      <c r="E530" s="3">
        <v>46125</v>
      </c>
      <c r="F530" s="3">
        <v>46216</v>
      </c>
      <c r="G530" s="4">
        <v>9584.69</v>
      </c>
      <c r="H530" s="2">
        <v>0</v>
      </c>
      <c r="I530" s="2" t="s">
        <v>993</v>
      </c>
      <c r="J530" s="2" t="s">
        <v>162</v>
      </c>
    </row>
    <row r="531" spans="1:10" x14ac:dyDescent="0.3">
      <c r="A531" s="2" t="s">
        <v>440</v>
      </c>
      <c r="B531" s="2" t="s">
        <v>441</v>
      </c>
      <c r="C531" s="2">
        <v>32926</v>
      </c>
      <c r="D531" s="2">
        <v>43581</v>
      </c>
      <c r="E531" s="3">
        <v>46125</v>
      </c>
      <c r="F531" s="3">
        <v>46216</v>
      </c>
      <c r="G531" s="4">
        <v>13716.43</v>
      </c>
      <c r="H531" s="2">
        <v>0</v>
      </c>
      <c r="I531" s="2" t="s">
        <v>996</v>
      </c>
      <c r="J531" s="2" t="s">
        <v>417</v>
      </c>
    </row>
    <row r="532" spans="1:10" x14ac:dyDescent="0.3">
      <c r="A532" s="2" t="s">
        <v>440</v>
      </c>
      <c r="B532" s="2" t="s">
        <v>441</v>
      </c>
      <c r="C532" s="2">
        <v>32927</v>
      </c>
      <c r="D532" s="2">
        <v>43582</v>
      </c>
      <c r="E532" s="3">
        <v>46125</v>
      </c>
      <c r="F532" s="3">
        <v>46216</v>
      </c>
      <c r="G532" s="4">
        <v>9599.99</v>
      </c>
      <c r="H532" s="2">
        <v>0</v>
      </c>
      <c r="I532" s="2" t="s">
        <v>997</v>
      </c>
      <c r="J532" s="2" t="s">
        <v>417</v>
      </c>
    </row>
    <row r="533" spans="1:10" x14ac:dyDescent="0.3">
      <c r="A533" s="2" t="s">
        <v>440</v>
      </c>
      <c r="B533" s="2" t="s">
        <v>441</v>
      </c>
      <c r="C533" s="2">
        <v>32928</v>
      </c>
      <c r="D533" s="2">
        <v>43583</v>
      </c>
      <c r="E533" s="3">
        <v>46125</v>
      </c>
      <c r="F533" s="3">
        <v>46216</v>
      </c>
      <c r="G533" s="4">
        <v>2933.33</v>
      </c>
      <c r="H533" s="2">
        <v>0</v>
      </c>
      <c r="I533" s="2" t="s">
        <v>998</v>
      </c>
      <c r="J533" s="2" t="s">
        <v>417</v>
      </c>
    </row>
    <row r="534" spans="1:10" x14ac:dyDescent="0.3">
      <c r="A534" s="2" t="s">
        <v>440</v>
      </c>
      <c r="B534" s="2" t="s">
        <v>441</v>
      </c>
      <c r="C534" s="2">
        <v>32930</v>
      </c>
      <c r="D534" s="2">
        <v>43584</v>
      </c>
      <c r="E534" s="3">
        <v>46125</v>
      </c>
      <c r="F534" s="3">
        <v>46216</v>
      </c>
      <c r="G534" s="4">
        <v>6191.55</v>
      </c>
      <c r="H534" s="2">
        <v>0</v>
      </c>
      <c r="I534" s="2" t="s">
        <v>999</v>
      </c>
      <c r="J534" s="2" t="s">
        <v>417</v>
      </c>
    </row>
    <row r="535" spans="1:10" x14ac:dyDescent="0.3">
      <c r="A535" s="2" t="s">
        <v>861</v>
      </c>
      <c r="B535" s="2" t="s">
        <v>862</v>
      </c>
      <c r="C535" s="2">
        <v>33141</v>
      </c>
      <c r="D535" s="2">
        <v>43785</v>
      </c>
      <c r="E535" s="3">
        <v>46154</v>
      </c>
      <c r="F535" s="3">
        <v>46216</v>
      </c>
      <c r="G535" s="4">
        <v>10028.99</v>
      </c>
      <c r="H535" s="2">
        <v>0</v>
      </c>
      <c r="I535" s="2" t="s">
        <v>1142</v>
      </c>
      <c r="J535" s="2" t="s">
        <v>162</v>
      </c>
    </row>
    <row r="536" spans="1:10" x14ac:dyDescent="0.3">
      <c r="A536" s="2" t="s">
        <v>357</v>
      </c>
      <c r="B536" s="2" t="s">
        <v>358</v>
      </c>
      <c r="C536" s="2">
        <v>33148</v>
      </c>
      <c r="D536" s="2">
        <v>43791</v>
      </c>
      <c r="E536" s="3">
        <v>46154</v>
      </c>
      <c r="F536" s="3">
        <v>46216</v>
      </c>
      <c r="G536" s="4">
        <v>19561.5</v>
      </c>
      <c r="H536" s="2">
        <v>0</v>
      </c>
      <c r="I536" s="2" t="s">
        <v>1146</v>
      </c>
      <c r="J536" s="2" t="s">
        <v>260</v>
      </c>
    </row>
    <row r="537" spans="1:10" x14ac:dyDescent="0.3">
      <c r="A537" s="2" t="s">
        <v>532</v>
      </c>
      <c r="B537" s="2" t="s">
        <v>533</v>
      </c>
      <c r="C537" s="2">
        <v>33159</v>
      </c>
      <c r="D537" s="2">
        <v>43800</v>
      </c>
      <c r="E537" s="3">
        <v>46155</v>
      </c>
      <c r="F537" s="3">
        <v>46216</v>
      </c>
      <c r="G537" s="4">
        <v>10692.42</v>
      </c>
      <c r="H537" s="2">
        <v>0</v>
      </c>
      <c r="I537" s="2" t="s">
        <v>1152</v>
      </c>
      <c r="J537" s="2" t="s">
        <v>535</v>
      </c>
    </row>
    <row r="538" spans="1:10" x14ac:dyDescent="0.3">
      <c r="A538" s="2" t="s">
        <v>582</v>
      </c>
      <c r="B538" s="2" t="s">
        <v>583</v>
      </c>
      <c r="C538" s="2">
        <v>33160</v>
      </c>
      <c r="D538" s="2">
        <v>43801</v>
      </c>
      <c r="E538" s="3">
        <v>46155</v>
      </c>
      <c r="F538" s="3">
        <v>46216</v>
      </c>
      <c r="G538" s="4">
        <v>5085.9399999999996</v>
      </c>
      <c r="H538" s="2">
        <v>0</v>
      </c>
      <c r="I538" s="2" t="s">
        <v>1153</v>
      </c>
      <c r="J538" s="2" t="s">
        <v>92</v>
      </c>
    </row>
    <row r="539" spans="1:10" x14ac:dyDescent="0.3">
      <c r="A539" s="2" t="s">
        <v>414</v>
      </c>
      <c r="B539" s="2" t="s">
        <v>415</v>
      </c>
      <c r="C539" s="2">
        <v>32827</v>
      </c>
      <c r="D539" s="2">
        <v>43484</v>
      </c>
      <c r="E539" s="3">
        <v>46112</v>
      </c>
      <c r="F539" s="3">
        <v>46217</v>
      </c>
      <c r="G539" s="4">
        <v>29199.97</v>
      </c>
      <c r="H539" s="2">
        <v>0</v>
      </c>
      <c r="I539" s="2" t="s">
        <v>945</v>
      </c>
      <c r="J539" s="2" t="s">
        <v>417</v>
      </c>
    </row>
    <row r="540" spans="1:10" x14ac:dyDescent="0.3">
      <c r="A540" s="2" t="s">
        <v>414</v>
      </c>
      <c r="B540" s="2" t="s">
        <v>415</v>
      </c>
      <c r="C540" s="2">
        <v>32831</v>
      </c>
      <c r="D540" s="2">
        <v>43488</v>
      </c>
      <c r="E540" s="3">
        <v>46112</v>
      </c>
      <c r="F540" s="3">
        <v>46217</v>
      </c>
      <c r="G540" s="4">
        <v>2544</v>
      </c>
      <c r="H540" s="2">
        <v>0</v>
      </c>
      <c r="I540" s="2" t="s">
        <v>949</v>
      </c>
      <c r="J540" s="2" t="s">
        <v>417</v>
      </c>
    </row>
    <row r="541" spans="1:10" x14ac:dyDescent="0.3">
      <c r="A541" s="2" t="s">
        <v>514</v>
      </c>
      <c r="B541" s="2" t="s">
        <v>515</v>
      </c>
      <c r="C541" s="2">
        <v>32947</v>
      </c>
      <c r="D541" s="2">
        <v>43600</v>
      </c>
      <c r="E541" s="3">
        <v>46127</v>
      </c>
      <c r="F541" s="3">
        <v>46217</v>
      </c>
      <c r="G541" s="4">
        <v>2640</v>
      </c>
      <c r="H541" s="2">
        <v>0</v>
      </c>
      <c r="I541" s="2" t="s">
        <v>1004</v>
      </c>
      <c r="J541" s="2" t="s">
        <v>238</v>
      </c>
    </row>
    <row r="542" spans="1:10" x14ac:dyDescent="0.3">
      <c r="A542" s="2" t="s">
        <v>1134</v>
      </c>
      <c r="B542" s="2" t="s">
        <v>911</v>
      </c>
      <c r="C542" s="2">
        <v>33133</v>
      </c>
      <c r="D542" s="2">
        <v>43777</v>
      </c>
      <c r="E542" s="3">
        <v>46153</v>
      </c>
      <c r="F542" s="3">
        <v>46217</v>
      </c>
      <c r="G542" s="4">
        <v>21252</v>
      </c>
      <c r="H542" s="2">
        <v>0</v>
      </c>
      <c r="I542" s="2" t="s">
        <v>1135</v>
      </c>
      <c r="J542" s="2" t="s">
        <v>238</v>
      </c>
    </row>
    <row r="543" spans="1:10" x14ac:dyDescent="0.3">
      <c r="A543" s="2" t="s">
        <v>910</v>
      </c>
      <c r="B543" s="2" t="s">
        <v>911</v>
      </c>
      <c r="C543" s="2">
        <v>33140</v>
      </c>
      <c r="D543" s="2">
        <v>43784</v>
      </c>
      <c r="E543" s="3">
        <v>46154</v>
      </c>
      <c r="F543" s="3">
        <v>46217</v>
      </c>
      <c r="G543" s="4">
        <v>66792</v>
      </c>
      <c r="H543" s="2">
        <v>0</v>
      </c>
      <c r="I543" s="2" t="s">
        <v>1141</v>
      </c>
      <c r="J543" s="2" t="s">
        <v>238</v>
      </c>
    </row>
    <row r="544" spans="1:10" x14ac:dyDescent="0.3">
      <c r="A544" s="2" t="s">
        <v>360</v>
      </c>
      <c r="B544" s="2" t="s">
        <v>361</v>
      </c>
      <c r="C544" s="2">
        <v>33173</v>
      </c>
      <c r="D544" s="2">
        <v>43816</v>
      </c>
      <c r="E544" s="3">
        <v>46157</v>
      </c>
      <c r="F544" s="3">
        <v>46217</v>
      </c>
      <c r="G544" s="4">
        <v>6768.18</v>
      </c>
      <c r="H544" s="2">
        <v>0</v>
      </c>
      <c r="I544" s="2" t="s">
        <v>1161</v>
      </c>
      <c r="J544" s="2" t="s">
        <v>92</v>
      </c>
    </row>
    <row r="545" spans="1:10" x14ac:dyDescent="0.3">
      <c r="A545" s="2" t="s">
        <v>934</v>
      </c>
      <c r="B545" s="2" t="s">
        <v>911</v>
      </c>
      <c r="C545" s="2">
        <v>33197</v>
      </c>
      <c r="D545" s="2">
        <v>43844</v>
      </c>
      <c r="E545" s="3">
        <v>46163</v>
      </c>
      <c r="F545" s="3">
        <v>46217</v>
      </c>
      <c r="G545" s="4">
        <v>30866</v>
      </c>
      <c r="H545" s="2">
        <v>0</v>
      </c>
      <c r="I545" s="2" t="s">
        <v>1182</v>
      </c>
      <c r="J545" s="2" t="s">
        <v>238</v>
      </c>
    </row>
    <row r="546" spans="1:10" x14ac:dyDescent="0.3">
      <c r="A546" s="2" t="s">
        <v>244</v>
      </c>
      <c r="B546" s="2" t="s">
        <v>245</v>
      </c>
      <c r="C546" s="2">
        <v>30908</v>
      </c>
      <c r="D546" s="2">
        <v>41391</v>
      </c>
      <c r="E546" s="3">
        <v>45937</v>
      </c>
      <c r="F546" s="3">
        <v>46218</v>
      </c>
      <c r="G546" s="4">
        <v>472595</v>
      </c>
      <c r="H546" s="2">
        <v>0</v>
      </c>
      <c r="I546" s="2" t="s">
        <v>250</v>
      </c>
      <c r="J546" s="2" t="s">
        <v>66</v>
      </c>
    </row>
    <row r="547" spans="1:10" x14ac:dyDescent="0.3">
      <c r="A547" s="2" t="s">
        <v>514</v>
      </c>
      <c r="B547" s="2" t="s">
        <v>515</v>
      </c>
      <c r="C547" s="2">
        <v>31960</v>
      </c>
      <c r="D547" s="2">
        <v>42573</v>
      </c>
      <c r="E547" s="3">
        <v>46038</v>
      </c>
      <c r="F547" s="3">
        <v>46218</v>
      </c>
      <c r="G547" s="4">
        <v>11151.98</v>
      </c>
      <c r="H547" s="2">
        <v>0</v>
      </c>
      <c r="I547" s="2" t="s">
        <v>516</v>
      </c>
      <c r="J547" s="2" t="s">
        <v>238</v>
      </c>
    </row>
    <row r="548" spans="1:10" x14ac:dyDescent="0.3">
      <c r="A548" s="2" t="s">
        <v>514</v>
      </c>
      <c r="B548" s="2" t="s">
        <v>515</v>
      </c>
      <c r="C548" s="2">
        <v>31961</v>
      </c>
      <c r="D548" s="2">
        <v>42574</v>
      </c>
      <c r="E548" s="3">
        <v>46038</v>
      </c>
      <c r="F548" s="3">
        <v>46218</v>
      </c>
      <c r="G548" s="4">
        <v>2863.4</v>
      </c>
      <c r="H548" s="2">
        <v>0</v>
      </c>
      <c r="I548" s="2" t="s">
        <v>516</v>
      </c>
      <c r="J548" s="2" t="s">
        <v>238</v>
      </c>
    </row>
    <row r="549" spans="1:10" x14ac:dyDescent="0.3">
      <c r="A549" s="2" t="s">
        <v>514</v>
      </c>
      <c r="B549" s="2" t="s">
        <v>515</v>
      </c>
      <c r="C549" s="2">
        <v>31962</v>
      </c>
      <c r="D549" s="2">
        <v>42575</v>
      </c>
      <c r="E549" s="3">
        <v>46038</v>
      </c>
      <c r="F549" s="3">
        <v>46218</v>
      </c>
      <c r="G549" s="4">
        <v>4383.1400000000003</v>
      </c>
      <c r="H549" s="2">
        <v>0</v>
      </c>
      <c r="I549" s="2" t="s">
        <v>516</v>
      </c>
      <c r="J549" s="2" t="s">
        <v>238</v>
      </c>
    </row>
    <row r="550" spans="1:10" x14ac:dyDescent="0.3">
      <c r="A550" s="2" t="s">
        <v>807</v>
      </c>
      <c r="B550" s="2" t="s">
        <v>808</v>
      </c>
      <c r="C550" s="2">
        <v>32641</v>
      </c>
      <c r="D550" s="2">
        <v>43295</v>
      </c>
      <c r="E550" s="3">
        <v>46098</v>
      </c>
      <c r="F550" s="3">
        <v>46218</v>
      </c>
      <c r="G550" s="4">
        <v>14150</v>
      </c>
      <c r="H550" s="2">
        <v>0</v>
      </c>
      <c r="I550" s="2" t="s">
        <v>809</v>
      </c>
      <c r="J550" s="2" t="s">
        <v>92</v>
      </c>
    </row>
    <row r="551" spans="1:10" x14ac:dyDescent="0.3">
      <c r="A551" s="2" t="s">
        <v>391</v>
      </c>
      <c r="B551" s="2" t="s">
        <v>392</v>
      </c>
      <c r="C551" s="2">
        <v>32647</v>
      </c>
      <c r="D551" s="2">
        <v>43301</v>
      </c>
      <c r="E551" s="3">
        <v>46098</v>
      </c>
      <c r="F551" s="3">
        <v>46218</v>
      </c>
      <c r="G551" s="4">
        <v>315000</v>
      </c>
      <c r="H551" s="2">
        <v>0</v>
      </c>
      <c r="I551" s="2" t="s">
        <v>815</v>
      </c>
      <c r="J551" s="2" t="s">
        <v>394</v>
      </c>
    </row>
    <row r="552" spans="1:10" x14ac:dyDescent="0.3">
      <c r="A552" s="2" t="s">
        <v>391</v>
      </c>
      <c r="B552" s="2" t="s">
        <v>392</v>
      </c>
      <c r="C552" s="2">
        <v>32648</v>
      </c>
      <c r="D552" s="2">
        <v>43302</v>
      </c>
      <c r="E552" s="3">
        <v>46098</v>
      </c>
      <c r="F552" s="3">
        <v>46218</v>
      </c>
      <c r="G552" s="4">
        <v>54000</v>
      </c>
      <c r="H552" s="2">
        <v>0</v>
      </c>
      <c r="I552" s="2" t="s">
        <v>816</v>
      </c>
      <c r="J552" s="2" t="s">
        <v>394</v>
      </c>
    </row>
    <row r="553" spans="1:10" x14ac:dyDescent="0.3">
      <c r="A553" s="2" t="s">
        <v>391</v>
      </c>
      <c r="B553" s="2" t="s">
        <v>392</v>
      </c>
      <c r="C553" s="2">
        <v>32650</v>
      </c>
      <c r="D553" s="2">
        <v>43304</v>
      </c>
      <c r="E553" s="3">
        <v>46098</v>
      </c>
      <c r="F553" s="3">
        <v>46218</v>
      </c>
      <c r="G553" s="4">
        <v>45000</v>
      </c>
      <c r="H553" s="2">
        <v>0</v>
      </c>
      <c r="I553" s="2" t="s">
        <v>818</v>
      </c>
      <c r="J553" s="2" t="s">
        <v>394</v>
      </c>
    </row>
    <row r="554" spans="1:10" x14ac:dyDescent="0.3">
      <c r="A554" s="2" t="s">
        <v>804</v>
      </c>
      <c r="B554" s="2" t="s">
        <v>805</v>
      </c>
      <c r="C554" s="2">
        <v>32951</v>
      </c>
      <c r="D554" s="2">
        <v>43604</v>
      </c>
      <c r="E554" s="3">
        <v>46128</v>
      </c>
      <c r="F554" s="3">
        <v>46218</v>
      </c>
      <c r="G554" s="4">
        <v>6595</v>
      </c>
      <c r="H554" s="2">
        <v>0</v>
      </c>
      <c r="I554" s="2" t="s">
        <v>1011</v>
      </c>
      <c r="J554" s="2" t="s">
        <v>92</v>
      </c>
    </row>
    <row r="555" spans="1:10" x14ac:dyDescent="0.3">
      <c r="A555" s="2" t="s">
        <v>804</v>
      </c>
      <c r="B555" s="2" t="s">
        <v>805</v>
      </c>
      <c r="C555" s="2">
        <v>32953</v>
      </c>
      <c r="D555" s="2">
        <v>43605</v>
      </c>
      <c r="E555" s="3">
        <v>46128</v>
      </c>
      <c r="F555" s="3">
        <v>46218</v>
      </c>
      <c r="G555" s="2">
        <v>313.92</v>
      </c>
      <c r="H555" s="2">
        <v>0</v>
      </c>
      <c r="I555" s="2" t="s">
        <v>1012</v>
      </c>
      <c r="J555" s="2" t="s">
        <v>92</v>
      </c>
    </row>
    <row r="556" spans="1:10" x14ac:dyDescent="0.3">
      <c r="A556" s="2" t="s">
        <v>336</v>
      </c>
      <c r="B556" s="2" t="s">
        <v>337</v>
      </c>
      <c r="C556" s="2">
        <v>31405</v>
      </c>
      <c r="D556" s="2">
        <v>41952</v>
      </c>
      <c r="E556" s="3">
        <v>45979</v>
      </c>
      <c r="F556" s="3">
        <v>46219</v>
      </c>
      <c r="G556" s="4">
        <v>31840</v>
      </c>
      <c r="H556" s="2">
        <v>0</v>
      </c>
      <c r="I556" s="2" t="s">
        <v>338</v>
      </c>
      <c r="J556" s="2" t="s">
        <v>339</v>
      </c>
    </row>
    <row r="557" spans="1:10" x14ac:dyDescent="0.3">
      <c r="A557" s="2" t="s">
        <v>446</v>
      </c>
      <c r="B557" s="2" t="s">
        <v>447</v>
      </c>
      <c r="C557" s="2">
        <v>32426</v>
      </c>
      <c r="D557" s="2">
        <v>43089</v>
      </c>
      <c r="E557" s="3">
        <v>46079</v>
      </c>
      <c r="F557" s="3">
        <v>46219</v>
      </c>
      <c r="G557" s="4">
        <v>49800.1</v>
      </c>
      <c r="H557" s="2">
        <v>0</v>
      </c>
      <c r="I557" s="2" t="s">
        <v>722</v>
      </c>
      <c r="J557" s="2" t="s">
        <v>417</v>
      </c>
    </row>
    <row r="558" spans="1:10" x14ac:dyDescent="0.3">
      <c r="A558" s="2" t="s">
        <v>414</v>
      </c>
      <c r="B558" s="2" t="s">
        <v>415</v>
      </c>
      <c r="C558" s="2">
        <v>32844</v>
      </c>
      <c r="D558" s="2">
        <v>43498</v>
      </c>
      <c r="E558" s="3">
        <v>46114</v>
      </c>
      <c r="F558" s="3">
        <v>46219</v>
      </c>
      <c r="G558" s="2">
        <v>566.66999999999996</v>
      </c>
      <c r="H558" s="2">
        <v>0</v>
      </c>
      <c r="I558" s="2" t="s">
        <v>955</v>
      </c>
      <c r="J558" s="2" t="s">
        <v>417</v>
      </c>
    </row>
    <row r="559" spans="1:10" x14ac:dyDescent="0.3">
      <c r="A559" s="2" t="s">
        <v>315</v>
      </c>
      <c r="B559" s="2" t="s">
        <v>316</v>
      </c>
      <c r="C559" s="2">
        <v>32965</v>
      </c>
      <c r="D559" s="2">
        <v>43616</v>
      </c>
      <c r="E559" s="3">
        <v>46129</v>
      </c>
      <c r="F559" s="3">
        <v>46219</v>
      </c>
      <c r="G559" s="4">
        <v>5346</v>
      </c>
      <c r="H559" s="2">
        <v>0</v>
      </c>
      <c r="I559" s="2" t="s">
        <v>1026</v>
      </c>
      <c r="J559" s="2" t="s">
        <v>318</v>
      </c>
    </row>
    <row r="560" spans="1:10" x14ac:dyDescent="0.3">
      <c r="A560" s="2" t="s">
        <v>315</v>
      </c>
      <c r="B560" s="2" t="s">
        <v>316</v>
      </c>
      <c r="C560" s="2">
        <v>31807</v>
      </c>
      <c r="D560" s="2">
        <v>42380</v>
      </c>
      <c r="E560" s="3">
        <v>46010</v>
      </c>
      <c r="F560" s="3">
        <v>46220</v>
      </c>
      <c r="G560" s="4">
        <v>10482</v>
      </c>
      <c r="H560" s="2">
        <v>0</v>
      </c>
      <c r="I560" s="2" t="s">
        <v>467</v>
      </c>
      <c r="J560" s="2" t="s">
        <v>318</v>
      </c>
    </row>
    <row r="561" spans="1:10" x14ac:dyDescent="0.3">
      <c r="A561" s="2" t="s">
        <v>735</v>
      </c>
      <c r="B561" s="2" t="s">
        <v>736</v>
      </c>
      <c r="C561" s="2">
        <v>32657</v>
      </c>
      <c r="D561" s="2">
        <v>43312</v>
      </c>
      <c r="E561" s="3">
        <v>46100</v>
      </c>
      <c r="F561" s="3">
        <v>46220</v>
      </c>
      <c r="G561" s="4">
        <v>48624.95</v>
      </c>
      <c r="H561" s="2">
        <v>0</v>
      </c>
      <c r="I561" s="2" t="s">
        <v>821</v>
      </c>
      <c r="J561" s="2" t="s">
        <v>19</v>
      </c>
    </row>
    <row r="562" spans="1:10" x14ac:dyDescent="0.3">
      <c r="A562" s="2" t="s">
        <v>822</v>
      </c>
      <c r="B562" s="2" t="s">
        <v>823</v>
      </c>
      <c r="C562" s="2">
        <v>32660</v>
      </c>
      <c r="D562" s="2">
        <v>43315</v>
      </c>
      <c r="E562" s="3">
        <v>46100</v>
      </c>
      <c r="F562" s="3">
        <v>46220</v>
      </c>
      <c r="G562" s="4">
        <v>10134</v>
      </c>
      <c r="H562" s="2">
        <v>0</v>
      </c>
      <c r="I562" s="2" t="s">
        <v>824</v>
      </c>
      <c r="J562" s="2" t="s">
        <v>535</v>
      </c>
    </row>
    <row r="563" spans="1:10" x14ac:dyDescent="0.3">
      <c r="A563" s="2" t="s">
        <v>532</v>
      </c>
      <c r="B563" s="2" t="s">
        <v>533</v>
      </c>
      <c r="C563" s="2">
        <v>32661</v>
      </c>
      <c r="D563" s="2">
        <v>43316</v>
      </c>
      <c r="E563" s="3">
        <v>46100</v>
      </c>
      <c r="F563" s="3">
        <v>46220</v>
      </c>
      <c r="G563" s="4">
        <v>8689.61</v>
      </c>
      <c r="H563" s="2">
        <v>0</v>
      </c>
      <c r="I563" s="2" t="s">
        <v>825</v>
      </c>
      <c r="J563" s="2" t="s">
        <v>535</v>
      </c>
    </row>
    <row r="564" spans="1:10" x14ac:dyDescent="0.3">
      <c r="A564" s="2" t="s">
        <v>826</v>
      </c>
      <c r="B564" s="2" t="s">
        <v>827</v>
      </c>
      <c r="C564" s="2">
        <v>32662</v>
      </c>
      <c r="D564" s="2">
        <v>43317</v>
      </c>
      <c r="E564" s="3">
        <v>46100</v>
      </c>
      <c r="F564" s="3">
        <v>46220</v>
      </c>
      <c r="G564" s="4">
        <v>43003</v>
      </c>
      <c r="H564" s="2">
        <v>0</v>
      </c>
      <c r="I564" s="2" t="s">
        <v>828</v>
      </c>
      <c r="J564" s="2" t="s">
        <v>535</v>
      </c>
    </row>
    <row r="565" spans="1:10" x14ac:dyDescent="0.3">
      <c r="A565" s="2" t="s">
        <v>440</v>
      </c>
      <c r="B565" s="2" t="s">
        <v>441</v>
      </c>
      <c r="C565" s="2">
        <v>32663</v>
      </c>
      <c r="D565" s="2">
        <v>43318</v>
      </c>
      <c r="E565" s="3">
        <v>46100</v>
      </c>
      <c r="F565" s="3">
        <v>46220</v>
      </c>
      <c r="G565" s="4">
        <v>36913.96</v>
      </c>
      <c r="H565" s="2">
        <v>0</v>
      </c>
      <c r="I565" s="2" t="s">
        <v>829</v>
      </c>
      <c r="J565" s="2" t="s">
        <v>417</v>
      </c>
    </row>
    <row r="566" spans="1:10" x14ac:dyDescent="0.3">
      <c r="A566" s="2" t="s">
        <v>831</v>
      </c>
      <c r="B566" s="2" t="s">
        <v>832</v>
      </c>
      <c r="C566" s="2">
        <v>32668</v>
      </c>
      <c r="D566" s="2">
        <v>43323</v>
      </c>
      <c r="E566" s="3">
        <v>46100</v>
      </c>
      <c r="F566" s="3">
        <v>46220</v>
      </c>
      <c r="G566" s="4">
        <v>132282</v>
      </c>
      <c r="H566" s="2">
        <v>0</v>
      </c>
      <c r="I566" s="2" t="s">
        <v>833</v>
      </c>
      <c r="J566" s="2" t="s">
        <v>394</v>
      </c>
    </row>
    <row r="567" spans="1:10" x14ac:dyDescent="0.3">
      <c r="A567" s="2" t="s">
        <v>396</v>
      </c>
      <c r="B567" s="2" t="s">
        <v>392</v>
      </c>
      <c r="C567" s="2">
        <v>32673</v>
      </c>
      <c r="D567" s="2">
        <v>43328</v>
      </c>
      <c r="E567" s="3">
        <v>46100</v>
      </c>
      <c r="F567" s="3">
        <v>46220</v>
      </c>
      <c r="G567" s="4">
        <v>135000</v>
      </c>
      <c r="H567" s="2">
        <v>0</v>
      </c>
      <c r="I567" s="2" t="s">
        <v>838</v>
      </c>
      <c r="J567" s="2" t="s">
        <v>394</v>
      </c>
    </row>
    <row r="568" spans="1:10" x14ac:dyDescent="0.3">
      <c r="A568" s="2" t="s">
        <v>396</v>
      </c>
      <c r="B568" s="2" t="s">
        <v>392</v>
      </c>
      <c r="C568" s="2">
        <v>32674</v>
      </c>
      <c r="D568" s="2">
        <v>43329</v>
      </c>
      <c r="E568" s="3">
        <v>46100</v>
      </c>
      <c r="F568" s="3">
        <v>46220</v>
      </c>
      <c r="G568" s="4">
        <v>30100</v>
      </c>
      <c r="H568" s="2">
        <v>0</v>
      </c>
      <c r="I568" s="2" t="s">
        <v>839</v>
      </c>
      <c r="J568" s="2" t="s">
        <v>394</v>
      </c>
    </row>
    <row r="569" spans="1:10" x14ac:dyDescent="0.3">
      <c r="A569" s="2" t="s">
        <v>396</v>
      </c>
      <c r="B569" s="2" t="s">
        <v>392</v>
      </c>
      <c r="C569" s="2">
        <v>32675</v>
      </c>
      <c r="D569" s="2">
        <v>43330</v>
      </c>
      <c r="E569" s="3">
        <v>46100</v>
      </c>
      <c r="F569" s="3">
        <v>46220</v>
      </c>
      <c r="G569" s="4">
        <v>58250</v>
      </c>
      <c r="H569" s="2">
        <v>0</v>
      </c>
      <c r="I569" s="2" t="s">
        <v>840</v>
      </c>
      <c r="J569" s="2" t="s">
        <v>394</v>
      </c>
    </row>
    <row r="570" spans="1:10" x14ac:dyDescent="0.3">
      <c r="A570" s="2" t="s">
        <v>396</v>
      </c>
      <c r="B570" s="2" t="s">
        <v>392</v>
      </c>
      <c r="C570" s="2">
        <v>32677</v>
      </c>
      <c r="D570" s="2">
        <v>43332</v>
      </c>
      <c r="E570" s="3">
        <v>46100</v>
      </c>
      <c r="F570" s="3">
        <v>46220</v>
      </c>
      <c r="G570" s="4">
        <v>101250</v>
      </c>
      <c r="H570" s="2">
        <v>0</v>
      </c>
      <c r="I570" s="2" t="s">
        <v>842</v>
      </c>
      <c r="J570" s="2" t="s">
        <v>394</v>
      </c>
    </row>
    <row r="571" spans="1:10" x14ac:dyDescent="0.3">
      <c r="A571" s="2" t="s">
        <v>585</v>
      </c>
      <c r="B571" s="2" t="s">
        <v>392</v>
      </c>
      <c r="C571" s="2">
        <v>32680</v>
      </c>
      <c r="D571" s="2">
        <v>43335</v>
      </c>
      <c r="E571" s="3">
        <v>46100</v>
      </c>
      <c r="F571" s="3">
        <v>46220</v>
      </c>
      <c r="G571" s="4">
        <v>128691</v>
      </c>
      <c r="H571" s="2">
        <v>0</v>
      </c>
      <c r="I571" s="2" t="s">
        <v>844</v>
      </c>
      <c r="J571" s="2" t="s">
        <v>394</v>
      </c>
    </row>
    <row r="572" spans="1:10" x14ac:dyDescent="0.3">
      <c r="A572" s="2" t="s">
        <v>748</v>
      </c>
      <c r="B572" s="2" t="s">
        <v>749</v>
      </c>
      <c r="C572" s="2">
        <v>33175</v>
      </c>
      <c r="D572" s="2">
        <v>43820</v>
      </c>
      <c r="E572" s="3">
        <v>46160</v>
      </c>
      <c r="F572" s="3">
        <v>46220</v>
      </c>
      <c r="G572" s="4">
        <v>5235.83</v>
      </c>
      <c r="H572" s="2">
        <v>0</v>
      </c>
      <c r="I572" s="2" t="s">
        <v>1163</v>
      </c>
      <c r="J572" s="2" t="s">
        <v>339</v>
      </c>
    </row>
    <row r="573" spans="1:10" x14ac:dyDescent="0.3">
      <c r="A573" s="2" t="s">
        <v>514</v>
      </c>
      <c r="B573" s="2" t="s">
        <v>515</v>
      </c>
      <c r="C573" s="2">
        <v>31969</v>
      </c>
      <c r="D573" s="2">
        <v>42585</v>
      </c>
      <c r="E573" s="3">
        <v>46041</v>
      </c>
      <c r="F573" s="3">
        <v>46223</v>
      </c>
      <c r="G573" s="2">
        <v>842.4</v>
      </c>
      <c r="H573" s="2">
        <v>0</v>
      </c>
      <c r="I573" s="2" t="s">
        <v>522</v>
      </c>
      <c r="J573" s="2" t="s">
        <v>238</v>
      </c>
    </row>
    <row r="574" spans="1:10" x14ac:dyDescent="0.3">
      <c r="A574" s="2" t="s">
        <v>360</v>
      </c>
      <c r="B574" s="2" t="s">
        <v>361</v>
      </c>
      <c r="C574" s="2">
        <v>32190</v>
      </c>
      <c r="D574" s="2">
        <v>42818</v>
      </c>
      <c r="E574" s="3">
        <v>46056</v>
      </c>
      <c r="F574" s="3">
        <v>46223</v>
      </c>
      <c r="G574" s="4">
        <v>2036.56</v>
      </c>
      <c r="H574" s="2">
        <v>0</v>
      </c>
      <c r="I574" s="2" t="s">
        <v>362</v>
      </c>
      <c r="J574" s="2" t="s">
        <v>92</v>
      </c>
    </row>
    <row r="575" spans="1:10" x14ac:dyDescent="0.3">
      <c r="A575" s="2" t="s">
        <v>440</v>
      </c>
      <c r="B575" s="2" t="s">
        <v>441</v>
      </c>
      <c r="C575" s="2">
        <v>32192</v>
      </c>
      <c r="D575" s="2">
        <v>42820</v>
      </c>
      <c r="E575" s="3">
        <v>46056</v>
      </c>
      <c r="F575" s="3">
        <v>46223</v>
      </c>
      <c r="G575" s="2">
        <v>33</v>
      </c>
      <c r="H575" s="2">
        <v>0</v>
      </c>
      <c r="I575" s="2" t="s">
        <v>552</v>
      </c>
      <c r="J575" s="2" t="s">
        <v>417</v>
      </c>
    </row>
    <row r="576" spans="1:10" x14ac:dyDescent="0.3">
      <c r="A576" s="2" t="s">
        <v>357</v>
      </c>
      <c r="B576" s="2" t="s">
        <v>358</v>
      </c>
      <c r="C576" s="2">
        <v>32306</v>
      </c>
      <c r="D576" s="2">
        <v>42942</v>
      </c>
      <c r="E576" s="3">
        <v>46072</v>
      </c>
      <c r="F576" s="3">
        <v>46223</v>
      </c>
      <c r="G576" s="4">
        <v>13284</v>
      </c>
      <c r="H576" s="2">
        <v>0</v>
      </c>
      <c r="I576" s="2" t="s">
        <v>547</v>
      </c>
      <c r="J576" s="2" t="s">
        <v>260</v>
      </c>
    </row>
    <row r="577" spans="1:10" x14ac:dyDescent="0.3">
      <c r="A577" s="2" t="s">
        <v>357</v>
      </c>
      <c r="B577" s="2" t="s">
        <v>358</v>
      </c>
      <c r="C577" s="2">
        <v>32307</v>
      </c>
      <c r="D577" s="2">
        <v>42943</v>
      </c>
      <c r="E577" s="3">
        <v>46072</v>
      </c>
      <c r="F577" s="3">
        <v>46223</v>
      </c>
      <c r="G577" s="4">
        <v>5345</v>
      </c>
      <c r="H577" s="2">
        <v>0</v>
      </c>
      <c r="I577" s="2" t="s">
        <v>547</v>
      </c>
      <c r="J577" s="2" t="s">
        <v>260</v>
      </c>
    </row>
    <row r="578" spans="1:10" x14ac:dyDescent="0.3">
      <c r="A578" s="2" t="s">
        <v>357</v>
      </c>
      <c r="B578" s="2" t="s">
        <v>358</v>
      </c>
      <c r="C578" s="2">
        <v>32308</v>
      </c>
      <c r="D578" s="2">
        <v>42944</v>
      </c>
      <c r="E578" s="3">
        <v>46072</v>
      </c>
      <c r="F578" s="3">
        <v>46223</v>
      </c>
      <c r="G578" s="4">
        <v>145515</v>
      </c>
      <c r="H578" s="2">
        <v>0</v>
      </c>
      <c r="I578" s="2" t="s">
        <v>547</v>
      </c>
      <c r="J578" s="2" t="s">
        <v>260</v>
      </c>
    </row>
    <row r="579" spans="1:10" x14ac:dyDescent="0.3">
      <c r="A579" s="2" t="s">
        <v>257</v>
      </c>
      <c r="B579" s="2" t="s">
        <v>258</v>
      </c>
      <c r="C579" s="2">
        <v>32314</v>
      </c>
      <c r="D579" s="2">
        <v>42950</v>
      </c>
      <c r="E579" s="3">
        <v>46072</v>
      </c>
      <c r="F579" s="3">
        <v>46223</v>
      </c>
      <c r="G579" s="4">
        <v>1663.33</v>
      </c>
      <c r="H579" s="2">
        <v>0</v>
      </c>
      <c r="I579" s="2" t="s">
        <v>551</v>
      </c>
      <c r="J579" s="2" t="s">
        <v>260</v>
      </c>
    </row>
    <row r="580" spans="1:10" x14ac:dyDescent="0.3">
      <c r="A580" s="2" t="s">
        <v>665</v>
      </c>
      <c r="B580" s="2" t="s">
        <v>666</v>
      </c>
      <c r="C580" s="2">
        <v>32315</v>
      </c>
      <c r="D580" s="2">
        <v>42951</v>
      </c>
      <c r="E580" s="3">
        <v>46072</v>
      </c>
      <c r="F580" s="3">
        <v>46223</v>
      </c>
      <c r="G580" s="4">
        <v>6782.42</v>
      </c>
      <c r="H580" s="2">
        <v>0</v>
      </c>
      <c r="I580" s="2" t="s">
        <v>667</v>
      </c>
      <c r="J580" s="2" t="s">
        <v>238</v>
      </c>
    </row>
    <row r="581" spans="1:10" x14ac:dyDescent="0.3">
      <c r="A581" s="2" t="s">
        <v>683</v>
      </c>
      <c r="B581" s="2" t="s">
        <v>684</v>
      </c>
      <c r="C581" s="2">
        <v>32350</v>
      </c>
      <c r="D581" s="2">
        <v>42984</v>
      </c>
      <c r="E581" s="3">
        <v>46072</v>
      </c>
      <c r="F581" s="3">
        <v>46223</v>
      </c>
      <c r="G581" s="4">
        <v>1813.34</v>
      </c>
      <c r="H581" s="2">
        <v>0</v>
      </c>
      <c r="I581" s="2" t="s">
        <v>685</v>
      </c>
      <c r="J581" s="2" t="s">
        <v>412</v>
      </c>
    </row>
    <row r="582" spans="1:10" x14ac:dyDescent="0.3">
      <c r="A582" s="2" t="s">
        <v>257</v>
      </c>
      <c r="B582" s="2" t="s">
        <v>258</v>
      </c>
      <c r="C582" s="2">
        <v>32351</v>
      </c>
      <c r="D582" s="2">
        <v>42985</v>
      </c>
      <c r="E582" s="3">
        <v>46072</v>
      </c>
      <c r="F582" s="3">
        <v>46223</v>
      </c>
      <c r="G582" s="4">
        <v>34159.97</v>
      </c>
      <c r="H582" s="2">
        <v>0</v>
      </c>
      <c r="I582" s="2" t="s">
        <v>551</v>
      </c>
      <c r="J582" s="2" t="s">
        <v>260</v>
      </c>
    </row>
    <row r="583" spans="1:10" x14ac:dyDescent="0.3">
      <c r="A583" s="2" t="s">
        <v>440</v>
      </c>
      <c r="B583" s="2" t="s">
        <v>441</v>
      </c>
      <c r="C583" s="2">
        <v>32354</v>
      </c>
      <c r="D583" s="2">
        <v>42989</v>
      </c>
      <c r="E583" s="3">
        <v>46073</v>
      </c>
      <c r="F583" s="3">
        <v>46223</v>
      </c>
      <c r="G583" s="2">
        <v>372</v>
      </c>
      <c r="H583" s="2">
        <v>0</v>
      </c>
      <c r="I583" s="2" t="s">
        <v>552</v>
      </c>
      <c r="J583" s="2" t="s">
        <v>417</v>
      </c>
    </row>
    <row r="584" spans="1:10" x14ac:dyDescent="0.3">
      <c r="A584" s="2" t="s">
        <v>440</v>
      </c>
      <c r="B584" s="2" t="s">
        <v>441</v>
      </c>
      <c r="C584" s="2">
        <v>32355</v>
      </c>
      <c r="D584" s="2">
        <v>42990</v>
      </c>
      <c r="E584" s="3">
        <v>46073</v>
      </c>
      <c r="F584" s="3">
        <v>46223</v>
      </c>
      <c r="G584" s="4">
        <v>18465.54</v>
      </c>
      <c r="H584" s="2">
        <v>0</v>
      </c>
      <c r="I584" s="2" t="s">
        <v>552</v>
      </c>
      <c r="J584" s="2" t="s">
        <v>417</v>
      </c>
    </row>
    <row r="585" spans="1:10" x14ac:dyDescent="0.3">
      <c r="A585" s="2" t="s">
        <v>440</v>
      </c>
      <c r="B585" s="2" t="s">
        <v>441</v>
      </c>
      <c r="C585" s="2">
        <v>32358</v>
      </c>
      <c r="D585" s="2">
        <v>42993</v>
      </c>
      <c r="E585" s="3">
        <v>46073</v>
      </c>
      <c r="F585" s="3">
        <v>46223</v>
      </c>
      <c r="G585" s="4">
        <v>3240</v>
      </c>
      <c r="H585" s="2">
        <v>0</v>
      </c>
      <c r="I585" s="2" t="s">
        <v>552</v>
      </c>
      <c r="J585" s="2" t="s">
        <v>417</v>
      </c>
    </row>
    <row r="586" spans="1:10" x14ac:dyDescent="0.3">
      <c r="A586" s="2" t="s">
        <v>480</v>
      </c>
      <c r="B586" s="2" t="s">
        <v>481</v>
      </c>
      <c r="C586" s="2">
        <v>32687</v>
      </c>
      <c r="D586" s="2">
        <v>43342</v>
      </c>
      <c r="E586" s="3">
        <v>46101</v>
      </c>
      <c r="F586" s="3">
        <v>46223</v>
      </c>
      <c r="G586" s="4">
        <v>13483.4</v>
      </c>
      <c r="H586" s="2">
        <v>0</v>
      </c>
      <c r="I586" s="2" t="s">
        <v>482</v>
      </c>
      <c r="J586" s="2" t="s">
        <v>238</v>
      </c>
    </row>
    <row r="587" spans="1:10" x14ac:dyDescent="0.3">
      <c r="A587" s="2" t="s">
        <v>759</v>
      </c>
      <c r="B587" s="2" t="s">
        <v>760</v>
      </c>
      <c r="C587" s="2">
        <v>32688</v>
      </c>
      <c r="D587" s="2">
        <v>43343</v>
      </c>
      <c r="E587" s="3">
        <v>46101</v>
      </c>
      <c r="F587" s="3">
        <v>46223</v>
      </c>
      <c r="G587" s="4">
        <v>154710</v>
      </c>
      <c r="H587" s="2">
        <v>0</v>
      </c>
      <c r="I587" s="2" t="s">
        <v>849</v>
      </c>
      <c r="J587" s="2" t="s">
        <v>238</v>
      </c>
    </row>
    <row r="588" spans="1:10" x14ac:dyDescent="0.3">
      <c r="A588" s="2" t="s">
        <v>427</v>
      </c>
      <c r="B588" s="2" t="s">
        <v>428</v>
      </c>
      <c r="C588" s="2">
        <v>32690</v>
      </c>
      <c r="D588" s="2">
        <v>43345</v>
      </c>
      <c r="E588" s="3">
        <v>46101</v>
      </c>
      <c r="F588" s="3">
        <v>46223</v>
      </c>
      <c r="G588" s="4">
        <v>193452</v>
      </c>
      <c r="H588" s="2">
        <v>0</v>
      </c>
      <c r="I588" s="2" t="s">
        <v>850</v>
      </c>
      <c r="J588" s="2" t="s">
        <v>260</v>
      </c>
    </row>
    <row r="589" spans="1:10" x14ac:dyDescent="0.3">
      <c r="A589" s="2" t="s">
        <v>831</v>
      </c>
      <c r="B589" s="2" t="s">
        <v>832</v>
      </c>
      <c r="C589" s="2">
        <v>32693</v>
      </c>
      <c r="D589" s="2">
        <v>43347</v>
      </c>
      <c r="E589" s="3">
        <v>46101</v>
      </c>
      <c r="F589" s="3">
        <v>46223</v>
      </c>
      <c r="G589" s="4">
        <v>128400</v>
      </c>
      <c r="H589" s="2">
        <v>0</v>
      </c>
      <c r="I589" s="2" t="s">
        <v>851</v>
      </c>
      <c r="J589" s="2" t="s">
        <v>394</v>
      </c>
    </row>
    <row r="590" spans="1:10" x14ac:dyDescent="0.3">
      <c r="A590" s="2" t="s">
        <v>786</v>
      </c>
      <c r="B590" s="2" t="s">
        <v>787</v>
      </c>
      <c r="C590" s="2">
        <v>32700</v>
      </c>
      <c r="D590" s="2">
        <v>43354</v>
      </c>
      <c r="E590" s="3">
        <v>46101</v>
      </c>
      <c r="F590" s="3">
        <v>46223</v>
      </c>
      <c r="G590" s="4">
        <v>6786</v>
      </c>
      <c r="H590" s="2">
        <v>0</v>
      </c>
      <c r="I590" s="2" t="s">
        <v>856</v>
      </c>
      <c r="J590" s="2" t="s">
        <v>260</v>
      </c>
    </row>
    <row r="591" spans="1:10" x14ac:dyDescent="0.3">
      <c r="A591" s="2" t="s">
        <v>857</v>
      </c>
      <c r="B591" s="2" t="s">
        <v>858</v>
      </c>
      <c r="C591" s="2">
        <v>32701</v>
      </c>
      <c r="D591" s="2">
        <v>43355</v>
      </c>
      <c r="E591" s="3">
        <v>46101</v>
      </c>
      <c r="F591" s="3">
        <v>46223</v>
      </c>
      <c r="G591" s="4">
        <v>6921.08</v>
      </c>
      <c r="H591" s="2">
        <v>0</v>
      </c>
      <c r="I591" s="2" t="s">
        <v>859</v>
      </c>
      <c r="J591" s="2" t="s">
        <v>260</v>
      </c>
    </row>
    <row r="592" spans="1:10" x14ac:dyDescent="0.3">
      <c r="A592" s="2" t="s">
        <v>861</v>
      </c>
      <c r="B592" s="2" t="s">
        <v>862</v>
      </c>
      <c r="C592" s="2">
        <v>32711</v>
      </c>
      <c r="D592" s="2">
        <v>43365</v>
      </c>
      <c r="E592" s="3">
        <v>46101</v>
      </c>
      <c r="F592" s="3">
        <v>46223</v>
      </c>
      <c r="G592" s="4">
        <v>14484.9</v>
      </c>
      <c r="H592" s="2">
        <v>0</v>
      </c>
      <c r="I592" s="2" t="s">
        <v>863</v>
      </c>
      <c r="J592" s="2" t="s">
        <v>162</v>
      </c>
    </row>
    <row r="593" spans="1:10" x14ac:dyDescent="0.3">
      <c r="A593" s="2" t="s">
        <v>861</v>
      </c>
      <c r="B593" s="2" t="s">
        <v>862</v>
      </c>
      <c r="C593" s="2">
        <v>32712</v>
      </c>
      <c r="D593" s="2">
        <v>43366</v>
      </c>
      <c r="E593" s="3">
        <v>46101</v>
      </c>
      <c r="F593" s="3">
        <v>46223</v>
      </c>
      <c r="G593" s="4">
        <v>7059.36</v>
      </c>
      <c r="H593" s="2">
        <v>0</v>
      </c>
      <c r="I593" s="2" t="s">
        <v>863</v>
      </c>
      <c r="J593" s="2" t="s">
        <v>162</v>
      </c>
    </row>
    <row r="594" spans="1:10" x14ac:dyDescent="0.3">
      <c r="A594" s="2" t="s">
        <v>865</v>
      </c>
      <c r="B594" s="2" t="s">
        <v>866</v>
      </c>
      <c r="C594" s="2">
        <v>32714</v>
      </c>
      <c r="D594" s="2">
        <v>43368</v>
      </c>
      <c r="E594" s="3">
        <v>46101</v>
      </c>
      <c r="F594" s="3">
        <v>46223</v>
      </c>
      <c r="G594" s="4">
        <v>67321.039999999994</v>
      </c>
      <c r="H594" s="2">
        <v>0</v>
      </c>
      <c r="I594" s="2" t="s">
        <v>867</v>
      </c>
      <c r="J594" s="2" t="s">
        <v>162</v>
      </c>
    </row>
    <row r="595" spans="1:10" x14ac:dyDescent="0.3">
      <c r="A595" s="2" t="s">
        <v>360</v>
      </c>
      <c r="B595" s="2" t="s">
        <v>361</v>
      </c>
      <c r="C595" s="2">
        <v>33074</v>
      </c>
      <c r="D595" s="2">
        <v>43719</v>
      </c>
      <c r="E595" s="3">
        <v>46147</v>
      </c>
      <c r="F595" s="3">
        <v>46223</v>
      </c>
      <c r="G595" s="2">
        <v>505.82</v>
      </c>
      <c r="H595" s="2">
        <v>0</v>
      </c>
      <c r="I595" s="2" t="s">
        <v>1092</v>
      </c>
      <c r="J595" s="2" t="s">
        <v>92</v>
      </c>
    </row>
    <row r="596" spans="1:10" x14ac:dyDescent="0.3">
      <c r="A596" s="2" t="s">
        <v>1177</v>
      </c>
      <c r="B596" s="2" t="s">
        <v>1178</v>
      </c>
      <c r="C596" s="2">
        <v>33193</v>
      </c>
      <c r="D596" s="2">
        <v>43840</v>
      </c>
      <c r="E596" s="3">
        <v>46162</v>
      </c>
      <c r="F596" s="3">
        <v>46223</v>
      </c>
      <c r="G596" s="4">
        <v>32736</v>
      </c>
      <c r="H596" s="2">
        <v>0</v>
      </c>
      <c r="I596" s="2" t="s">
        <v>1179</v>
      </c>
      <c r="J596" s="2" t="s">
        <v>97</v>
      </c>
    </row>
    <row r="597" spans="1:10" x14ac:dyDescent="0.3">
      <c r="A597" s="2" t="s">
        <v>653</v>
      </c>
      <c r="B597" s="2" t="s">
        <v>654</v>
      </c>
      <c r="C597" s="2">
        <v>32719</v>
      </c>
      <c r="D597" s="2">
        <v>43373</v>
      </c>
      <c r="E597" s="3">
        <v>46104</v>
      </c>
      <c r="F597" s="3">
        <v>46224</v>
      </c>
      <c r="G597" s="4">
        <v>82320</v>
      </c>
      <c r="H597" s="2">
        <v>0</v>
      </c>
      <c r="I597" s="2" t="s">
        <v>868</v>
      </c>
      <c r="J597" s="2" t="s">
        <v>412</v>
      </c>
    </row>
    <row r="598" spans="1:10" x14ac:dyDescent="0.3">
      <c r="A598" s="2" t="s">
        <v>748</v>
      </c>
      <c r="B598" s="2" t="s">
        <v>749</v>
      </c>
      <c r="C598" s="2">
        <v>32972</v>
      </c>
      <c r="D598" s="2">
        <v>43623</v>
      </c>
      <c r="E598" s="3">
        <v>46134</v>
      </c>
      <c r="F598" s="3">
        <v>46224</v>
      </c>
      <c r="G598" s="4">
        <v>5210.68</v>
      </c>
      <c r="H598" s="2">
        <v>0</v>
      </c>
      <c r="I598" s="2" t="s">
        <v>1032</v>
      </c>
      <c r="J598" s="2" t="s">
        <v>339</v>
      </c>
    </row>
    <row r="599" spans="1:10" x14ac:dyDescent="0.3">
      <c r="A599" s="2" t="s">
        <v>588</v>
      </c>
      <c r="B599" s="2" t="s">
        <v>589</v>
      </c>
      <c r="C599" s="2">
        <v>32977</v>
      </c>
      <c r="D599" s="2">
        <v>43627</v>
      </c>
      <c r="E599" s="3">
        <v>46134</v>
      </c>
      <c r="F599" s="3">
        <v>46224</v>
      </c>
      <c r="G599" s="4">
        <v>2243.33</v>
      </c>
      <c r="H599" s="2">
        <v>0</v>
      </c>
      <c r="I599" s="2" t="s">
        <v>1033</v>
      </c>
      <c r="J599" s="2" t="s">
        <v>92</v>
      </c>
    </row>
    <row r="600" spans="1:10" x14ac:dyDescent="0.3">
      <c r="A600" s="2" t="s">
        <v>588</v>
      </c>
      <c r="B600" s="2" t="s">
        <v>589</v>
      </c>
      <c r="C600" s="2">
        <v>32978</v>
      </c>
      <c r="D600" s="2">
        <v>43628</v>
      </c>
      <c r="E600" s="3">
        <v>46134</v>
      </c>
      <c r="F600" s="3">
        <v>46224</v>
      </c>
      <c r="G600" s="4">
        <v>6729.99</v>
      </c>
      <c r="H600" s="2">
        <v>0</v>
      </c>
      <c r="I600" s="2" t="s">
        <v>1034</v>
      </c>
      <c r="J600" s="2" t="s">
        <v>92</v>
      </c>
    </row>
    <row r="601" spans="1:10" x14ac:dyDescent="0.3">
      <c r="A601" s="2" t="s">
        <v>514</v>
      </c>
      <c r="B601" s="2" t="s">
        <v>515</v>
      </c>
      <c r="C601" s="2">
        <v>32982</v>
      </c>
      <c r="D601" s="2">
        <v>43632</v>
      </c>
      <c r="E601" s="3">
        <v>46134</v>
      </c>
      <c r="F601" s="3">
        <v>46224</v>
      </c>
      <c r="G601" s="4">
        <v>4896.74</v>
      </c>
      <c r="H601" s="2">
        <v>0</v>
      </c>
      <c r="I601" s="2" t="s">
        <v>1035</v>
      </c>
      <c r="J601" s="2" t="s">
        <v>238</v>
      </c>
    </row>
    <row r="602" spans="1:10" x14ac:dyDescent="0.3">
      <c r="A602" s="2" t="s">
        <v>310</v>
      </c>
      <c r="B602" s="2" t="s">
        <v>311</v>
      </c>
      <c r="C602" s="2">
        <v>33215</v>
      </c>
      <c r="D602" s="2">
        <v>43861</v>
      </c>
      <c r="E602" s="3">
        <v>46164</v>
      </c>
      <c r="F602" s="3">
        <v>46224</v>
      </c>
      <c r="G602" s="4">
        <v>41766</v>
      </c>
      <c r="H602" s="2">
        <v>0</v>
      </c>
      <c r="I602" s="2" t="s">
        <v>1193</v>
      </c>
      <c r="J602" s="2" t="s">
        <v>313</v>
      </c>
    </row>
    <row r="603" spans="1:10" x14ac:dyDescent="0.3">
      <c r="A603" s="2" t="s">
        <v>310</v>
      </c>
      <c r="B603" s="2" t="s">
        <v>311</v>
      </c>
      <c r="C603" s="2">
        <v>33216</v>
      </c>
      <c r="D603" s="2">
        <v>43862</v>
      </c>
      <c r="E603" s="3">
        <v>46164</v>
      </c>
      <c r="F603" s="3">
        <v>46224</v>
      </c>
      <c r="G603" s="4">
        <v>21742</v>
      </c>
      <c r="H603" s="2">
        <v>0</v>
      </c>
      <c r="I603" s="2" t="s">
        <v>1194</v>
      </c>
      <c r="J603" s="2" t="s">
        <v>313</v>
      </c>
    </row>
    <row r="604" spans="1:10" x14ac:dyDescent="0.3">
      <c r="A604" s="2" t="s">
        <v>257</v>
      </c>
      <c r="B604" s="2" t="s">
        <v>258</v>
      </c>
      <c r="C604" s="2">
        <v>32046</v>
      </c>
      <c r="D604" s="2">
        <v>42676</v>
      </c>
      <c r="E604" s="3">
        <v>46045</v>
      </c>
      <c r="F604" s="3">
        <v>46225</v>
      </c>
      <c r="G604" s="4">
        <v>3156.76</v>
      </c>
      <c r="H604" s="2">
        <v>0</v>
      </c>
      <c r="I604" s="2" t="s">
        <v>551</v>
      </c>
      <c r="J604" s="2" t="s">
        <v>260</v>
      </c>
    </row>
    <row r="605" spans="1:10" x14ac:dyDescent="0.3">
      <c r="A605" s="2" t="s">
        <v>257</v>
      </c>
      <c r="B605" s="2" t="s">
        <v>258</v>
      </c>
      <c r="C605" s="2">
        <v>32048</v>
      </c>
      <c r="D605" s="2">
        <v>42678</v>
      </c>
      <c r="E605" s="3">
        <v>46045</v>
      </c>
      <c r="F605" s="3">
        <v>46225</v>
      </c>
      <c r="G605" s="4">
        <v>2223.34</v>
      </c>
      <c r="H605" s="2">
        <v>0</v>
      </c>
      <c r="I605" s="2" t="s">
        <v>551</v>
      </c>
      <c r="J605" s="2" t="s">
        <v>260</v>
      </c>
    </row>
    <row r="606" spans="1:10" x14ac:dyDescent="0.3">
      <c r="A606" s="2" t="s">
        <v>440</v>
      </c>
      <c r="B606" s="2" t="s">
        <v>441</v>
      </c>
      <c r="C606" s="2">
        <v>32053</v>
      </c>
      <c r="D606" s="2">
        <v>42683</v>
      </c>
      <c r="E606" s="3">
        <v>46045</v>
      </c>
      <c r="F606" s="3">
        <v>46225</v>
      </c>
      <c r="G606" s="4">
        <v>4815.6000000000004</v>
      </c>
      <c r="H606" s="2">
        <v>0</v>
      </c>
      <c r="I606" s="2" t="s">
        <v>552</v>
      </c>
      <c r="J606" s="2" t="s">
        <v>417</v>
      </c>
    </row>
    <row r="607" spans="1:10" x14ac:dyDescent="0.3">
      <c r="A607" s="2" t="s">
        <v>440</v>
      </c>
      <c r="B607" s="2" t="s">
        <v>441</v>
      </c>
      <c r="C607" s="2">
        <v>32054</v>
      </c>
      <c r="D607" s="2">
        <v>42684</v>
      </c>
      <c r="E607" s="3">
        <v>46045</v>
      </c>
      <c r="F607" s="3">
        <v>46225</v>
      </c>
      <c r="G607" s="4">
        <v>7456.96</v>
      </c>
      <c r="H607" s="2">
        <v>0</v>
      </c>
      <c r="I607" s="2" t="s">
        <v>552</v>
      </c>
      <c r="J607" s="2" t="s">
        <v>417</v>
      </c>
    </row>
    <row r="608" spans="1:10" x14ac:dyDescent="0.3">
      <c r="A608" s="2" t="s">
        <v>440</v>
      </c>
      <c r="B608" s="2" t="s">
        <v>441</v>
      </c>
      <c r="C608" s="2">
        <v>32055</v>
      </c>
      <c r="D608" s="2">
        <v>42685</v>
      </c>
      <c r="E608" s="3">
        <v>46045</v>
      </c>
      <c r="F608" s="3">
        <v>46225</v>
      </c>
      <c r="G608" s="2">
        <v>566.36</v>
      </c>
      <c r="H608" s="2">
        <v>0</v>
      </c>
      <c r="I608" s="2" t="s">
        <v>552</v>
      </c>
      <c r="J608" s="2" t="s">
        <v>417</v>
      </c>
    </row>
    <row r="609" spans="1:10" x14ac:dyDescent="0.3">
      <c r="A609" s="2" t="s">
        <v>514</v>
      </c>
      <c r="B609" s="2" t="s">
        <v>515</v>
      </c>
      <c r="C609" s="2">
        <v>32058</v>
      </c>
      <c r="D609" s="2">
        <v>42687</v>
      </c>
      <c r="E609" s="3">
        <v>46045</v>
      </c>
      <c r="F609" s="3">
        <v>46225</v>
      </c>
      <c r="G609" s="4">
        <v>23627.94</v>
      </c>
      <c r="H609" s="2">
        <v>0</v>
      </c>
      <c r="I609" s="2" t="s">
        <v>516</v>
      </c>
      <c r="J609" s="2" t="s">
        <v>238</v>
      </c>
    </row>
    <row r="610" spans="1:10" x14ac:dyDescent="0.3">
      <c r="A610" s="2" t="s">
        <v>831</v>
      </c>
      <c r="B610" s="2" t="s">
        <v>832</v>
      </c>
      <c r="C610" s="2">
        <v>32720</v>
      </c>
      <c r="D610" s="2">
        <v>43374</v>
      </c>
      <c r="E610" s="3">
        <v>46105</v>
      </c>
      <c r="F610" s="3">
        <v>46225</v>
      </c>
      <c r="G610" s="4">
        <v>21400</v>
      </c>
      <c r="H610" s="2">
        <v>0</v>
      </c>
      <c r="I610" s="2" t="s">
        <v>869</v>
      </c>
      <c r="J610" s="2" t="s">
        <v>394</v>
      </c>
    </row>
    <row r="611" spans="1:10" x14ac:dyDescent="0.3">
      <c r="A611" s="2" t="s">
        <v>831</v>
      </c>
      <c r="B611" s="2" t="s">
        <v>832</v>
      </c>
      <c r="C611" s="2">
        <v>32722</v>
      </c>
      <c r="D611" s="2">
        <v>43376</v>
      </c>
      <c r="E611" s="3">
        <v>46105</v>
      </c>
      <c r="F611" s="3">
        <v>46225</v>
      </c>
      <c r="G611" s="4">
        <v>173960</v>
      </c>
      <c r="H611" s="2">
        <v>0</v>
      </c>
      <c r="I611" s="2" t="s">
        <v>871</v>
      </c>
      <c r="J611" s="2" t="s">
        <v>394</v>
      </c>
    </row>
    <row r="612" spans="1:10" x14ac:dyDescent="0.3">
      <c r="A612" s="2" t="s">
        <v>257</v>
      </c>
      <c r="B612" s="2" t="s">
        <v>258</v>
      </c>
      <c r="C612" s="2">
        <v>32723</v>
      </c>
      <c r="D612" s="2">
        <v>43377</v>
      </c>
      <c r="E612" s="3">
        <v>46105</v>
      </c>
      <c r="F612" s="3">
        <v>46225</v>
      </c>
      <c r="G612" s="4">
        <v>186240</v>
      </c>
      <c r="H612" s="2">
        <v>0</v>
      </c>
      <c r="I612" s="2" t="s">
        <v>872</v>
      </c>
      <c r="J612" s="2" t="s">
        <v>260</v>
      </c>
    </row>
    <row r="613" spans="1:10" x14ac:dyDescent="0.3">
      <c r="A613" s="2" t="s">
        <v>257</v>
      </c>
      <c r="B613" s="2" t="s">
        <v>258</v>
      </c>
      <c r="C613" s="2">
        <v>32724</v>
      </c>
      <c r="D613" s="2">
        <v>43378</v>
      </c>
      <c r="E613" s="3">
        <v>46105</v>
      </c>
      <c r="F613" s="3">
        <v>46225</v>
      </c>
      <c r="G613" s="4">
        <v>255040</v>
      </c>
      <c r="H613" s="2">
        <v>0</v>
      </c>
      <c r="I613" s="2" t="s">
        <v>873</v>
      </c>
      <c r="J613" s="2" t="s">
        <v>260</v>
      </c>
    </row>
    <row r="614" spans="1:10" x14ac:dyDescent="0.3">
      <c r="A614" s="2" t="s">
        <v>398</v>
      </c>
      <c r="B614" s="2" t="s">
        <v>399</v>
      </c>
      <c r="C614" s="2">
        <v>32729</v>
      </c>
      <c r="D614" s="2">
        <v>43384</v>
      </c>
      <c r="E614" s="3">
        <v>46105</v>
      </c>
      <c r="F614" s="3">
        <v>46225</v>
      </c>
      <c r="G614" s="4">
        <v>92127</v>
      </c>
      <c r="H614" s="2">
        <v>0</v>
      </c>
      <c r="I614" s="2" t="s">
        <v>877</v>
      </c>
      <c r="J614" s="2" t="s">
        <v>394</v>
      </c>
    </row>
    <row r="615" spans="1:10" x14ac:dyDescent="0.3">
      <c r="A615" s="2" t="s">
        <v>440</v>
      </c>
      <c r="B615" s="2" t="s">
        <v>441</v>
      </c>
      <c r="C615" s="2">
        <v>33120</v>
      </c>
      <c r="D615" s="2">
        <v>43765</v>
      </c>
      <c r="E615" s="3">
        <v>46150</v>
      </c>
      <c r="F615" s="3">
        <v>46225</v>
      </c>
      <c r="G615" s="4">
        <v>4666.66</v>
      </c>
      <c r="H615" s="2">
        <v>0</v>
      </c>
      <c r="I615" s="2" t="s">
        <v>1127</v>
      </c>
      <c r="J615" s="2" t="s">
        <v>417</v>
      </c>
    </row>
    <row r="616" spans="1:10" x14ac:dyDescent="0.3">
      <c r="A616" s="2" t="s">
        <v>440</v>
      </c>
      <c r="B616" s="2" t="s">
        <v>441</v>
      </c>
      <c r="C616" s="2">
        <v>33121</v>
      </c>
      <c r="D616" s="2">
        <v>43766</v>
      </c>
      <c r="E616" s="3">
        <v>46150</v>
      </c>
      <c r="F616" s="3">
        <v>46225</v>
      </c>
      <c r="G616" s="4">
        <v>16386.87</v>
      </c>
      <c r="H616" s="2">
        <v>0</v>
      </c>
      <c r="I616" s="2" t="s">
        <v>1128</v>
      </c>
      <c r="J616" s="2" t="s">
        <v>417</v>
      </c>
    </row>
    <row r="617" spans="1:10" x14ac:dyDescent="0.3">
      <c r="A617" s="2" t="s">
        <v>440</v>
      </c>
      <c r="B617" s="2" t="s">
        <v>441</v>
      </c>
      <c r="C617" s="2">
        <v>33122</v>
      </c>
      <c r="D617" s="2">
        <v>43767</v>
      </c>
      <c r="E617" s="3">
        <v>46150</v>
      </c>
      <c r="F617" s="3">
        <v>46225</v>
      </c>
      <c r="G617" s="4">
        <v>15771.98</v>
      </c>
      <c r="H617" s="2">
        <v>0</v>
      </c>
      <c r="I617" s="2" t="s">
        <v>1129</v>
      </c>
      <c r="J617" s="2" t="s">
        <v>417</v>
      </c>
    </row>
    <row r="618" spans="1:10" x14ac:dyDescent="0.3">
      <c r="A618" s="2" t="s">
        <v>391</v>
      </c>
      <c r="B618" s="2" t="s">
        <v>392</v>
      </c>
      <c r="C618" s="2">
        <v>32732</v>
      </c>
      <c r="D618" s="2">
        <v>43390</v>
      </c>
      <c r="E618" s="3">
        <v>46106</v>
      </c>
      <c r="F618" s="3">
        <v>46226</v>
      </c>
      <c r="G618" s="4">
        <v>249000</v>
      </c>
      <c r="H618" s="2">
        <v>0</v>
      </c>
      <c r="I618" s="2" t="s">
        <v>879</v>
      </c>
      <c r="J618" s="2" t="s">
        <v>394</v>
      </c>
    </row>
    <row r="619" spans="1:10" x14ac:dyDescent="0.3">
      <c r="A619" s="2" t="s">
        <v>398</v>
      </c>
      <c r="B619" s="2" t="s">
        <v>399</v>
      </c>
      <c r="C619" s="2">
        <v>32737</v>
      </c>
      <c r="D619" s="2">
        <v>43395</v>
      </c>
      <c r="E619" s="3">
        <v>46106</v>
      </c>
      <c r="F619" s="3">
        <v>46226</v>
      </c>
      <c r="G619" s="4">
        <v>181000</v>
      </c>
      <c r="H619" s="2">
        <v>0</v>
      </c>
      <c r="I619" s="2" t="s">
        <v>883</v>
      </c>
      <c r="J619" s="2" t="s">
        <v>394</v>
      </c>
    </row>
    <row r="620" spans="1:10" x14ac:dyDescent="0.3">
      <c r="A620" s="2" t="s">
        <v>585</v>
      </c>
      <c r="B620" s="2" t="s">
        <v>392</v>
      </c>
      <c r="C620" s="2">
        <v>32738</v>
      </c>
      <c r="D620" s="2">
        <v>43396</v>
      </c>
      <c r="E620" s="3">
        <v>46106</v>
      </c>
      <c r="F620" s="3">
        <v>46226</v>
      </c>
      <c r="G620" s="4">
        <v>87923</v>
      </c>
      <c r="H620" s="2">
        <v>0</v>
      </c>
      <c r="I620" s="2" t="s">
        <v>884</v>
      </c>
      <c r="J620" s="2" t="s">
        <v>394</v>
      </c>
    </row>
    <row r="621" spans="1:10" x14ac:dyDescent="0.3">
      <c r="A621" s="2" t="s">
        <v>582</v>
      </c>
      <c r="B621" s="2" t="s">
        <v>583</v>
      </c>
      <c r="C621" s="2">
        <v>33012</v>
      </c>
      <c r="D621" s="2">
        <v>43661</v>
      </c>
      <c r="E621" s="3">
        <v>46136</v>
      </c>
      <c r="F621" s="3">
        <v>46226</v>
      </c>
      <c r="G621" s="4">
        <v>7189.5</v>
      </c>
      <c r="H621" s="2">
        <v>0</v>
      </c>
      <c r="I621" s="2" t="s">
        <v>1058</v>
      </c>
      <c r="J621" s="2" t="s">
        <v>92</v>
      </c>
    </row>
    <row r="622" spans="1:10" x14ac:dyDescent="0.3">
      <c r="A622" s="2" t="s">
        <v>440</v>
      </c>
      <c r="B622" s="2" t="s">
        <v>441</v>
      </c>
      <c r="C622" s="2">
        <v>32378</v>
      </c>
      <c r="D622" s="2">
        <v>43041</v>
      </c>
      <c r="E622" s="3">
        <v>46077</v>
      </c>
      <c r="F622" s="3">
        <v>46227</v>
      </c>
      <c r="G622" s="2">
        <v>664</v>
      </c>
      <c r="H622" s="2">
        <v>0</v>
      </c>
      <c r="I622" s="2" t="s">
        <v>552</v>
      </c>
      <c r="J622" s="2" t="s">
        <v>417</v>
      </c>
    </row>
    <row r="623" spans="1:10" x14ac:dyDescent="0.3">
      <c r="A623" s="2" t="s">
        <v>514</v>
      </c>
      <c r="B623" s="2" t="s">
        <v>515</v>
      </c>
      <c r="C623" s="2">
        <v>32386</v>
      </c>
      <c r="D623" s="2">
        <v>43051</v>
      </c>
      <c r="E623" s="3">
        <v>46077</v>
      </c>
      <c r="F623" s="3">
        <v>46227</v>
      </c>
      <c r="G623" s="4">
        <v>2368</v>
      </c>
      <c r="H623" s="2">
        <v>0</v>
      </c>
      <c r="I623" s="2" t="s">
        <v>516</v>
      </c>
      <c r="J623" s="2" t="s">
        <v>238</v>
      </c>
    </row>
    <row r="624" spans="1:10" x14ac:dyDescent="0.3">
      <c r="A624" s="2" t="s">
        <v>886</v>
      </c>
      <c r="B624" s="2" t="s">
        <v>415</v>
      </c>
      <c r="C624" s="2">
        <v>32743</v>
      </c>
      <c r="D624" s="2">
        <v>43401</v>
      </c>
      <c r="E624" s="3">
        <v>46107</v>
      </c>
      <c r="F624" s="3">
        <v>46227</v>
      </c>
      <c r="G624" s="4">
        <v>31866.63</v>
      </c>
      <c r="H624" s="2">
        <v>0</v>
      </c>
      <c r="I624" s="2" t="s">
        <v>887</v>
      </c>
      <c r="J624" s="2" t="s">
        <v>417</v>
      </c>
    </row>
    <row r="625" spans="1:10" x14ac:dyDescent="0.3">
      <c r="A625" s="2" t="s">
        <v>886</v>
      </c>
      <c r="B625" s="2" t="s">
        <v>415</v>
      </c>
      <c r="C625" s="2">
        <v>32744</v>
      </c>
      <c r="D625" s="2">
        <v>43402</v>
      </c>
      <c r="E625" s="3">
        <v>46107</v>
      </c>
      <c r="F625" s="3">
        <v>46227</v>
      </c>
      <c r="G625" s="2">
        <v>566.66999999999996</v>
      </c>
      <c r="H625" s="2">
        <v>0</v>
      </c>
      <c r="I625" s="2" t="s">
        <v>888</v>
      </c>
      <c r="J625" s="2" t="s">
        <v>417</v>
      </c>
    </row>
    <row r="626" spans="1:10" x14ac:dyDescent="0.3">
      <c r="A626" s="2" t="s">
        <v>409</v>
      </c>
      <c r="B626" s="2" t="s">
        <v>410</v>
      </c>
      <c r="C626" s="2">
        <v>33225</v>
      </c>
      <c r="D626" s="2">
        <v>43872</v>
      </c>
      <c r="E626" s="3">
        <v>46167</v>
      </c>
      <c r="F626" s="3">
        <v>46227</v>
      </c>
      <c r="G626" s="4">
        <v>16920</v>
      </c>
      <c r="H626" s="2">
        <v>0</v>
      </c>
      <c r="I626" s="2" t="s">
        <v>1202</v>
      </c>
      <c r="J626" s="2" t="s">
        <v>412</v>
      </c>
    </row>
    <row r="627" spans="1:10" x14ac:dyDescent="0.3">
      <c r="A627" s="2" t="s">
        <v>561</v>
      </c>
      <c r="B627" s="2" t="s">
        <v>562</v>
      </c>
      <c r="C627" s="2">
        <v>32091</v>
      </c>
      <c r="D627" s="2">
        <v>42723</v>
      </c>
      <c r="E627" s="3">
        <v>46048</v>
      </c>
      <c r="F627" s="3">
        <v>46228</v>
      </c>
      <c r="G627" s="4">
        <v>185263.49</v>
      </c>
      <c r="H627" s="2">
        <v>0</v>
      </c>
      <c r="I627" s="2"/>
      <c r="J627" s="2" t="s">
        <v>563</v>
      </c>
    </row>
    <row r="628" spans="1:10" x14ac:dyDescent="0.3">
      <c r="A628" s="2" t="s">
        <v>588</v>
      </c>
      <c r="B628" s="2" t="s">
        <v>589</v>
      </c>
      <c r="C628" s="2">
        <v>33237</v>
      </c>
      <c r="D628" s="2">
        <v>43884</v>
      </c>
      <c r="E628" s="3">
        <v>46168</v>
      </c>
      <c r="F628" s="3">
        <v>46228</v>
      </c>
      <c r="G628" s="4">
        <v>6739.83</v>
      </c>
      <c r="H628" s="2">
        <v>0</v>
      </c>
      <c r="I628" s="2" t="s">
        <v>1213</v>
      </c>
      <c r="J628" s="2" t="s">
        <v>92</v>
      </c>
    </row>
    <row r="629" spans="1:10" x14ac:dyDescent="0.3">
      <c r="A629" s="2" t="s">
        <v>357</v>
      </c>
      <c r="B629" s="2" t="s">
        <v>358</v>
      </c>
      <c r="C629" s="2">
        <v>31517</v>
      </c>
      <c r="D629" s="2">
        <v>42061</v>
      </c>
      <c r="E629" s="3">
        <v>45989</v>
      </c>
      <c r="F629" s="3">
        <v>46230</v>
      </c>
      <c r="G629" s="4">
        <v>25479.78</v>
      </c>
      <c r="H629" s="2">
        <v>0</v>
      </c>
      <c r="I629" s="2" t="s">
        <v>359</v>
      </c>
      <c r="J629" s="2" t="s">
        <v>260</v>
      </c>
    </row>
    <row r="630" spans="1:10" x14ac:dyDescent="0.3">
      <c r="A630" s="2" t="s">
        <v>557</v>
      </c>
      <c r="B630" s="2" t="s">
        <v>558</v>
      </c>
      <c r="C630" s="2">
        <v>32080</v>
      </c>
      <c r="D630" s="2">
        <v>42709</v>
      </c>
      <c r="E630" s="3">
        <v>46048</v>
      </c>
      <c r="F630" s="3">
        <v>46230</v>
      </c>
      <c r="G630" s="4">
        <v>39735.480000000003</v>
      </c>
      <c r="H630" s="2">
        <v>0</v>
      </c>
      <c r="I630" s="2" t="s">
        <v>559</v>
      </c>
      <c r="J630" s="2" t="s">
        <v>19</v>
      </c>
    </row>
    <row r="631" spans="1:10" x14ac:dyDescent="0.3">
      <c r="A631" s="2" t="s">
        <v>440</v>
      </c>
      <c r="B631" s="2" t="s">
        <v>441</v>
      </c>
      <c r="C631" s="2">
        <v>32088</v>
      </c>
      <c r="D631" s="2">
        <v>42721</v>
      </c>
      <c r="E631" s="3">
        <v>46048</v>
      </c>
      <c r="F631" s="3">
        <v>46230</v>
      </c>
      <c r="G631" s="4">
        <v>1322.64</v>
      </c>
      <c r="H631" s="2">
        <v>0</v>
      </c>
      <c r="I631" s="2" t="s">
        <v>552</v>
      </c>
      <c r="J631" s="2" t="s">
        <v>417</v>
      </c>
    </row>
    <row r="632" spans="1:10" x14ac:dyDescent="0.3">
      <c r="A632" s="2" t="s">
        <v>440</v>
      </c>
      <c r="B632" s="2" t="s">
        <v>441</v>
      </c>
      <c r="C632" s="2">
        <v>32089</v>
      </c>
      <c r="D632" s="2">
        <v>42722</v>
      </c>
      <c r="E632" s="3">
        <v>46048</v>
      </c>
      <c r="F632" s="3">
        <v>46230</v>
      </c>
      <c r="G632" s="4">
        <v>1322.64</v>
      </c>
      <c r="H632" s="2">
        <v>0</v>
      </c>
      <c r="I632" s="2" t="s">
        <v>552</v>
      </c>
      <c r="J632" s="2" t="s">
        <v>417</v>
      </c>
    </row>
    <row r="633" spans="1:10" x14ac:dyDescent="0.3">
      <c r="A633" s="2" t="s">
        <v>391</v>
      </c>
      <c r="B633" s="2" t="s">
        <v>392</v>
      </c>
      <c r="C633" s="2">
        <v>32145</v>
      </c>
      <c r="D633" s="2">
        <v>42765</v>
      </c>
      <c r="E633" s="3">
        <v>46050</v>
      </c>
      <c r="F633" s="3">
        <v>46230</v>
      </c>
      <c r="G633" s="4">
        <v>39780</v>
      </c>
      <c r="H633" s="2">
        <v>0</v>
      </c>
      <c r="I633" s="2" t="s">
        <v>499</v>
      </c>
      <c r="J633" s="2" t="s">
        <v>394</v>
      </c>
    </row>
    <row r="634" spans="1:10" x14ac:dyDescent="0.3">
      <c r="A634" s="2" t="s">
        <v>398</v>
      </c>
      <c r="B634" s="2" t="s">
        <v>399</v>
      </c>
      <c r="C634" s="2">
        <v>32148</v>
      </c>
      <c r="D634" s="2">
        <v>42768</v>
      </c>
      <c r="E634" s="3">
        <v>46050</v>
      </c>
      <c r="F634" s="3">
        <v>46230</v>
      </c>
      <c r="G634" s="4">
        <v>82886.600000000006</v>
      </c>
      <c r="H634" s="2">
        <v>0</v>
      </c>
      <c r="I634" s="2" t="s">
        <v>500</v>
      </c>
      <c r="J634" s="2" t="s">
        <v>394</v>
      </c>
    </row>
    <row r="635" spans="1:10" x14ac:dyDescent="0.3">
      <c r="A635" s="2" t="s">
        <v>514</v>
      </c>
      <c r="B635" s="2" t="s">
        <v>515</v>
      </c>
      <c r="C635" s="2">
        <v>32411</v>
      </c>
      <c r="D635" s="2">
        <v>43075</v>
      </c>
      <c r="E635" s="3">
        <v>46079</v>
      </c>
      <c r="F635" s="3">
        <v>46230</v>
      </c>
      <c r="G635" s="4">
        <v>1704</v>
      </c>
      <c r="H635" s="2">
        <v>0</v>
      </c>
      <c r="I635" s="2" t="s">
        <v>713</v>
      </c>
      <c r="J635" s="2" t="s">
        <v>238</v>
      </c>
    </row>
    <row r="636" spans="1:10" x14ac:dyDescent="0.3">
      <c r="A636" s="2" t="s">
        <v>398</v>
      </c>
      <c r="B636" s="2" t="s">
        <v>399</v>
      </c>
      <c r="C636" s="2">
        <v>32430</v>
      </c>
      <c r="D636" s="2">
        <v>43093</v>
      </c>
      <c r="E636" s="3">
        <v>46079</v>
      </c>
      <c r="F636" s="3">
        <v>46230</v>
      </c>
      <c r="G636" s="4">
        <v>1030</v>
      </c>
      <c r="H636" s="2">
        <v>0</v>
      </c>
      <c r="I636" s="2" t="s">
        <v>500</v>
      </c>
      <c r="J636" s="2" t="s">
        <v>394</v>
      </c>
    </row>
    <row r="637" spans="1:10" x14ac:dyDescent="0.3">
      <c r="A637" s="2" t="s">
        <v>398</v>
      </c>
      <c r="B637" s="2" t="s">
        <v>399</v>
      </c>
      <c r="C637" s="2">
        <v>32431</v>
      </c>
      <c r="D637" s="2">
        <v>43094</v>
      </c>
      <c r="E637" s="3">
        <v>46079</v>
      </c>
      <c r="F637" s="3">
        <v>46230</v>
      </c>
      <c r="G637" s="4">
        <v>72170</v>
      </c>
      <c r="H637" s="2">
        <v>0</v>
      </c>
      <c r="I637" s="2" t="s">
        <v>500</v>
      </c>
      <c r="J637" s="2" t="s">
        <v>394</v>
      </c>
    </row>
    <row r="638" spans="1:10" x14ac:dyDescent="0.3">
      <c r="A638" s="2" t="s">
        <v>398</v>
      </c>
      <c r="B638" s="2" t="s">
        <v>399</v>
      </c>
      <c r="C638" s="2">
        <v>32432</v>
      </c>
      <c r="D638" s="2">
        <v>43095</v>
      </c>
      <c r="E638" s="3">
        <v>46079</v>
      </c>
      <c r="F638" s="3">
        <v>46230</v>
      </c>
      <c r="G638" s="4">
        <v>7725</v>
      </c>
      <c r="H638" s="2">
        <v>0</v>
      </c>
      <c r="I638" s="2" t="s">
        <v>500</v>
      </c>
      <c r="J638" s="2" t="s">
        <v>394</v>
      </c>
    </row>
    <row r="639" spans="1:10" x14ac:dyDescent="0.3">
      <c r="A639" s="2" t="s">
        <v>357</v>
      </c>
      <c r="B639" s="2" t="s">
        <v>358</v>
      </c>
      <c r="C639" s="2">
        <v>32443</v>
      </c>
      <c r="D639" s="2">
        <v>43106</v>
      </c>
      <c r="E639" s="3">
        <v>46079</v>
      </c>
      <c r="F639" s="3">
        <v>46230</v>
      </c>
      <c r="G639" s="4">
        <v>132680</v>
      </c>
      <c r="H639" s="2">
        <v>0</v>
      </c>
      <c r="I639" s="2" t="s">
        <v>547</v>
      </c>
      <c r="J639" s="2" t="s">
        <v>260</v>
      </c>
    </row>
    <row r="640" spans="1:10" x14ac:dyDescent="0.3">
      <c r="A640" s="2" t="s">
        <v>726</v>
      </c>
      <c r="B640" s="2" t="s">
        <v>727</v>
      </c>
      <c r="C640" s="2">
        <v>32446</v>
      </c>
      <c r="D640" s="2">
        <v>43109</v>
      </c>
      <c r="E640" s="3">
        <v>46079</v>
      </c>
      <c r="F640" s="3">
        <v>46230</v>
      </c>
      <c r="G640" s="4">
        <v>30390</v>
      </c>
      <c r="H640" s="2">
        <v>0</v>
      </c>
      <c r="I640" s="2" t="s">
        <v>728</v>
      </c>
      <c r="J640" s="2" t="s">
        <v>394</v>
      </c>
    </row>
    <row r="641" spans="1:10" x14ac:dyDescent="0.3">
      <c r="A641" s="2" t="s">
        <v>726</v>
      </c>
      <c r="B641" s="2" t="s">
        <v>727</v>
      </c>
      <c r="C641" s="2">
        <v>32448</v>
      </c>
      <c r="D641" s="2">
        <v>43111</v>
      </c>
      <c r="E641" s="3">
        <v>46079</v>
      </c>
      <c r="F641" s="3">
        <v>46230</v>
      </c>
      <c r="G641" s="4">
        <v>5150</v>
      </c>
      <c r="H641" s="2">
        <v>0</v>
      </c>
      <c r="I641" s="2" t="s">
        <v>728</v>
      </c>
      <c r="J641" s="2" t="s">
        <v>394</v>
      </c>
    </row>
    <row r="642" spans="1:10" x14ac:dyDescent="0.3">
      <c r="A642" s="2" t="s">
        <v>729</v>
      </c>
      <c r="B642" s="2" t="s">
        <v>727</v>
      </c>
      <c r="C642" s="2">
        <v>32452</v>
      </c>
      <c r="D642" s="2">
        <v>43115</v>
      </c>
      <c r="E642" s="3">
        <v>46079</v>
      </c>
      <c r="F642" s="3">
        <v>46230</v>
      </c>
      <c r="G642" s="4">
        <v>5150</v>
      </c>
      <c r="H642" s="2">
        <v>0</v>
      </c>
      <c r="I642" s="2" t="s">
        <v>730</v>
      </c>
      <c r="J642" s="2" t="s">
        <v>394</v>
      </c>
    </row>
    <row r="643" spans="1:10" x14ac:dyDescent="0.3">
      <c r="A643" s="2" t="s">
        <v>731</v>
      </c>
      <c r="B643" s="2" t="s">
        <v>392</v>
      </c>
      <c r="C643" s="2">
        <v>32453</v>
      </c>
      <c r="D643" s="2">
        <v>43116</v>
      </c>
      <c r="E643" s="3">
        <v>46079</v>
      </c>
      <c r="F643" s="3">
        <v>46230</v>
      </c>
      <c r="G643" s="4">
        <v>46020</v>
      </c>
      <c r="H643" s="2">
        <v>0</v>
      </c>
      <c r="I643" s="2" t="s">
        <v>732</v>
      </c>
      <c r="J643" s="2" t="s">
        <v>260</v>
      </c>
    </row>
    <row r="644" spans="1:10" x14ac:dyDescent="0.3">
      <c r="A644" s="2" t="s">
        <v>729</v>
      </c>
      <c r="B644" s="2" t="s">
        <v>727</v>
      </c>
      <c r="C644" s="2">
        <v>32457</v>
      </c>
      <c r="D644" s="2">
        <v>43120</v>
      </c>
      <c r="E644" s="3">
        <v>46080</v>
      </c>
      <c r="F644" s="3">
        <v>46230</v>
      </c>
      <c r="G644" s="4">
        <v>56880</v>
      </c>
      <c r="H644" s="2">
        <v>0</v>
      </c>
      <c r="I644" s="2" t="s">
        <v>730</v>
      </c>
      <c r="J644" s="2" t="s">
        <v>394</v>
      </c>
    </row>
    <row r="645" spans="1:10" x14ac:dyDescent="0.3">
      <c r="A645" s="2" t="s">
        <v>735</v>
      </c>
      <c r="B645" s="2" t="s">
        <v>736</v>
      </c>
      <c r="C645" s="2">
        <v>32458</v>
      </c>
      <c r="D645" s="2">
        <v>43121</v>
      </c>
      <c r="E645" s="3">
        <v>46080</v>
      </c>
      <c r="F645" s="3">
        <v>46230</v>
      </c>
      <c r="G645" s="4">
        <v>3856.68</v>
      </c>
      <c r="H645" s="2">
        <v>0</v>
      </c>
      <c r="I645" s="2" t="s">
        <v>737</v>
      </c>
      <c r="J645" s="2" t="s">
        <v>19</v>
      </c>
    </row>
    <row r="646" spans="1:10" x14ac:dyDescent="0.3">
      <c r="A646" s="2" t="s">
        <v>446</v>
      </c>
      <c r="B646" s="2" t="s">
        <v>447</v>
      </c>
      <c r="C646" s="2">
        <v>32461</v>
      </c>
      <c r="D646" s="2">
        <v>43125</v>
      </c>
      <c r="E646" s="3">
        <v>46080</v>
      </c>
      <c r="F646" s="3">
        <v>46230</v>
      </c>
      <c r="G646" s="4">
        <v>34295.06</v>
      </c>
      <c r="H646" s="2">
        <v>0</v>
      </c>
      <c r="I646" s="2" t="s">
        <v>738</v>
      </c>
      <c r="J646" s="2" t="s">
        <v>417</v>
      </c>
    </row>
    <row r="647" spans="1:10" x14ac:dyDescent="0.3">
      <c r="A647" s="2" t="s">
        <v>740</v>
      </c>
      <c r="B647" s="2" t="s">
        <v>727</v>
      </c>
      <c r="C647" s="2">
        <v>32466</v>
      </c>
      <c r="D647" s="2">
        <v>43132</v>
      </c>
      <c r="E647" s="3">
        <v>46080</v>
      </c>
      <c r="F647" s="3">
        <v>46230</v>
      </c>
      <c r="G647" s="4">
        <v>61860</v>
      </c>
      <c r="H647" s="2">
        <v>0</v>
      </c>
      <c r="I647" s="2" t="s">
        <v>741</v>
      </c>
      <c r="J647" s="2" t="s">
        <v>394</v>
      </c>
    </row>
    <row r="648" spans="1:10" x14ac:dyDescent="0.3">
      <c r="A648" s="2" t="s">
        <v>414</v>
      </c>
      <c r="B648" s="2" t="s">
        <v>415</v>
      </c>
      <c r="C648" s="2">
        <v>32473</v>
      </c>
      <c r="D648" s="2">
        <v>43139</v>
      </c>
      <c r="E648" s="3">
        <v>46080</v>
      </c>
      <c r="F648" s="3">
        <v>46230</v>
      </c>
      <c r="G648" s="2">
        <v>560</v>
      </c>
      <c r="H648" s="2">
        <v>0</v>
      </c>
      <c r="I648" s="2" t="s">
        <v>565</v>
      </c>
      <c r="J648" s="2" t="s">
        <v>417</v>
      </c>
    </row>
    <row r="649" spans="1:10" x14ac:dyDescent="0.3">
      <c r="A649" s="2" t="s">
        <v>414</v>
      </c>
      <c r="B649" s="2" t="s">
        <v>415</v>
      </c>
      <c r="C649" s="2">
        <v>32474</v>
      </c>
      <c r="D649" s="2">
        <v>43140</v>
      </c>
      <c r="E649" s="3">
        <v>46080</v>
      </c>
      <c r="F649" s="3">
        <v>46230</v>
      </c>
      <c r="G649" s="4">
        <v>75713.48</v>
      </c>
      <c r="H649" s="2">
        <v>0</v>
      </c>
      <c r="I649" s="2" t="s">
        <v>565</v>
      </c>
      <c r="J649" s="2" t="s">
        <v>417</v>
      </c>
    </row>
    <row r="650" spans="1:10" x14ac:dyDescent="0.3">
      <c r="A650" s="2" t="s">
        <v>427</v>
      </c>
      <c r="B650" s="2" t="s">
        <v>428</v>
      </c>
      <c r="C650" s="2">
        <v>32750</v>
      </c>
      <c r="D650" s="2">
        <v>43407</v>
      </c>
      <c r="E650" s="3">
        <v>46108</v>
      </c>
      <c r="F650" s="3">
        <v>46230</v>
      </c>
      <c r="G650" s="4">
        <v>189336</v>
      </c>
      <c r="H650" s="2">
        <v>0</v>
      </c>
      <c r="I650" s="2" t="s">
        <v>890</v>
      </c>
      <c r="J650" s="2" t="s">
        <v>260</v>
      </c>
    </row>
    <row r="651" spans="1:10" x14ac:dyDescent="0.3">
      <c r="A651" s="2" t="s">
        <v>514</v>
      </c>
      <c r="B651" s="2" t="s">
        <v>515</v>
      </c>
      <c r="C651" s="2">
        <v>32751</v>
      </c>
      <c r="D651" s="2">
        <v>43408</v>
      </c>
      <c r="E651" s="3">
        <v>46108</v>
      </c>
      <c r="F651" s="3">
        <v>46230</v>
      </c>
      <c r="G651" s="4">
        <v>1057.4000000000001</v>
      </c>
      <c r="H651" s="2">
        <v>0</v>
      </c>
      <c r="I651" s="2" t="s">
        <v>516</v>
      </c>
      <c r="J651" s="2" t="s">
        <v>238</v>
      </c>
    </row>
    <row r="652" spans="1:10" x14ac:dyDescent="0.3">
      <c r="A652" s="2" t="s">
        <v>514</v>
      </c>
      <c r="B652" s="2" t="s">
        <v>515</v>
      </c>
      <c r="C652" s="2">
        <v>32753</v>
      </c>
      <c r="D652" s="2">
        <v>43410</v>
      </c>
      <c r="E652" s="3">
        <v>46108</v>
      </c>
      <c r="F652" s="3">
        <v>46230</v>
      </c>
      <c r="G652" s="4">
        <v>2823.13</v>
      </c>
      <c r="H652" s="2">
        <v>0</v>
      </c>
      <c r="I652" s="2" t="s">
        <v>516</v>
      </c>
      <c r="J652" s="2" t="s">
        <v>238</v>
      </c>
    </row>
    <row r="653" spans="1:10" x14ac:dyDescent="0.3">
      <c r="A653" s="2" t="s">
        <v>514</v>
      </c>
      <c r="B653" s="2" t="s">
        <v>515</v>
      </c>
      <c r="C653" s="2">
        <v>32754</v>
      </c>
      <c r="D653" s="2">
        <v>43411</v>
      </c>
      <c r="E653" s="3">
        <v>46108</v>
      </c>
      <c r="F653" s="3">
        <v>46230</v>
      </c>
      <c r="G653" s="4">
        <v>4053</v>
      </c>
      <c r="H653" s="2">
        <v>0</v>
      </c>
      <c r="I653" s="2" t="s">
        <v>516</v>
      </c>
      <c r="J653" s="2" t="s">
        <v>238</v>
      </c>
    </row>
    <row r="654" spans="1:10" x14ac:dyDescent="0.3">
      <c r="A654" s="2" t="s">
        <v>357</v>
      </c>
      <c r="B654" s="2" t="s">
        <v>358</v>
      </c>
      <c r="C654" s="2">
        <v>32759</v>
      </c>
      <c r="D654" s="2">
        <v>43416</v>
      </c>
      <c r="E654" s="3">
        <v>46108</v>
      </c>
      <c r="F654" s="3">
        <v>46230</v>
      </c>
      <c r="G654" s="4">
        <v>188160</v>
      </c>
      <c r="H654" s="2">
        <v>0</v>
      </c>
      <c r="I654" s="2" t="s">
        <v>892</v>
      </c>
      <c r="J654" s="2" t="s">
        <v>260</v>
      </c>
    </row>
    <row r="655" spans="1:10" x14ac:dyDescent="0.3">
      <c r="A655" s="2" t="s">
        <v>357</v>
      </c>
      <c r="B655" s="2" t="s">
        <v>358</v>
      </c>
      <c r="C655" s="2">
        <v>32764</v>
      </c>
      <c r="D655" s="2">
        <v>43420</v>
      </c>
      <c r="E655" s="3">
        <v>46108</v>
      </c>
      <c r="F655" s="3">
        <v>46230</v>
      </c>
      <c r="G655" s="4">
        <v>136960</v>
      </c>
      <c r="H655" s="2">
        <v>0</v>
      </c>
      <c r="I655" s="2" t="s">
        <v>893</v>
      </c>
      <c r="J655" s="2" t="s">
        <v>260</v>
      </c>
    </row>
    <row r="656" spans="1:10" x14ac:dyDescent="0.3">
      <c r="A656" s="2" t="s">
        <v>360</v>
      </c>
      <c r="B656" s="2" t="s">
        <v>361</v>
      </c>
      <c r="C656" s="2">
        <v>32765</v>
      </c>
      <c r="D656" s="2">
        <v>43421</v>
      </c>
      <c r="E656" s="3">
        <v>46108</v>
      </c>
      <c r="F656" s="3">
        <v>46230</v>
      </c>
      <c r="G656" s="4">
        <v>26600</v>
      </c>
      <c r="H656" s="2">
        <v>0</v>
      </c>
      <c r="I656" s="2" t="s">
        <v>894</v>
      </c>
      <c r="J656" s="2" t="s">
        <v>92</v>
      </c>
    </row>
    <row r="657" spans="1:10" x14ac:dyDescent="0.3">
      <c r="A657" s="2" t="s">
        <v>440</v>
      </c>
      <c r="B657" s="2" t="s">
        <v>441</v>
      </c>
      <c r="C657" s="2">
        <v>32914</v>
      </c>
      <c r="D657" s="2">
        <v>43569</v>
      </c>
      <c r="E657" s="3">
        <v>46125</v>
      </c>
      <c r="F657" s="3">
        <v>46230</v>
      </c>
      <c r="G657" s="4">
        <v>23646.2</v>
      </c>
      <c r="H657" s="2">
        <v>0</v>
      </c>
      <c r="I657" s="2" t="s">
        <v>987</v>
      </c>
      <c r="J657" s="2" t="s">
        <v>417</v>
      </c>
    </row>
    <row r="658" spans="1:10" x14ac:dyDescent="0.3">
      <c r="A658" s="2" t="s">
        <v>440</v>
      </c>
      <c r="B658" s="2" t="s">
        <v>441</v>
      </c>
      <c r="C658" s="2">
        <v>32926</v>
      </c>
      <c r="D658" s="2">
        <v>43581</v>
      </c>
      <c r="E658" s="3">
        <v>46125</v>
      </c>
      <c r="F658" s="3">
        <v>46230</v>
      </c>
      <c r="G658" s="4">
        <v>13716.43</v>
      </c>
      <c r="H658" s="2">
        <v>0</v>
      </c>
      <c r="I658" s="2" t="s">
        <v>996</v>
      </c>
      <c r="J658" s="2" t="s">
        <v>417</v>
      </c>
    </row>
    <row r="659" spans="1:10" x14ac:dyDescent="0.3">
      <c r="A659" s="2" t="s">
        <v>440</v>
      </c>
      <c r="B659" s="2" t="s">
        <v>441</v>
      </c>
      <c r="C659" s="2">
        <v>32927</v>
      </c>
      <c r="D659" s="2">
        <v>43582</v>
      </c>
      <c r="E659" s="3">
        <v>46125</v>
      </c>
      <c r="F659" s="3">
        <v>46230</v>
      </c>
      <c r="G659" s="4">
        <v>9599.99</v>
      </c>
      <c r="H659" s="2">
        <v>0</v>
      </c>
      <c r="I659" s="2" t="s">
        <v>997</v>
      </c>
      <c r="J659" s="2" t="s">
        <v>417</v>
      </c>
    </row>
    <row r="660" spans="1:10" x14ac:dyDescent="0.3">
      <c r="A660" s="2" t="s">
        <v>440</v>
      </c>
      <c r="B660" s="2" t="s">
        <v>441</v>
      </c>
      <c r="C660" s="2">
        <v>32928</v>
      </c>
      <c r="D660" s="2">
        <v>43583</v>
      </c>
      <c r="E660" s="3">
        <v>46125</v>
      </c>
      <c r="F660" s="3">
        <v>46230</v>
      </c>
      <c r="G660" s="4">
        <v>2933.33</v>
      </c>
      <c r="H660" s="2">
        <v>0</v>
      </c>
      <c r="I660" s="2" t="s">
        <v>998</v>
      </c>
      <c r="J660" s="2" t="s">
        <v>417</v>
      </c>
    </row>
    <row r="661" spans="1:10" x14ac:dyDescent="0.3">
      <c r="A661" s="2" t="s">
        <v>440</v>
      </c>
      <c r="B661" s="2" t="s">
        <v>441</v>
      </c>
      <c r="C661" s="2">
        <v>32930</v>
      </c>
      <c r="D661" s="2">
        <v>43584</v>
      </c>
      <c r="E661" s="3">
        <v>46125</v>
      </c>
      <c r="F661" s="3">
        <v>46230</v>
      </c>
      <c r="G661" s="4">
        <v>6191.55</v>
      </c>
      <c r="H661" s="2">
        <v>0</v>
      </c>
      <c r="I661" s="2" t="s">
        <v>999</v>
      </c>
      <c r="J661" s="2" t="s">
        <v>417</v>
      </c>
    </row>
    <row r="662" spans="1:10" x14ac:dyDescent="0.3">
      <c r="A662" s="2" t="s">
        <v>735</v>
      </c>
      <c r="B662" s="2" t="s">
        <v>736</v>
      </c>
      <c r="C662" s="2">
        <v>33015</v>
      </c>
      <c r="D662" s="2">
        <v>43664</v>
      </c>
      <c r="E662" s="3">
        <v>46139</v>
      </c>
      <c r="F662" s="3">
        <v>46230</v>
      </c>
      <c r="G662" s="4">
        <v>66166.600000000006</v>
      </c>
      <c r="H662" s="2">
        <v>0</v>
      </c>
      <c r="I662" s="2" t="s">
        <v>1061</v>
      </c>
      <c r="J662" s="2" t="s">
        <v>19</v>
      </c>
    </row>
    <row r="663" spans="1:10" x14ac:dyDescent="0.3">
      <c r="A663" s="2" t="s">
        <v>480</v>
      </c>
      <c r="B663" s="2" t="s">
        <v>481</v>
      </c>
      <c r="C663" s="2">
        <v>33031</v>
      </c>
      <c r="D663" s="2">
        <v>43681</v>
      </c>
      <c r="E663" s="3">
        <v>46140</v>
      </c>
      <c r="F663" s="3">
        <v>46230</v>
      </c>
      <c r="G663" s="4">
        <v>1168</v>
      </c>
      <c r="H663" s="2">
        <v>0</v>
      </c>
      <c r="I663" s="2" t="s">
        <v>1070</v>
      </c>
      <c r="J663" s="2" t="s">
        <v>238</v>
      </c>
    </row>
    <row r="664" spans="1:10" x14ac:dyDescent="0.3">
      <c r="A664" s="2" t="s">
        <v>357</v>
      </c>
      <c r="B664" s="2" t="s">
        <v>358</v>
      </c>
      <c r="C664" s="2">
        <v>33252</v>
      </c>
      <c r="D664" s="2">
        <v>43901</v>
      </c>
      <c r="E664" s="3">
        <v>46169</v>
      </c>
      <c r="F664" s="3">
        <v>46230</v>
      </c>
      <c r="G664" s="4">
        <v>393000</v>
      </c>
      <c r="H664" s="2">
        <v>0</v>
      </c>
      <c r="I664" s="2" t="s">
        <v>1228</v>
      </c>
      <c r="J664" s="2" t="s">
        <v>260</v>
      </c>
    </row>
    <row r="665" spans="1:10" x14ac:dyDescent="0.3">
      <c r="A665" s="2" t="s">
        <v>396</v>
      </c>
      <c r="B665" s="2" t="s">
        <v>392</v>
      </c>
      <c r="C665" s="2">
        <v>32155</v>
      </c>
      <c r="D665" s="2">
        <v>42777</v>
      </c>
      <c r="E665" s="3">
        <v>46051</v>
      </c>
      <c r="F665" s="3">
        <v>46231</v>
      </c>
      <c r="G665" s="4">
        <v>22378.2</v>
      </c>
      <c r="H665" s="2">
        <v>0</v>
      </c>
      <c r="I665" s="2" t="s">
        <v>479</v>
      </c>
      <c r="J665" s="2" t="s">
        <v>394</v>
      </c>
    </row>
    <row r="666" spans="1:10" x14ac:dyDescent="0.3">
      <c r="A666" s="2" t="s">
        <v>585</v>
      </c>
      <c r="B666" s="2" t="s">
        <v>392</v>
      </c>
      <c r="C666" s="2">
        <v>32169</v>
      </c>
      <c r="D666" s="2">
        <v>42792</v>
      </c>
      <c r="E666" s="3">
        <v>46051</v>
      </c>
      <c r="F666" s="3">
        <v>46231</v>
      </c>
      <c r="G666" s="4">
        <v>123215</v>
      </c>
      <c r="H666" s="2">
        <v>0</v>
      </c>
      <c r="I666" s="2" t="s">
        <v>586</v>
      </c>
      <c r="J666" s="2" t="s">
        <v>394</v>
      </c>
    </row>
    <row r="667" spans="1:10" x14ac:dyDescent="0.3">
      <c r="A667" s="2" t="s">
        <v>360</v>
      </c>
      <c r="B667" s="2" t="s">
        <v>361</v>
      </c>
      <c r="C667" s="2">
        <v>32771</v>
      </c>
      <c r="D667" s="2">
        <v>43427</v>
      </c>
      <c r="E667" s="3">
        <v>46111</v>
      </c>
      <c r="F667" s="3">
        <v>46231</v>
      </c>
      <c r="G667" s="4">
        <v>2565.4499999999998</v>
      </c>
      <c r="H667" s="2">
        <v>0</v>
      </c>
      <c r="I667" s="2" t="s">
        <v>895</v>
      </c>
      <c r="J667" s="2" t="s">
        <v>92</v>
      </c>
    </row>
    <row r="668" spans="1:10" x14ac:dyDescent="0.3">
      <c r="A668" s="2" t="s">
        <v>398</v>
      </c>
      <c r="B668" s="2" t="s">
        <v>399</v>
      </c>
      <c r="C668" s="2">
        <v>32776</v>
      </c>
      <c r="D668" s="2">
        <v>43432</v>
      </c>
      <c r="E668" s="3">
        <v>46111</v>
      </c>
      <c r="F668" s="3">
        <v>46231</v>
      </c>
      <c r="G668" s="4">
        <v>36273</v>
      </c>
      <c r="H668" s="2">
        <v>0</v>
      </c>
      <c r="I668" s="2" t="s">
        <v>900</v>
      </c>
      <c r="J668" s="2" t="s">
        <v>394</v>
      </c>
    </row>
    <row r="669" spans="1:10" x14ac:dyDescent="0.3">
      <c r="A669" s="2" t="s">
        <v>398</v>
      </c>
      <c r="B669" s="2" t="s">
        <v>399</v>
      </c>
      <c r="C669" s="2">
        <v>32777</v>
      </c>
      <c r="D669" s="2">
        <v>43433</v>
      </c>
      <c r="E669" s="3">
        <v>46111</v>
      </c>
      <c r="F669" s="3">
        <v>46231</v>
      </c>
      <c r="G669" s="4">
        <v>93300</v>
      </c>
      <c r="H669" s="2">
        <v>0</v>
      </c>
      <c r="I669" s="2" t="s">
        <v>901</v>
      </c>
      <c r="J669" s="2" t="s">
        <v>394</v>
      </c>
    </row>
    <row r="670" spans="1:10" x14ac:dyDescent="0.3">
      <c r="A670" s="2" t="s">
        <v>357</v>
      </c>
      <c r="B670" s="2" t="s">
        <v>358</v>
      </c>
      <c r="C670" s="2">
        <v>32779</v>
      </c>
      <c r="D670" s="2">
        <v>43435</v>
      </c>
      <c r="E670" s="3">
        <v>46111</v>
      </c>
      <c r="F670" s="3">
        <v>46231</v>
      </c>
      <c r="G670" s="4">
        <v>169600</v>
      </c>
      <c r="H670" s="2">
        <v>0</v>
      </c>
      <c r="I670" s="2" t="s">
        <v>903</v>
      </c>
      <c r="J670" s="2" t="s">
        <v>260</v>
      </c>
    </row>
    <row r="671" spans="1:10" x14ac:dyDescent="0.3">
      <c r="A671" s="2" t="s">
        <v>398</v>
      </c>
      <c r="B671" s="2" t="s">
        <v>399</v>
      </c>
      <c r="C671" s="2">
        <v>32780</v>
      </c>
      <c r="D671" s="2">
        <v>43436</v>
      </c>
      <c r="E671" s="3">
        <v>46111</v>
      </c>
      <c r="F671" s="3">
        <v>46231</v>
      </c>
      <c r="G671" s="4">
        <v>51720</v>
      </c>
      <c r="H671" s="2">
        <v>0</v>
      </c>
      <c r="I671" s="2" t="s">
        <v>904</v>
      </c>
      <c r="J671" s="2" t="s">
        <v>394</v>
      </c>
    </row>
    <row r="672" spans="1:10" x14ac:dyDescent="0.3">
      <c r="A672" s="2" t="s">
        <v>905</v>
      </c>
      <c r="B672" s="2" t="s">
        <v>906</v>
      </c>
      <c r="C672" s="2">
        <v>32781</v>
      </c>
      <c r="D672" s="2">
        <v>43437</v>
      </c>
      <c r="E672" s="3">
        <v>46111</v>
      </c>
      <c r="F672" s="3">
        <v>46231</v>
      </c>
      <c r="G672" s="4">
        <v>161385</v>
      </c>
      <c r="H672" s="2">
        <v>0</v>
      </c>
      <c r="I672" s="2" t="s">
        <v>907</v>
      </c>
      <c r="J672" s="2" t="s">
        <v>92</v>
      </c>
    </row>
    <row r="673" spans="1:10" x14ac:dyDescent="0.3">
      <c r="A673" s="2" t="s">
        <v>653</v>
      </c>
      <c r="B673" s="2" t="s">
        <v>654</v>
      </c>
      <c r="C673" s="2">
        <v>32783</v>
      </c>
      <c r="D673" s="2">
        <v>43439</v>
      </c>
      <c r="E673" s="3">
        <v>46111</v>
      </c>
      <c r="F673" s="3">
        <v>46231</v>
      </c>
      <c r="G673" s="4">
        <v>53820</v>
      </c>
      <c r="H673" s="2">
        <v>0</v>
      </c>
      <c r="I673" s="2" t="s">
        <v>909</v>
      </c>
      <c r="J673" s="2" t="s">
        <v>412</v>
      </c>
    </row>
    <row r="674" spans="1:10" x14ac:dyDescent="0.3">
      <c r="A674" s="2" t="s">
        <v>913</v>
      </c>
      <c r="B674" s="2" t="s">
        <v>914</v>
      </c>
      <c r="C674" s="2">
        <v>32787</v>
      </c>
      <c r="D674" s="2">
        <v>43443</v>
      </c>
      <c r="E674" s="3">
        <v>46111</v>
      </c>
      <c r="F674" s="3">
        <v>46231</v>
      </c>
      <c r="G674" s="4">
        <v>20176.2</v>
      </c>
      <c r="H674" s="2">
        <v>0</v>
      </c>
      <c r="I674" s="2" t="s">
        <v>915</v>
      </c>
      <c r="J674" s="2" t="s">
        <v>260</v>
      </c>
    </row>
    <row r="675" spans="1:10" x14ac:dyDescent="0.3">
      <c r="A675" s="2" t="s">
        <v>653</v>
      </c>
      <c r="B675" s="2" t="s">
        <v>654</v>
      </c>
      <c r="C675" s="2">
        <v>33050</v>
      </c>
      <c r="D675" s="2">
        <v>43700</v>
      </c>
      <c r="E675" s="3">
        <v>46141</v>
      </c>
      <c r="F675" s="3">
        <v>46231</v>
      </c>
      <c r="G675" s="4">
        <v>101931.8</v>
      </c>
      <c r="H675" s="2">
        <v>0</v>
      </c>
      <c r="I675" s="2" t="s">
        <v>1082</v>
      </c>
      <c r="J675" s="2" t="s">
        <v>412</v>
      </c>
    </row>
    <row r="676" spans="1:10" x14ac:dyDescent="0.3">
      <c r="A676" s="2" t="s">
        <v>391</v>
      </c>
      <c r="B676" s="2" t="s">
        <v>392</v>
      </c>
      <c r="C676" s="2">
        <v>32175</v>
      </c>
      <c r="D676" s="2">
        <v>42799</v>
      </c>
      <c r="E676" s="3">
        <v>46052</v>
      </c>
      <c r="F676" s="3">
        <v>46232</v>
      </c>
      <c r="G676" s="4">
        <v>59000</v>
      </c>
      <c r="H676" s="2">
        <v>0</v>
      </c>
      <c r="I676" s="2" t="s">
        <v>499</v>
      </c>
      <c r="J676" s="2" t="s">
        <v>394</v>
      </c>
    </row>
    <row r="677" spans="1:10" x14ac:dyDescent="0.3">
      <c r="A677" s="2" t="s">
        <v>398</v>
      </c>
      <c r="B677" s="2" t="s">
        <v>399</v>
      </c>
      <c r="C677" s="2">
        <v>32177</v>
      </c>
      <c r="D677" s="2">
        <v>42800</v>
      </c>
      <c r="E677" s="3">
        <v>46052</v>
      </c>
      <c r="F677" s="3">
        <v>46232</v>
      </c>
      <c r="G677" s="4">
        <v>100300</v>
      </c>
      <c r="H677" s="2">
        <v>0</v>
      </c>
      <c r="I677" s="2" t="s">
        <v>500</v>
      </c>
      <c r="J677" s="2" t="s">
        <v>394</v>
      </c>
    </row>
    <row r="678" spans="1:10" x14ac:dyDescent="0.3">
      <c r="A678" s="2" t="s">
        <v>916</v>
      </c>
      <c r="B678" s="2" t="s">
        <v>707</v>
      </c>
      <c r="C678" s="2">
        <v>32790</v>
      </c>
      <c r="D678" s="2">
        <v>43446</v>
      </c>
      <c r="E678" s="3">
        <v>46112</v>
      </c>
      <c r="F678" s="3">
        <v>46232</v>
      </c>
      <c r="G678" s="4">
        <v>170080</v>
      </c>
      <c r="H678" s="2">
        <v>0</v>
      </c>
      <c r="I678" s="2" t="s">
        <v>917</v>
      </c>
      <c r="J678" s="2" t="s">
        <v>417</v>
      </c>
    </row>
    <row r="679" spans="1:10" x14ac:dyDescent="0.3">
      <c r="A679" s="2" t="s">
        <v>257</v>
      </c>
      <c r="B679" s="2" t="s">
        <v>258</v>
      </c>
      <c r="C679" s="2">
        <v>32794</v>
      </c>
      <c r="D679" s="2">
        <v>43450</v>
      </c>
      <c r="E679" s="3">
        <v>46112</v>
      </c>
      <c r="F679" s="3">
        <v>46232</v>
      </c>
      <c r="G679" s="4">
        <v>8762.44</v>
      </c>
      <c r="H679" s="2">
        <v>0</v>
      </c>
      <c r="I679" s="2" t="s">
        <v>918</v>
      </c>
      <c r="J679" s="2" t="s">
        <v>260</v>
      </c>
    </row>
    <row r="680" spans="1:10" x14ac:dyDescent="0.3">
      <c r="A680" s="2" t="s">
        <v>585</v>
      </c>
      <c r="B680" s="2" t="s">
        <v>392</v>
      </c>
      <c r="C680" s="2">
        <v>32807</v>
      </c>
      <c r="D680" s="2">
        <v>43463</v>
      </c>
      <c r="E680" s="3">
        <v>46112</v>
      </c>
      <c r="F680" s="3">
        <v>46232</v>
      </c>
      <c r="G680" s="4">
        <v>53200</v>
      </c>
      <c r="H680" s="2">
        <v>0</v>
      </c>
      <c r="I680" s="2" t="s">
        <v>924</v>
      </c>
      <c r="J680" s="2" t="s">
        <v>394</v>
      </c>
    </row>
    <row r="681" spans="1:10" x14ac:dyDescent="0.3">
      <c r="A681" s="2" t="s">
        <v>585</v>
      </c>
      <c r="B681" s="2" t="s">
        <v>392</v>
      </c>
      <c r="C681" s="2">
        <v>32808</v>
      </c>
      <c r="D681" s="2">
        <v>43464</v>
      </c>
      <c r="E681" s="3">
        <v>46112</v>
      </c>
      <c r="F681" s="3">
        <v>46232</v>
      </c>
      <c r="G681" s="4">
        <v>72000</v>
      </c>
      <c r="H681" s="2">
        <v>0</v>
      </c>
      <c r="I681" s="2" t="s">
        <v>925</v>
      </c>
      <c r="J681" s="2" t="s">
        <v>394</v>
      </c>
    </row>
    <row r="682" spans="1:10" x14ac:dyDescent="0.3">
      <c r="A682" s="2" t="s">
        <v>585</v>
      </c>
      <c r="B682" s="2" t="s">
        <v>392</v>
      </c>
      <c r="C682" s="2">
        <v>32811</v>
      </c>
      <c r="D682" s="2">
        <v>43467</v>
      </c>
      <c r="E682" s="3">
        <v>46112</v>
      </c>
      <c r="F682" s="3">
        <v>46232</v>
      </c>
      <c r="G682" s="4">
        <v>66000</v>
      </c>
      <c r="H682" s="2">
        <v>0</v>
      </c>
      <c r="I682" s="2" t="s">
        <v>928</v>
      </c>
      <c r="J682" s="2" t="s">
        <v>394</v>
      </c>
    </row>
    <row r="683" spans="1:10" x14ac:dyDescent="0.3">
      <c r="A683" s="2" t="s">
        <v>585</v>
      </c>
      <c r="B683" s="2" t="s">
        <v>392</v>
      </c>
      <c r="C683" s="2">
        <v>32812</v>
      </c>
      <c r="D683" s="2">
        <v>43468</v>
      </c>
      <c r="E683" s="3">
        <v>46112</v>
      </c>
      <c r="F683" s="3">
        <v>46232</v>
      </c>
      <c r="G683" s="4">
        <v>7704</v>
      </c>
      <c r="H683" s="2">
        <v>0</v>
      </c>
      <c r="I683" s="2" t="s">
        <v>929</v>
      </c>
      <c r="J683" s="2" t="s">
        <v>394</v>
      </c>
    </row>
    <row r="684" spans="1:10" x14ac:dyDescent="0.3">
      <c r="A684" s="2" t="s">
        <v>121</v>
      </c>
      <c r="B684" s="2" t="s">
        <v>122</v>
      </c>
      <c r="C684" s="2">
        <v>32813</v>
      </c>
      <c r="D684" s="2">
        <v>43469</v>
      </c>
      <c r="E684" s="3">
        <v>46112</v>
      </c>
      <c r="F684" s="3">
        <v>46232</v>
      </c>
      <c r="G684" s="4">
        <v>205905</v>
      </c>
      <c r="H684" s="2">
        <v>0</v>
      </c>
      <c r="I684" s="2" t="s">
        <v>930</v>
      </c>
      <c r="J684" s="2" t="s">
        <v>92</v>
      </c>
    </row>
    <row r="685" spans="1:10" x14ac:dyDescent="0.3">
      <c r="A685" s="2" t="s">
        <v>789</v>
      </c>
      <c r="B685" s="2" t="s">
        <v>470</v>
      </c>
      <c r="C685" s="2">
        <v>32820</v>
      </c>
      <c r="D685" s="2">
        <v>43477</v>
      </c>
      <c r="E685" s="3">
        <v>46112</v>
      </c>
      <c r="F685" s="3">
        <v>46232</v>
      </c>
      <c r="G685" s="4">
        <v>20580</v>
      </c>
      <c r="H685" s="2">
        <v>0</v>
      </c>
      <c r="I685" s="2" t="s">
        <v>936</v>
      </c>
      <c r="J685" s="2" t="s">
        <v>394</v>
      </c>
    </row>
    <row r="686" spans="1:10" x14ac:dyDescent="0.3">
      <c r="A686" s="2" t="s">
        <v>409</v>
      </c>
      <c r="B686" s="2" t="s">
        <v>410</v>
      </c>
      <c r="C686" s="2">
        <v>32822</v>
      </c>
      <c r="D686" s="2">
        <v>43479</v>
      </c>
      <c r="E686" s="3">
        <v>46112</v>
      </c>
      <c r="F686" s="3">
        <v>46232</v>
      </c>
      <c r="G686" s="4">
        <v>50613.7</v>
      </c>
      <c r="H686" s="2">
        <v>0</v>
      </c>
      <c r="I686" s="2" t="s">
        <v>938</v>
      </c>
      <c r="J686" s="2" t="s">
        <v>412</v>
      </c>
    </row>
    <row r="687" spans="1:10" x14ac:dyDescent="0.3">
      <c r="A687" s="2" t="s">
        <v>771</v>
      </c>
      <c r="B687" s="2" t="s">
        <v>772</v>
      </c>
      <c r="C687" s="2">
        <v>32823</v>
      </c>
      <c r="D687" s="2">
        <v>43480</v>
      </c>
      <c r="E687" s="3">
        <v>46112</v>
      </c>
      <c r="F687" s="3">
        <v>46232</v>
      </c>
      <c r="G687" s="4">
        <v>304021.69</v>
      </c>
      <c r="H687" s="2">
        <v>0</v>
      </c>
      <c r="I687" s="2" t="s">
        <v>939</v>
      </c>
      <c r="J687" s="2" t="s">
        <v>146</v>
      </c>
    </row>
    <row r="688" spans="1:10" x14ac:dyDescent="0.3">
      <c r="A688" s="2" t="s">
        <v>943</v>
      </c>
      <c r="B688" s="2" t="s">
        <v>707</v>
      </c>
      <c r="C688" s="2">
        <v>32826</v>
      </c>
      <c r="D688" s="2">
        <v>43483</v>
      </c>
      <c r="E688" s="3">
        <v>46112</v>
      </c>
      <c r="F688" s="3">
        <v>46232</v>
      </c>
      <c r="G688" s="4">
        <v>173056.9</v>
      </c>
      <c r="H688" s="2">
        <v>0</v>
      </c>
      <c r="I688" s="2" t="s">
        <v>944</v>
      </c>
      <c r="J688" s="2" t="s">
        <v>417</v>
      </c>
    </row>
    <row r="689" spans="1:10" x14ac:dyDescent="0.3">
      <c r="A689" s="2" t="s">
        <v>414</v>
      </c>
      <c r="B689" s="2" t="s">
        <v>415</v>
      </c>
      <c r="C689" s="2">
        <v>32827</v>
      </c>
      <c r="D689" s="2">
        <v>43484</v>
      </c>
      <c r="E689" s="3">
        <v>46112</v>
      </c>
      <c r="F689" s="3">
        <v>46232</v>
      </c>
      <c r="G689" s="4">
        <v>29199.97</v>
      </c>
      <c r="H689" s="2">
        <v>0</v>
      </c>
      <c r="I689" s="2" t="s">
        <v>945</v>
      </c>
      <c r="J689" s="2" t="s">
        <v>417</v>
      </c>
    </row>
    <row r="690" spans="1:10" x14ac:dyDescent="0.3">
      <c r="A690" s="2" t="s">
        <v>414</v>
      </c>
      <c r="B690" s="2" t="s">
        <v>415</v>
      </c>
      <c r="C690" s="2">
        <v>32828</v>
      </c>
      <c r="D690" s="2">
        <v>43485</v>
      </c>
      <c r="E690" s="3">
        <v>46112</v>
      </c>
      <c r="F690" s="3">
        <v>46232</v>
      </c>
      <c r="G690" s="4">
        <v>9473.32</v>
      </c>
      <c r="H690" s="2">
        <v>0</v>
      </c>
      <c r="I690" s="2" t="s">
        <v>946</v>
      </c>
      <c r="J690" s="2" t="s">
        <v>417</v>
      </c>
    </row>
    <row r="691" spans="1:10" x14ac:dyDescent="0.3">
      <c r="A691" s="2" t="s">
        <v>943</v>
      </c>
      <c r="B691" s="2" t="s">
        <v>707</v>
      </c>
      <c r="C691" s="2">
        <v>32829</v>
      </c>
      <c r="D691" s="2">
        <v>43486</v>
      </c>
      <c r="E691" s="3">
        <v>46112</v>
      </c>
      <c r="F691" s="3">
        <v>46232</v>
      </c>
      <c r="G691" s="4">
        <v>65950</v>
      </c>
      <c r="H691" s="2">
        <v>0</v>
      </c>
      <c r="I691" s="2" t="s">
        <v>947</v>
      </c>
      <c r="J691" s="2" t="s">
        <v>417</v>
      </c>
    </row>
    <row r="692" spans="1:10" x14ac:dyDescent="0.3">
      <c r="A692" s="2" t="s">
        <v>414</v>
      </c>
      <c r="B692" s="2" t="s">
        <v>415</v>
      </c>
      <c r="C692" s="2">
        <v>32831</v>
      </c>
      <c r="D692" s="2">
        <v>43488</v>
      </c>
      <c r="E692" s="3">
        <v>46112</v>
      </c>
      <c r="F692" s="3">
        <v>46232</v>
      </c>
      <c r="G692" s="4">
        <v>2544</v>
      </c>
      <c r="H692" s="2">
        <v>0</v>
      </c>
      <c r="I692" s="2" t="s">
        <v>949</v>
      </c>
      <c r="J692" s="2" t="s">
        <v>417</v>
      </c>
    </row>
    <row r="693" spans="1:10" x14ac:dyDescent="0.3">
      <c r="A693" s="2" t="s">
        <v>1083</v>
      </c>
      <c r="B693" s="2" t="s">
        <v>1084</v>
      </c>
      <c r="C693" s="2">
        <v>33062</v>
      </c>
      <c r="D693" s="2">
        <v>43709</v>
      </c>
      <c r="E693" s="3">
        <v>46142</v>
      </c>
      <c r="F693" s="3">
        <v>46232</v>
      </c>
      <c r="G693" s="4">
        <v>11198.87</v>
      </c>
      <c r="H693" s="2">
        <v>0</v>
      </c>
      <c r="I693" s="2" t="s">
        <v>1085</v>
      </c>
      <c r="J693" s="2" t="s">
        <v>313</v>
      </c>
    </row>
    <row r="694" spans="1:10" x14ac:dyDescent="0.3">
      <c r="A694" s="2" t="s">
        <v>360</v>
      </c>
      <c r="B694" s="2" t="s">
        <v>361</v>
      </c>
      <c r="C694" s="2">
        <v>33173</v>
      </c>
      <c r="D694" s="2">
        <v>43816</v>
      </c>
      <c r="E694" s="3">
        <v>46157</v>
      </c>
      <c r="F694" s="3">
        <v>46232</v>
      </c>
      <c r="G694" s="4">
        <v>6768.18</v>
      </c>
      <c r="H694" s="2">
        <v>0</v>
      </c>
      <c r="I694" s="2" t="s">
        <v>1161</v>
      </c>
      <c r="J694" s="2" t="s">
        <v>92</v>
      </c>
    </row>
    <row r="695" spans="1:10" x14ac:dyDescent="0.3">
      <c r="A695" s="2" t="s">
        <v>302</v>
      </c>
      <c r="B695" s="2" t="s">
        <v>303</v>
      </c>
      <c r="C695" s="2">
        <v>31628</v>
      </c>
      <c r="D695" s="2">
        <v>42192</v>
      </c>
      <c r="E695" s="3">
        <v>46001</v>
      </c>
      <c r="F695" s="3">
        <v>46233</v>
      </c>
      <c r="G695" s="4">
        <v>55250</v>
      </c>
      <c r="H695" s="2">
        <v>0</v>
      </c>
      <c r="I695" s="2" t="s">
        <v>405</v>
      </c>
      <c r="J695" s="2" t="s">
        <v>26</v>
      </c>
    </row>
    <row r="696" spans="1:10" x14ac:dyDescent="0.3">
      <c r="A696" s="2" t="s">
        <v>257</v>
      </c>
      <c r="B696" s="2" t="s">
        <v>258</v>
      </c>
      <c r="C696" s="2">
        <v>32480</v>
      </c>
      <c r="D696" s="2">
        <v>43147</v>
      </c>
      <c r="E696" s="3">
        <v>46083</v>
      </c>
      <c r="F696" s="3">
        <v>46233</v>
      </c>
      <c r="G696" s="4">
        <v>4395.46</v>
      </c>
      <c r="H696" s="2">
        <v>0</v>
      </c>
      <c r="I696" s="2" t="s">
        <v>551</v>
      </c>
      <c r="J696" s="2" t="s">
        <v>260</v>
      </c>
    </row>
    <row r="697" spans="1:10" x14ac:dyDescent="0.3">
      <c r="A697" s="2" t="s">
        <v>446</v>
      </c>
      <c r="B697" s="2" t="s">
        <v>447</v>
      </c>
      <c r="C697" s="2">
        <v>32563</v>
      </c>
      <c r="D697" s="2">
        <v>43240</v>
      </c>
      <c r="E697" s="3">
        <v>46093</v>
      </c>
      <c r="F697" s="3">
        <v>46233</v>
      </c>
      <c r="G697" s="4">
        <v>57760.12</v>
      </c>
      <c r="H697" s="2">
        <v>0</v>
      </c>
      <c r="I697" s="2" t="s">
        <v>448</v>
      </c>
      <c r="J697" s="2" t="s">
        <v>417</v>
      </c>
    </row>
    <row r="698" spans="1:10" x14ac:dyDescent="0.3">
      <c r="A698" s="2" t="s">
        <v>798</v>
      </c>
      <c r="B698" s="2" t="s">
        <v>119</v>
      </c>
      <c r="C698" s="2">
        <v>32639</v>
      </c>
      <c r="D698" s="2">
        <v>43293</v>
      </c>
      <c r="E698" s="3">
        <v>46098</v>
      </c>
      <c r="F698" s="3">
        <v>46233</v>
      </c>
      <c r="G698" s="4">
        <v>2037</v>
      </c>
      <c r="H698" s="2">
        <v>0</v>
      </c>
      <c r="I698" s="2" t="s">
        <v>803</v>
      </c>
      <c r="J698" s="2" t="s">
        <v>46</v>
      </c>
    </row>
    <row r="699" spans="1:10" x14ac:dyDescent="0.3">
      <c r="A699" s="2" t="s">
        <v>121</v>
      </c>
      <c r="B699" s="2" t="s">
        <v>122</v>
      </c>
      <c r="C699" s="2">
        <v>32837</v>
      </c>
      <c r="D699" s="2">
        <v>43492</v>
      </c>
      <c r="E699" s="3">
        <v>46113</v>
      </c>
      <c r="F699" s="3">
        <v>46233</v>
      </c>
      <c r="G699" s="4">
        <v>38955</v>
      </c>
      <c r="H699" s="2">
        <v>0</v>
      </c>
      <c r="I699" s="2" t="s">
        <v>950</v>
      </c>
      <c r="J699" s="2" t="s">
        <v>92</v>
      </c>
    </row>
    <row r="700" spans="1:10" x14ac:dyDescent="0.3">
      <c r="A700" s="2" t="s">
        <v>121</v>
      </c>
      <c r="B700" s="2" t="s">
        <v>122</v>
      </c>
      <c r="C700" s="2">
        <v>32839</v>
      </c>
      <c r="D700" s="2">
        <v>43493</v>
      </c>
      <c r="E700" s="3">
        <v>46113</v>
      </c>
      <c r="F700" s="3">
        <v>46233</v>
      </c>
      <c r="G700" s="4">
        <v>161385</v>
      </c>
      <c r="H700" s="2">
        <v>0</v>
      </c>
      <c r="I700" s="2" t="s">
        <v>951</v>
      </c>
      <c r="J700" s="2" t="s">
        <v>92</v>
      </c>
    </row>
    <row r="701" spans="1:10" x14ac:dyDescent="0.3">
      <c r="A701" s="2" t="s">
        <v>916</v>
      </c>
      <c r="B701" s="2" t="s">
        <v>707</v>
      </c>
      <c r="C701" s="2">
        <v>32840</v>
      </c>
      <c r="D701" s="2">
        <v>43494</v>
      </c>
      <c r="E701" s="3">
        <v>46113</v>
      </c>
      <c r="F701" s="3">
        <v>46233</v>
      </c>
      <c r="G701" s="4">
        <v>169716</v>
      </c>
      <c r="H701" s="2">
        <v>0</v>
      </c>
      <c r="I701" s="2" t="s">
        <v>952</v>
      </c>
      <c r="J701" s="2" t="s">
        <v>417</v>
      </c>
    </row>
    <row r="702" spans="1:10" x14ac:dyDescent="0.3">
      <c r="A702" s="2" t="s">
        <v>121</v>
      </c>
      <c r="B702" s="2" t="s">
        <v>122</v>
      </c>
      <c r="C702" s="2">
        <v>32841</v>
      </c>
      <c r="D702" s="2">
        <v>43495</v>
      </c>
      <c r="E702" s="3">
        <v>46113</v>
      </c>
      <c r="F702" s="3">
        <v>46233</v>
      </c>
      <c r="G702" s="4">
        <v>77910</v>
      </c>
      <c r="H702" s="2">
        <v>0</v>
      </c>
      <c r="I702" s="2" t="s">
        <v>953</v>
      </c>
      <c r="J702" s="2" t="s">
        <v>92</v>
      </c>
    </row>
    <row r="703" spans="1:10" x14ac:dyDescent="0.3">
      <c r="A703" s="2" t="s">
        <v>121</v>
      </c>
      <c r="B703" s="2" t="s">
        <v>122</v>
      </c>
      <c r="C703" s="2">
        <v>32842</v>
      </c>
      <c r="D703" s="2">
        <v>43496</v>
      </c>
      <c r="E703" s="3">
        <v>46113</v>
      </c>
      <c r="F703" s="3">
        <v>46233</v>
      </c>
      <c r="G703" s="4">
        <v>122430</v>
      </c>
      <c r="H703" s="2">
        <v>0</v>
      </c>
      <c r="I703" s="2" t="s">
        <v>954</v>
      </c>
      <c r="J703" s="2" t="s">
        <v>92</v>
      </c>
    </row>
    <row r="704" spans="1:10" x14ac:dyDescent="0.3">
      <c r="A704" s="2" t="s">
        <v>514</v>
      </c>
      <c r="B704" s="2" t="s">
        <v>515</v>
      </c>
      <c r="C704" s="2">
        <v>32500</v>
      </c>
      <c r="D704" s="2">
        <v>43166</v>
      </c>
      <c r="E704" s="3">
        <v>46084</v>
      </c>
      <c r="F704" s="3">
        <v>46234</v>
      </c>
      <c r="G704" s="4">
        <v>4902.82</v>
      </c>
      <c r="H704" s="2">
        <v>0</v>
      </c>
      <c r="I704" s="2" t="s">
        <v>516</v>
      </c>
      <c r="J704" s="2" t="s">
        <v>238</v>
      </c>
    </row>
    <row r="705" spans="1:10" x14ac:dyDescent="0.3">
      <c r="A705" s="2" t="s">
        <v>414</v>
      </c>
      <c r="B705" s="2" t="s">
        <v>415</v>
      </c>
      <c r="C705" s="2">
        <v>32844</v>
      </c>
      <c r="D705" s="2">
        <v>43498</v>
      </c>
      <c r="E705" s="3">
        <v>46114</v>
      </c>
      <c r="F705" s="3">
        <v>46234</v>
      </c>
      <c r="G705" s="2">
        <v>566.66999999999996</v>
      </c>
      <c r="H705" s="2">
        <v>0</v>
      </c>
      <c r="I705" s="2" t="s">
        <v>955</v>
      </c>
      <c r="J705" s="2" t="s">
        <v>417</v>
      </c>
    </row>
    <row r="706" spans="1:10" x14ac:dyDescent="0.3">
      <c r="A706" s="2" t="s">
        <v>121</v>
      </c>
      <c r="B706" s="2" t="s">
        <v>122</v>
      </c>
      <c r="C706" s="2">
        <v>32847</v>
      </c>
      <c r="D706" s="2">
        <v>43501</v>
      </c>
      <c r="E706" s="3">
        <v>46114</v>
      </c>
      <c r="F706" s="3">
        <v>46234</v>
      </c>
      <c r="G706" s="4">
        <v>127995</v>
      </c>
      <c r="H706" s="2">
        <v>0</v>
      </c>
      <c r="I706" s="2" t="s">
        <v>956</v>
      </c>
      <c r="J706" s="2" t="s">
        <v>92</v>
      </c>
    </row>
    <row r="707" spans="1:10" x14ac:dyDescent="0.3">
      <c r="A707" s="2" t="s">
        <v>121</v>
      </c>
      <c r="B707" s="2" t="s">
        <v>122</v>
      </c>
      <c r="C707" s="2">
        <v>32848</v>
      </c>
      <c r="D707" s="2">
        <v>43502</v>
      </c>
      <c r="E707" s="3">
        <v>46114</v>
      </c>
      <c r="F707" s="3">
        <v>46234</v>
      </c>
      <c r="G707" s="4">
        <v>38955</v>
      </c>
      <c r="H707" s="2">
        <v>0</v>
      </c>
      <c r="I707" s="2" t="s">
        <v>957</v>
      </c>
      <c r="J707" s="2" t="s">
        <v>92</v>
      </c>
    </row>
    <row r="708" spans="1:10" x14ac:dyDescent="0.3">
      <c r="A708" s="2" t="s">
        <v>360</v>
      </c>
      <c r="B708" s="2" t="s">
        <v>361</v>
      </c>
      <c r="C708" s="2">
        <v>32190</v>
      </c>
      <c r="D708" s="2">
        <v>42818</v>
      </c>
      <c r="E708" s="3">
        <v>46056</v>
      </c>
      <c r="F708" s="3">
        <v>46237</v>
      </c>
      <c r="G708" s="4">
        <v>2036.6</v>
      </c>
      <c r="H708" s="2">
        <v>0</v>
      </c>
      <c r="I708" s="2" t="s">
        <v>362</v>
      </c>
      <c r="J708" s="2" t="s">
        <v>92</v>
      </c>
    </row>
    <row r="709" spans="1:10" x14ac:dyDescent="0.3">
      <c r="A709" s="2" t="s">
        <v>440</v>
      </c>
      <c r="B709" s="2" t="s">
        <v>441</v>
      </c>
      <c r="C709" s="2">
        <v>32192</v>
      </c>
      <c r="D709" s="2">
        <v>42820</v>
      </c>
      <c r="E709" s="3">
        <v>46056</v>
      </c>
      <c r="F709" s="3">
        <v>46237</v>
      </c>
      <c r="G709" s="2">
        <v>33</v>
      </c>
      <c r="H709" s="2">
        <v>0</v>
      </c>
      <c r="I709" s="2" t="s">
        <v>552</v>
      </c>
      <c r="J709" s="2" t="s">
        <v>417</v>
      </c>
    </row>
    <row r="710" spans="1:10" x14ac:dyDescent="0.3">
      <c r="A710" s="2" t="s">
        <v>357</v>
      </c>
      <c r="B710" s="2" t="s">
        <v>358</v>
      </c>
      <c r="C710" s="2">
        <v>32504</v>
      </c>
      <c r="D710" s="2">
        <v>43178</v>
      </c>
      <c r="E710" s="3">
        <v>46086</v>
      </c>
      <c r="F710" s="3">
        <v>46237</v>
      </c>
      <c r="G710" s="4">
        <v>15465.3</v>
      </c>
      <c r="H710" s="2">
        <v>0</v>
      </c>
      <c r="I710" s="2" t="s">
        <v>547</v>
      </c>
      <c r="J710" s="2" t="s">
        <v>260</v>
      </c>
    </row>
    <row r="711" spans="1:10" x14ac:dyDescent="0.3">
      <c r="A711" s="2" t="s">
        <v>440</v>
      </c>
      <c r="B711" s="2" t="s">
        <v>441</v>
      </c>
      <c r="C711" s="2">
        <v>32663</v>
      </c>
      <c r="D711" s="2">
        <v>43318</v>
      </c>
      <c r="E711" s="3">
        <v>46100</v>
      </c>
      <c r="F711" s="3">
        <v>46237</v>
      </c>
      <c r="G711" s="4">
        <v>36913.96</v>
      </c>
      <c r="H711" s="2">
        <v>0</v>
      </c>
      <c r="I711" s="2" t="s">
        <v>829</v>
      </c>
      <c r="J711" s="2" t="s">
        <v>417</v>
      </c>
    </row>
    <row r="712" spans="1:10" x14ac:dyDescent="0.3">
      <c r="A712" s="2" t="s">
        <v>557</v>
      </c>
      <c r="B712" s="2" t="s">
        <v>558</v>
      </c>
      <c r="C712" s="2">
        <v>33072</v>
      </c>
      <c r="D712" s="2">
        <v>43717</v>
      </c>
      <c r="E712" s="3">
        <v>46146</v>
      </c>
      <c r="F712" s="3">
        <v>46237</v>
      </c>
      <c r="G712" s="4">
        <v>1675</v>
      </c>
      <c r="H712" s="2">
        <v>0</v>
      </c>
      <c r="I712" s="2" t="s">
        <v>1091</v>
      </c>
      <c r="J712" s="2" t="s">
        <v>19</v>
      </c>
    </row>
    <row r="713" spans="1:10" x14ac:dyDescent="0.3">
      <c r="A713" s="2" t="s">
        <v>360</v>
      </c>
      <c r="B713" s="2" t="s">
        <v>361</v>
      </c>
      <c r="C713" s="2">
        <v>33074</v>
      </c>
      <c r="D713" s="2">
        <v>43719</v>
      </c>
      <c r="E713" s="3">
        <v>46147</v>
      </c>
      <c r="F713" s="3">
        <v>46237</v>
      </c>
      <c r="G713" s="2">
        <v>505.82</v>
      </c>
      <c r="H713" s="2">
        <v>0</v>
      </c>
      <c r="I713" s="2" t="s">
        <v>1092</v>
      </c>
      <c r="J713" s="2" t="s">
        <v>92</v>
      </c>
    </row>
    <row r="714" spans="1:10" x14ac:dyDescent="0.3">
      <c r="A714" s="2" t="s">
        <v>775</v>
      </c>
      <c r="B714" s="2" t="s">
        <v>776</v>
      </c>
      <c r="C714" s="2">
        <v>33078</v>
      </c>
      <c r="D714" s="2">
        <v>43723</v>
      </c>
      <c r="E714" s="3">
        <v>46147</v>
      </c>
      <c r="F714" s="3">
        <v>46237</v>
      </c>
      <c r="G714" s="4">
        <v>10110.61</v>
      </c>
      <c r="H714" s="2">
        <v>0</v>
      </c>
      <c r="I714" s="2" t="s">
        <v>1095</v>
      </c>
      <c r="J714" s="2" t="s">
        <v>117</v>
      </c>
    </row>
    <row r="715" spans="1:10" x14ac:dyDescent="0.3">
      <c r="A715" s="2" t="s">
        <v>1096</v>
      </c>
      <c r="B715" s="2" t="s">
        <v>1097</v>
      </c>
      <c r="C715" s="2">
        <v>33079</v>
      </c>
      <c r="D715" s="2">
        <v>43724</v>
      </c>
      <c r="E715" s="3">
        <v>46147</v>
      </c>
      <c r="F715" s="3">
        <v>46237</v>
      </c>
      <c r="G715" s="4">
        <v>42740</v>
      </c>
      <c r="H715" s="2">
        <v>0</v>
      </c>
      <c r="I715" s="2" t="s">
        <v>1098</v>
      </c>
      <c r="J715" s="2" t="s">
        <v>97</v>
      </c>
    </row>
    <row r="716" spans="1:10" x14ac:dyDescent="0.3">
      <c r="A716" s="2" t="s">
        <v>1096</v>
      </c>
      <c r="B716" s="2" t="s">
        <v>1097</v>
      </c>
      <c r="C716" s="2">
        <v>33178</v>
      </c>
      <c r="D716" s="2">
        <v>43825</v>
      </c>
      <c r="E716" s="3">
        <v>46160</v>
      </c>
      <c r="F716" s="3">
        <v>46237</v>
      </c>
      <c r="G716" s="4">
        <v>40652.5</v>
      </c>
      <c r="H716" s="2">
        <v>0</v>
      </c>
      <c r="I716" s="2" t="s">
        <v>1165</v>
      </c>
      <c r="J716" s="2" t="s">
        <v>97</v>
      </c>
    </row>
    <row r="717" spans="1:10" x14ac:dyDescent="0.3">
      <c r="A717" s="2" t="s">
        <v>440</v>
      </c>
      <c r="B717" s="2" t="s">
        <v>441</v>
      </c>
      <c r="C717" s="2">
        <v>32354</v>
      </c>
      <c r="D717" s="2">
        <v>42989</v>
      </c>
      <c r="E717" s="3">
        <v>46073</v>
      </c>
      <c r="F717" s="3">
        <v>46238</v>
      </c>
      <c r="G717" s="2">
        <v>372</v>
      </c>
      <c r="H717" s="2">
        <v>0</v>
      </c>
      <c r="I717" s="2" t="s">
        <v>552</v>
      </c>
      <c r="J717" s="2" t="s">
        <v>417</v>
      </c>
    </row>
    <row r="718" spans="1:10" x14ac:dyDescent="0.3">
      <c r="A718" s="2" t="s">
        <v>440</v>
      </c>
      <c r="B718" s="2" t="s">
        <v>441</v>
      </c>
      <c r="C718" s="2">
        <v>32355</v>
      </c>
      <c r="D718" s="2">
        <v>42990</v>
      </c>
      <c r="E718" s="3">
        <v>46073</v>
      </c>
      <c r="F718" s="3">
        <v>46238</v>
      </c>
      <c r="G718" s="4">
        <v>18465.54</v>
      </c>
      <c r="H718" s="2">
        <v>0</v>
      </c>
      <c r="I718" s="2" t="s">
        <v>552</v>
      </c>
      <c r="J718" s="2" t="s">
        <v>417</v>
      </c>
    </row>
    <row r="719" spans="1:10" x14ac:dyDescent="0.3">
      <c r="A719" s="2" t="s">
        <v>440</v>
      </c>
      <c r="B719" s="2" t="s">
        <v>441</v>
      </c>
      <c r="C719" s="2">
        <v>32358</v>
      </c>
      <c r="D719" s="2">
        <v>42993</v>
      </c>
      <c r="E719" s="3">
        <v>46073</v>
      </c>
      <c r="F719" s="3">
        <v>46238</v>
      </c>
      <c r="G719" s="4">
        <v>3240</v>
      </c>
      <c r="H719" s="2">
        <v>0</v>
      </c>
      <c r="I719" s="2" t="s">
        <v>552</v>
      </c>
      <c r="J719" s="2" t="s">
        <v>417</v>
      </c>
    </row>
    <row r="720" spans="1:10" x14ac:dyDescent="0.3">
      <c r="A720" s="2" t="s">
        <v>357</v>
      </c>
      <c r="B720" s="2" t="s">
        <v>358</v>
      </c>
      <c r="C720" s="2">
        <v>32860</v>
      </c>
      <c r="D720" s="2">
        <v>43513</v>
      </c>
      <c r="E720" s="3">
        <v>46118</v>
      </c>
      <c r="F720" s="3">
        <v>46238</v>
      </c>
      <c r="G720" s="4">
        <v>188160</v>
      </c>
      <c r="H720" s="2">
        <v>0</v>
      </c>
      <c r="I720" s="2" t="s">
        <v>959</v>
      </c>
      <c r="J720" s="2" t="s">
        <v>260</v>
      </c>
    </row>
    <row r="721" spans="1:10" x14ac:dyDescent="0.3">
      <c r="A721" s="2" t="s">
        <v>336</v>
      </c>
      <c r="B721" s="2" t="s">
        <v>337</v>
      </c>
      <c r="C721" s="2">
        <v>31575</v>
      </c>
      <c r="D721" s="2">
        <v>42132</v>
      </c>
      <c r="E721" s="3">
        <v>45999</v>
      </c>
      <c r="F721" s="3">
        <v>46239</v>
      </c>
      <c r="G721" s="4">
        <v>12100</v>
      </c>
      <c r="H721" s="2">
        <v>0</v>
      </c>
      <c r="I721" s="2" t="s">
        <v>389</v>
      </c>
      <c r="J721" s="2" t="s">
        <v>339</v>
      </c>
    </row>
    <row r="722" spans="1:10" x14ac:dyDescent="0.3">
      <c r="A722" s="2" t="s">
        <v>740</v>
      </c>
      <c r="B722" s="2" t="s">
        <v>727</v>
      </c>
      <c r="C722" s="2">
        <v>33093</v>
      </c>
      <c r="D722" s="2">
        <v>43739</v>
      </c>
      <c r="E722" s="3">
        <v>46149</v>
      </c>
      <c r="F722" s="3">
        <v>46239</v>
      </c>
      <c r="G722" s="4">
        <v>51949.95</v>
      </c>
      <c r="H722" s="2">
        <v>0</v>
      </c>
      <c r="I722" s="2" t="s">
        <v>1109</v>
      </c>
      <c r="J722" s="2" t="s">
        <v>394</v>
      </c>
    </row>
    <row r="723" spans="1:10" x14ac:dyDescent="0.3">
      <c r="A723" s="2" t="s">
        <v>729</v>
      </c>
      <c r="B723" s="2" t="s">
        <v>727</v>
      </c>
      <c r="C723" s="2">
        <v>33095</v>
      </c>
      <c r="D723" s="2">
        <v>43741</v>
      </c>
      <c r="E723" s="3">
        <v>46149</v>
      </c>
      <c r="F723" s="3">
        <v>46239</v>
      </c>
      <c r="G723" s="4">
        <v>47499.95</v>
      </c>
      <c r="H723" s="2">
        <v>0</v>
      </c>
      <c r="I723" s="2" t="s">
        <v>1111</v>
      </c>
      <c r="J723" s="2" t="s">
        <v>394</v>
      </c>
    </row>
    <row r="724" spans="1:10" x14ac:dyDescent="0.3">
      <c r="A724" s="2" t="s">
        <v>822</v>
      </c>
      <c r="B724" s="2" t="s">
        <v>823</v>
      </c>
      <c r="C724" s="2">
        <v>33100</v>
      </c>
      <c r="D724" s="2">
        <v>43746</v>
      </c>
      <c r="E724" s="3">
        <v>46149</v>
      </c>
      <c r="F724" s="3">
        <v>46239</v>
      </c>
      <c r="G724" s="4">
        <v>10023.75</v>
      </c>
      <c r="H724" s="2">
        <v>0</v>
      </c>
      <c r="I724" s="2" t="s">
        <v>1114</v>
      </c>
      <c r="J724" s="2" t="s">
        <v>535</v>
      </c>
    </row>
    <row r="725" spans="1:10" x14ac:dyDescent="0.3">
      <c r="A725" s="2" t="s">
        <v>735</v>
      </c>
      <c r="B725" s="2" t="s">
        <v>736</v>
      </c>
      <c r="C725" s="2">
        <v>33105</v>
      </c>
      <c r="D725" s="2">
        <v>43750</v>
      </c>
      <c r="E725" s="3">
        <v>46149</v>
      </c>
      <c r="F725" s="3">
        <v>46239</v>
      </c>
      <c r="G725" s="4">
        <v>3500</v>
      </c>
      <c r="H725" s="2">
        <v>0</v>
      </c>
      <c r="I725" s="2" t="s">
        <v>1115</v>
      </c>
      <c r="J725" s="2" t="s">
        <v>19</v>
      </c>
    </row>
    <row r="726" spans="1:10" x14ac:dyDescent="0.3">
      <c r="A726" s="2" t="s">
        <v>532</v>
      </c>
      <c r="B726" s="2" t="s">
        <v>533</v>
      </c>
      <c r="C726" s="2">
        <v>32661</v>
      </c>
      <c r="D726" s="2">
        <v>43316</v>
      </c>
      <c r="E726" s="3">
        <v>46100</v>
      </c>
      <c r="F726" s="3">
        <v>46240</v>
      </c>
      <c r="G726" s="4">
        <v>8689.6</v>
      </c>
      <c r="H726" s="2">
        <v>0</v>
      </c>
      <c r="I726" s="2" t="s">
        <v>825</v>
      </c>
      <c r="J726" s="2" t="s">
        <v>535</v>
      </c>
    </row>
    <row r="727" spans="1:10" x14ac:dyDescent="0.3">
      <c r="A727" s="2" t="s">
        <v>480</v>
      </c>
      <c r="B727" s="2" t="s">
        <v>481</v>
      </c>
      <c r="C727" s="2">
        <v>32871</v>
      </c>
      <c r="D727" s="2">
        <v>43526</v>
      </c>
      <c r="E727" s="3">
        <v>46120</v>
      </c>
      <c r="F727" s="3">
        <v>46240</v>
      </c>
      <c r="G727" s="4">
        <v>26890.3</v>
      </c>
      <c r="H727" s="2">
        <v>0</v>
      </c>
      <c r="I727" s="2" t="s">
        <v>963</v>
      </c>
      <c r="J727" s="2" t="s">
        <v>238</v>
      </c>
    </row>
    <row r="728" spans="1:10" x14ac:dyDescent="0.3">
      <c r="A728" s="2" t="s">
        <v>740</v>
      </c>
      <c r="B728" s="2" t="s">
        <v>727</v>
      </c>
      <c r="C728" s="2">
        <v>33110</v>
      </c>
      <c r="D728" s="2">
        <v>43755</v>
      </c>
      <c r="E728" s="3">
        <v>46150</v>
      </c>
      <c r="F728" s="3">
        <v>46240</v>
      </c>
      <c r="G728" s="4">
        <v>2280</v>
      </c>
      <c r="H728" s="2">
        <v>0</v>
      </c>
      <c r="I728" s="2" t="s">
        <v>1119</v>
      </c>
      <c r="J728" s="2" t="s">
        <v>394</v>
      </c>
    </row>
    <row r="729" spans="1:10" x14ac:dyDescent="0.3">
      <c r="A729" s="2" t="s">
        <v>440</v>
      </c>
      <c r="B729" s="2" t="s">
        <v>441</v>
      </c>
      <c r="C729" s="2">
        <v>33120</v>
      </c>
      <c r="D729" s="2">
        <v>43765</v>
      </c>
      <c r="E729" s="3">
        <v>46150</v>
      </c>
      <c r="F729" s="3">
        <v>46240</v>
      </c>
      <c r="G729" s="4">
        <v>4666.66</v>
      </c>
      <c r="H729" s="2">
        <v>0</v>
      </c>
      <c r="I729" s="2" t="s">
        <v>1127</v>
      </c>
      <c r="J729" s="2" t="s">
        <v>417</v>
      </c>
    </row>
    <row r="730" spans="1:10" x14ac:dyDescent="0.3">
      <c r="A730" s="2" t="s">
        <v>440</v>
      </c>
      <c r="B730" s="2" t="s">
        <v>441</v>
      </c>
      <c r="C730" s="2">
        <v>33121</v>
      </c>
      <c r="D730" s="2">
        <v>43766</v>
      </c>
      <c r="E730" s="3">
        <v>46150</v>
      </c>
      <c r="F730" s="3">
        <v>46240</v>
      </c>
      <c r="G730" s="4">
        <v>16386.87</v>
      </c>
      <c r="H730" s="2">
        <v>0</v>
      </c>
      <c r="I730" s="2" t="s">
        <v>1128</v>
      </c>
      <c r="J730" s="2" t="s">
        <v>417</v>
      </c>
    </row>
    <row r="731" spans="1:10" x14ac:dyDescent="0.3">
      <c r="A731" s="2" t="s">
        <v>440</v>
      </c>
      <c r="B731" s="2" t="s">
        <v>441</v>
      </c>
      <c r="C731" s="2">
        <v>33122</v>
      </c>
      <c r="D731" s="2">
        <v>43767</v>
      </c>
      <c r="E731" s="3">
        <v>46150</v>
      </c>
      <c r="F731" s="3">
        <v>46240</v>
      </c>
      <c r="G731" s="4">
        <v>15771.98</v>
      </c>
      <c r="H731" s="2">
        <v>0</v>
      </c>
      <c r="I731" s="2" t="s">
        <v>1129</v>
      </c>
      <c r="J731" s="2" t="s">
        <v>417</v>
      </c>
    </row>
    <row r="732" spans="1:10" x14ac:dyDescent="0.3">
      <c r="A732" s="2" t="s">
        <v>585</v>
      </c>
      <c r="B732" s="2" t="s">
        <v>392</v>
      </c>
      <c r="C732" s="2">
        <v>32542</v>
      </c>
      <c r="D732" s="2">
        <v>43217</v>
      </c>
      <c r="E732" s="3">
        <v>46091</v>
      </c>
      <c r="F732" s="3">
        <v>46241</v>
      </c>
      <c r="G732" s="4">
        <v>154500</v>
      </c>
      <c r="H732" s="2">
        <v>0</v>
      </c>
      <c r="I732" s="2" t="s">
        <v>586</v>
      </c>
      <c r="J732" s="2" t="s">
        <v>394</v>
      </c>
    </row>
    <row r="733" spans="1:10" x14ac:dyDescent="0.3">
      <c r="A733" s="2" t="s">
        <v>585</v>
      </c>
      <c r="B733" s="2" t="s">
        <v>392</v>
      </c>
      <c r="C733" s="2">
        <v>32546</v>
      </c>
      <c r="D733" s="2">
        <v>43221</v>
      </c>
      <c r="E733" s="3">
        <v>46091</v>
      </c>
      <c r="F733" s="3">
        <v>46241</v>
      </c>
      <c r="G733" s="4">
        <v>74900</v>
      </c>
      <c r="H733" s="2">
        <v>0</v>
      </c>
      <c r="I733" s="2" t="s">
        <v>586</v>
      </c>
      <c r="J733" s="2" t="s">
        <v>394</v>
      </c>
    </row>
    <row r="734" spans="1:10" x14ac:dyDescent="0.3">
      <c r="A734" s="2" t="s">
        <v>668</v>
      </c>
      <c r="B734" s="2" t="s">
        <v>669</v>
      </c>
      <c r="C734" s="2">
        <v>32874</v>
      </c>
      <c r="D734" s="2">
        <v>43529</v>
      </c>
      <c r="E734" s="3">
        <v>46121</v>
      </c>
      <c r="F734" s="3">
        <v>46241</v>
      </c>
      <c r="G734" s="4">
        <v>5481.25</v>
      </c>
      <c r="H734" s="2">
        <v>0</v>
      </c>
      <c r="I734" s="2" t="s">
        <v>964</v>
      </c>
      <c r="J734" s="2" t="s">
        <v>339</v>
      </c>
    </row>
    <row r="735" spans="1:10" x14ac:dyDescent="0.3">
      <c r="A735" s="2" t="s">
        <v>735</v>
      </c>
      <c r="B735" s="2" t="s">
        <v>736</v>
      </c>
      <c r="C735" s="2">
        <v>32878</v>
      </c>
      <c r="D735" s="2">
        <v>43533</v>
      </c>
      <c r="E735" s="3">
        <v>46121</v>
      </c>
      <c r="F735" s="3">
        <v>46241</v>
      </c>
      <c r="G735" s="4">
        <v>4266.66</v>
      </c>
      <c r="H735" s="2">
        <v>0</v>
      </c>
      <c r="I735" s="2" t="s">
        <v>967</v>
      </c>
      <c r="J735" s="2" t="s">
        <v>19</v>
      </c>
    </row>
    <row r="736" spans="1:10" x14ac:dyDescent="0.3">
      <c r="A736" s="2" t="s">
        <v>735</v>
      </c>
      <c r="B736" s="2" t="s">
        <v>736</v>
      </c>
      <c r="C736" s="2">
        <v>32879</v>
      </c>
      <c r="D736" s="2">
        <v>43534</v>
      </c>
      <c r="E736" s="3">
        <v>46121</v>
      </c>
      <c r="F736" s="3">
        <v>46241</v>
      </c>
      <c r="G736" s="4">
        <v>4266.66</v>
      </c>
      <c r="H736" s="2">
        <v>0</v>
      </c>
      <c r="I736" s="2" t="s">
        <v>968</v>
      </c>
      <c r="J736" s="2" t="s">
        <v>19</v>
      </c>
    </row>
    <row r="737" spans="1:10" x14ac:dyDescent="0.3">
      <c r="A737" s="2" t="s">
        <v>396</v>
      </c>
      <c r="B737" s="2" t="s">
        <v>392</v>
      </c>
      <c r="C737" s="2">
        <v>32891</v>
      </c>
      <c r="D737" s="2">
        <v>43546</v>
      </c>
      <c r="E737" s="3">
        <v>46121</v>
      </c>
      <c r="F737" s="3">
        <v>46241</v>
      </c>
      <c r="G737" s="4">
        <v>67500</v>
      </c>
      <c r="H737" s="2">
        <v>0</v>
      </c>
      <c r="I737" s="2" t="s">
        <v>976</v>
      </c>
      <c r="J737" s="2" t="s">
        <v>394</v>
      </c>
    </row>
    <row r="738" spans="1:10" x14ac:dyDescent="0.3">
      <c r="A738" s="2" t="s">
        <v>396</v>
      </c>
      <c r="B738" s="2" t="s">
        <v>392</v>
      </c>
      <c r="C738" s="2">
        <v>32892</v>
      </c>
      <c r="D738" s="2">
        <v>43547</v>
      </c>
      <c r="E738" s="3">
        <v>46121</v>
      </c>
      <c r="F738" s="3">
        <v>46241</v>
      </c>
      <c r="G738" s="4">
        <v>78260</v>
      </c>
      <c r="H738" s="2">
        <v>0</v>
      </c>
      <c r="I738" s="2" t="s">
        <v>977</v>
      </c>
      <c r="J738" s="2" t="s">
        <v>394</v>
      </c>
    </row>
    <row r="739" spans="1:10" x14ac:dyDescent="0.3">
      <c r="A739" s="2" t="s">
        <v>396</v>
      </c>
      <c r="B739" s="2" t="s">
        <v>392</v>
      </c>
      <c r="C739" s="2">
        <v>32893</v>
      </c>
      <c r="D739" s="2">
        <v>43548</v>
      </c>
      <c r="E739" s="3">
        <v>46121</v>
      </c>
      <c r="F739" s="3">
        <v>46241</v>
      </c>
      <c r="G739" s="4">
        <v>13100</v>
      </c>
      <c r="H739" s="2">
        <v>0</v>
      </c>
      <c r="I739" s="2" t="s">
        <v>978</v>
      </c>
      <c r="J739" s="2" t="s">
        <v>394</v>
      </c>
    </row>
    <row r="740" spans="1:10" x14ac:dyDescent="0.3">
      <c r="A740" s="2" t="s">
        <v>396</v>
      </c>
      <c r="B740" s="2" t="s">
        <v>392</v>
      </c>
      <c r="C740" s="2">
        <v>32895</v>
      </c>
      <c r="D740" s="2">
        <v>43550</v>
      </c>
      <c r="E740" s="3">
        <v>46121</v>
      </c>
      <c r="F740" s="3">
        <v>46241</v>
      </c>
      <c r="G740" s="4">
        <v>178495</v>
      </c>
      <c r="H740" s="2">
        <v>0</v>
      </c>
      <c r="I740" s="2" t="s">
        <v>980</v>
      </c>
      <c r="J740" s="2" t="s">
        <v>394</v>
      </c>
    </row>
    <row r="741" spans="1:10" x14ac:dyDescent="0.3">
      <c r="A741" s="2" t="s">
        <v>59</v>
      </c>
      <c r="B741" s="2" t="s">
        <v>52</v>
      </c>
      <c r="C741" s="2">
        <v>30213</v>
      </c>
      <c r="D741" s="2">
        <v>40559</v>
      </c>
      <c r="E741" s="3">
        <v>45880</v>
      </c>
      <c r="F741" s="3">
        <v>46242</v>
      </c>
      <c r="G741" s="4">
        <v>56448</v>
      </c>
      <c r="H741" s="2">
        <v>0</v>
      </c>
      <c r="I741" s="2" t="s">
        <v>60</v>
      </c>
      <c r="J741" s="2" t="s">
        <v>54</v>
      </c>
    </row>
    <row r="742" spans="1:10" x14ac:dyDescent="0.3">
      <c r="A742" s="2" t="s">
        <v>943</v>
      </c>
      <c r="B742" s="2" t="s">
        <v>707</v>
      </c>
      <c r="C742" s="2">
        <v>32912</v>
      </c>
      <c r="D742" s="2">
        <v>43566</v>
      </c>
      <c r="E742" s="3">
        <v>46122</v>
      </c>
      <c r="F742" s="3">
        <v>46242</v>
      </c>
      <c r="G742" s="4">
        <v>167896.15</v>
      </c>
      <c r="H742" s="2">
        <v>0</v>
      </c>
      <c r="I742" s="2" t="s">
        <v>986</v>
      </c>
      <c r="J742" s="2" t="s">
        <v>417</v>
      </c>
    </row>
    <row r="743" spans="1:10" x14ac:dyDescent="0.3">
      <c r="A743" s="2" t="s">
        <v>59</v>
      </c>
      <c r="B743" s="2" t="s">
        <v>52</v>
      </c>
      <c r="C743" s="2">
        <v>30228</v>
      </c>
      <c r="D743" s="2">
        <v>40576</v>
      </c>
      <c r="E743" s="3">
        <v>45881</v>
      </c>
      <c r="F743" s="3">
        <v>46244</v>
      </c>
      <c r="G743" s="4">
        <v>462559.4</v>
      </c>
      <c r="H743" s="2">
        <v>0</v>
      </c>
      <c r="I743" s="2" t="s">
        <v>61</v>
      </c>
      <c r="J743" s="2" t="s">
        <v>54</v>
      </c>
    </row>
    <row r="744" spans="1:10" x14ac:dyDescent="0.3">
      <c r="A744" s="2" t="s">
        <v>59</v>
      </c>
      <c r="B744" s="2" t="s">
        <v>52</v>
      </c>
      <c r="C744" s="2">
        <v>30229</v>
      </c>
      <c r="D744" s="2">
        <v>40577</v>
      </c>
      <c r="E744" s="3">
        <v>45881</v>
      </c>
      <c r="F744" s="3">
        <v>46244</v>
      </c>
      <c r="G744" s="4">
        <v>388398</v>
      </c>
      <c r="H744" s="2">
        <v>0</v>
      </c>
      <c r="I744" s="2" t="s">
        <v>62</v>
      </c>
      <c r="J744" s="2" t="s">
        <v>54</v>
      </c>
    </row>
    <row r="745" spans="1:10" x14ac:dyDescent="0.3">
      <c r="A745" s="2" t="s">
        <v>59</v>
      </c>
      <c r="B745" s="2" t="s">
        <v>52</v>
      </c>
      <c r="C745" s="2">
        <v>30590</v>
      </c>
      <c r="D745" s="2">
        <v>41013</v>
      </c>
      <c r="E745" s="3">
        <v>45916</v>
      </c>
      <c r="F745" s="3">
        <v>46244</v>
      </c>
      <c r="G745" s="4">
        <v>426499.4</v>
      </c>
      <c r="H745" s="2">
        <v>0</v>
      </c>
      <c r="I745" s="2" t="s">
        <v>150</v>
      </c>
      <c r="J745" s="2" t="s">
        <v>54</v>
      </c>
    </row>
    <row r="746" spans="1:10" x14ac:dyDescent="0.3">
      <c r="A746" s="2" t="s">
        <v>59</v>
      </c>
      <c r="B746" s="2" t="s">
        <v>52</v>
      </c>
      <c r="C746" s="2">
        <v>30770</v>
      </c>
      <c r="D746" s="2">
        <v>41211</v>
      </c>
      <c r="E746" s="3">
        <v>45924</v>
      </c>
      <c r="F746" s="3">
        <v>46244</v>
      </c>
      <c r="G746" s="4">
        <v>357666</v>
      </c>
      <c r="H746" s="2">
        <v>0</v>
      </c>
      <c r="I746" s="2" t="s">
        <v>212</v>
      </c>
      <c r="J746" s="2" t="s">
        <v>54</v>
      </c>
    </row>
    <row r="747" spans="1:10" x14ac:dyDescent="0.3">
      <c r="A747" s="2" t="s">
        <v>59</v>
      </c>
      <c r="B747" s="2" t="s">
        <v>52</v>
      </c>
      <c r="C747" s="2">
        <v>31051</v>
      </c>
      <c r="D747" s="2">
        <v>41558</v>
      </c>
      <c r="E747" s="3">
        <v>45951</v>
      </c>
      <c r="F747" s="3">
        <v>46244</v>
      </c>
      <c r="G747" s="4">
        <v>115440</v>
      </c>
      <c r="H747" s="2">
        <v>0</v>
      </c>
      <c r="I747" s="2" t="s">
        <v>278</v>
      </c>
      <c r="J747" s="2" t="s">
        <v>54</v>
      </c>
    </row>
    <row r="748" spans="1:10" x14ac:dyDescent="0.3">
      <c r="A748" s="2" t="s">
        <v>59</v>
      </c>
      <c r="B748" s="2" t="s">
        <v>52</v>
      </c>
      <c r="C748" s="2">
        <v>31053</v>
      </c>
      <c r="D748" s="2">
        <v>41561</v>
      </c>
      <c r="E748" s="3">
        <v>45951</v>
      </c>
      <c r="F748" s="3">
        <v>46244</v>
      </c>
      <c r="G748" s="4">
        <v>120392.4</v>
      </c>
      <c r="H748" s="2">
        <v>0</v>
      </c>
      <c r="I748" s="2" t="s">
        <v>279</v>
      </c>
      <c r="J748" s="2" t="s">
        <v>54</v>
      </c>
    </row>
    <row r="749" spans="1:10" x14ac:dyDescent="0.3">
      <c r="A749" s="2" t="s">
        <v>59</v>
      </c>
      <c r="B749" s="2" t="s">
        <v>52</v>
      </c>
      <c r="C749" s="2">
        <v>31077</v>
      </c>
      <c r="D749" s="2">
        <v>41589</v>
      </c>
      <c r="E749" s="3">
        <v>45952</v>
      </c>
      <c r="F749" s="3">
        <v>46244</v>
      </c>
      <c r="G749" s="4">
        <v>348823</v>
      </c>
      <c r="H749" s="2">
        <v>0</v>
      </c>
      <c r="I749" s="2" t="s">
        <v>284</v>
      </c>
      <c r="J749" s="2" t="s">
        <v>54</v>
      </c>
    </row>
    <row r="750" spans="1:10" x14ac:dyDescent="0.3">
      <c r="A750" s="2" t="s">
        <v>59</v>
      </c>
      <c r="B750" s="2" t="s">
        <v>52</v>
      </c>
      <c r="C750" s="2">
        <v>31121</v>
      </c>
      <c r="D750" s="2">
        <v>41639</v>
      </c>
      <c r="E750" s="3">
        <v>45957</v>
      </c>
      <c r="F750" s="3">
        <v>46244</v>
      </c>
      <c r="G750" s="4">
        <v>430390</v>
      </c>
      <c r="H750" s="2">
        <v>0</v>
      </c>
      <c r="I750" s="2" t="s">
        <v>292</v>
      </c>
      <c r="J750" s="2" t="s">
        <v>54</v>
      </c>
    </row>
    <row r="751" spans="1:10" x14ac:dyDescent="0.3">
      <c r="A751" s="2" t="s">
        <v>608</v>
      </c>
      <c r="B751" s="2" t="s">
        <v>609</v>
      </c>
      <c r="C751" s="2">
        <v>32228</v>
      </c>
      <c r="D751" s="2">
        <v>42863</v>
      </c>
      <c r="E751" s="3">
        <v>46062</v>
      </c>
      <c r="F751" s="3">
        <v>46244</v>
      </c>
      <c r="G751" s="4">
        <v>183381.84</v>
      </c>
      <c r="H751" s="2">
        <v>0</v>
      </c>
      <c r="I751" s="2" t="s">
        <v>610</v>
      </c>
      <c r="J751" s="2" t="s">
        <v>563</v>
      </c>
    </row>
    <row r="752" spans="1:10" x14ac:dyDescent="0.3">
      <c r="A752" s="2" t="s">
        <v>440</v>
      </c>
      <c r="B752" s="2" t="s">
        <v>441</v>
      </c>
      <c r="C752" s="2">
        <v>32378</v>
      </c>
      <c r="D752" s="2">
        <v>43041</v>
      </c>
      <c r="E752" s="3">
        <v>46077</v>
      </c>
      <c r="F752" s="3">
        <v>46244</v>
      </c>
      <c r="G752" s="2">
        <v>664</v>
      </c>
      <c r="H752" s="2">
        <v>0</v>
      </c>
      <c r="I752" s="2" t="s">
        <v>552</v>
      </c>
      <c r="J752" s="2" t="s">
        <v>417</v>
      </c>
    </row>
    <row r="753" spans="1:10" x14ac:dyDescent="0.3">
      <c r="A753" s="2" t="s">
        <v>257</v>
      </c>
      <c r="B753" s="2" t="s">
        <v>258</v>
      </c>
      <c r="C753" s="2">
        <v>32553</v>
      </c>
      <c r="D753" s="2">
        <v>43230</v>
      </c>
      <c r="E753" s="3">
        <v>46092</v>
      </c>
      <c r="F753" s="3">
        <v>46244</v>
      </c>
      <c r="G753" s="4">
        <v>112833.22</v>
      </c>
      <c r="H753" s="2">
        <v>0</v>
      </c>
      <c r="I753" s="2" t="s">
        <v>551</v>
      </c>
      <c r="J753" s="2" t="s">
        <v>260</v>
      </c>
    </row>
    <row r="754" spans="1:10" x14ac:dyDescent="0.3">
      <c r="A754" s="2" t="s">
        <v>257</v>
      </c>
      <c r="B754" s="2" t="s">
        <v>258</v>
      </c>
      <c r="C754" s="2">
        <v>32554</v>
      </c>
      <c r="D754" s="2">
        <v>43231</v>
      </c>
      <c r="E754" s="3">
        <v>46092</v>
      </c>
      <c r="F754" s="3">
        <v>46244</v>
      </c>
      <c r="G754" s="4">
        <v>18000.04</v>
      </c>
      <c r="H754" s="2">
        <v>0</v>
      </c>
      <c r="I754" s="2" t="s">
        <v>551</v>
      </c>
      <c r="J754" s="2" t="s">
        <v>260</v>
      </c>
    </row>
    <row r="755" spans="1:10" x14ac:dyDescent="0.3">
      <c r="A755" s="2" t="s">
        <v>886</v>
      </c>
      <c r="B755" s="2" t="s">
        <v>415</v>
      </c>
      <c r="C755" s="2">
        <v>32743</v>
      </c>
      <c r="D755" s="2">
        <v>43401</v>
      </c>
      <c r="E755" s="3">
        <v>46107</v>
      </c>
      <c r="F755" s="3">
        <v>46244</v>
      </c>
      <c r="G755" s="4">
        <v>31866.63</v>
      </c>
      <c r="H755" s="2">
        <v>0</v>
      </c>
      <c r="I755" s="2" t="s">
        <v>887</v>
      </c>
      <c r="J755" s="2" t="s">
        <v>417</v>
      </c>
    </row>
    <row r="756" spans="1:10" x14ac:dyDescent="0.3">
      <c r="A756" s="2" t="s">
        <v>886</v>
      </c>
      <c r="B756" s="2" t="s">
        <v>415</v>
      </c>
      <c r="C756" s="2">
        <v>32744</v>
      </c>
      <c r="D756" s="2">
        <v>43402</v>
      </c>
      <c r="E756" s="3">
        <v>46107</v>
      </c>
      <c r="F756" s="3">
        <v>46244</v>
      </c>
      <c r="G756" s="2">
        <v>566.66999999999996</v>
      </c>
      <c r="H756" s="2">
        <v>0</v>
      </c>
      <c r="I756" s="2" t="s">
        <v>888</v>
      </c>
      <c r="J756" s="2" t="s">
        <v>417</v>
      </c>
    </row>
    <row r="757" spans="1:10" x14ac:dyDescent="0.3">
      <c r="A757" s="2" t="s">
        <v>695</v>
      </c>
      <c r="B757" s="2" t="s">
        <v>696</v>
      </c>
      <c r="C757" s="2">
        <v>32901</v>
      </c>
      <c r="D757" s="2">
        <v>43556</v>
      </c>
      <c r="E757" s="3">
        <v>46122</v>
      </c>
      <c r="F757" s="3">
        <v>46244</v>
      </c>
      <c r="G757" s="4">
        <v>23504.04</v>
      </c>
      <c r="H757" s="2">
        <v>0</v>
      </c>
      <c r="I757" s="2" t="s">
        <v>982</v>
      </c>
      <c r="J757" s="2" t="s">
        <v>92</v>
      </c>
    </row>
    <row r="758" spans="1:10" x14ac:dyDescent="0.3">
      <c r="A758" s="2" t="s">
        <v>861</v>
      </c>
      <c r="B758" s="2" t="s">
        <v>862</v>
      </c>
      <c r="C758" s="2">
        <v>33141</v>
      </c>
      <c r="D758" s="2">
        <v>43785</v>
      </c>
      <c r="E758" s="3">
        <v>46154</v>
      </c>
      <c r="F758" s="3">
        <v>46244</v>
      </c>
      <c r="G758" s="4">
        <v>10029.02</v>
      </c>
      <c r="H758" s="2">
        <v>0</v>
      </c>
      <c r="I758" s="2" t="s">
        <v>1142</v>
      </c>
      <c r="J758" s="2" t="s">
        <v>162</v>
      </c>
    </row>
    <row r="759" spans="1:10" x14ac:dyDescent="0.3">
      <c r="A759" s="2" t="s">
        <v>653</v>
      </c>
      <c r="B759" s="2" t="s">
        <v>654</v>
      </c>
      <c r="C759" s="2">
        <v>33154</v>
      </c>
      <c r="D759" s="2">
        <v>43796</v>
      </c>
      <c r="E759" s="3">
        <v>46154</v>
      </c>
      <c r="F759" s="3">
        <v>46244</v>
      </c>
      <c r="G759" s="4">
        <v>11500</v>
      </c>
      <c r="H759" s="2">
        <v>0</v>
      </c>
      <c r="I759" s="2" t="s">
        <v>1149</v>
      </c>
      <c r="J759" s="2" t="s">
        <v>412</v>
      </c>
    </row>
    <row r="760" spans="1:10" x14ac:dyDescent="0.3">
      <c r="A760" s="2" t="s">
        <v>440</v>
      </c>
      <c r="B760" s="2" t="s">
        <v>441</v>
      </c>
      <c r="C760" s="2">
        <v>32914</v>
      </c>
      <c r="D760" s="2">
        <v>43569</v>
      </c>
      <c r="E760" s="3">
        <v>46125</v>
      </c>
      <c r="F760" s="3">
        <v>46245</v>
      </c>
      <c r="G760" s="4">
        <v>23646.2</v>
      </c>
      <c r="H760" s="2">
        <v>0</v>
      </c>
      <c r="I760" s="2" t="s">
        <v>987</v>
      </c>
      <c r="J760" s="2" t="s">
        <v>417</v>
      </c>
    </row>
    <row r="761" spans="1:10" x14ac:dyDescent="0.3">
      <c r="A761" s="2" t="s">
        <v>943</v>
      </c>
      <c r="B761" s="2" t="s">
        <v>707</v>
      </c>
      <c r="C761" s="2">
        <v>32915</v>
      </c>
      <c r="D761" s="2">
        <v>43570</v>
      </c>
      <c r="E761" s="3">
        <v>46125</v>
      </c>
      <c r="F761" s="3">
        <v>46245</v>
      </c>
      <c r="G761" s="4">
        <v>16400</v>
      </c>
      <c r="H761" s="2">
        <v>0</v>
      </c>
      <c r="I761" s="2" t="s">
        <v>988</v>
      </c>
      <c r="J761" s="2" t="s">
        <v>417</v>
      </c>
    </row>
    <row r="762" spans="1:10" x14ac:dyDescent="0.3">
      <c r="A762" s="2" t="s">
        <v>861</v>
      </c>
      <c r="B762" s="2" t="s">
        <v>862</v>
      </c>
      <c r="C762" s="2">
        <v>32920</v>
      </c>
      <c r="D762" s="2">
        <v>43575</v>
      </c>
      <c r="E762" s="3">
        <v>46125</v>
      </c>
      <c r="F762" s="3">
        <v>46245</v>
      </c>
      <c r="G762" s="4">
        <v>9584.68</v>
      </c>
      <c r="H762" s="2">
        <v>0</v>
      </c>
      <c r="I762" s="2" t="s">
        <v>993</v>
      </c>
      <c r="J762" s="2" t="s">
        <v>162</v>
      </c>
    </row>
    <row r="763" spans="1:10" x14ac:dyDescent="0.3">
      <c r="A763" s="2" t="s">
        <v>994</v>
      </c>
      <c r="B763" s="2" t="s">
        <v>657</v>
      </c>
      <c r="C763" s="2">
        <v>32921</v>
      </c>
      <c r="D763" s="2">
        <v>43576</v>
      </c>
      <c r="E763" s="3">
        <v>46125</v>
      </c>
      <c r="F763" s="3">
        <v>46245</v>
      </c>
      <c r="G763" s="4">
        <v>30007.75</v>
      </c>
      <c r="H763" s="2">
        <v>0</v>
      </c>
      <c r="I763" s="2" t="s">
        <v>995</v>
      </c>
      <c r="J763" s="2" t="s">
        <v>162</v>
      </c>
    </row>
    <row r="764" spans="1:10" x14ac:dyDescent="0.3">
      <c r="A764" s="2" t="s">
        <v>440</v>
      </c>
      <c r="B764" s="2" t="s">
        <v>441</v>
      </c>
      <c r="C764" s="2">
        <v>32926</v>
      </c>
      <c r="D764" s="2">
        <v>43581</v>
      </c>
      <c r="E764" s="3">
        <v>46125</v>
      </c>
      <c r="F764" s="3">
        <v>46245</v>
      </c>
      <c r="G764" s="4">
        <v>13716.43</v>
      </c>
      <c r="H764" s="2">
        <v>0</v>
      </c>
      <c r="I764" s="2" t="s">
        <v>996</v>
      </c>
      <c r="J764" s="2" t="s">
        <v>417</v>
      </c>
    </row>
    <row r="765" spans="1:10" x14ac:dyDescent="0.3">
      <c r="A765" s="2" t="s">
        <v>440</v>
      </c>
      <c r="B765" s="2" t="s">
        <v>441</v>
      </c>
      <c r="C765" s="2">
        <v>32927</v>
      </c>
      <c r="D765" s="2">
        <v>43582</v>
      </c>
      <c r="E765" s="3">
        <v>46125</v>
      </c>
      <c r="F765" s="3">
        <v>46245</v>
      </c>
      <c r="G765" s="4">
        <v>9599.99</v>
      </c>
      <c r="H765" s="2">
        <v>0</v>
      </c>
      <c r="I765" s="2" t="s">
        <v>997</v>
      </c>
      <c r="J765" s="2" t="s">
        <v>417</v>
      </c>
    </row>
    <row r="766" spans="1:10" x14ac:dyDescent="0.3">
      <c r="A766" s="2" t="s">
        <v>440</v>
      </c>
      <c r="B766" s="2" t="s">
        <v>441</v>
      </c>
      <c r="C766" s="2">
        <v>32928</v>
      </c>
      <c r="D766" s="2">
        <v>43583</v>
      </c>
      <c r="E766" s="3">
        <v>46125</v>
      </c>
      <c r="F766" s="3">
        <v>46245</v>
      </c>
      <c r="G766" s="4">
        <v>2933.33</v>
      </c>
      <c r="H766" s="2">
        <v>0</v>
      </c>
      <c r="I766" s="2" t="s">
        <v>998</v>
      </c>
      <c r="J766" s="2" t="s">
        <v>417</v>
      </c>
    </row>
    <row r="767" spans="1:10" x14ac:dyDescent="0.3">
      <c r="A767" s="2" t="s">
        <v>440</v>
      </c>
      <c r="B767" s="2" t="s">
        <v>441</v>
      </c>
      <c r="C767" s="2">
        <v>32930</v>
      </c>
      <c r="D767" s="2">
        <v>43584</v>
      </c>
      <c r="E767" s="3">
        <v>46125</v>
      </c>
      <c r="F767" s="3">
        <v>46245</v>
      </c>
      <c r="G767" s="4">
        <v>6191.55</v>
      </c>
      <c r="H767" s="2">
        <v>0</v>
      </c>
      <c r="I767" s="2" t="s">
        <v>999</v>
      </c>
      <c r="J767" s="2" t="s">
        <v>417</v>
      </c>
    </row>
    <row r="768" spans="1:10" x14ac:dyDescent="0.3">
      <c r="A768" s="2" t="s">
        <v>414</v>
      </c>
      <c r="B768" s="2" t="s">
        <v>415</v>
      </c>
      <c r="C768" s="2">
        <v>33157</v>
      </c>
      <c r="D768" s="2">
        <v>43798</v>
      </c>
      <c r="E768" s="3">
        <v>46155</v>
      </c>
      <c r="F768" s="3">
        <v>46245</v>
      </c>
      <c r="G768" s="4">
        <v>81063.92</v>
      </c>
      <c r="H768" s="2">
        <v>0</v>
      </c>
      <c r="I768" s="2" t="s">
        <v>1150</v>
      </c>
      <c r="J768" s="2" t="s">
        <v>417</v>
      </c>
    </row>
    <row r="769" spans="1:10" x14ac:dyDescent="0.3">
      <c r="A769" s="2" t="s">
        <v>414</v>
      </c>
      <c r="B769" s="2" t="s">
        <v>415</v>
      </c>
      <c r="C769" s="2">
        <v>33158</v>
      </c>
      <c r="D769" s="2">
        <v>43799</v>
      </c>
      <c r="E769" s="3">
        <v>46155</v>
      </c>
      <c r="F769" s="3">
        <v>46245</v>
      </c>
      <c r="G769" s="4">
        <v>24868.98</v>
      </c>
      <c r="H769" s="2">
        <v>0</v>
      </c>
      <c r="I769" s="2" t="s">
        <v>1151</v>
      </c>
      <c r="J769" s="2" t="s">
        <v>417</v>
      </c>
    </row>
    <row r="770" spans="1:10" x14ac:dyDescent="0.3">
      <c r="A770" s="2" t="s">
        <v>532</v>
      </c>
      <c r="B770" s="2" t="s">
        <v>533</v>
      </c>
      <c r="C770" s="2">
        <v>33159</v>
      </c>
      <c r="D770" s="2">
        <v>43800</v>
      </c>
      <c r="E770" s="3">
        <v>46155</v>
      </c>
      <c r="F770" s="3">
        <v>46245</v>
      </c>
      <c r="G770" s="4">
        <v>10692.42</v>
      </c>
      <c r="H770" s="2">
        <v>0</v>
      </c>
      <c r="I770" s="2" t="s">
        <v>1152</v>
      </c>
      <c r="J770" s="2" t="s">
        <v>535</v>
      </c>
    </row>
    <row r="771" spans="1:10" x14ac:dyDescent="0.3">
      <c r="A771" s="2" t="s">
        <v>582</v>
      </c>
      <c r="B771" s="2" t="s">
        <v>583</v>
      </c>
      <c r="C771" s="2">
        <v>33160</v>
      </c>
      <c r="D771" s="2">
        <v>43801</v>
      </c>
      <c r="E771" s="3">
        <v>46155</v>
      </c>
      <c r="F771" s="3">
        <v>46245</v>
      </c>
      <c r="G771" s="4">
        <v>5085.9399999999996</v>
      </c>
      <c r="H771" s="2">
        <v>0</v>
      </c>
      <c r="I771" s="2" t="s">
        <v>1153</v>
      </c>
      <c r="J771" s="2" t="s">
        <v>92</v>
      </c>
    </row>
    <row r="772" spans="1:10" x14ac:dyDescent="0.3">
      <c r="A772" s="2" t="s">
        <v>235</v>
      </c>
      <c r="B772" s="2" t="s">
        <v>236</v>
      </c>
      <c r="C772" s="2">
        <v>31939</v>
      </c>
      <c r="D772" s="2">
        <v>42540</v>
      </c>
      <c r="E772" s="3">
        <v>46036</v>
      </c>
      <c r="F772" s="3">
        <v>46246</v>
      </c>
      <c r="G772" s="4">
        <v>30000</v>
      </c>
      <c r="H772" s="2">
        <v>0</v>
      </c>
      <c r="I772" s="2" t="s">
        <v>274</v>
      </c>
      <c r="J772" s="2" t="s">
        <v>238</v>
      </c>
    </row>
    <row r="773" spans="1:10" x14ac:dyDescent="0.3">
      <c r="A773" s="2" t="s">
        <v>360</v>
      </c>
      <c r="B773" s="2" t="s">
        <v>361</v>
      </c>
      <c r="C773" s="2">
        <v>32771</v>
      </c>
      <c r="D773" s="2">
        <v>43427</v>
      </c>
      <c r="E773" s="3">
        <v>46111</v>
      </c>
      <c r="F773" s="3">
        <v>46246</v>
      </c>
      <c r="G773" s="4">
        <v>2565.4499999999998</v>
      </c>
      <c r="H773" s="2">
        <v>0</v>
      </c>
      <c r="I773" s="2" t="s">
        <v>895</v>
      </c>
      <c r="J773" s="2" t="s">
        <v>92</v>
      </c>
    </row>
    <row r="774" spans="1:10" x14ac:dyDescent="0.3">
      <c r="A774" s="2" t="s">
        <v>414</v>
      </c>
      <c r="B774" s="2" t="s">
        <v>415</v>
      </c>
      <c r="C774" s="2">
        <v>32827</v>
      </c>
      <c r="D774" s="2">
        <v>43484</v>
      </c>
      <c r="E774" s="3">
        <v>46112</v>
      </c>
      <c r="F774" s="3">
        <v>46247</v>
      </c>
      <c r="G774" s="4">
        <v>29199.97</v>
      </c>
      <c r="H774" s="2">
        <v>0</v>
      </c>
      <c r="I774" s="2" t="s">
        <v>945</v>
      </c>
      <c r="J774" s="2" t="s">
        <v>417</v>
      </c>
    </row>
    <row r="775" spans="1:10" x14ac:dyDescent="0.3">
      <c r="A775" s="2" t="s">
        <v>414</v>
      </c>
      <c r="B775" s="2" t="s">
        <v>415</v>
      </c>
      <c r="C775" s="2">
        <v>32831</v>
      </c>
      <c r="D775" s="2">
        <v>43488</v>
      </c>
      <c r="E775" s="3">
        <v>46112</v>
      </c>
      <c r="F775" s="3">
        <v>46247</v>
      </c>
      <c r="G775" s="4">
        <v>2544</v>
      </c>
      <c r="H775" s="2">
        <v>0</v>
      </c>
      <c r="I775" s="2" t="s">
        <v>949</v>
      </c>
      <c r="J775" s="2" t="s">
        <v>417</v>
      </c>
    </row>
    <row r="776" spans="1:10" x14ac:dyDescent="0.3">
      <c r="A776" s="2" t="s">
        <v>943</v>
      </c>
      <c r="B776" s="2" t="s">
        <v>707</v>
      </c>
      <c r="C776" s="2">
        <v>32941</v>
      </c>
      <c r="D776" s="2">
        <v>43595</v>
      </c>
      <c r="E776" s="3">
        <v>46127</v>
      </c>
      <c r="F776" s="3">
        <v>46247</v>
      </c>
      <c r="G776" s="4">
        <v>231392</v>
      </c>
      <c r="H776" s="2">
        <v>0</v>
      </c>
      <c r="I776" s="2" t="s">
        <v>1000</v>
      </c>
      <c r="J776" s="2" t="s">
        <v>417</v>
      </c>
    </row>
    <row r="777" spans="1:10" x14ac:dyDescent="0.3">
      <c r="A777" s="2" t="s">
        <v>943</v>
      </c>
      <c r="B777" s="2" t="s">
        <v>707</v>
      </c>
      <c r="C777" s="2">
        <v>32943</v>
      </c>
      <c r="D777" s="2">
        <v>43597</v>
      </c>
      <c r="E777" s="3">
        <v>46127</v>
      </c>
      <c r="F777" s="3">
        <v>46247</v>
      </c>
      <c r="G777" s="4">
        <v>170080</v>
      </c>
      <c r="H777" s="2">
        <v>0</v>
      </c>
      <c r="I777" s="2" t="s">
        <v>1002</v>
      </c>
      <c r="J777" s="2" t="s">
        <v>417</v>
      </c>
    </row>
    <row r="778" spans="1:10" x14ac:dyDescent="0.3">
      <c r="A778" s="2" t="s">
        <v>683</v>
      </c>
      <c r="B778" s="2" t="s">
        <v>684</v>
      </c>
      <c r="C778" s="2">
        <v>32946</v>
      </c>
      <c r="D778" s="2">
        <v>43599</v>
      </c>
      <c r="E778" s="3">
        <v>46127</v>
      </c>
      <c r="F778" s="3">
        <v>46247</v>
      </c>
      <c r="G778" s="4">
        <v>20060</v>
      </c>
      <c r="H778" s="2">
        <v>0</v>
      </c>
      <c r="I778" s="2" t="s">
        <v>1003</v>
      </c>
      <c r="J778" s="2" t="s">
        <v>412</v>
      </c>
    </row>
    <row r="779" spans="1:10" x14ac:dyDescent="0.3">
      <c r="A779" s="2" t="s">
        <v>514</v>
      </c>
      <c r="B779" s="2" t="s">
        <v>515</v>
      </c>
      <c r="C779" s="2">
        <v>32947</v>
      </c>
      <c r="D779" s="2">
        <v>43600</v>
      </c>
      <c r="E779" s="3">
        <v>46127</v>
      </c>
      <c r="F779" s="3">
        <v>46247</v>
      </c>
      <c r="G779" s="4">
        <v>2640</v>
      </c>
      <c r="H779" s="2">
        <v>0</v>
      </c>
      <c r="I779" s="2" t="s">
        <v>1004</v>
      </c>
      <c r="J779" s="2" t="s">
        <v>238</v>
      </c>
    </row>
    <row r="780" spans="1:10" x14ac:dyDescent="0.3">
      <c r="A780" s="2" t="s">
        <v>360</v>
      </c>
      <c r="B780" s="2" t="s">
        <v>361</v>
      </c>
      <c r="C780" s="2">
        <v>33173</v>
      </c>
      <c r="D780" s="2">
        <v>43816</v>
      </c>
      <c r="E780" s="3">
        <v>46157</v>
      </c>
      <c r="F780" s="3">
        <v>46247</v>
      </c>
      <c r="G780" s="4">
        <v>6768.18</v>
      </c>
      <c r="H780" s="2">
        <v>0</v>
      </c>
      <c r="I780" s="2" t="s">
        <v>1161</v>
      </c>
      <c r="J780" s="2" t="s">
        <v>92</v>
      </c>
    </row>
    <row r="781" spans="1:10" x14ac:dyDescent="0.3">
      <c r="A781" s="2" t="s">
        <v>257</v>
      </c>
      <c r="B781" s="2" t="s">
        <v>258</v>
      </c>
      <c r="C781" s="2">
        <v>31393</v>
      </c>
      <c r="D781" s="2">
        <v>41937</v>
      </c>
      <c r="E781" s="3">
        <v>45978</v>
      </c>
      <c r="F781" s="3">
        <v>46248</v>
      </c>
      <c r="G781" s="4">
        <v>38700</v>
      </c>
      <c r="H781" s="2">
        <v>0</v>
      </c>
      <c r="I781" s="2" t="s">
        <v>333</v>
      </c>
      <c r="J781" s="2" t="s">
        <v>260</v>
      </c>
    </row>
    <row r="782" spans="1:10" x14ac:dyDescent="0.3">
      <c r="A782" s="2" t="s">
        <v>257</v>
      </c>
      <c r="B782" s="2" t="s">
        <v>258</v>
      </c>
      <c r="C782" s="2">
        <v>31394</v>
      </c>
      <c r="D782" s="2">
        <v>41938</v>
      </c>
      <c r="E782" s="3">
        <v>45978</v>
      </c>
      <c r="F782" s="3">
        <v>46248</v>
      </c>
      <c r="G782" s="4">
        <v>77400</v>
      </c>
      <c r="H782" s="2">
        <v>0</v>
      </c>
      <c r="I782" s="2" t="s">
        <v>334</v>
      </c>
      <c r="J782" s="2" t="s">
        <v>260</v>
      </c>
    </row>
    <row r="783" spans="1:10" x14ac:dyDescent="0.3">
      <c r="A783" s="2" t="s">
        <v>235</v>
      </c>
      <c r="B783" s="2" t="s">
        <v>236</v>
      </c>
      <c r="C783" s="2">
        <v>31959</v>
      </c>
      <c r="D783" s="2">
        <v>42572</v>
      </c>
      <c r="E783" s="3">
        <v>46038</v>
      </c>
      <c r="F783" s="3">
        <v>46248</v>
      </c>
      <c r="G783" s="4">
        <v>45000</v>
      </c>
      <c r="H783" s="2">
        <v>0</v>
      </c>
      <c r="I783" s="2" t="s">
        <v>274</v>
      </c>
      <c r="J783" s="2" t="s">
        <v>238</v>
      </c>
    </row>
    <row r="784" spans="1:10" x14ac:dyDescent="0.3">
      <c r="A784" s="2" t="s">
        <v>391</v>
      </c>
      <c r="B784" s="2" t="s">
        <v>392</v>
      </c>
      <c r="C784" s="2">
        <v>32646</v>
      </c>
      <c r="D784" s="2">
        <v>43300</v>
      </c>
      <c r="E784" s="3">
        <v>46098</v>
      </c>
      <c r="F784" s="3">
        <v>46248</v>
      </c>
      <c r="G784" s="4">
        <v>24800</v>
      </c>
      <c r="H784" s="2">
        <v>0</v>
      </c>
      <c r="I784" s="2" t="s">
        <v>814</v>
      </c>
      <c r="J784" s="2" t="s">
        <v>394</v>
      </c>
    </row>
    <row r="785" spans="1:10" x14ac:dyDescent="0.3">
      <c r="A785" s="2" t="s">
        <v>391</v>
      </c>
      <c r="B785" s="2" t="s">
        <v>392</v>
      </c>
      <c r="C785" s="2">
        <v>32649</v>
      </c>
      <c r="D785" s="2">
        <v>43303</v>
      </c>
      <c r="E785" s="3">
        <v>46098</v>
      </c>
      <c r="F785" s="3">
        <v>46248</v>
      </c>
      <c r="G785" s="4">
        <v>24800</v>
      </c>
      <c r="H785" s="2">
        <v>0</v>
      </c>
      <c r="I785" s="2" t="s">
        <v>817</v>
      </c>
      <c r="J785" s="2" t="s">
        <v>394</v>
      </c>
    </row>
    <row r="786" spans="1:10" x14ac:dyDescent="0.3">
      <c r="A786" s="2" t="s">
        <v>1005</v>
      </c>
      <c r="B786" s="2" t="s">
        <v>1006</v>
      </c>
      <c r="C786" s="2">
        <v>32948</v>
      </c>
      <c r="D786" s="2">
        <v>43601</v>
      </c>
      <c r="E786" s="3">
        <v>46128</v>
      </c>
      <c r="F786" s="3">
        <v>46248</v>
      </c>
      <c r="G786" s="4">
        <v>62734.26</v>
      </c>
      <c r="H786" s="2">
        <v>0</v>
      </c>
      <c r="I786" s="2" t="s">
        <v>1007</v>
      </c>
      <c r="J786" s="2" t="s">
        <v>92</v>
      </c>
    </row>
    <row r="787" spans="1:10" x14ac:dyDescent="0.3">
      <c r="A787" s="2" t="s">
        <v>804</v>
      </c>
      <c r="B787" s="2" t="s">
        <v>805</v>
      </c>
      <c r="C787" s="2">
        <v>32953</v>
      </c>
      <c r="D787" s="2">
        <v>43605</v>
      </c>
      <c r="E787" s="3">
        <v>46128</v>
      </c>
      <c r="F787" s="3">
        <v>46248</v>
      </c>
      <c r="G787" s="2">
        <v>313.92</v>
      </c>
      <c r="H787" s="2">
        <v>0</v>
      </c>
      <c r="I787" s="2" t="s">
        <v>1012</v>
      </c>
      <c r="J787" s="2" t="s">
        <v>92</v>
      </c>
    </row>
    <row r="788" spans="1:10" x14ac:dyDescent="0.3">
      <c r="A788" s="2" t="s">
        <v>357</v>
      </c>
      <c r="B788" s="2" t="s">
        <v>358</v>
      </c>
      <c r="C788" s="2">
        <v>32954</v>
      </c>
      <c r="D788" s="2">
        <v>43606</v>
      </c>
      <c r="E788" s="3">
        <v>46128</v>
      </c>
      <c r="F788" s="3">
        <v>46248</v>
      </c>
      <c r="G788" s="4">
        <v>188160</v>
      </c>
      <c r="H788" s="2">
        <v>0</v>
      </c>
      <c r="I788" s="2" t="s">
        <v>1013</v>
      </c>
      <c r="J788" s="2" t="s">
        <v>260</v>
      </c>
    </row>
    <row r="789" spans="1:10" x14ac:dyDescent="0.3">
      <c r="A789" s="2" t="s">
        <v>391</v>
      </c>
      <c r="B789" s="2" t="s">
        <v>392</v>
      </c>
      <c r="C789" s="2">
        <v>32652</v>
      </c>
      <c r="D789" s="2">
        <v>43306</v>
      </c>
      <c r="E789" s="3">
        <v>46099</v>
      </c>
      <c r="F789" s="3">
        <v>46249</v>
      </c>
      <c r="G789" s="4">
        <v>63187.5</v>
      </c>
      <c r="H789" s="2">
        <v>0</v>
      </c>
      <c r="I789" s="2" t="s">
        <v>820</v>
      </c>
      <c r="J789" s="2" t="s">
        <v>394</v>
      </c>
    </row>
    <row r="790" spans="1:10" x14ac:dyDescent="0.3">
      <c r="A790" s="2" t="s">
        <v>1019</v>
      </c>
      <c r="B790" s="2" t="s">
        <v>1020</v>
      </c>
      <c r="C790" s="2">
        <v>32960</v>
      </c>
      <c r="D790" s="2">
        <v>43611</v>
      </c>
      <c r="E790" s="3">
        <v>46129</v>
      </c>
      <c r="F790" s="3">
        <v>46249</v>
      </c>
      <c r="G790" s="4">
        <v>22596.75</v>
      </c>
      <c r="H790" s="2">
        <v>0</v>
      </c>
      <c r="I790" s="2" t="s">
        <v>1021</v>
      </c>
      <c r="J790" s="2" t="s">
        <v>318</v>
      </c>
    </row>
    <row r="791" spans="1:10" x14ac:dyDescent="0.3">
      <c r="A791" s="2" t="s">
        <v>916</v>
      </c>
      <c r="B791" s="2" t="s">
        <v>707</v>
      </c>
      <c r="C791" s="2">
        <v>32961</v>
      </c>
      <c r="D791" s="2">
        <v>43612</v>
      </c>
      <c r="E791" s="3">
        <v>46129</v>
      </c>
      <c r="F791" s="3">
        <v>46249</v>
      </c>
      <c r="G791" s="4">
        <v>50800</v>
      </c>
      <c r="H791" s="2">
        <v>0</v>
      </c>
      <c r="I791" s="2" t="s">
        <v>1022</v>
      </c>
      <c r="J791" s="2" t="s">
        <v>417</v>
      </c>
    </row>
    <row r="792" spans="1:10" x14ac:dyDescent="0.3">
      <c r="A792" s="2" t="s">
        <v>943</v>
      </c>
      <c r="B792" s="2" t="s">
        <v>707</v>
      </c>
      <c r="C792" s="2">
        <v>32962</v>
      </c>
      <c r="D792" s="2">
        <v>43613</v>
      </c>
      <c r="E792" s="3">
        <v>46129</v>
      </c>
      <c r="F792" s="3">
        <v>46249</v>
      </c>
      <c r="G792" s="4">
        <v>76200</v>
      </c>
      <c r="H792" s="2">
        <v>0</v>
      </c>
      <c r="I792" s="2" t="s">
        <v>1023</v>
      </c>
      <c r="J792" s="2" t="s">
        <v>417</v>
      </c>
    </row>
    <row r="793" spans="1:10" x14ac:dyDescent="0.3">
      <c r="A793" s="2" t="s">
        <v>943</v>
      </c>
      <c r="B793" s="2" t="s">
        <v>707</v>
      </c>
      <c r="C793" s="2">
        <v>32963</v>
      </c>
      <c r="D793" s="2">
        <v>43614</v>
      </c>
      <c r="E793" s="3">
        <v>46129</v>
      </c>
      <c r="F793" s="3">
        <v>46249</v>
      </c>
      <c r="G793" s="4">
        <v>71864</v>
      </c>
      <c r="H793" s="2">
        <v>0</v>
      </c>
      <c r="I793" s="2" t="s">
        <v>1024</v>
      </c>
      <c r="J793" s="2" t="s">
        <v>417</v>
      </c>
    </row>
    <row r="794" spans="1:10" x14ac:dyDescent="0.3">
      <c r="A794" s="2" t="s">
        <v>916</v>
      </c>
      <c r="B794" s="2" t="s">
        <v>707</v>
      </c>
      <c r="C794" s="2">
        <v>32968</v>
      </c>
      <c r="D794" s="2">
        <v>43619</v>
      </c>
      <c r="E794" s="3">
        <v>46129</v>
      </c>
      <c r="F794" s="3">
        <v>46249</v>
      </c>
      <c r="G794" s="4">
        <v>37903</v>
      </c>
      <c r="H794" s="2">
        <v>0</v>
      </c>
      <c r="I794" s="2" t="s">
        <v>1029</v>
      </c>
      <c r="J794" s="2" t="s">
        <v>417</v>
      </c>
    </row>
    <row r="795" spans="1:10" x14ac:dyDescent="0.3">
      <c r="A795" s="2" t="s">
        <v>943</v>
      </c>
      <c r="B795" s="2" t="s">
        <v>707</v>
      </c>
      <c r="C795" s="2">
        <v>32969</v>
      </c>
      <c r="D795" s="2">
        <v>43620</v>
      </c>
      <c r="E795" s="3">
        <v>46129</v>
      </c>
      <c r="F795" s="3">
        <v>46249</v>
      </c>
      <c r="G795" s="4">
        <v>129393</v>
      </c>
      <c r="H795" s="2">
        <v>0</v>
      </c>
      <c r="I795" s="2" t="s">
        <v>1030</v>
      </c>
      <c r="J795" s="2" t="s">
        <v>417</v>
      </c>
    </row>
    <row r="796" spans="1:10" x14ac:dyDescent="0.3">
      <c r="A796" s="2" t="s">
        <v>831</v>
      </c>
      <c r="B796" s="2" t="s">
        <v>832</v>
      </c>
      <c r="C796" s="2">
        <v>32669</v>
      </c>
      <c r="D796" s="2">
        <v>43324</v>
      </c>
      <c r="E796" s="3">
        <v>46100</v>
      </c>
      <c r="F796" s="3">
        <v>46250</v>
      </c>
      <c r="G796" s="4">
        <v>163740</v>
      </c>
      <c r="H796" s="2">
        <v>0</v>
      </c>
      <c r="I796" s="2" t="s">
        <v>834</v>
      </c>
      <c r="J796" s="2" t="s">
        <v>394</v>
      </c>
    </row>
    <row r="797" spans="1:10" x14ac:dyDescent="0.3">
      <c r="A797" s="2" t="s">
        <v>396</v>
      </c>
      <c r="B797" s="2" t="s">
        <v>392</v>
      </c>
      <c r="C797" s="2">
        <v>32676</v>
      </c>
      <c r="D797" s="2">
        <v>43331</v>
      </c>
      <c r="E797" s="3">
        <v>46100</v>
      </c>
      <c r="F797" s="3">
        <v>46250</v>
      </c>
      <c r="G797" s="4">
        <v>53400</v>
      </c>
      <c r="H797" s="2">
        <v>0</v>
      </c>
      <c r="I797" s="2" t="s">
        <v>841</v>
      </c>
      <c r="J797" s="2" t="s">
        <v>394</v>
      </c>
    </row>
    <row r="798" spans="1:10" x14ac:dyDescent="0.3">
      <c r="A798" s="2" t="s">
        <v>244</v>
      </c>
      <c r="B798" s="2" t="s">
        <v>245</v>
      </c>
      <c r="C798" s="2">
        <v>30909</v>
      </c>
      <c r="D798" s="2">
        <v>41392</v>
      </c>
      <c r="E798" s="3">
        <v>45937</v>
      </c>
      <c r="F798" s="3">
        <v>46251</v>
      </c>
      <c r="G798" s="4">
        <v>349132.6</v>
      </c>
      <c r="H798" s="2">
        <v>0</v>
      </c>
      <c r="I798" s="2" t="s">
        <v>251</v>
      </c>
      <c r="J798" s="2" t="s">
        <v>66</v>
      </c>
    </row>
    <row r="799" spans="1:10" x14ac:dyDescent="0.3">
      <c r="A799" s="2" t="s">
        <v>244</v>
      </c>
      <c r="B799" s="2" t="s">
        <v>245</v>
      </c>
      <c r="C799" s="2">
        <v>31532</v>
      </c>
      <c r="D799" s="2">
        <v>42086</v>
      </c>
      <c r="E799" s="3">
        <v>45996</v>
      </c>
      <c r="F799" s="3">
        <v>46251</v>
      </c>
      <c r="G799" s="4">
        <v>123752.5</v>
      </c>
      <c r="H799" s="2">
        <v>0</v>
      </c>
      <c r="I799" s="2" t="s">
        <v>372</v>
      </c>
      <c r="J799" s="2" t="s">
        <v>66</v>
      </c>
    </row>
    <row r="800" spans="1:10" x14ac:dyDescent="0.3">
      <c r="A800" s="2" t="s">
        <v>767</v>
      </c>
      <c r="B800" s="2" t="s">
        <v>768</v>
      </c>
      <c r="C800" s="2">
        <v>32301</v>
      </c>
      <c r="D800" s="2">
        <v>302814</v>
      </c>
      <c r="E800" s="3">
        <v>46071</v>
      </c>
      <c r="F800" s="3">
        <v>46251</v>
      </c>
      <c r="G800" s="4">
        <v>244680</v>
      </c>
      <c r="H800" s="2">
        <v>0</v>
      </c>
      <c r="I800" s="2" t="s">
        <v>769</v>
      </c>
      <c r="J800" s="2" t="s">
        <v>770</v>
      </c>
    </row>
    <row r="801" spans="1:10" x14ac:dyDescent="0.3">
      <c r="A801" s="2" t="s">
        <v>735</v>
      </c>
      <c r="B801" s="2" t="s">
        <v>736</v>
      </c>
      <c r="C801" s="2">
        <v>32657</v>
      </c>
      <c r="D801" s="2">
        <v>43312</v>
      </c>
      <c r="E801" s="3">
        <v>46100</v>
      </c>
      <c r="F801" s="3">
        <v>46251</v>
      </c>
      <c r="G801" s="4">
        <v>48625.1</v>
      </c>
      <c r="H801" s="2">
        <v>0</v>
      </c>
      <c r="I801" s="2" t="s">
        <v>821</v>
      </c>
      <c r="J801" s="2" t="s">
        <v>19</v>
      </c>
    </row>
    <row r="802" spans="1:10" x14ac:dyDescent="0.3">
      <c r="A802" s="2" t="s">
        <v>440</v>
      </c>
      <c r="B802" s="2" t="s">
        <v>441</v>
      </c>
      <c r="C802" s="2">
        <v>32663</v>
      </c>
      <c r="D802" s="2">
        <v>43318</v>
      </c>
      <c r="E802" s="3">
        <v>46100</v>
      </c>
      <c r="F802" s="3">
        <v>46251</v>
      </c>
      <c r="G802" s="4">
        <v>36913.96</v>
      </c>
      <c r="H802" s="2">
        <v>0</v>
      </c>
      <c r="I802" s="2" t="s">
        <v>829</v>
      </c>
      <c r="J802" s="2" t="s">
        <v>417</v>
      </c>
    </row>
    <row r="803" spans="1:10" x14ac:dyDescent="0.3">
      <c r="A803" s="2" t="s">
        <v>480</v>
      </c>
      <c r="B803" s="2" t="s">
        <v>481</v>
      </c>
      <c r="C803" s="2">
        <v>32687</v>
      </c>
      <c r="D803" s="2">
        <v>43342</v>
      </c>
      <c r="E803" s="3">
        <v>46101</v>
      </c>
      <c r="F803" s="3">
        <v>46251</v>
      </c>
      <c r="G803" s="4">
        <v>13483.4</v>
      </c>
      <c r="H803" s="2">
        <v>0</v>
      </c>
      <c r="I803" s="2" t="s">
        <v>482</v>
      </c>
      <c r="J803" s="2" t="s">
        <v>238</v>
      </c>
    </row>
    <row r="804" spans="1:10" x14ac:dyDescent="0.3">
      <c r="A804" s="2" t="s">
        <v>257</v>
      </c>
      <c r="B804" s="2" t="s">
        <v>258</v>
      </c>
      <c r="C804" s="2">
        <v>32702</v>
      </c>
      <c r="D804" s="2">
        <v>43356</v>
      </c>
      <c r="E804" s="3">
        <v>46101</v>
      </c>
      <c r="F804" s="3">
        <v>46251</v>
      </c>
      <c r="G804" s="4">
        <v>3314.62</v>
      </c>
      <c r="H804" s="2">
        <v>0</v>
      </c>
      <c r="I804" s="2" t="s">
        <v>551</v>
      </c>
      <c r="J804" s="2" t="s">
        <v>260</v>
      </c>
    </row>
    <row r="805" spans="1:10" x14ac:dyDescent="0.3">
      <c r="A805" s="2" t="s">
        <v>427</v>
      </c>
      <c r="B805" s="2" t="s">
        <v>428</v>
      </c>
      <c r="C805" s="2">
        <v>32706</v>
      </c>
      <c r="D805" s="2">
        <v>43360</v>
      </c>
      <c r="E805" s="3">
        <v>46101</v>
      </c>
      <c r="F805" s="3">
        <v>46251</v>
      </c>
      <c r="G805" s="4">
        <v>34682.300000000003</v>
      </c>
      <c r="H805" s="2">
        <v>0</v>
      </c>
      <c r="I805" s="2" t="s">
        <v>860</v>
      </c>
      <c r="J805" s="2" t="s">
        <v>260</v>
      </c>
    </row>
    <row r="806" spans="1:10" x14ac:dyDescent="0.3">
      <c r="A806" s="2" t="s">
        <v>414</v>
      </c>
      <c r="B806" s="2" t="s">
        <v>415</v>
      </c>
      <c r="C806" s="2">
        <v>32844</v>
      </c>
      <c r="D806" s="2">
        <v>43498</v>
      </c>
      <c r="E806" s="3">
        <v>46114</v>
      </c>
      <c r="F806" s="3">
        <v>46251</v>
      </c>
      <c r="G806" s="2">
        <v>566.66999999999996</v>
      </c>
      <c r="H806" s="2">
        <v>0</v>
      </c>
      <c r="I806" s="2" t="s">
        <v>955</v>
      </c>
      <c r="J806" s="2" t="s">
        <v>417</v>
      </c>
    </row>
    <row r="807" spans="1:10" x14ac:dyDescent="0.3">
      <c r="A807" s="2" t="s">
        <v>357</v>
      </c>
      <c r="B807" s="2" t="s">
        <v>358</v>
      </c>
      <c r="C807" s="2">
        <v>32956</v>
      </c>
      <c r="D807" s="2">
        <v>43608</v>
      </c>
      <c r="E807" s="3">
        <v>46129</v>
      </c>
      <c r="F807" s="3">
        <v>46251</v>
      </c>
      <c r="G807" s="4">
        <v>180568.5</v>
      </c>
      <c r="H807" s="2">
        <v>0</v>
      </c>
      <c r="I807" s="2" t="s">
        <v>1015</v>
      </c>
      <c r="J807" s="2" t="s">
        <v>260</v>
      </c>
    </row>
    <row r="808" spans="1:10" x14ac:dyDescent="0.3">
      <c r="A808" s="2" t="s">
        <v>913</v>
      </c>
      <c r="B808" s="2" t="s">
        <v>914</v>
      </c>
      <c r="C808" s="2">
        <v>32964</v>
      </c>
      <c r="D808" s="2">
        <v>43615</v>
      </c>
      <c r="E808" s="3">
        <v>46129</v>
      </c>
      <c r="F808" s="3">
        <v>46251</v>
      </c>
      <c r="G808" s="4">
        <v>20092.5</v>
      </c>
      <c r="H808" s="2">
        <v>0</v>
      </c>
      <c r="I808" s="2" t="s">
        <v>1025</v>
      </c>
      <c r="J808" s="2" t="s">
        <v>260</v>
      </c>
    </row>
    <row r="809" spans="1:10" x14ac:dyDescent="0.3">
      <c r="A809" s="2" t="s">
        <v>784</v>
      </c>
      <c r="B809" s="2" t="s">
        <v>724</v>
      </c>
      <c r="C809" s="2">
        <v>32970</v>
      </c>
      <c r="D809" s="2">
        <v>43621</v>
      </c>
      <c r="E809" s="3">
        <v>46129</v>
      </c>
      <c r="F809" s="3">
        <v>46251</v>
      </c>
      <c r="G809" s="4">
        <v>117099.46</v>
      </c>
      <c r="H809" s="2">
        <v>0</v>
      </c>
      <c r="I809" s="2" t="s">
        <v>1031</v>
      </c>
      <c r="J809" s="2" t="s">
        <v>162</v>
      </c>
    </row>
    <row r="810" spans="1:10" x14ac:dyDescent="0.3">
      <c r="A810" s="2" t="s">
        <v>735</v>
      </c>
      <c r="B810" s="2" t="s">
        <v>736</v>
      </c>
      <c r="C810" s="2">
        <v>33174</v>
      </c>
      <c r="D810" s="2">
        <v>43817</v>
      </c>
      <c r="E810" s="3">
        <v>46160</v>
      </c>
      <c r="F810" s="3">
        <v>46251</v>
      </c>
      <c r="G810" s="4">
        <v>48208.29</v>
      </c>
      <c r="H810" s="2">
        <v>0</v>
      </c>
      <c r="I810" s="2" t="s">
        <v>1162</v>
      </c>
      <c r="J810" s="2" t="s">
        <v>19</v>
      </c>
    </row>
    <row r="811" spans="1:10" x14ac:dyDescent="0.3">
      <c r="A811" s="2" t="s">
        <v>748</v>
      </c>
      <c r="B811" s="2" t="s">
        <v>749</v>
      </c>
      <c r="C811" s="2">
        <v>33175</v>
      </c>
      <c r="D811" s="2">
        <v>43820</v>
      </c>
      <c r="E811" s="3">
        <v>46160</v>
      </c>
      <c r="F811" s="3">
        <v>46251</v>
      </c>
      <c r="G811" s="4">
        <v>5235.84</v>
      </c>
      <c r="H811" s="2">
        <v>0</v>
      </c>
      <c r="I811" s="2" t="s">
        <v>1163</v>
      </c>
      <c r="J811" s="2" t="s">
        <v>339</v>
      </c>
    </row>
    <row r="812" spans="1:10" x14ac:dyDescent="0.3">
      <c r="A812" s="2" t="s">
        <v>665</v>
      </c>
      <c r="B812" s="2" t="s">
        <v>666</v>
      </c>
      <c r="C812" s="2">
        <v>33179</v>
      </c>
      <c r="D812" s="2">
        <v>43826</v>
      </c>
      <c r="E812" s="3">
        <v>46161</v>
      </c>
      <c r="F812" s="3">
        <v>46251</v>
      </c>
      <c r="G812" s="4">
        <v>5103.1099999999997</v>
      </c>
      <c r="H812" s="2">
        <v>0</v>
      </c>
      <c r="I812" s="2" t="s">
        <v>1166</v>
      </c>
      <c r="J812" s="2" t="s">
        <v>238</v>
      </c>
    </row>
    <row r="813" spans="1:10" x14ac:dyDescent="0.3">
      <c r="A813" s="2" t="s">
        <v>257</v>
      </c>
      <c r="B813" s="2" t="s">
        <v>258</v>
      </c>
      <c r="C813" s="2">
        <v>32314</v>
      </c>
      <c r="D813" s="2">
        <v>42950</v>
      </c>
      <c r="E813" s="3">
        <v>46072</v>
      </c>
      <c r="F813" s="3">
        <v>46252</v>
      </c>
      <c r="G813" s="4">
        <v>1663.34</v>
      </c>
      <c r="H813" s="2">
        <v>0</v>
      </c>
      <c r="I813" s="2" t="s">
        <v>551</v>
      </c>
      <c r="J813" s="2" t="s">
        <v>260</v>
      </c>
    </row>
    <row r="814" spans="1:10" x14ac:dyDescent="0.3">
      <c r="A814" s="2" t="s">
        <v>662</v>
      </c>
      <c r="B814" s="2" t="s">
        <v>44</v>
      </c>
      <c r="C814" s="2">
        <v>32318</v>
      </c>
      <c r="D814" s="2">
        <v>42954</v>
      </c>
      <c r="E814" s="3">
        <v>46072</v>
      </c>
      <c r="F814" s="3">
        <v>46252</v>
      </c>
      <c r="G814" s="4">
        <v>23276</v>
      </c>
      <c r="H814" s="2">
        <v>0</v>
      </c>
      <c r="I814" s="2" t="s">
        <v>663</v>
      </c>
      <c r="J814" s="2" t="s">
        <v>46</v>
      </c>
    </row>
    <row r="815" spans="1:10" x14ac:dyDescent="0.3">
      <c r="A815" s="2" t="s">
        <v>257</v>
      </c>
      <c r="B815" s="2" t="s">
        <v>258</v>
      </c>
      <c r="C815" s="2">
        <v>32351</v>
      </c>
      <c r="D815" s="2">
        <v>42985</v>
      </c>
      <c r="E815" s="3">
        <v>46072</v>
      </c>
      <c r="F815" s="3">
        <v>46252</v>
      </c>
      <c r="G815" s="4">
        <v>34160.06</v>
      </c>
      <c r="H815" s="2">
        <v>0</v>
      </c>
      <c r="I815" s="2" t="s">
        <v>551</v>
      </c>
      <c r="J815" s="2" t="s">
        <v>260</v>
      </c>
    </row>
    <row r="816" spans="1:10" x14ac:dyDescent="0.3">
      <c r="A816" s="2" t="s">
        <v>360</v>
      </c>
      <c r="B816" s="2" t="s">
        <v>361</v>
      </c>
      <c r="C816" s="2">
        <v>33074</v>
      </c>
      <c r="D816" s="2">
        <v>43719</v>
      </c>
      <c r="E816" s="3">
        <v>46147</v>
      </c>
      <c r="F816" s="3">
        <v>46252</v>
      </c>
      <c r="G816" s="2">
        <v>505.82</v>
      </c>
      <c r="H816" s="2">
        <v>0</v>
      </c>
      <c r="I816" s="2" t="s">
        <v>1092</v>
      </c>
      <c r="J816" s="2" t="s">
        <v>92</v>
      </c>
    </row>
    <row r="817" spans="1:10" x14ac:dyDescent="0.3">
      <c r="A817" s="2" t="s">
        <v>517</v>
      </c>
      <c r="B817" s="2" t="s">
        <v>518</v>
      </c>
      <c r="C817" s="2">
        <v>33191</v>
      </c>
      <c r="D817" s="2">
        <v>43838</v>
      </c>
      <c r="E817" s="3">
        <v>46162</v>
      </c>
      <c r="F817" s="3">
        <v>46252</v>
      </c>
      <c r="G817" s="4">
        <v>3515.34</v>
      </c>
      <c r="H817" s="2">
        <v>0</v>
      </c>
      <c r="I817" s="2" t="s">
        <v>1175</v>
      </c>
      <c r="J817" s="2" t="s">
        <v>238</v>
      </c>
    </row>
    <row r="818" spans="1:10" x14ac:dyDescent="0.3">
      <c r="A818" s="2" t="s">
        <v>357</v>
      </c>
      <c r="B818" s="2" t="s">
        <v>358</v>
      </c>
      <c r="C818" s="2">
        <v>32022</v>
      </c>
      <c r="D818" s="2">
        <v>42647</v>
      </c>
      <c r="E818" s="3">
        <v>46043</v>
      </c>
      <c r="F818" s="3">
        <v>46253</v>
      </c>
      <c r="G818" s="4">
        <v>71050.67</v>
      </c>
      <c r="H818" s="2">
        <v>0</v>
      </c>
      <c r="I818" s="2" t="s">
        <v>547</v>
      </c>
      <c r="J818" s="2" t="s">
        <v>260</v>
      </c>
    </row>
    <row r="819" spans="1:10" x14ac:dyDescent="0.3">
      <c r="A819" s="2" t="s">
        <v>440</v>
      </c>
      <c r="B819" s="2" t="s">
        <v>441</v>
      </c>
      <c r="C819" s="2">
        <v>32354</v>
      </c>
      <c r="D819" s="2">
        <v>42989</v>
      </c>
      <c r="E819" s="3">
        <v>46073</v>
      </c>
      <c r="F819" s="3">
        <v>46253</v>
      </c>
      <c r="G819" s="2">
        <v>372</v>
      </c>
      <c r="H819" s="2">
        <v>0</v>
      </c>
      <c r="I819" s="2" t="s">
        <v>552</v>
      </c>
      <c r="J819" s="2" t="s">
        <v>417</v>
      </c>
    </row>
    <row r="820" spans="1:10" x14ac:dyDescent="0.3">
      <c r="A820" s="2" t="s">
        <v>440</v>
      </c>
      <c r="B820" s="2" t="s">
        <v>441</v>
      </c>
      <c r="C820" s="2">
        <v>32355</v>
      </c>
      <c r="D820" s="2">
        <v>42990</v>
      </c>
      <c r="E820" s="3">
        <v>46073</v>
      </c>
      <c r="F820" s="3">
        <v>46253</v>
      </c>
      <c r="G820" s="4">
        <v>18465.68</v>
      </c>
      <c r="H820" s="2">
        <v>0</v>
      </c>
      <c r="I820" s="2" t="s">
        <v>552</v>
      </c>
      <c r="J820" s="2" t="s">
        <v>417</v>
      </c>
    </row>
    <row r="821" spans="1:10" x14ac:dyDescent="0.3">
      <c r="A821" s="2" t="s">
        <v>440</v>
      </c>
      <c r="B821" s="2" t="s">
        <v>441</v>
      </c>
      <c r="C821" s="2">
        <v>32358</v>
      </c>
      <c r="D821" s="2">
        <v>42993</v>
      </c>
      <c r="E821" s="3">
        <v>46073</v>
      </c>
      <c r="F821" s="3">
        <v>46253</v>
      </c>
      <c r="G821" s="4">
        <v>3240</v>
      </c>
      <c r="H821" s="2">
        <v>0</v>
      </c>
      <c r="I821" s="2" t="s">
        <v>552</v>
      </c>
      <c r="J821" s="2" t="s">
        <v>417</v>
      </c>
    </row>
    <row r="822" spans="1:10" x14ac:dyDescent="0.3">
      <c r="A822" s="2" t="s">
        <v>106</v>
      </c>
      <c r="B822" s="2" t="s">
        <v>90</v>
      </c>
      <c r="C822" s="2">
        <v>32585</v>
      </c>
      <c r="D822" s="2">
        <v>43261</v>
      </c>
      <c r="E822" s="3">
        <v>46097</v>
      </c>
      <c r="F822" s="3">
        <v>46254</v>
      </c>
      <c r="G822" s="4">
        <v>252000</v>
      </c>
      <c r="H822" s="2">
        <v>0</v>
      </c>
      <c r="I822" s="2" t="s">
        <v>797</v>
      </c>
      <c r="J822" s="2" t="s">
        <v>97</v>
      </c>
    </row>
    <row r="823" spans="1:10" x14ac:dyDescent="0.3">
      <c r="A823" s="2" t="s">
        <v>110</v>
      </c>
      <c r="B823" s="2" t="s">
        <v>90</v>
      </c>
      <c r="C823" s="2">
        <v>32684</v>
      </c>
      <c r="D823" s="2">
        <v>43340</v>
      </c>
      <c r="E823" s="3">
        <v>46101</v>
      </c>
      <c r="F823" s="3">
        <v>46254</v>
      </c>
      <c r="G823" s="4">
        <v>255633</v>
      </c>
      <c r="H823" s="2">
        <v>0</v>
      </c>
      <c r="I823" s="2" t="s">
        <v>846</v>
      </c>
      <c r="J823" s="2" t="s">
        <v>97</v>
      </c>
    </row>
    <row r="824" spans="1:10" x14ac:dyDescent="0.3">
      <c r="A824" s="2" t="s">
        <v>588</v>
      </c>
      <c r="B824" s="2" t="s">
        <v>589</v>
      </c>
      <c r="C824" s="2">
        <v>32977</v>
      </c>
      <c r="D824" s="2">
        <v>43627</v>
      </c>
      <c r="E824" s="3">
        <v>46134</v>
      </c>
      <c r="F824" s="3">
        <v>46254</v>
      </c>
      <c r="G824" s="4">
        <v>2243.34</v>
      </c>
      <c r="H824" s="2">
        <v>0</v>
      </c>
      <c r="I824" s="2" t="s">
        <v>1033</v>
      </c>
      <c r="J824" s="2" t="s">
        <v>92</v>
      </c>
    </row>
    <row r="825" spans="1:10" x14ac:dyDescent="0.3">
      <c r="A825" s="2" t="s">
        <v>588</v>
      </c>
      <c r="B825" s="2" t="s">
        <v>589</v>
      </c>
      <c r="C825" s="2">
        <v>32978</v>
      </c>
      <c r="D825" s="2">
        <v>43628</v>
      </c>
      <c r="E825" s="3">
        <v>46134</v>
      </c>
      <c r="F825" s="3">
        <v>46254</v>
      </c>
      <c r="G825" s="4">
        <v>6730.02</v>
      </c>
      <c r="H825" s="2">
        <v>0</v>
      </c>
      <c r="I825" s="2" t="s">
        <v>1034</v>
      </c>
      <c r="J825" s="2" t="s">
        <v>92</v>
      </c>
    </row>
    <row r="826" spans="1:10" x14ac:dyDescent="0.3">
      <c r="A826" s="2" t="s">
        <v>514</v>
      </c>
      <c r="B826" s="2" t="s">
        <v>515</v>
      </c>
      <c r="C826" s="2">
        <v>32982</v>
      </c>
      <c r="D826" s="2">
        <v>43632</v>
      </c>
      <c r="E826" s="3">
        <v>46134</v>
      </c>
      <c r="F826" s="3">
        <v>46254</v>
      </c>
      <c r="G826" s="4">
        <v>4896.74</v>
      </c>
      <c r="H826" s="2">
        <v>0</v>
      </c>
      <c r="I826" s="2" t="s">
        <v>1035</v>
      </c>
      <c r="J826" s="2" t="s">
        <v>238</v>
      </c>
    </row>
    <row r="827" spans="1:10" x14ac:dyDescent="0.3">
      <c r="A827" s="2" t="s">
        <v>398</v>
      </c>
      <c r="B827" s="2" t="s">
        <v>399</v>
      </c>
      <c r="C827" s="2">
        <v>32983</v>
      </c>
      <c r="D827" s="2">
        <v>43633</v>
      </c>
      <c r="E827" s="3">
        <v>46134</v>
      </c>
      <c r="F827" s="3">
        <v>46254</v>
      </c>
      <c r="G827" s="4">
        <v>4280</v>
      </c>
      <c r="H827" s="2">
        <v>0</v>
      </c>
      <c r="I827" s="2" t="s">
        <v>1036</v>
      </c>
      <c r="J827" s="2" t="s">
        <v>394</v>
      </c>
    </row>
    <row r="828" spans="1:10" x14ac:dyDescent="0.3">
      <c r="A828" s="2" t="s">
        <v>391</v>
      </c>
      <c r="B828" s="2" t="s">
        <v>392</v>
      </c>
      <c r="C828" s="2">
        <v>32984</v>
      </c>
      <c r="D828" s="2">
        <v>43634</v>
      </c>
      <c r="E828" s="3">
        <v>46134</v>
      </c>
      <c r="F828" s="3">
        <v>46254</v>
      </c>
      <c r="G828" s="4">
        <v>192500</v>
      </c>
      <c r="H828" s="2">
        <v>0</v>
      </c>
      <c r="I828" s="2" t="s">
        <v>1037</v>
      </c>
      <c r="J828" s="2" t="s">
        <v>394</v>
      </c>
    </row>
    <row r="829" spans="1:10" x14ac:dyDescent="0.3">
      <c r="A829" s="2" t="s">
        <v>398</v>
      </c>
      <c r="B829" s="2" t="s">
        <v>399</v>
      </c>
      <c r="C829" s="2">
        <v>32986</v>
      </c>
      <c r="D829" s="2">
        <v>43636</v>
      </c>
      <c r="E829" s="3">
        <v>46134</v>
      </c>
      <c r="F829" s="3">
        <v>46254</v>
      </c>
      <c r="G829" s="4">
        <v>390375</v>
      </c>
      <c r="H829" s="2">
        <v>0</v>
      </c>
      <c r="I829" s="2" t="s">
        <v>1038</v>
      </c>
      <c r="J829" s="2" t="s">
        <v>394</v>
      </c>
    </row>
    <row r="830" spans="1:10" x14ac:dyDescent="0.3">
      <c r="A830" s="2" t="s">
        <v>391</v>
      </c>
      <c r="B830" s="2" t="s">
        <v>392</v>
      </c>
      <c r="C830" s="2">
        <v>32988</v>
      </c>
      <c r="D830" s="2">
        <v>43638</v>
      </c>
      <c r="E830" s="3">
        <v>46134</v>
      </c>
      <c r="F830" s="3">
        <v>46254</v>
      </c>
      <c r="G830" s="4">
        <v>254875</v>
      </c>
      <c r="H830" s="2">
        <v>0</v>
      </c>
      <c r="I830" s="2" t="s">
        <v>1040</v>
      </c>
      <c r="J830" s="2" t="s">
        <v>394</v>
      </c>
    </row>
    <row r="831" spans="1:10" x14ac:dyDescent="0.3">
      <c r="A831" s="2" t="s">
        <v>480</v>
      </c>
      <c r="B831" s="2" t="s">
        <v>481</v>
      </c>
      <c r="C831" s="2">
        <v>33212</v>
      </c>
      <c r="D831" s="2">
        <v>43859</v>
      </c>
      <c r="E831" s="3">
        <v>46164</v>
      </c>
      <c r="F831" s="3">
        <v>46254</v>
      </c>
      <c r="G831" s="4">
        <v>28255.47</v>
      </c>
      <c r="H831" s="2">
        <v>0</v>
      </c>
      <c r="I831" s="2" t="s">
        <v>1192</v>
      </c>
      <c r="J831" s="2" t="s">
        <v>238</v>
      </c>
    </row>
    <row r="832" spans="1:10" x14ac:dyDescent="0.3">
      <c r="A832" s="2" t="s">
        <v>257</v>
      </c>
      <c r="B832" s="2" t="s">
        <v>258</v>
      </c>
      <c r="C832" s="2">
        <v>32046</v>
      </c>
      <c r="D832" s="2">
        <v>42676</v>
      </c>
      <c r="E832" s="3">
        <v>46045</v>
      </c>
      <c r="F832" s="3">
        <v>46255</v>
      </c>
      <c r="G832" s="4">
        <v>3156.78</v>
      </c>
      <c r="H832" s="2">
        <v>0</v>
      </c>
      <c r="I832" s="2" t="s">
        <v>551</v>
      </c>
      <c r="J832" s="2" t="s">
        <v>260</v>
      </c>
    </row>
    <row r="833" spans="1:10" x14ac:dyDescent="0.3">
      <c r="A833" s="2" t="s">
        <v>831</v>
      </c>
      <c r="B833" s="2" t="s">
        <v>832</v>
      </c>
      <c r="C833" s="2">
        <v>32721</v>
      </c>
      <c r="D833" s="2">
        <v>43375</v>
      </c>
      <c r="E833" s="3">
        <v>46105</v>
      </c>
      <c r="F833" s="3">
        <v>46255</v>
      </c>
      <c r="G833" s="4">
        <v>182800</v>
      </c>
      <c r="H833" s="2">
        <v>0</v>
      </c>
      <c r="I833" s="2" t="s">
        <v>870</v>
      </c>
      <c r="J833" s="2" t="s">
        <v>394</v>
      </c>
    </row>
    <row r="834" spans="1:10" x14ac:dyDescent="0.3">
      <c r="A834" s="2" t="s">
        <v>398</v>
      </c>
      <c r="B834" s="2" t="s">
        <v>399</v>
      </c>
      <c r="C834" s="2">
        <v>32727</v>
      </c>
      <c r="D834" s="2">
        <v>43382</v>
      </c>
      <c r="E834" s="3">
        <v>46105</v>
      </c>
      <c r="F834" s="3">
        <v>46255</v>
      </c>
      <c r="G834" s="4">
        <v>78120</v>
      </c>
      <c r="H834" s="2">
        <v>0</v>
      </c>
      <c r="I834" s="2" t="s">
        <v>875</v>
      </c>
      <c r="J834" s="2" t="s">
        <v>394</v>
      </c>
    </row>
    <row r="835" spans="1:10" x14ac:dyDescent="0.3">
      <c r="A835" s="2" t="s">
        <v>1041</v>
      </c>
      <c r="B835" s="2" t="s">
        <v>1042</v>
      </c>
      <c r="C835" s="2">
        <v>32989</v>
      </c>
      <c r="D835" s="2">
        <v>43639</v>
      </c>
      <c r="E835" s="3">
        <v>46135</v>
      </c>
      <c r="F835" s="3">
        <v>46255</v>
      </c>
      <c r="G835" s="4">
        <v>1221.5999999999999</v>
      </c>
      <c r="H835" s="2">
        <v>0</v>
      </c>
      <c r="I835" s="2" t="s">
        <v>1043</v>
      </c>
      <c r="J835" s="2" t="s">
        <v>238</v>
      </c>
    </row>
    <row r="836" spans="1:10" x14ac:dyDescent="0.3">
      <c r="A836" s="2" t="s">
        <v>771</v>
      </c>
      <c r="B836" s="2" t="s">
        <v>772</v>
      </c>
      <c r="C836" s="2">
        <v>32990</v>
      </c>
      <c r="D836" s="2">
        <v>43640</v>
      </c>
      <c r="E836" s="3">
        <v>46135</v>
      </c>
      <c r="F836" s="3">
        <v>46255</v>
      </c>
      <c r="G836" s="4">
        <v>26500</v>
      </c>
      <c r="H836" s="2">
        <v>0</v>
      </c>
      <c r="I836" s="2" t="s">
        <v>1044</v>
      </c>
      <c r="J836" s="2" t="s">
        <v>146</v>
      </c>
    </row>
    <row r="837" spans="1:10" x14ac:dyDescent="0.3">
      <c r="A837" s="2" t="s">
        <v>59</v>
      </c>
      <c r="B837" s="2" t="s">
        <v>52</v>
      </c>
      <c r="C837" s="2">
        <v>32998</v>
      </c>
      <c r="D837" s="2">
        <v>43647</v>
      </c>
      <c r="E837" s="3">
        <v>46135</v>
      </c>
      <c r="F837" s="3">
        <v>46255</v>
      </c>
      <c r="G837" s="4">
        <v>122120</v>
      </c>
      <c r="H837" s="2">
        <v>0</v>
      </c>
      <c r="I837" s="2" t="s">
        <v>1046</v>
      </c>
      <c r="J837" s="2" t="s">
        <v>54</v>
      </c>
    </row>
    <row r="838" spans="1:10" x14ac:dyDescent="0.3">
      <c r="A838" s="2" t="s">
        <v>1047</v>
      </c>
      <c r="B838" s="2" t="s">
        <v>1048</v>
      </c>
      <c r="C838" s="2">
        <v>33002</v>
      </c>
      <c r="D838" s="2">
        <v>43651</v>
      </c>
      <c r="E838" s="3">
        <v>46135</v>
      </c>
      <c r="F838" s="3">
        <v>46255</v>
      </c>
      <c r="G838" s="4">
        <v>14660</v>
      </c>
      <c r="H838" s="2">
        <v>0</v>
      </c>
      <c r="I838" s="2" t="s">
        <v>1049</v>
      </c>
      <c r="J838" s="2" t="s">
        <v>66</v>
      </c>
    </row>
    <row r="839" spans="1:10" x14ac:dyDescent="0.3">
      <c r="A839" s="2" t="s">
        <v>440</v>
      </c>
      <c r="B839" s="2" t="s">
        <v>441</v>
      </c>
      <c r="C839" s="2">
        <v>33120</v>
      </c>
      <c r="D839" s="2">
        <v>43765</v>
      </c>
      <c r="E839" s="3">
        <v>46150</v>
      </c>
      <c r="F839" s="3">
        <v>46255</v>
      </c>
      <c r="G839" s="4">
        <v>4666.66</v>
      </c>
      <c r="H839" s="2">
        <v>0</v>
      </c>
      <c r="I839" s="2" t="s">
        <v>1127</v>
      </c>
      <c r="J839" s="2" t="s">
        <v>417</v>
      </c>
    </row>
    <row r="840" spans="1:10" x14ac:dyDescent="0.3">
      <c r="A840" s="2" t="s">
        <v>440</v>
      </c>
      <c r="B840" s="2" t="s">
        <v>441</v>
      </c>
      <c r="C840" s="2">
        <v>33121</v>
      </c>
      <c r="D840" s="2">
        <v>43766</v>
      </c>
      <c r="E840" s="3">
        <v>46150</v>
      </c>
      <c r="F840" s="3">
        <v>46255</v>
      </c>
      <c r="G840" s="4">
        <v>16386.87</v>
      </c>
      <c r="H840" s="2">
        <v>0</v>
      </c>
      <c r="I840" s="2" t="s">
        <v>1128</v>
      </c>
      <c r="J840" s="2" t="s">
        <v>417</v>
      </c>
    </row>
    <row r="841" spans="1:10" x14ac:dyDescent="0.3">
      <c r="A841" s="2" t="s">
        <v>440</v>
      </c>
      <c r="B841" s="2" t="s">
        <v>441</v>
      </c>
      <c r="C841" s="2">
        <v>33122</v>
      </c>
      <c r="D841" s="2">
        <v>43767</v>
      </c>
      <c r="E841" s="3">
        <v>46150</v>
      </c>
      <c r="F841" s="3">
        <v>46255</v>
      </c>
      <c r="G841" s="4">
        <v>15771.98</v>
      </c>
      <c r="H841" s="2">
        <v>0</v>
      </c>
      <c r="I841" s="2" t="s">
        <v>1129</v>
      </c>
      <c r="J841" s="2" t="s">
        <v>417</v>
      </c>
    </row>
    <row r="842" spans="1:10" x14ac:dyDescent="0.3">
      <c r="A842" s="2" t="s">
        <v>357</v>
      </c>
      <c r="B842" s="2" t="s">
        <v>358</v>
      </c>
      <c r="C842" s="2">
        <v>33008</v>
      </c>
      <c r="D842" s="2">
        <v>43657</v>
      </c>
      <c r="E842" s="3">
        <v>46136</v>
      </c>
      <c r="F842" s="3">
        <v>46256</v>
      </c>
      <c r="G842" s="4">
        <v>180568.5</v>
      </c>
      <c r="H842" s="2">
        <v>0</v>
      </c>
      <c r="I842" s="2" t="s">
        <v>1055</v>
      </c>
      <c r="J842" s="2" t="s">
        <v>260</v>
      </c>
    </row>
    <row r="843" spans="1:10" x14ac:dyDescent="0.3">
      <c r="A843" s="2" t="s">
        <v>440</v>
      </c>
      <c r="B843" s="2" t="s">
        <v>441</v>
      </c>
      <c r="C843" s="2">
        <v>32378</v>
      </c>
      <c r="D843" s="2">
        <v>43041</v>
      </c>
      <c r="E843" s="3">
        <v>46077</v>
      </c>
      <c r="F843" s="3">
        <v>46258</v>
      </c>
      <c r="G843" s="2">
        <v>664</v>
      </c>
      <c r="H843" s="2">
        <v>0</v>
      </c>
      <c r="I843" s="2" t="s">
        <v>552</v>
      </c>
      <c r="J843" s="2" t="s">
        <v>417</v>
      </c>
    </row>
    <row r="844" spans="1:10" x14ac:dyDescent="0.3">
      <c r="A844" s="2" t="s">
        <v>514</v>
      </c>
      <c r="B844" s="2" t="s">
        <v>515</v>
      </c>
      <c r="C844" s="2">
        <v>32386</v>
      </c>
      <c r="D844" s="2">
        <v>43051</v>
      </c>
      <c r="E844" s="3">
        <v>46077</v>
      </c>
      <c r="F844" s="3">
        <v>46258</v>
      </c>
      <c r="G844" s="4">
        <v>2368</v>
      </c>
      <c r="H844" s="2">
        <v>0</v>
      </c>
      <c r="I844" s="2" t="s">
        <v>516</v>
      </c>
      <c r="J844" s="2" t="s">
        <v>238</v>
      </c>
    </row>
    <row r="845" spans="1:10" x14ac:dyDescent="0.3">
      <c r="A845" s="2" t="s">
        <v>585</v>
      </c>
      <c r="B845" s="2" t="s">
        <v>392</v>
      </c>
      <c r="C845" s="2">
        <v>32739</v>
      </c>
      <c r="D845" s="2">
        <v>43397</v>
      </c>
      <c r="E845" s="3">
        <v>46106</v>
      </c>
      <c r="F845" s="3">
        <v>46258</v>
      </c>
      <c r="G845" s="4">
        <v>169400</v>
      </c>
      <c r="H845" s="2">
        <v>0</v>
      </c>
      <c r="I845" s="2" t="s">
        <v>885</v>
      </c>
      <c r="J845" s="2" t="s">
        <v>394</v>
      </c>
    </row>
    <row r="846" spans="1:10" x14ac:dyDescent="0.3">
      <c r="A846" s="2" t="s">
        <v>886</v>
      </c>
      <c r="B846" s="2" t="s">
        <v>415</v>
      </c>
      <c r="C846" s="2">
        <v>32743</v>
      </c>
      <c r="D846" s="2">
        <v>43401</v>
      </c>
      <c r="E846" s="3">
        <v>46107</v>
      </c>
      <c r="F846" s="3">
        <v>46258</v>
      </c>
      <c r="G846" s="4">
        <v>31866.63</v>
      </c>
      <c r="H846" s="2">
        <v>0</v>
      </c>
      <c r="I846" s="2" t="s">
        <v>887</v>
      </c>
      <c r="J846" s="2" t="s">
        <v>417</v>
      </c>
    </row>
    <row r="847" spans="1:10" x14ac:dyDescent="0.3">
      <c r="A847" s="2" t="s">
        <v>886</v>
      </c>
      <c r="B847" s="2" t="s">
        <v>415</v>
      </c>
      <c r="C847" s="2">
        <v>32744</v>
      </c>
      <c r="D847" s="2">
        <v>43402</v>
      </c>
      <c r="E847" s="3">
        <v>46107</v>
      </c>
      <c r="F847" s="3">
        <v>46258</v>
      </c>
      <c r="G847" s="2">
        <v>566.66999999999996</v>
      </c>
      <c r="H847" s="2">
        <v>0</v>
      </c>
      <c r="I847" s="2" t="s">
        <v>888</v>
      </c>
      <c r="J847" s="2" t="s">
        <v>417</v>
      </c>
    </row>
    <row r="848" spans="1:10" x14ac:dyDescent="0.3">
      <c r="A848" s="2" t="s">
        <v>336</v>
      </c>
      <c r="B848" s="2" t="s">
        <v>337</v>
      </c>
      <c r="C848" s="2">
        <v>32746</v>
      </c>
      <c r="D848" s="2">
        <v>43404</v>
      </c>
      <c r="E848" s="3">
        <v>46107</v>
      </c>
      <c r="F848" s="3">
        <v>46258</v>
      </c>
      <c r="G848" s="4">
        <v>20760</v>
      </c>
      <c r="H848" s="2">
        <v>0</v>
      </c>
      <c r="I848" s="2" t="s">
        <v>889</v>
      </c>
      <c r="J848" s="2" t="s">
        <v>339</v>
      </c>
    </row>
    <row r="849" spans="1:10" x14ac:dyDescent="0.3">
      <c r="A849" s="2" t="s">
        <v>336</v>
      </c>
      <c r="B849" s="2" t="s">
        <v>337</v>
      </c>
      <c r="C849" s="2">
        <v>32749</v>
      </c>
      <c r="D849" s="2">
        <v>43406</v>
      </c>
      <c r="E849" s="3">
        <v>46107</v>
      </c>
      <c r="F849" s="3">
        <v>46258</v>
      </c>
      <c r="G849" s="4">
        <v>22460</v>
      </c>
      <c r="H849" s="2">
        <v>0</v>
      </c>
      <c r="I849" s="2" t="s">
        <v>503</v>
      </c>
      <c r="J849" s="2" t="s">
        <v>339</v>
      </c>
    </row>
    <row r="850" spans="1:10" x14ac:dyDescent="0.3">
      <c r="A850" s="2" t="s">
        <v>514</v>
      </c>
      <c r="B850" s="2" t="s">
        <v>515</v>
      </c>
      <c r="C850" s="2">
        <v>32751</v>
      </c>
      <c r="D850" s="2">
        <v>43408</v>
      </c>
      <c r="E850" s="3">
        <v>46108</v>
      </c>
      <c r="F850" s="3">
        <v>46258</v>
      </c>
      <c r="G850" s="4">
        <v>1057.4000000000001</v>
      </c>
      <c r="H850" s="2">
        <v>0</v>
      </c>
      <c r="I850" s="2" t="s">
        <v>516</v>
      </c>
      <c r="J850" s="2" t="s">
        <v>238</v>
      </c>
    </row>
    <row r="851" spans="1:10" x14ac:dyDescent="0.3">
      <c r="A851" s="2" t="s">
        <v>514</v>
      </c>
      <c r="B851" s="2" t="s">
        <v>515</v>
      </c>
      <c r="C851" s="2">
        <v>32753</v>
      </c>
      <c r="D851" s="2">
        <v>43410</v>
      </c>
      <c r="E851" s="3">
        <v>46108</v>
      </c>
      <c r="F851" s="3">
        <v>46258</v>
      </c>
      <c r="G851" s="4">
        <v>2823.14</v>
      </c>
      <c r="H851" s="2">
        <v>0</v>
      </c>
      <c r="I851" s="2" t="s">
        <v>516</v>
      </c>
      <c r="J851" s="2" t="s">
        <v>238</v>
      </c>
    </row>
    <row r="852" spans="1:10" x14ac:dyDescent="0.3">
      <c r="A852" s="2" t="s">
        <v>514</v>
      </c>
      <c r="B852" s="2" t="s">
        <v>515</v>
      </c>
      <c r="C852" s="2">
        <v>32754</v>
      </c>
      <c r="D852" s="2">
        <v>43411</v>
      </c>
      <c r="E852" s="3">
        <v>46108</v>
      </c>
      <c r="F852" s="3">
        <v>46258</v>
      </c>
      <c r="G852" s="4">
        <v>4053</v>
      </c>
      <c r="H852" s="2">
        <v>0</v>
      </c>
      <c r="I852" s="2" t="s">
        <v>516</v>
      </c>
      <c r="J852" s="2" t="s">
        <v>238</v>
      </c>
    </row>
    <row r="853" spans="1:10" x14ac:dyDescent="0.3">
      <c r="A853" s="2" t="s">
        <v>257</v>
      </c>
      <c r="B853" s="2" t="s">
        <v>258</v>
      </c>
      <c r="C853" s="2">
        <v>33009</v>
      </c>
      <c r="D853" s="2">
        <v>43658</v>
      </c>
      <c r="E853" s="3">
        <v>46136</v>
      </c>
      <c r="F853" s="3">
        <v>46258</v>
      </c>
      <c r="G853" s="4">
        <v>4390.26</v>
      </c>
      <c r="H853" s="2">
        <v>0</v>
      </c>
      <c r="I853" s="2" t="s">
        <v>1056</v>
      </c>
      <c r="J853" s="2" t="s">
        <v>260</v>
      </c>
    </row>
    <row r="854" spans="1:10" x14ac:dyDescent="0.3">
      <c r="A854" s="2" t="s">
        <v>691</v>
      </c>
      <c r="B854" s="2" t="s">
        <v>692</v>
      </c>
      <c r="C854" s="2">
        <v>33011</v>
      </c>
      <c r="D854" s="2">
        <v>43660</v>
      </c>
      <c r="E854" s="3">
        <v>46136</v>
      </c>
      <c r="F854" s="3">
        <v>46258</v>
      </c>
      <c r="G854" s="4">
        <v>121632</v>
      </c>
      <c r="H854" s="2">
        <v>0</v>
      </c>
      <c r="I854" s="2" t="s">
        <v>1057</v>
      </c>
      <c r="J854" s="2" t="s">
        <v>260</v>
      </c>
    </row>
    <row r="855" spans="1:10" x14ac:dyDescent="0.3">
      <c r="A855" s="2" t="s">
        <v>582</v>
      </c>
      <c r="B855" s="2" t="s">
        <v>583</v>
      </c>
      <c r="C855" s="2">
        <v>33012</v>
      </c>
      <c r="D855" s="2">
        <v>43661</v>
      </c>
      <c r="E855" s="3">
        <v>46136</v>
      </c>
      <c r="F855" s="3">
        <v>46258</v>
      </c>
      <c r="G855" s="4">
        <v>7189.5</v>
      </c>
      <c r="H855" s="2">
        <v>0</v>
      </c>
      <c r="I855" s="2" t="s">
        <v>1058</v>
      </c>
      <c r="J855" s="2" t="s">
        <v>92</v>
      </c>
    </row>
    <row r="856" spans="1:10" x14ac:dyDescent="0.3">
      <c r="A856" s="2" t="s">
        <v>791</v>
      </c>
      <c r="B856" s="2" t="s">
        <v>792</v>
      </c>
      <c r="C856" s="2">
        <v>33013</v>
      </c>
      <c r="D856" s="2">
        <v>43662</v>
      </c>
      <c r="E856" s="3">
        <v>46136</v>
      </c>
      <c r="F856" s="3">
        <v>46258</v>
      </c>
      <c r="G856" s="4">
        <v>35077</v>
      </c>
      <c r="H856" s="2">
        <v>0</v>
      </c>
      <c r="I856" s="2" t="s">
        <v>1059</v>
      </c>
      <c r="J856" s="2" t="s">
        <v>92</v>
      </c>
    </row>
    <row r="857" spans="1:10" x14ac:dyDescent="0.3">
      <c r="A857" s="2" t="s">
        <v>762</v>
      </c>
      <c r="B857" s="2" t="s">
        <v>763</v>
      </c>
      <c r="C857" s="2">
        <v>33014</v>
      </c>
      <c r="D857" s="2">
        <v>43663</v>
      </c>
      <c r="E857" s="3">
        <v>46136</v>
      </c>
      <c r="F857" s="3">
        <v>46258</v>
      </c>
      <c r="G857" s="4">
        <v>18953.32</v>
      </c>
      <c r="H857" s="2">
        <v>0</v>
      </c>
      <c r="I857" s="2" t="s">
        <v>1060</v>
      </c>
      <c r="J857" s="2" t="s">
        <v>92</v>
      </c>
    </row>
    <row r="858" spans="1:10" x14ac:dyDescent="0.3">
      <c r="A858" s="2" t="s">
        <v>735</v>
      </c>
      <c r="B858" s="2" t="s">
        <v>736</v>
      </c>
      <c r="C858" s="2">
        <v>33218</v>
      </c>
      <c r="D858" s="2">
        <v>43865</v>
      </c>
      <c r="E858" s="3">
        <v>46167</v>
      </c>
      <c r="F858" s="3">
        <v>46258</v>
      </c>
      <c r="G858" s="4">
        <v>3316.66</v>
      </c>
      <c r="H858" s="2">
        <v>0</v>
      </c>
      <c r="I858" s="2" t="s">
        <v>1196</v>
      </c>
      <c r="J858" s="2" t="s">
        <v>19</v>
      </c>
    </row>
    <row r="859" spans="1:10" x14ac:dyDescent="0.3">
      <c r="A859" s="2" t="s">
        <v>735</v>
      </c>
      <c r="B859" s="2" t="s">
        <v>736</v>
      </c>
      <c r="C859" s="2">
        <v>33219</v>
      </c>
      <c r="D859" s="2">
        <v>43866</v>
      </c>
      <c r="E859" s="3">
        <v>46167</v>
      </c>
      <c r="F859" s="3">
        <v>46258</v>
      </c>
      <c r="G859" s="4">
        <v>37299.96</v>
      </c>
      <c r="H859" s="2">
        <v>0</v>
      </c>
      <c r="I859" s="2" t="s">
        <v>1197</v>
      </c>
      <c r="J859" s="2" t="s">
        <v>19</v>
      </c>
    </row>
    <row r="860" spans="1:10" x14ac:dyDescent="0.3">
      <c r="A860" s="2" t="s">
        <v>735</v>
      </c>
      <c r="B860" s="2" t="s">
        <v>736</v>
      </c>
      <c r="C860" s="2">
        <v>33220</v>
      </c>
      <c r="D860" s="2">
        <v>43867</v>
      </c>
      <c r="E860" s="3">
        <v>46167</v>
      </c>
      <c r="F860" s="3">
        <v>46258</v>
      </c>
      <c r="G860" s="4">
        <v>22750</v>
      </c>
      <c r="H860" s="2">
        <v>0</v>
      </c>
      <c r="I860" s="2" t="s">
        <v>1198</v>
      </c>
      <c r="J860" s="2" t="s">
        <v>19</v>
      </c>
    </row>
    <row r="861" spans="1:10" x14ac:dyDescent="0.3">
      <c r="A861" s="2" t="s">
        <v>409</v>
      </c>
      <c r="B861" s="2" t="s">
        <v>410</v>
      </c>
      <c r="C861" s="2">
        <v>33225</v>
      </c>
      <c r="D861" s="2">
        <v>43872</v>
      </c>
      <c r="E861" s="3">
        <v>46167</v>
      </c>
      <c r="F861" s="3">
        <v>46258</v>
      </c>
      <c r="G861" s="4">
        <v>16920</v>
      </c>
      <c r="H861" s="2">
        <v>0</v>
      </c>
      <c r="I861" s="2" t="s">
        <v>1202</v>
      </c>
      <c r="J861" s="2" t="s">
        <v>412</v>
      </c>
    </row>
    <row r="862" spans="1:10" x14ac:dyDescent="0.3">
      <c r="A862" s="2" t="s">
        <v>257</v>
      </c>
      <c r="B862" s="2" t="s">
        <v>258</v>
      </c>
      <c r="C862" s="2">
        <v>33232</v>
      </c>
      <c r="D862" s="2">
        <v>43879</v>
      </c>
      <c r="E862" s="3">
        <v>46168</v>
      </c>
      <c r="F862" s="3">
        <v>46258</v>
      </c>
      <c r="G862" s="4">
        <v>15781.65</v>
      </c>
      <c r="H862" s="2">
        <v>0</v>
      </c>
      <c r="I862" s="2" t="s">
        <v>1209</v>
      </c>
      <c r="J862" s="2" t="s">
        <v>260</v>
      </c>
    </row>
    <row r="863" spans="1:10" x14ac:dyDescent="0.3">
      <c r="A863" s="2" t="s">
        <v>257</v>
      </c>
      <c r="B863" s="2" t="s">
        <v>258</v>
      </c>
      <c r="C863" s="2">
        <v>33233</v>
      </c>
      <c r="D863" s="2">
        <v>43880</v>
      </c>
      <c r="E863" s="3">
        <v>46168</v>
      </c>
      <c r="F863" s="3">
        <v>46258</v>
      </c>
      <c r="G863" s="4">
        <v>11399.99</v>
      </c>
      <c r="H863" s="2">
        <v>0</v>
      </c>
      <c r="I863" s="2" t="s">
        <v>1210</v>
      </c>
      <c r="J863" s="2" t="s">
        <v>260</v>
      </c>
    </row>
    <row r="864" spans="1:10" x14ac:dyDescent="0.3">
      <c r="A864" s="2" t="s">
        <v>588</v>
      </c>
      <c r="B864" s="2" t="s">
        <v>589</v>
      </c>
      <c r="C864" s="2">
        <v>33237</v>
      </c>
      <c r="D864" s="2">
        <v>43884</v>
      </c>
      <c r="E864" s="3">
        <v>46168</v>
      </c>
      <c r="F864" s="3">
        <v>46258</v>
      </c>
      <c r="G864" s="4">
        <v>6739.83</v>
      </c>
      <c r="H864" s="2">
        <v>0</v>
      </c>
      <c r="I864" s="2" t="s">
        <v>1213</v>
      </c>
      <c r="J864" s="2" t="s">
        <v>92</v>
      </c>
    </row>
    <row r="865" spans="1:10" x14ac:dyDescent="0.3">
      <c r="A865" s="2" t="s">
        <v>514</v>
      </c>
      <c r="B865" s="2" t="s">
        <v>515</v>
      </c>
      <c r="C865" s="2">
        <v>32411</v>
      </c>
      <c r="D865" s="2">
        <v>43075</v>
      </c>
      <c r="E865" s="3">
        <v>46079</v>
      </c>
      <c r="F865" s="3">
        <v>46259</v>
      </c>
      <c r="G865" s="4">
        <v>1704</v>
      </c>
      <c r="H865" s="2">
        <v>0</v>
      </c>
      <c r="I865" s="2" t="s">
        <v>713</v>
      </c>
      <c r="J865" s="2" t="s">
        <v>238</v>
      </c>
    </row>
    <row r="866" spans="1:10" x14ac:dyDescent="0.3">
      <c r="A866" s="2" t="s">
        <v>398</v>
      </c>
      <c r="B866" s="2" t="s">
        <v>399</v>
      </c>
      <c r="C866" s="2">
        <v>32433</v>
      </c>
      <c r="D866" s="2">
        <v>43096</v>
      </c>
      <c r="E866" s="3">
        <v>46079</v>
      </c>
      <c r="F866" s="3">
        <v>46259</v>
      </c>
      <c r="G866" s="4">
        <v>15990</v>
      </c>
      <c r="H866" s="2">
        <v>0</v>
      </c>
      <c r="I866" s="2" t="s">
        <v>500</v>
      </c>
      <c r="J866" s="2" t="s">
        <v>394</v>
      </c>
    </row>
    <row r="867" spans="1:10" x14ac:dyDescent="0.3">
      <c r="A867" s="2" t="s">
        <v>398</v>
      </c>
      <c r="B867" s="2" t="s">
        <v>399</v>
      </c>
      <c r="C867" s="2">
        <v>32434</v>
      </c>
      <c r="D867" s="2">
        <v>43097</v>
      </c>
      <c r="E867" s="3">
        <v>46079</v>
      </c>
      <c r="F867" s="3">
        <v>46259</v>
      </c>
      <c r="G867" s="4">
        <v>19660</v>
      </c>
      <c r="H867" s="2">
        <v>0</v>
      </c>
      <c r="I867" s="2" t="s">
        <v>500</v>
      </c>
      <c r="J867" s="2" t="s">
        <v>394</v>
      </c>
    </row>
    <row r="868" spans="1:10" x14ac:dyDescent="0.3">
      <c r="A868" s="2" t="s">
        <v>398</v>
      </c>
      <c r="B868" s="2" t="s">
        <v>399</v>
      </c>
      <c r="C868" s="2">
        <v>32435</v>
      </c>
      <c r="D868" s="2">
        <v>43098</v>
      </c>
      <c r="E868" s="3">
        <v>46079</v>
      </c>
      <c r="F868" s="3">
        <v>46259</v>
      </c>
      <c r="G868" s="4">
        <v>200960</v>
      </c>
      <c r="H868" s="2">
        <v>0</v>
      </c>
      <c r="I868" s="2" t="s">
        <v>500</v>
      </c>
      <c r="J868" s="2" t="s">
        <v>394</v>
      </c>
    </row>
    <row r="869" spans="1:10" x14ac:dyDescent="0.3">
      <c r="A869" s="2" t="s">
        <v>396</v>
      </c>
      <c r="B869" s="2" t="s">
        <v>392</v>
      </c>
      <c r="C869" s="2">
        <v>32436</v>
      </c>
      <c r="D869" s="2">
        <v>43099</v>
      </c>
      <c r="E869" s="3">
        <v>46079</v>
      </c>
      <c r="F869" s="3">
        <v>46259</v>
      </c>
      <c r="G869" s="4">
        <v>82600</v>
      </c>
      <c r="H869" s="2">
        <v>0</v>
      </c>
      <c r="I869" s="2" t="s">
        <v>479</v>
      </c>
      <c r="J869" s="2" t="s">
        <v>394</v>
      </c>
    </row>
    <row r="870" spans="1:10" x14ac:dyDescent="0.3">
      <c r="A870" s="2" t="s">
        <v>585</v>
      </c>
      <c r="B870" s="2" t="s">
        <v>392</v>
      </c>
      <c r="C870" s="2">
        <v>32437</v>
      </c>
      <c r="D870" s="2">
        <v>43100</v>
      </c>
      <c r="E870" s="3">
        <v>46079</v>
      </c>
      <c r="F870" s="3">
        <v>46259</v>
      </c>
      <c r="G870" s="4">
        <v>82600</v>
      </c>
      <c r="H870" s="2">
        <v>0</v>
      </c>
      <c r="I870" s="2" t="s">
        <v>586</v>
      </c>
      <c r="J870" s="2" t="s">
        <v>394</v>
      </c>
    </row>
    <row r="871" spans="1:10" x14ac:dyDescent="0.3">
      <c r="A871" s="2" t="s">
        <v>357</v>
      </c>
      <c r="B871" s="2" t="s">
        <v>358</v>
      </c>
      <c r="C871" s="2">
        <v>32442</v>
      </c>
      <c r="D871" s="2">
        <v>43105</v>
      </c>
      <c r="E871" s="3">
        <v>46079</v>
      </c>
      <c r="F871" s="3">
        <v>46259</v>
      </c>
      <c r="G871" s="4">
        <v>30918</v>
      </c>
      <c r="H871" s="2">
        <v>0</v>
      </c>
      <c r="I871" s="2" t="s">
        <v>547</v>
      </c>
      <c r="J871" s="2" t="s">
        <v>260</v>
      </c>
    </row>
    <row r="872" spans="1:10" x14ac:dyDescent="0.3">
      <c r="A872" s="2" t="s">
        <v>726</v>
      </c>
      <c r="B872" s="2" t="s">
        <v>727</v>
      </c>
      <c r="C872" s="2">
        <v>32445</v>
      </c>
      <c r="D872" s="2">
        <v>43108</v>
      </c>
      <c r="E872" s="3">
        <v>46079</v>
      </c>
      <c r="F872" s="3">
        <v>46259</v>
      </c>
      <c r="G872" s="4">
        <v>46575</v>
      </c>
      <c r="H872" s="2">
        <v>0</v>
      </c>
      <c r="I872" s="2" t="s">
        <v>728</v>
      </c>
      <c r="J872" s="2" t="s">
        <v>394</v>
      </c>
    </row>
    <row r="873" spans="1:10" x14ac:dyDescent="0.3">
      <c r="A873" s="2" t="s">
        <v>729</v>
      </c>
      <c r="B873" s="2" t="s">
        <v>727</v>
      </c>
      <c r="C873" s="2">
        <v>32449</v>
      </c>
      <c r="D873" s="2">
        <v>43112</v>
      </c>
      <c r="E873" s="3">
        <v>46079</v>
      </c>
      <c r="F873" s="3">
        <v>46259</v>
      </c>
      <c r="G873" s="4">
        <v>74925</v>
      </c>
      <c r="H873" s="2">
        <v>0</v>
      </c>
      <c r="I873" s="2" t="s">
        <v>730</v>
      </c>
      <c r="J873" s="2" t="s">
        <v>394</v>
      </c>
    </row>
    <row r="874" spans="1:10" x14ac:dyDescent="0.3">
      <c r="A874" s="2" t="s">
        <v>585</v>
      </c>
      <c r="B874" s="2" t="s">
        <v>392</v>
      </c>
      <c r="C874" s="2">
        <v>32455</v>
      </c>
      <c r="D874" s="2">
        <v>43118</v>
      </c>
      <c r="E874" s="3">
        <v>46079</v>
      </c>
      <c r="F874" s="3">
        <v>46259</v>
      </c>
      <c r="G874" s="4">
        <v>22500</v>
      </c>
      <c r="H874" s="2">
        <v>0</v>
      </c>
      <c r="I874" s="2" t="s">
        <v>586</v>
      </c>
      <c r="J874" s="2" t="s">
        <v>394</v>
      </c>
    </row>
    <row r="875" spans="1:10" x14ac:dyDescent="0.3">
      <c r="A875" s="2" t="s">
        <v>735</v>
      </c>
      <c r="B875" s="2" t="s">
        <v>736</v>
      </c>
      <c r="C875" s="2">
        <v>33015</v>
      </c>
      <c r="D875" s="2">
        <v>43664</v>
      </c>
      <c r="E875" s="3">
        <v>46139</v>
      </c>
      <c r="F875" s="3">
        <v>46259</v>
      </c>
      <c r="G875" s="4">
        <v>66166.600000000006</v>
      </c>
      <c r="H875" s="2">
        <v>0</v>
      </c>
      <c r="I875" s="2" t="s">
        <v>1061</v>
      </c>
      <c r="J875" s="2" t="s">
        <v>19</v>
      </c>
    </row>
    <row r="876" spans="1:10" x14ac:dyDescent="0.3">
      <c r="A876" s="2" t="s">
        <v>585</v>
      </c>
      <c r="B876" s="2" t="s">
        <v>392</v>
      </c>
      <c r="C876" s="2">
        <v>33018</v>
      </c>
      <c r="D876" s="2">
        <v>43667</v>
      </c>
      <c r="E876" s="3">
        <v>46139</v>
      </c>
      <c r="F876" s="3">
        <v>46259</v>
      </c>
      <c r="G876" s="4">
        <v>20405</v>
      </c>
      <c r="H876" s="2">
        <v>0</v>
      </c>
      <c r="I876" s="2" t="s">
        <v>1062</v>
      </c>
      <c r="J876" s="2" t="s">
        <v>394</v>
      </c>
    </row>
    <row r="877" spans="1:10" x14ac:dyDescent="0.3">
      <c r="A877" s="2" t="s">
        <v>585</v>
      </c>
      <c r="B877" s="2" t="s">
        <v>392</v>
      </c>
      <c r="C877" s="2">
        <v>33019</v>
      </c>
      <c r="D877" s="2">
        <v>43668</v>
      </c>
      <c r="E877" s="3">
        <v>46139</v>
      </c>
      <c r="F877" s="3">
        <v>46259</v>
      </c>
      <c r="G877" s="4">
        <v>11556</v>
      </c>
      <c r="H877" s="2">
        <v>0</v>
      </c>
      <c r="I877" s="2" t="s">
        <v>1063</v>
      </c>
      <c r="J877" s="2" t="s">
        <v>394</v>
      </c>
    </row>
    <row r="878" spans="1:10" x14ac:dyDescent="0.3">
      <c r="A878" s="2" t="s">
        <v>585</v>
      </c>
      <c r="B878" s="2" t="s">
        <v>392</v>
      </c>
      <c r="C878" s="2">
        <v>33022</v>
      </c>
      <c r="D878" s="2">
        <v>43671</v>
      </c>
      <c r="E878" s="3">
        <v>46139</v>
      </c>
      <c r="F878" s="3">
        <v>46259</v>
      </c>
      <c r="G878" s="4">
        <v>388200</v>
      </c>
      <c r="H878" s="2">
        <v>0</v>
      </c>
      <c r="I878" s="2" t="s">
        <v>1066</v>
      </c>
      <c r="J878" s="2" t="s">
        <v>394</v>
      </c>
    </row>
    <row r="879" spans="1:10" x14ac:dyDescent="0.3">
      <c r="A879" s="2" t="s">
        <v>427</v>
      </c>
      <c r="B879" s="2" t="s">
        <v>428</v>
      </c>
      <c r="C879" s="2">
        <v>33029</v>
      </c>
      <c r="D879" s="2">
        <v>43677</v>
      </c>
      <c r="E879" s="3">
        <v>46139</v>
      </c>
      <c r="F879" s="3">
        <v>46259</v>
      </c>
      <c r="G879" s="4">
        <v>155662.5</v>
      </c>
      <c r="H879" s="2">
        <v>0</v>
      </c>
      <c r="I879" s="2" t="s">
        <v>1068</v>
      </c>
      <c r="J879" s="2" t="s">
        <v>260</v>
      </c>
    </row>
    <row r="880" spans="1:10" x14ac:dyDescent="0.3">
      <c r="A880" s="2" t="s">
        <v>427</v>
      </c>
      <c r="B880" s="2" t="s">
        <v>428</v>
      </c>
      <c r="C880" s="2">
        <v>33030</v>
      </c>
      <c r="D880" s="2">
        <v>43678</v>
      </c>
      <c r="E880" s="3">
        <v>46139</v>
      </c>
      <c r="F880" s="3">
        <v>46259</v>
      </c>
      <c r="G880" s="4">
        <v>102354</v>
      </c>
      <c r="H880" s="2">
        <v>0</v>
      </c>
      <c r="I880" s="2" t="s">
        <v>1069</v>
      </c>
      <c r="J880" s="2" t="s">
        <v>260</v>
      </c>
    </row>
    <row r="881" spans="1:10" x14ac:dyDescent="0.3">
      <c r="A881" s="2" t="s">
        <v>740</v>
      </c>
      <c r="B881" s="2" t="s">
        <v>727</v>
      </c>
      <c r="C881" s="2">
        <v>32467</v>
      </c>
      <c r="D881" s="2">
        <v>43133</v>
      </c>
      <c r="E881" s="3">
        <v>46080</v>
      </c>
      <c r="F881" s="3">
        <v>46260</v>
      </c>
      <c r="G881" s="4">
        <v>96308</v>
      </c>
      <c r="H881" s="2">
        <v>0</v>
      </c>
      <c r="I881" s="2" t="s">
        <v>741</v>
      </c>
      <c r="J881" s="2" t="s">
        <v>394</v>
      </c>
    </row>
    <row r="882" spans="1:10" x14ac:dyDescent="0.3">
      <c r="A882" s="2" t="s">
        <v>440</v>
      </c>
      <c r="B882" s="2" t="s">
        <v>441</v>
      </c>
      <c r="C882" s="2">
        <v>32914</v>
      </c>
      <c r="D882" s="2">
        <v>43569</v>
      </c>
      <c r="E882" s="3">
        <v>46125</v>
      </c>
      <c r="F882" s="3">
        <v>46260</v>
      </c>
      <c r="G882" s="4">
        <v>23646.2</v>
      </c>
      <c r="H882" s="2">
        <v>0</v>
      </c>
      <c r="I882" s="2" t="s">
        <v>987</v>
      </c>
      <c r="J882" s="2" t="s">
        <v>417</v>
      </c>
    </row>
    <row r="883" spans="1:10" x14ac:dyDescent="0.3">
      <c r="A883" s="2" t="s">
        <v>440</v>
      </c>
      <c r="B883" s="2" t="s">
        <v>441</v>
      </c>
      <c r="C883" s="2">
        <v>32926</v>
      </c>
      <c r="D883" s="2">
        <v>43581</v>
      </c>
      <c r="E883" s="3">
        <v>46125</v>
      </c>
      <c r="F883" s="3">
        <v>46260</v>
      </c>
      <c r="G883" s="4">
        <v>13716.43</v>
      </c>
      <c r="H883" s="2">
        <v>0</v>
      </c>
      <c r="I883" s="2" t="s">
        <v>996</v>
      </c>
      <c r="J883" s="2" t="s">
        <v>417</v>
      </c>
    </row>
    <row r="884" spans="1:10" x14ac:dyDescent="0.3">
      <c r="A884" s="2" t="s">
        <v>440</v>
      </c>
      <c r="B884" s="2" t="s">
        <v>441</v>
      </c>
      <c r="C884" s="2">
        <v>32927</v>
      </c>
      <c r="D884" s="2">
        <v>43582</v>
      </c>
      <c r="E884" s="3">
        <v>46125</v>
      </c>
      <c r="F884" s="3">
        <v>46260</v>
      </c>
      <c r="G884" s="4">
        <v>9599.99</v>
      </c>
      <c r="H884" s="2">
        <v>0</v>
      </c>
      <c r="I884" s="2" t="s">
        <v>997</v>
      </c>
      <c r="J884" s="2" t="s">
        <v>417</v>
      </c>
    </row>
    <row r="885" spans="1:10" x14ac:dyDescent="0.3">
      <c r="A885" s="2" t="s">
        <v>440</v>
      </c>
      <c r="B885" s="2" t="s">
        <v>441</v>
      </c>
      <c r="C885" s="2">
        <v>32928</v>
      </c>
      <c r="D885" s="2">
        <v>43583</v>
      </c>
      <c r="E885" s="3">
        <v>46125</v>
      </c>
      <c r="F885" s="3">
        <v>46260</v>
      </c>
      <c r="G885" s="4">
        <v>2933.33</v>
      </c>
      <c r="H885" s="2">
        <v>0</v>
      </c>
      <c r="I885" s="2" t="s">
        <v>998</v>
      </c>
      <c r="J885" s="2" t="s">
        <v>417</v>
      </c>
    </row>
    <row r="886" spans="1:10" x14ac:dyDescent="0.3">
      <c r="A886" s="2" t="s">
        <v>440</v>
      </c>
      <c r="B886" s="2" t="s">
        <v>441</v>
      </c>
      <c r="C886" s="2">
        <v>32930</v>
      </c>
      <c r="D886" s="2">
        <v>43584</v>
      </c>
      <c r="E886" s="3">
        <v>46125</v>
      </c>
      <c r="F886" s="3">
        <v>46260</v>
      </c>
      <c r="G886" s="4">
        <v>6191.55</v>
      </c>
      <c r="H886" s="2">
        <v>0</v>
      </c>
      <c r="I886" s="2" t="s">
        <v>999</v>
      </c>
      <c r="J886" s="2" t="s">
        <v>417</v>
      </c>
    </row>
    <row r="887" spans="1:10" x14ac:dyDescent="0.3">
      <c r="A887" s="2" t="s">
        <v>480</v>
      </c>
      <c r="B887" s="2" t="s">
        <v>481</v>
      </c>
      <c r="C887" s="2">
        <v>33031</v>
      </c>
      <c r="D887" s="2">
        <v>43681</v>
      </c>
      <c r="E887" s="3">
        <v>46140</v>
      </c>
      <c r="F887" s="3">
        <v>46260</v>
      </c>
      <c r="G887" s="4">
        <v>1168</v>
      </c>
      <c r="H887" s="2">
        <v>0</v>
      </c>
      <c r="I887" s="2" t="s">
        <v>1070</v>
      </c>
      <c r="J887" s="2" t="s">
        <v>238</v>
      </c>
    </row>
    <row r="888" spans="1:10" x14ac:dyDescent="0.3">
      <c r="A888" s="2" t="s">
        <v>943</v>
      </c>
      <c r="B888" s="2" t="s">
        <v>707</v>
      </c>
      <c r="C888" s="2">
        <v>33037</v>
      </c>
      <c r="D888" s="2">
        <v>43688</v>
      </c>
      <c r="E888" s="3">
        <v>46140</v>
      </c>
      <c r="F888" s="3">
        <v>46260</v>
      </c>
      <c r="G888" s="4">
        <v>85040</v>
      </c>
      <c r="H888" s="2">
        <v>0</v>
      </c>
      <c r="I888" s="2" t="s">
        <v>1072</v>
      </c>
      <c r="J888" s="2" t="s">
        <v>417</v>
      </c>
    </row>
    <row r="889" spans="1:10" x14ac:dyDescent="0.3">
      <c r="A889" s="2" t="s">
        <v>943</v>
      </c>
      <c r="B889" s="2" t="s">
        <v>707</v>
      </c>
      <c r="C889" s="2">
        <v>33038</v>
      </c>
      <c r="D889" s="2">
        <v>43689</v>
      </c>
      <c r="E889" s="3">
        <v>46140</v>
      </c>
      <c r="F889" s="3">
        <v>46260</v>
      </c>
      <c r="G889" s="4">
        <v>83648</v>
      </c>
      <c r="H889" s="2">
        <v>0</v>
      </c>
      <c r="I889" s="2" t="s">
        <v>1073</v>
      </c>
      <c r="J889" s="2" t="s">
        <v>417</v>
      </c>
    </row>
    <row r="890" spans="1:10" x14ac:dyDescent="0.3">
      <c r="A890" s="2" t="s">
        <v>357</v>
      </c>
      <c r="B890" s="2" t="s">
        <v>358</v>
      </c>
      <c r="C890" s="2">
        <v>33256</v>
      </c>
      <c r="D890" s="2">
        <v>43905</v>
      </c>
      <c r="E890" s="3">
        <v>46170</v>
      </c>
      <c r="F890" s="3">
        <v>46260</v>
      </c>
      <c r="G890" s="4">
        <v>97800</v>
      </c>
      <c r="H890" s="2">
        <v>0</v>
      </c>
      <c r="I890" s="2" t="s">
        <v>1233</v>
      </c>
      <c r="J890" s="2" t="s">
        <v>260</v>
      </c>
    </row>
    <row r="891" spans="1:10" x14ac:dyDescent="0.3">
      <c r="A891" s="2" t="s">
        <v>357</v>
      </c>
      <c r="B891" s="2" t="s">
        <v>358</v>
      </c>
      <c r="C891" s="2">
        <v>33257</v>
      </c>
      <c r="D891" s="2">
        <v>43906</v>
      </c>
      <c r="E891" s="3">
        <v>46170</v>
      </c>
      <c r="F891" s="3">
        <v>46260</v>
      </c>
      <c r="G891" s="4">
        <v>89200</v>
      </c>
      <c r="H891" s="2">
        <v>0</v>
      </c>
      <c r="I891" s="2" t="s">
        <v>1234</v>
      </c>
      <c r="J891" s="2" t="s">
        <v>260</v>
      </c>
    </row>
    <row r="892" spans="1:10" x14ac:dyDescent="0.3">
      <c r="A892" s="2" t="s">
        <v>653</v>
      </c>
      <c r="B892" s="2" t="s">
        <v>654</v>
      </c>
      <c r="C892" s="2">
        <v>33266</v>
      </c>
      <c r="D892" s="2">
        <v>43914</v>
      </c>
      <c r="E892" s="3">
        <v>46170</v>
      </c>
      <c r="F892" s="3">
        <v>46260</v>
      </c>
      <c r="G892" s="4">
        <v>351739.2</v>
      </c>
      <c r="H892" s="2">
        <v>0</v>
      </c>
      <c r="I892" s="2" t="s">
        <v>1239</v>
      </c>
      <c r="J892" s="2" t="s">
        <v>412</v>
      </c>
    </row>
    <row r="893" spans="1:10" x14ac:dyDescent="0.3">
      <c r="A893" s="2" t="s">
        <v>360</v>
      </c>
      <c r="B893" s="2" t="s">
        <v>361</v>
      </c>
      <c r="C893" s="2">
        <v>32771</v>
      </c>
      <c r="D893" s="2">
        <v>43427</v>
      </c>
      <c r="E893" s="3">
        <v>46111</v>
      </c>
      <c r="F893" s="3">
        <v>46261</v>
      </c>
      <c r="G893" s="4">
        <v>2565.4499999999998</v>
      </c>
      <c r="H893" s="2">
        <v>0</v>
      </c>
      <c r="I893" s="2" t="s">
        <v>895</v>
      </c>
      <c r="J893" s="2" t="s">
        <v>92</v>
      </c>
    </row>
    <row r="894" spans="1:10" x14ac:dyDescent="0.3">
      <c r="A894" s="2" t="s">
        <v>398</v>
      </c>
      <c r="B894" s="2" t="s">
        <v>399</v>
      </c>
      <c r="C894" s="2">
        <v>32772</v>
      </c>
      <c r="D894" s="2">
        <v>43428</v>
      </c>
      <c r="E894" s="3">
        <v>46111</v>
      </c>
      <c r="F894" s="3">
        <v>46261</v>
      </c>
      <c r="G894" s="4">
        <v>103095</v>
      </c>
      <c r="H894" s="2">
        <v>0</v>
      </c>
      <c r="I894" s="2" t="s">
        <v>896</v>
      </c>
      <c r="J894" s="2" t="s">
        <v>394</v>
      </c>
    </row>
    <row r="895" spans="1:10" x14ac:dyDescent="0.3">
      <c r="A895" s="2" t="s">
        <v>568</v>
      </c>
      <c r="B895" s="2" t="s">
        <v>569</v>
      </c>
      <c r="C895" s="2">
        <v>32122</v>
      </c>
      <c r="D895" s="2">
        <v>42747</v>
      </c>
      <c r="E895" s="3">
        <v>46050</v>
      </c>
      <c r="F895" s="3">
        <v>46262</v>
      </c>
      <c r="G895" s="4">
        <v>63900</v>
      </c>
      <c r="H895" s="2">
        <v>0</v>
      </c>
      <c r="I895" s="2" t="s">
        <v>570</v>
      </c>
      <c r="J895" s="2" t="s">
        <v>42</v>
      </c>
    </row>
    <row r="896" spans="1:10" x14ac:dyDescent="0.3">
      <c r="A896" s="2" t="s">
        <v>568</v>
      </c>
      <c r="B896" s="2" t="s">
        <v>569</v>
      </c>
      <c r="C896" s="2">
        <v>32127</v>
      </c>
      <c r="D896" s="2">
        <v>42750</v>
      </c>
      <c r="E896" s="3">
        <v>46050</v>
      </c>
      <c r="F896" s="3">
        <v>46262</v>
      </c>
      <c r="G896" s="4">
        <v>85200</v>
      </c>
      <c r="H896" s="2">
        <v>0</v>
      </c>
      <c r="I896" s="2" t="s">
        <v>571</v>
      </c>
      <c r="J896" s="2" t="s">
        <v>42</v>
      </c>
    </row>
    <row r="897" spans="1:10" x14ac:dyDescent="0.3">
      <c r="A897" s="2" t="s">
        <v>568</v>
      </c>
      <c r="B897" s="2" t="s">
        <v>569</v>
      </c>
      <c r="C897" s="2">
        <v>32128</v>
      </c>
      <c r="D897" s="2">
        <v>42751</v>
      </c>
      <c r="E897" s="3">
        <v>46050</v>
      </c>
      <c r="F897" s="3">
        <v>46262</v>
      </c>
      <c r="G897" s="4">
        <v>42600</v>
      </c>
      <c r="H897" s="2">
        <v>0</v>
      </c>
      <c r="I897" s="2" t="s">
        <v>572</v>
      </c>
      <c r="J897" s="2" t="s">
        <v>42</v>
      </c>
    </row>
    <row r="898" spans="1:10" x14ac:dyDescent="0.3">
      <c r="A898" s="2" t="s">
        <v>568</v>
      </c>
      <c r="B898" s="2" t="s">
        <v>569</v>
      </c>
      <c r="C898" s="2">
        <v>32129</v>
      </c>
      <c r="D898" s="2">
        <v>42752</v>
      </c>
      <c r="E898" s="3">
        <v>46050</v>
      </c>
      <c r="F898" s="3">
        <v>46262</v>
      </c>
      <c r="G898" s="4">
        <v>63900</v>
      </c>
      <c r="H898" s="2">
        <v>0</v>
      </c>
      <c r="I898" s="2" t="s">
        <v>573</v>
      </c>
      <c r="J898" s="2" t="s">
        <v>42</v>
      </c>
    </row>
    <row r="899" spans="1:10" x14ac:dyDescent="0.3">
      <c r="A899" s="2" t="s">
        <v>315</v>
      </c>
      <c r="B899" s="2" t="s">
        <v>316</v>
      </c>
      <c r="C899" s="2">
        <v>32183</v>
      </c>
      <c r="D899" s="2">
        <v>42806</v>
      </c>
      <c r="E899" s="3">
        <v>46052</v>
      </c>
      <c r="F899" s="3">
        <v>46262</v>
      </c>
      <c r="G899" s="4">
        <v>6289.2</v>
      </c>
      <c r="H899" s="2">
        <v>0</v>
      </c>
      <c r="I899" s="2" t="s">
        <v>343</v>
      </c>
      <c r="J899" s="2" t="s">
        <v>318</v>
      </c>
    </row>
    <row r="900" spans="1:10" x14ac:dyDescent="0.3">
      <c r="A900" s="2" t="s">
        <v>39</v>
      </c>
      <c r="B900" s="2" t="s">
        <v>40</v>
      </c>
      <c r="C900" s="2">
        <v>32197</v>
      </c>
      <c r="D900" s="2">
        <v>42830</v>
      </c>
      <c r="E900" s="3">
        <v>46058</v>
      </c>
      <c r="F900" s="3">
        <v>46262</v>
      </c>
      <c r="G900" s="4">
        <v>115140</v>
      </c>
      <c r="H900" s="2">
        <v>0</v>
      </c>
      <c r="I900" s="2" t="s">
        <v>592</v>
      </c>
      <c r="J900" s="2" t="s">
        <v>42</v>
      </c>
    </row>
    <row r="901" spans="1:10" x14ac:dyDescent="0.3">
      <c r="A901" s="2" t="s">
        <v>179</v>
      </c>
      <c r="B901" s="2" t="s">
        <v>180</v>
      </c>
      <c r="C901" s="2">
        <v>32285</v>
      </c>
      <c r="D901" s="2">
        <v>42917</v>
      </c>
      <c r="E901" s="3">
        <v>46064</v>
      </c>
      <c r="F901" s="3">
        <v>46262</v>
      </c>
      <c r="G901" s="4">
        <v>175104</v>
      </c>
      <c r="H901" s="2">
        <v>0</v>
      </c>
      <c r="I901" s="2" t="s">
        <v>401</v>
      </c>
      <c r="J901" s="2" t="s">
        <v>42</v>
      </c>
    </row>
    <row r="902" spans="1:10" x14ac:dyDescent="0.3">
      <c r="A902" s="2" t="s">
        <v>686</v>
      </c>
      <c r="B902" s="2" t="s">
        <v>687</v>
      </c>
      <c r="C902" s="2">
        <v>32329</v>
      </c>
      <c r="D902" s="2">
        <v>42965</v>
      </c>
      <c r="E902" s="3">
        <v>46072</v>
      </c>
      <c r="F902" s="3">
        <v>46262</v>
      </c>
      <c r="G902" s="4">
        <v>195000</v>
      </c>
      <c r="H902" s="2">
        <v>0</v>
      </c>
      <c r="I902" s="2" t="s">
        <v>688</v>
      </c>
      <c r="J902" s="2" t="s">
        <v>42</v>
      </c>
    </row>
    <row r="903" spans="1:10" x14ac:dyDescent="0.3">
      <c r="A903" s="2" t="s">
        <v>568</v>
      </c>
      <c r="B903" s="2" t="s">
        <v>569</v>
      </c>
      <c r="C903" s="2">
        <v>32406</v>
      </c>
      <c r="D903" s="2">
        <v>43069</v>
      </c>
      <c r="E903" s="3">
        <v>46078</v>
      </c>
      <c r="F903" s="3">
        <v>46262</v>
      </c>
      <c r="G903" s="4">
        <v>7100</v>
      </c>
      <c r="H903" s="2">
        <v>0</v>
      </c>
      <c r="I903" s="2" t="s">
        <v>570</v>
      </c>
      <c r="J903" s="2" t="s">
        <v>42</v>
      </c>
    </row>
    <row r="904" spans="1:10" x14ac:dyDescent="0.3">
      <c r="A904" s="2" t="s">
        <v>686</v>
      </c>
      <c r="B904" s="2" t="s">
        <v>687</v>
      </c>
      <c r="C904" s="2">
        <v>32407</v>
      </c>
      <c r="D904" s="2">
        <v>43070</v>
      </c>
      <c r="E904" s="3">
        <v>46078</v>
      </c>
      <c r="F904" s="3">
        <v>46262</v>
      </c>
      <c r="G904" s="4">
        <v>65000</v>
      </c>
      <c r="H904" s="2">
        <v>0</v>
      </c>
      <c r="I904" s="2" t="s">
        <v>709</v>
      </c>
      <c r="J904" s="2" t="s">
        <v>42</v>
      </c>
    </row>
    <row r="905" spans="1:10" x14ac:dyDescent="0.3">
      <c r="A905" s="2" t="s">
        <v>686</v>
      </c>
      <c r="B905" s="2" t="s">
        <v>687</v>
      </c>
      <c r="C905" s="2">
        <v>32408</v>
      </c>
      <c r="D905" s="2">
        <v>43071</v>
      </c>
      <c r="E905" s="3">
        <v>46078</v>
      </c>
      <c r="F905" s="3">
        <v>46262</v>
      </c>
      <c r="G905" s="4">
        <v>65000</v>
      </c>
      <c r="H905" s="2">
        <v>0</v>
      </c>
      <c r="I905" s="2" t="s">
        <v>710</v>
      </c>
      <c r="J905" s="2" t="s">
        <v>42</v>
      </c>
    </row>
    <row r="906" spans="1:10" x14ac:dyDescent="0.3">
      <c r="A906" s="2" t="s">
        <v>39</v>
      </c>
      <c r="B906" s="2" t="s">
        <v>40</v>
      </c>
      <c r="C906" s="2">
        <v>32409</v>
      </c>
      <c r="D906" s="2">
        <v>43072</v>
      </c>
      <c r="E906" s="3">
        <v>46078</v>
      </c>
      <c r="F906" s="3">
        <v>46262</v>
      </c>
      <c r="G906" s="4">
        <v>19190</v>
      </c>
      <c r="H906" s="2">
        <v>0</v>
      </c>
      <c r="I906" s="2" t="s">
        <v>711</v>
      </c>
      <c r="J906" s="2" t="s">
        <v>42</v>
      </c>
    </row>
    <row r="907" spans="1:10" x14ac:dyDescent="0.3">
      <c r="A907" s="2" t="s">
        <v>39</v>
      </c>
      <c r="B907" s="2" t="s">
        <v>40</v>
      </c>
      <c r="C907" s="2">
        <v>32410</v>
      </c>
      <c r="D907" s="2">
        <v>43073</v>
      </c>
      <c r="E907" s="3">
        <v>46078</v>
      </c>
      <c r="F907" s="3">
        <v>46262</v>
      </c>
      <c r="G907" s="4">
        <v>20868</v>
      </c>
      <c r="H907" s="2">
        <v>0</v>
      </c>
      <c r="I907" s="2" t="s">
        <v>712</v>
      </c>
      <c r="J907" s="2" t="s">
        <v>42</v>
      </c>
    </row>
    <row r="908" spans="1:10" x14ac:dyDescent="0.3">
      <c r="A908" s="2" t="s">
        <v>257</v>
      </c>
      <c r="B908" s="2" t="s">
        <v>258</v>
      </c>
      <c r="C908" s="2">
        <v>32794</v>
      </c>
      <c r="D908" s="2">
        <v>43450</v>
      </c>
      <c r="E908" s="3">
        <v>46112</v>
      </c>
      <c r="F908" s="3">
        <v>46262</v>
      </c>
      <c r="G908" s="4">
        <v>8762.44</v>
      </c>
      <c r="H908" s="2">
        <v>0</v>
      </c>
      <c r="I908" s="2" t="s">
        <v>918</v>
      </c>
      <c r="J908" s="2" t="s">
        <v>260</v>
      </c>
    </row>
    <row r="909" spans="1:10" x14ac:dyDescent="0.3">
      <c r="A909" s="2" t="s">
        <v>731</v>
      </c>
      <c r="B909" s="2" t="s">
        <v>392</v>
      </c>
      <c r="C909" s="2">
        <v>32800</v>
      </c>
      <c r="D909" s="2">
        <v>43456</v>
      </c>
      <c r="E909" s="3">
        <v>46112</v>
      </c>
      <c r="F909" s="3">
        <v>46262</v>
      </c>
      <c r="G909" s="4">
        <v>167760</v>
      </c>
      <c r="H909" s="2">
        <v>0</v>
      </c>
      <c r="I909" s="2" t="s">
        <v>920</v>
      </c>
      <c r="J909" s="2" t="s">
        <v>260</v>
      </c>
    </row>
    <row r="910" spans="1:10" x14ac:dyDescent="0.3">
      <c r="A910" s="2" t="s">
        <v>729</v>
      </c>
      <c r="B910" s="2" t="s">
        <v>727</v>
      </c>
      <c r="C910" s="2">
        <v>32805</v>
      </c>
      <c r="D910" s="2">
        <v>43461</v>
      </c>
      <c r="E910" s="3">
        <v>46112</v>
      </c>
      <c r="F910" s="3">
        <v>46262</v>
      </c>
      <c r="G910" s="4">
        <v>10600</v>
      </c>
      <c r="H910" s="2">
        <v>0</v>
      </c>
      <c r="I910" s="2" t="s">
        <v>922</v>
      </c>
      <c r="J910" s="2" t="s">
        <v>394</v>
      </c>
    </row>
    <row r="911" spans="1:10" x14ac:dyDescent="0.3">
      <c r="A911" s="2" t="s">
        <v>585</v>
      </c>
      <c r="B911" s="2" t="s">
        <v>392</v>
      </c>
      <c r="C911" s="2">
        <v>32809</v>
      </c>
      <c r="D911" s="2">
        <v>43465</v>
      </c>
      <c r="E911" s="3">
        <v>46112</v>
      </c>
      <c r="F911" s="3">
        <v>46262</v>
      </c>
      <c r="G911" s="4">
        <v>22000</v>
      </c>
      <c r="H911" s="2">
        <v>0</v>
      </c>
      <c r="I911" s="2" t="s">
        <v>926</v>
      </c>
      <c r="J911" s="2" t="s">
        <v>394</v>
      </c>
    </row>
    <row r="912" spans="1:10" x14ac:dyDescent="0.3">
      <c r="A912" s="2" t="s">
        <v>409</v>
      </c>
      <c r="B912" s="2" t="s">
        <v>410</v>
      </c>
      <c r="C912" s="2">
        <v>32822</v>
      </c>
      <c r="D912" s="2">
        <v>43479</v>
      </c>
      <c r="E912" s="3">
        <v>46112</v>
      </c>
      <c r="F912" s="3">
        <v>46262</v>
      </c>
      <c r="G912" s="4">
        <v>50613.7</v>
      </c>
      <c r="H912" s="2">
        <v>0</v>
      </c>
      <c r="I912" s="2" t="s">
        <v>938</v>
      </c>
      <c r="J912" s="2" t="s">
        <v>412</v>
      </c>
    </row>
    <row r="913" spans="1:10" x14ac:dyDescent="0.3">
      <c r="A913" s="2" t="s">
        <v>414</v>
      </c>
      <c r="B913" s="2" t="s">
        <v>415</v>
      </c>
      <c r="C913" s="2">
        <v>32827</v>
      </c>
      <c r="D913" s="2">
        <v>43484</v>
      </c>
      <c r="E913" s="3">
        <v>46112</v>
      </c>
      <c r="F913" s="3">
        <v>46262</v>
      </c>
      <c r="G913" s="4">
        <v>29199.97</v>
      </c>
      <c r="H913" s="2">
        <v>0</v>
      </c>
      <c r="I913" s="2" t="s">
        <v>945</v>
      </c>
      <c r="J913" s="2" t="s">
        <v>417</v>
      </c>
    </row>
    <row r="914" spans="1:10" x14ac:dyDescent="0.3">
      <c r="A914" s="2" t="s">
        <v>414</v>
      </c>
      <c r="B914" s="2" t="s">
        <v>415</v>
      </c>
      <c r="C914" s="2">
        <v>32828</v>
      </c>
      <c r="D914" s="2">
        <v>43485</v>
      </c>
      <c r="E914" s="3">
        <v>46112</v>
      </c>
      <c r="F914" s="3">
        <v>46262</v>
      </c>
      <c r="G914" s="4">
        <v>9473.36</v>
      </c>
      <c r="H914" s="2">
        <v>0</v>
      </c>
      <c r="I914" s="2" t="s">
        <v>946</v>
      </c>
      <c r="J914" s="2" t="s">
        <v>417</v>
      </c>
    </row>
    <row r="915" spans="1:10" x14ac:dyDescent="0.3">
      <c r="A915" s="2" t="s">
        <v>414</v>
      </c>
      <c r="B915" s="2" t="s">
        <v>415</v>
      </c>
      <c r="C915" s="2">
        <v>32831</v>
      </c>
      <c r="D915" s="2">
        <v>43488</v>
      </c>
      <c r="E915" s="3">
        <v>46112</v>
      </c>
      <c r="F915" s="3">
        <v>46262</v>
      </c>
      <c r="G915" s="4">
        <v>2544</v>
      </c>
      <c r="H915" s="2">
        <v>0</v>
      </c>
      <c r="I915" s="2" t="s">
        <v>949</v>
      </c>
      <c r="J915" s="2" t="s">
        <v>417</v>
      </c>
    </row>
    <row r="916" spans="1:10" x14ac:dyDescent="0.3">
      <c r="A916" s="2" t="s">
        <v>360</v>
      </c>
      <c r="B916" s="2" t="s">
        <v>361</v>
      </c>
      <c r="C916" s="2">
        <v>33173</v>
      </c>
      <c r="D916" s="2">
        <v>43816</v>
      </c>
      <c r="E916" s="3">
        <v>46157</v>
      </c>
      <c r="F916" s="3">
        <v>46262</v>
      </c>
      <c r="G916" s="4">
        <v>6768.18</v>
      </c>
      <c r="H916" s="2">
        <v>0</v>
      </c>
      <c r="I916" s="2" t="s">
        <v>1161</v>
      </c>
      <c r="J916" s="2" t="s">
        <v>92</v>
      </c>
    </row>
    <row r="917" spans="1:10" x14ac:dyDescent="0.3">
      <c r="A917" s="2" t="s">
        <v>47</v>
      </c>
      <c r="B917" s="2" t="s">
        <v>48</v>
      </c>
      <c r="C917" s="2"/>
      <c r="D917" s="2">
        <v>276356</v>
      </c>
      <c r="E917" s="3">
        <v>45777</v>
      </c>
      <c r="F917" s="3">
        <v>46264</v>
      </c>
      <c r="G917" s="4">
        <v>330000</v>
      </c>
      <c r="H917" s="2">
        <v>0</v>
      </c>
      <c r="I917" s="2" t="s">
        <v>49</v>
      </c>
      <c r="J917" s="2" t="s">
        <v>50</v>
      </c>
    </row>
    <row r="918" spans="1:10" x14ac:dyDescent="0.3">
      <c r="A918" s="2" t="s">
        <v>504</v>
      </c>
      <c r="B918" s="2" t="s">
        <v>505</v>
      </c>
      <c r="C918" s="2">
        <v>31937</v>
      </c>
      <c r="D918" s="2">
        <v>42534</v>
      </c>
      <c r="E918" s="3">
        <v>46035</v>
      </c>
      <c r="F918" s="3">
        <v>46264</v>
      </c>
      <c r="G918" s="4">
        <v>118800</v>
      </c>
      <c r="H918" s="2">
        <v>0</v>
      </c>
      <c r="I918" s="2" t="s">
        <v>506</v>
      </c>
      <c r="J918" s="2" t="s">
        <v>117</v>
      </c>
    </row>
    <row r="919" spans="1:10" x14ac:dyDescent="0.3">
      <c r="A919" s="2" t="s">
        <v>504</v>
      </c>
      <c r="B919" s="2" t="s">
        <v>505</v>
      </c>
      <c r="C919" s="2">
        <v>31942</v>
      </c>
      <c r="D919" s="2">
        <v>42544</v>
      </c>
      <c r="E919" s="3">
        <v>46036</v>
      </c>
      <c r="F919" s="3">
        <v>46264</v>
      </c>
      <c r="G919" s="4">
        <v>132000</v>
      </c>
      <c r="H919" s="2">
        <v>0</v>
      </c>
      <c r="I919" s="2" t="s">
        <v>507</v>
      </c>
      <c r="J919" s="2" t="s">
        <v>117</v>
      </c>
    </row>
    <row r="920" spans="1:10" x14ac:dyDescent="0.3">
      <c r="A920" s="2" t="s">
        <v>504</v>
      </c>
      <c r="B920" s="2" t="s">
        <v>505</v>
      </c>
      <c r="C920" s="2">
        <v>31943</v>
      </c>
      <c r="D920" s="2">
        <v>42545</v>
      </c>
      <c r="E920" s="3">
        <v>46036</v>
      </c>
      <c r="F920" s="3">
        <v>46264</v>
      </c>
      <c r="G920" s="4">
        <v>183800</v>
      </c>
      <c r="H920" s="2">
        <v>0</v>
      </c>
      <c r="I920" s="2" t="s">
        <v>508</v>
      </c>
      <c r="J920" s="2" t="s">
        <v>117</v>
      </c>
    </row>
    <row r="921" spans="1:10" x14ac:dyDescent="0.3">
      <c r="A921" s="2" t="s">
        <v>504</v>
      </c>
      <c r="B921" s="2" t="s">
        <v>505</v>
      </c>
      <c r="C921" s="2">
        <v>31951</v>
      </c>
      <c r="D921" s="2">
        <v>42564</v>
      </c>
      <c r="E921" s="3">
        <v>46037</v>
      </c>
      <c r="F921" s="3">
        <v>46264</v>
      </c>
      <c r="G921" s="4">
        <v>206000</v>
      </c>
      <c r="H921" s="2">
        <v>0</v>
      </c>
      <c r="I921" s="2" t="s">
        <v>512</v>
      </c>
      <c r="J921" s="2" t="s">
        <v>117</v>
      </c>
    </row>
    <row r="922" spans="1:10" x14ac:dyDescent="0.3">
      <c r="A922" s="2" t="s">
        <v>504</v>
      </c>
      <c r="B922" s="2" t="s">
        <v>505</v>
      </c>
      <c r="C922" s="2">
        <v>31967</v>
      </c>
      <c r="D922" s="2">
        <v>42580</v>
      </c>
      <c r="E922" s="3">
        <v>46038</v>
      </c>
      <c r="F922" s="3">
        <v>46264</v>
      </c>
      <c r="G922" s="4">
        <v>206000</v>
      </c>
      <c r="H922" s="2">
        <v>0</v>
      </c>
      <c r="I922" s="2" t="s">
        <v>520</v>
      </c>
      <c r="J922" s="2" t="s">
        <v>117</v>
      </c>
    </row>
    <row r="923" spans="1:10" x14ac:dyDescent="0.3">
      <c r="A923" s="2" t="s">
        <v>504</v>
      </c>
      <c r="B923" s="2" t="s">
        <v>505</v>
      </c>
      <c r="C923" s="2">
        <v>31968</v>
      </c>
      <c r="D923" s="2">
        <v>42581</v>
      </c>
      <c r="E923" s="3">
        <v>46038</v>
      </c>
      <c r="F923" s="3">
        <v>46264</v>
      </c>
      <c r="G923" s="4">
        <v>190550</v>
      </c>
      <c r="H923" s="2">
        <v>0</v>
      </c>
      <c r="I923" s="2" t="s">
        <v>521</v>
      </c>
      <c r="J923" s="2" t="s">
        <v>117</v>
      </c>
    </row>
    <row r="924" spans="1:10" x14ac:dyDescent="0.3">
      <c r="A924" s="2" t="s">
        <v>504</v>
      </c>
      <c r="B924" s="2" t="s">
        <v>505</v>
      </c>
      <c r="C924" s="2">
        <v>31973</v>
      </c>
      <c r="D924" s="2">
        <v>42590</v>
      </c>
      <c r="E924" s="3">
        <v>46041</v>
      </c>
      <c r="F924" s="3">
        <v>46264</v>
      </c>
      <c r="G924" s="4">
        <v>206000</v>
      </c>
      <c r="H924" s="2">
        <v>0</v>
      </c>
      <c r="I924" s="2" t="s">
        <v>527</v>
      </c>
      <c r="J924" s="2" t="s">
        <v>117</v>
      </c>
    </row>
    <row r="925" spans="1:10" x14ac:dyDescent="0.3">
      <c r="A925" s="2" t="s">
        <v>504</v>
      </c>
      <c r="B925" s="2" t="s">
        <v>505</v>
      </c>
      <c r="C925" s="2">
        <v>32002</v>
      </c>
      <c r="D925" s="2">
        <v>42621</v>
      </c>
      <c r="E925" s="3">
        <v>46042</v>
      </c>
      <c r="F925" s="3">
        <v>46264</v>
      </c>
      <c r="G925" s="4">
        <v>139050</v>
      </c>
      <c r="H925" s="2">
        <v>0</v>
      </c>
      <c r="I925" s="2" t="s">
        <v>536</v>
      </c>
      <c r="J925" s="2" t="s">
        <v>117</v>
      </c>
    </row>
    <row r="926" spans="1:10" x14ac:dyDescent="0.3">
      <c r="A926" s="2" t="s">
        <v>504</v>
      </c>
      <c r="B926" s="2" t="s">
        <v>505</v>
      </c>
      <c r="C926" s="2">
        <v>32003</v>
      </c>
      <c r="D926" s="2">
        <v>42622</v>
      </c>
      <c r="E926" s="3">
        <v>46042</v>
      </c>
      <c r="F926" s="3">
        <v>46264</v>
      </c>
      <c r="G926" s="4">
        <v>32370</v>
      </c>
      <c r="H926" s="2">
        <v>0</v>
      </c>
      <c r="I926" s="2" t="s">
        <v>537</v>
      </c>
      <c r="J926" s="2" t="s">
        <v>117</v>
      </c>
    </row>
    <row r="927" spans="1:10" x14ac:dyDescent="0.3">
      <c r="A927" s="2" t="s">
        <v>561</v>
      </c>
      <c r="B927" s="2" t="s">
        <v>562</v>
      </c>
      <c r="C927" s="2">
        <v>32484</v>
      </c>
      <c r="D927" s="2">
        <v>43151</v>
      </c>
      <c r="E927" s="3">
        <v>46084</v>
      </c>
      <c r="F927" s="3">
        <v>46264</v>
      </c>
      <c r="G927" s="4">
        <v>182190.48</v>
      </c>
      <c r="H927" s="2">
        <v>0</v>
      </c>
      <c r="I927" s="2" t="s">
        <v>757</v>
      </c>
      <c r="J927" s="2" t="s">
        <v>563</v>
      </c>
    </row>
    <row r="928" spans="1:10" x14ac:dyDescent="0.3">
      <c r="A928" s="2" t="s">
        <v>295</v>
      </c>
      <c r="B928" s="2" t="s">
        <v>296</v>
      </c>
      <c r="C928" s="2">
        <v>31192</v>
      </c>
      <c r="D928" s="2">
        <v>41710</v>
      </c>
      <c r="E928" s="3">
        <v>45961</v>
      </c>
      <c r="F928" s="3">
        <v>46265</v>
      </c>
      <c r="G928" s="4">
        <v>2340</v>
      </c>
      <c r="H928" s="2">
        <v>0</v>
      </c>
      <c r="I928" s="2" t="s">
        <v>297</v>
      </c>
      <c r="J928" s="2" t="s">
        <v>298</v>
      </c>
    </row>
    <row r="929" spans="1:10" x14ac:dyDescent="0.3">
      <c r="A929" s="2" t="s">
        <v>299</v>
      </c>
      <c r="B929" s="2" t="s">
        <v>300</v>
      </c>
      <c r="C929" s="2">
        <v>31193</v>
      </c>
      <c r="D929" s="2">
        <v>41711</v>
      </c>
      <c r="E929" s="3">
        <v>45961</v>
      </c>
      <c r="F929" s="3">
        <v>46265</v>
      </c>
      <c r="G929" s="4">
        <v>19500</v>
      </c>
      <c r="H929" s="2">
        <v>0</v>
      </c>
      <c r="I929" s="2" t="s">
        <v>301</v>
      </c>
      <c r="J929" s="2" t="s">
        <v>298</v>
      </c>
    </row>
    <row r="930" spans="1:10" x14ac:dyDescent="0.3">
      <c r="A930" s="2" t="s">
        <v>295</v>
      </c>
      <c r="B930" s="2" t="s">
        <v>296</v>
      </c>
      <c r="C930" s="2">
        <v>31300</v>
      </c>
      <c r="D930" s="2">
        <v>41835</v>
      </c>
      <c r="E930" s="3">
        <v>45972</v>
      </c>
      <c r="F930" s="3">
        <v>46265</v>
      </c>
      <c r="G930" s="4">
        <v>393900</v>
      </c>
      <c r="H930" s="2">
        <v>0</v>
      </c>
      <c r="I930" s="2" t="s">
        <v>320</v>
      </c>
      <c r="J930" s="2" t="s">
        <v>298</v>
      </c>
    </row>
    <row r="931" spans="1:10" x14ac:dyDescent="0.3">
      <c r="A931" s="2" t="s">
        <v>321</v>
      </c>
      <c r="B931" s="2" t="s">
        <v>322</v>
      </c>
      <c r="C931" s="2">
        <v>31301</v>
      </c>
      <c r="D931" s="2">
        <v>41836</v>
      </c>
      <c r="E931" s="3">
        <v>45972</v>
      </c>
      <c r="F931" s="3">
        <v>46265</v>
      </c>
      <c r="G931" s="4">
        <v>111000</v>
      </c>
      <c r="H931" s="2">
        <v>0</v>
      </c>
      <c r="I931" s="2" t="s">
        <v>323</v>
      </c>
      <c r="J931" s="2" t="s">
        <v>298</v>
      </c>
    </row>
    <row r="932" spans="1:10" x14ac:dyDescent="0.3">
      <c r="A932" s="2" t="s">
        <v>299</v>
      </c>
      <c r="B932" s="2" t="s">
        <v>300</v>
      </c>
      <c r="C932" s="2">
        <v>31302</v>
      </c>
      <c r="D932" s="2">
        <v>41837</v>
      </c>
      <c r="E932" s="3">
        <v>45972</v>
      </c>
      <c r="F932" s="3">
        <v>46265</v>
      </c>
      <c r="G932" s="4">
        <v>153750</v>
      </c>
      <c r="H932" s="2">
        <v>0</v>
      </c>
      <c r="I932" s="2" t="s">
        <v>324</v>
      </c>
      <c r="J932" s="2" t="s">
        <v>298</v>
      </c>
    </row>
    <row r="933" spans="1:10" x14ac:dyDescent="0.3">
      <c r="A933" s="2" t="s">
        <v>295</v>
      </c>
      <c r="B933" s="2" t="s">
        <v>296</v>
      </c>
      <c r="C933" s="2">
        <v>31303</v>
      </c>
      <c r="D933" s="2">
        <v>41838</v>
      </c>
      <c r="E933" s="3">
        <v>45972</v>
      </c>
      <c r="F933" s="3">
        <v>46265</v>
      </c>
      <c r="G933" s="4">
        <v>44200</v>
      </c>
      <c r="H933" s="2">
        <v>0</v>
      </c>
      <c r="I933" s="2" t="s">
        <v>325</v>
      </c>
      <c r="J933" s="2" t="s">
        <v>298</v>
      </c>
    </row>
    <row r="934" spans="1:10" x14ac:dyDescent="0.3">
      <c r="A934" s="2" t="s">
        <v>344</v>
      </c>
      <c r="B934" s="2" t="s">
        <v>345</v>
      </c>
      <c r="C934" s="2">
        <v>31482</v>
      </c>
      <c r="D934" s="2">
        <v>42029</v>
      </c>
      <c r="E934" s="3">
        <v>45988</v>
      </c>
      <c r="F934" s="3">
        <v>46265</v>
      </c>
      <c r="G934" s="4">
        <v>104900</v>
      </c>
      <c r="H934" s="2">
        <v>0</v>
      </c>
      <c r="I934" s="2" t="s">
        <v>346</v>
      </c>
      <c r="J934" s="2" t="s">
        <v>298</v>
      </c>
    </row>
    <row r="935" spans="1:10" x14ac:dyDescent="0.3">
      <c r="A935" s="2" t="s">
        <v>344</v>
      </c>
      <c r="B935" s="2" t="s">
        <v>345</v>
      </c>
      <c r="C935" s="2">
        <v>31483</v>
      </c>
      <c r="D935" s="2">
        <v>42031</v>
      </c>
      <c r="E935" s="3">
        <v>45988</v>
      </c>
      <c r="F935" s="3">
        <v>46265</v>
      </c>
      <c r="G935" s="4">
        <v>8580</v>
      </c>
      <c r="H935" s="2">
        <v>0</v>
      </c>
      <c r="I935" s="2" t="s">
        <v>347</v>
      </c>
      <c r="J935" s="2" t="s">
        <v>298</v>
      </c>
    </row>
    <row r="936" spans="1:10" x14ac:dyDescent="0.3">
      <c r="A936" s="2" t="s">
        <v>321</v>
      </c>
      <c r="B936" s="2" t="s">
        <v>322</v>
      </c>
      <c r="C936" s="2">
        <v>31484</v>
      </c>
      <c r="D936" s="2">
        <v>42032</v>
      </c>
      <c r="E936" s="3">
        <v>45988</v>
      </c>
      <c r="F936" s="3">
        <v>46265</v>
      </c>
      <c r="G936" s="4">
        <v>3900</v>
      </c>
      <c r="H936" s="2">
        <v>0</v>
      </c>
      <c r="I936" s="2" t="s">
        <v>348</v>
      </c>
      <c r="J936" s="2" t="s">
        <v>298</v>
      </c>
    </row>
    <row r="937" spans="1:10" x14ac:dyDescent="0.3">
      <c r="A937" s="2" t="s">
        <v>295</v>
      </c>
      <c r="B937" s="2" t="s">
        <v>296</v>
      </c>
      <c r="C937" s="2">
        <v>31488</v>
      </c>
      <c r="D937" s="2">
        <v>42035</v>
      </c>
      <c r="E937" s="3">
        <v>45989</v>
      </c>
      <c r="F937" s="3">
        <v>46265</v>
      </c>
      <c r="G937" s="4">
        <v>3900</v>
      </c>
      <c r="H937" s="2">
        <v>0</v>
      </c>
      <c r="I937" s="2" t="s">
        <v>349</v>
      </c>
      <c r="J937" s="2" t="s">
        <v>298</v>
      </c>
    </row>
    <row r="938" spans="1:10" x14ac:dyDescent="0.3">
      <c r="A938" s="2" t="s">
        <v>350</v>
      </c>
      <c r="B938" s="2" t="s">
        <v>351</v>
      </c>
      <c r="C938" s="2">
        <v>31489</v>
      </c>
      <c r="D938" s="2">
        <v>42036</v>
      </c>
      <c r="E938" s="3">
        <v>45989</v>
      </c>
      <c r="F938" s="3">
        <v>46265</v>
      </c>
      <c r="G938" s="4">
        <v>148000</v>
      </c>
      <c r="H938" s="2">
        <v>0</v>
      </c>
      <c r="I938" s="2" t="s">
        <v>352</v>
      </c>
      <c r="J938" s="2" t="s">
        <v>298</v>
      </c>
    </row>
    <row r="939" spans="1:10" x14ac:dyDescent="0.3">
      <c r="A939" s="2" t="s">
        <v>353</v>
      </c>
      <c r="B939" s="2" t="s">
        <v>354</v>
      </c>
      <c r="C939" s="2">
        <v>31498</v>
      </c>
      <c r="D939" s="2">
        <v>42044</v>
      </c>
      <c r="E939" s="3">
        <v>45989</v>
      </c>
      <c r="F939" s="3">
        <v>46265</v>
      </c>
      <c r="G939" s="4">
        <v>120000</v>
      </c>
      <c r="H939" s="2">
        <v>0</v>
      </c>
      <c r="I939" s="2" t="s">
        <v>355</v>
      </c>
      <c r="J939" s="2" t="s">
        <v>146</v>
      </c>
    </row>
    <row r="940" spans="1:10" x14ac:dyDescent="0.3">
      <c r="A940" s="2" t="s">
        <v>376</v>
      </c>
      <c r="B940" s="2" t="s">
        <v>316</v>
      </c>
      <c r="C940" s="2">
        <v>31541</v>
      </c>
      <c r="D940" s="2">
        <v>42097</v>
      </c>
      <c r="E940" s="3">
        <v>45996</v>
      </c>
      <c r="F940" s="3">
        <v>46265</v>
      </c>
      <c r="G940" s="4">
        <v>315400</v>
      </c>
      <c r="H940" s="2">
        <v>0</v>
      </c>
      <c r="I940" s="2" t="s">
        <v>377</v>
      </c>
      <c r="J940" s="2" t="s">
        <v>318</v>
      </c>
    </row>
    <row r="941" spans="1:10" x14ac:dyDescent="0.3">
      <c r="A941" s="2" t="s">
        <v>315</v>
      </c>
      <c r="B941" s="2" t="s">
        <v>316</v>
      </c>
      <c r="C941" s="2">
        <v>31542</v>
      </c>
      <c r="D941" s="2">
        <v>42098</v>
      </c>
      <c r="E941" s="3">
        <v>45996</v>
      </c>
      <c r="F941" s="3">
        <v>46265</v>
      </c>
      <c r="G941" s="4">
        <v>227200</v>
      </c>
      <c r="H941" s="2">
        <v>0</v>
      </c>
      <c r="I941" s="2" t="s">
        <v>378</v>
      </c>
      <c r="J941" s="2" t="s">
        <v>318</v>
      </c>
    </row>
    <row r="942" spans="1:10" x14ac:dyDescent="0.3">
      <c r="A942" s="2" t="s">
        <v>376</v>
      </c>
      <c r="B942" s="2" t="s">
        <v>316</v>
      </c>
      <c r="C942" s="2">
        <v>31644</v>
      </c>
      <c r="D942" s="2">
        <v>42212</v>
      </c>
      <c r="E942" s="3">
        <v>46002</v>
      </c>
      <c r="F942" s="3">
        <v>46265</v>
      </c>
      <c r="G942" s="4">
        <v>88200</v>
      </c>
      <c r="H942" s="2">
        <v>0</v>
      </c>
      <c r="I942" s="2" t="s">
        <v>418</v>
      </c>
      <c r="J942" s="2" t="s">
        <v>318</v>
      </c>
    </row>
    <row r="943" spans="1:10" x14ac:dyDescent="0.3">
      <c r="A943" s="2" t="s">
        <v>295</v>
      </c>
      <c r="B943" s="2" t="s">
        <v>296</v>
      </c>
      <c r="C943" s="2">
        <v>31671</v>
      </c>
      <c r="D943" s="2">
        <v>42242</v>
      </c>
      <c r="E943" s="3">
        <v>46003</v>
      </c>
      <c r="F943" s="3">
        <v>46265</v>
      </c>
      <c r="G943" s="4">
        <v>93500</v>
      </c>
      <c r="H943" s="2">
        <v>0</v>
      </c>
      <c r="I943" s="2" t="s">
        <v>421</v>
      </c>
      <c r="J943" s="2" t="s">
        <v>298</v>
      </c>
    </row>
    <row r="944" spans="1:10" x14ac:dyDescent="0.3">
      <c r="A944" s="2" t="s">
        <v>295</v>
      </c>
      <c r="B944" s="2" t="s">
        <v>296</v>
      </c>
      <c r="C944" s="2">
        <v>31672</v>
      </c>
      <c r="D944" s="2">
        <v>42243</v>
      </c>
      <c r="E944" s="3">
        <v>46003</v>
      </c>
      <c r="F944" s="3">
        <v>46265</v>
      </c>
      <c r="G944" s="4">
        <v>2860</v>
      </c>
      <c r="H944" s="2">
        <v>0</v>
      </c>
      <c r="I944" s="2" t="s">
        <v>422</v>
      </c>
      <c r="J944" s="2" t="s">
        <v>298</v>
      </c>
    </row>
    <row r="945" spans="1:10" x14ac:dyDescent="0.3">
      <c r="A945" s="2" t="s">
        <v>299</v>
      </c>
      <c r="B945" s="2" t="s">
        <v>300</v>
      </c>
      <c r="C945" s="2">
        <v>31673</v>
      </c>
      <c r="D945" s="2">
        <v>42244</v>
      </c>
      <c r="E945" s="3">
        <v>46003</v>
      </c>
      <c r="F945" s="3">
        <v>46265</v>
      </c>
      <c r="G945" s="4">
        <v>126480</v>
      </c>
      <c r="H945" s="2">
        <v>0</v>
      </c>
      <c r="I945" s="2" t="s">
        <v>423</v>
      </c>
      <c r="J945" s="2" t="s">
        <v>298</v>
      </c>
    </row>
    <row r="946" spans="1:10" x14ac:dyDescent="0.3">
      <c r="A946" s="2" t="s">
        <v>315</v>
      </c>
      <c r="B946" s="2" t="s">
        <v>316</v>
      </c>
      <c r="C946" s="2">
        <v>31727</v>
      </c>
      <c r="D946" s="2">
        <v>42299</v>
      </c>
      <c r="E946" s="3">
        <v>46007</v>
      </c>
      <c r="F946" s="3">
        <v>46265</v>
      </c>
      <c r="G946" s="4">
        <v>289800</v>
      </c>
      <c r="H946" s="2">
        <v>0</v>
      </c>
      <c r="I946" s="2" t="s">
        <v>433</v>
      </c>
      <c r="J946" s="2" t="s">
        <v>318</v>
      </c>
    </row>
    <row r="947" spans="1:10" x14ac:dyDescent="0.3">
      <c r="A947" s="2" t="s">
        <v>376</v>
      </c>
      <c r="B947" s="2" t="s">
        <v>316</v>
      </c>
      <c r="C947" s="2">
        <v>31829</v>
      </c>
      <c r="D947" s="2">
        <v>42412</v>
      </c>
      <c r="E947" s="3">
        <v>46021</v>
      </c>
      <c r="F947" s="3">
        <v>46265</v>
      </c>
      <c r="G947" s="4">
        <v>100800</v>
      </c>
      <c r="H947" s="2">
        <v>0</v>
      </c>
      <c r="I947" s="2" t="s">
        <v>476</v>
      </c>
      <c r="J947" s="2" t="s">
        <v>318</v>
      </c>
    </row>
    <row r="948" spans="1:10" x14ac:dyDescent="0.3">
      <c r="A948" s="2" t="s">
        <v>84</v>
      </c>
      <c r="B948" s="2" t="s">
        <v>85</v>
      </c>
      <c r="C948" s="2">
        <v>31905</v>
      </c>
      <c r="D948" s="2">
        <v>42501</v>
      </c>
      <c r="E948" s="3">
        <v>46031</v>
      </c>
      <c r="F948" s="3">
        <v>46265</v>
      </c>
      <c r="G948" s="4">
        <v>630189.19999999995</v>
      </c>
      <c r="H948" s="2">
        <v>0</v>
      </c>
      <c r="I948" s="2" t="s">
        <v>492</v>
      </c>
      <c r="J948" s="2" t="s">
        <v>66</v>
      </c>
    </row>
    <row r="949" spans="1:10" x14ac:dyDescent="0.3">
      <c r="A949" s="2" t="s">
        <v>493</v>
      </c>
      <c r="B949" s="2" t="s">
        <v>494</v>
      </c>
      <c r="C949" s="2">
        <v>31906</v>
      </c>
      <c r="D949" s="2">
        <v>42503</v>
      </c>
      <c r="E949" s="3">
        <v>46031</v>
      </c>
      <c r="F949" s="3">
        <v>46265</v>
      </c>
      <c r="G949" s="4">
        <v>18201.599999999999</v>
      </c>
      <c r="H949" s="2">
        <v>0</v>
      </c>
      <c r="I949" s="2" t="s">
        <v>495</v>
      </c>
      <c r="J949" s="2" t="s">
        <v>97</v>
      </c>
    </row>
    <row r="950" spans="1:10" x14ac:dyDescent="0.3">
      <c r="A950" s="2" t="s">
        <v>496</v>
      </c>
      <c r="B950" s="2" t="s">
        <v>497</v>
      </c>
      <c r="C950" s="2">
        <v>31910</v>
      </c>
      <c r="D950" s="2">
        <v>42509</v>
      </c>
      <c r="E950" s="3">
        <v>46034</v>
      </c>
      <c r="F950" s="3">
        <v>46265</v>
      </c>
      <c r="G950" s="4">
        <v>219700</v>
      </c>
      <c r="H950" s="2">
        <v>0</v>
      </c>
      <c r="I950" s="2" t="s">
        <v>498</v>
      </c>
      <c r="J950" s="2" t="s">
        <v>46</v>
      </c>
    </row>
    <row r="951" spans="1:10" x14ac:dyDescent="0.3">
      <c r="A951" s="2" t="s">
        <v>295</v>
      </c>
      <c r="B951" s="2" t="s">
        <v>296</v>
      </c>
      <c r="C951" s="2">
        <v>31920</v>
      </c>
      <c r="D951" s="2">
        <v>42519</v>
      </c>
      <c r="E951" s="3">
        <v>46035</v>
      </c>
      <c r="F951" s="3">
        <v>46265</v>
      </c>
      <c r="G951" s="4">
        <v>3900</v>
      </c>
      <c r="H951" s="2">
        <v>0</v>
      </c>
      <c r="I951" s="2" t="s">
        <v>349</v>
      </c>
      <c r="J951" s="2" t="s">
        <v>298</v>
      </c>
    </row>
    <row r="952" spans="1:10" x14ac:dyDescent="0.3">
      <c r="A952" s="2" t="s">
        <v>299</v>
      </c>
      <c r="B952" s="2" t="s">
        <v>300</v>
      </c>
      <c r="C952" s="2">
        <v>31921</v>
      </c>
      <c r="D952" s="2">
        <v>42520</v>
      </c>
      <c r="E952" s="3">
        <v>46035</v>
      </c>
      <c r="F952" s="3">
        <v>46265</v>
      </c>
      <c r="G952" s="4">
        <v>24650</v>
      </c>
      <c r="H952" s="2">
        <v>0</v>
      </c>
      <c r="I952" s="2" t="s">
        <v>501</v>
      </c>
      <c r="J952" s="2" t="s">
        <v>298</v>
      </c>
    </row>
    <row r="953" spans="1:10" x14ac:dyDescent="0.3">
      <c r="A953" s="2" t="s">
        <v>350</v>
      </c>
      <c r="B953" s="2" t="s">
        <v>351</v>
      </c>
      <c r="C953" s="2">
        <v>31923</v>
      </c>
      <c r="D953" s="2">
        <v>42522</v>
      </c>
      <c r="E953" s="3">
        <v>46035</v>
      </c>
      <c r="F953" s="3">
        <v>46265</v>
      </c>
      <c r="G953" s="4">
        <v>27450</v>
      </c>
      <c r="H953" s="2">
        <v>0</v>
      </c>
      <c r="I953" s="2" t="s">
        <v>352</v>
      </c>
      <c r="J953" s="2" t="s">
        <v>298</v>
      </c>
    </row>
    <row r="954" spans="1:10" x14ac:dyDescent="0.3">
      <c r="A954" s="2" t="s">
        <v>509</v>
      </c>
      <c r="B954" s="2" t="s">
        <v>510</v>
      </c>
      <c r="C954" s="2">
        <v>31950</v>
      </c>
      <c r="D954" s="2">
        <v>42563</v>
      </c>
      <c r="E954" s="3">
        <v>46037</v>
      </c>
      <c r="F954" s="3">
        <v>46265</v>
      </c>
      <c r="G954" s="4">
        <v>120000</v>
      </c>
      <c r="H954" s="2">
        <v>0</v>
      </c>
      <c r="I954" s="2" t="s">
        <v>511</v>
      </c>
      <c r="J954" s="2" t="s">
        <v>66</v>
      </c>
    </row>
    <row r="955" spans="1:10" x14ac:dyDescent="0.3">
      <c r="A955" s="2" t="s">
        <v>524</v>
      </c>
      <c r="B955" s="2" t="s">
        <v>525</v>
      </c>
      <c r="C955" s="2">
        <v>31972</v>
      </c>
      <c r="D955" s="2">
        <v>42588</v>
      </c>
      <c r="E955" s="3">
        <v>46041</v>
      </c>
      <c r="F955" s="3">
        <v>46265</v>
      </c>
      <c r="G955" s="4">
        <v>20060</v>
      </c>
      <c r="H955" s="2">
        <v>0</v>
      </c>
      <c r="I955" s="2" t="s">
        <v>526</v>
      </c>
      <c r="J955" s="2" t="s">
        <v>26</v>
      </c>
    </row>
    <row r="956" spans="1:10" x14ac:dyDescent="0.3">
      <c r="A956" s="2" t="s">
        <v>538</v>
      </c>
      <c r="B956" s="2" t="s">
        <v>539</v>
      </c>
      <c r="C956" s="2">
        <v>32004</v>
      </c>
      <c r="D956" s="2">
        <v>42623</v>
      </c>
      <c r="E956" s="3">
        <v>46042</v>
      </c>
      <c r="F956" s="3">
        <v>46265</v>
      </c>
      <c r="G956" s="4">
        <v>48800</v>
      </c>
      <c r="H956" s="2">
        <v>0</v>
      </c>
      <c r="I956" s="2" t="s">
        <v>540</v>
      </c>
      <c r="J956" s="2" t="s">
        <v>117</v>
      </c>
    </row>
    <row r="957" spans="1:10" x14ac:dyDescent="0.3">
      <c r="A957" s="2" t="s">
        <v>295</v>
      </c>
      <c r="B957" s="2" t="s">
        <v>296</v>
      </c>
      <c r="C957" s="2">
        <v>32030</v>
      </c>
      <c r="D957" s="2">
        <v>42656</v>
      </c>
      <c r="E957" s="3">
        <v>46044</v>
      </c>
      <c r="F957" s="3">
        <v>46265</v>
      </c>
      <c r="G957" s="4">
        <v>2340</v>
      </c>
      <c r="H957" s="2">
        <v>0</v>
      </c>
      <c r="I957" s="2" t="s">
        <v>349</v>
      </c>
      <c r="J957" s="2" t="s">
        <v>298</v>
      </c>
    </row>
    <row r="958" spans="1:10" x14ac:dyDescent="0.3">
      <c r="A958" s="2" t="s">
        <v>295</v>
      </c>
      <c r="B958" s="2" t="s">
        <v>296</v>
      </c>
      <c r="C958" s="2">
        <v>32031</v>
      </c>
      <c r="D958" s="2">
        <v>42657</v>
      </c>
      <c r="E958" s="3">
        <v>46044</v>
      </c>
      <c r="F958" s="3">
        <v>46265</v>
      </c>
      <c r="G958" s="4">
        <v>71400</v>
      </c>
      <c r="H958" s="2">
        <v>0</v>
      </c>
      <c r="I958" s="2" t="s">
        <v>349</v>
      </c>
      <c r="J958" s="2" t="s">
        <v>298</v>
      </c>
    </row>
    <row r="959" spans="1:10" x14ac:dyDescent="0.3">
      <c r="A959" s="2" t="s">
        <v>504</v>
      </c>
      <c r="B959" s="2" t="s">
        <v>505</v>
      </c>
      <c r="C959" s="2">
        <v>32070</v>
      </c>
      <c r="D959" s="2">
        <v>42698</v>
      </c>
      <c r="E959" s="3">
        <v>46045</v>
      </c>
      <c r="F959" s="3">
        <v>46265</v>
      </c>
      <c r="G959" s="4">
        <v>26581</v>
      </c>
      <c r="H959" s="2">
        <v>0</v>
      </c>
      <c r="I959" s="2" t="s">
        <v>553</v>
      </c>
      <c r="J959" s="2" t="s">
        <v>117</v>
      </c>
    </row>
    <row r="960" spans="1:10" x14ac:dyDescent="0.3">
      <c r="A960" s="2" t="s">
        <v>84</v>
      </c>
      <c r="B960" s="2" t="s">
        <v>85</v>
      </c>
      <c r="C960" s="2">
        <v>32076</v>
      </c>
      <c r="D960" s="2">
        <v>42705</v>
      </c>
      <c r="E960" s="3">
        <v>46045</v>
      </c>
      <c r="F960" s="3">
        <v>46265</v>
      </c>
      <c r="G960" s="4">
        <v>96621.4</v>
      </c>
      <c r="H960" s="2">
        <v>0</v>
      </c>
      <c r="I960" s="2" t="s">
        <v>492</v>
      </c>
      <c r="J960" s="2" t="s">
        <v>66</v>
      </c>
    </row>
    <row r="961" spans="1:10" x14ac:dyDescent="0.3">
      <c r="A961" s="2" t="s">
        <v>302</v>
      </c>
      <c r="B961" s="2" t="s">
        <v>303</v>
      </c>
      <c r="C961" s="2">
        <v>32086</v>
      </c>
      <c r="D961" s="2">
        <v>42719</v>
      </c>
      <c r="E961" s="3">
        <v>46048</v>
      </c>
      <c r="F961" s="3">
        <v>46265</v>
      </c>
      <c r="G961" s="4">
        <v>28120</v>
      </c>
      <c r="H961" s="2">
        <v>0</v>
      </c>
      <c r="I961" s="2" t="s">
        <v>560</v>
      </c>
      <c r="J961" s="2" t="s">
        <v>26</v>
      </c>
    </row>
    <row r="962" spans="1:10" x14ac:dyDescent="0.3">
      <c r="A962" s="2" t="s">
        <v>68</v>
      </c>
      <c r="B962" s="2" t="s">
        <v>69</v>
      </c>
      <c r="C962" s="2">
        <v>32092</v>
      </c>
      <c r="D962" s="2">
        <v>42724</v>
      </c>
      <c r="E962" s="3">
        <v>46048</v>
      </c>
      <c r="F962" s="3">
        <v>46265</v>
      </c>
      <c r="G962" s="4">
        <v>170102</v>
      </c>
      <c r="H962" s="2">
        <v>0</v>
      </c>
      <c r="I962" s="2" t="s">
        <v>564</v>
      </c>
      <c r="J962" s="2" t="s">
        <v>50</v>
      </c>
    </row>
    <row r="963" spans="1:10" x14ac:dyDescent="0.3">
      <c r="A963" s="2" t="s">
        <v>538</v>
      </c>
      <c r="B963" s="2" t="s">
        <v>539</v>
      </c>
      <c r="C963" s="2">
        <v>32139</v>
      </c>
      <c r="D963" s="2">
        <v>42760</v>
      </c>
      <c r="E963" s="3">
        <v>46050</v>
      </c>
      <c r="F963" s="3">
        <v>46265</v>
      </c>
      <c r="G963" s="4">
        <v>101775</v>
      </c>
      <c r="H963" s="2">
        <v>0</v>
      </c>
      <c r="I963" s="2" t="s">
        <v>574</v>
      </c>
      <c r="J963" s="2" t="s">
        <v>117</v>
      </c>
    </row>
    <row r="964" spans="1:10" x14ac:dyDescent="0.3">
      <c r="A964" s="2" t="s">
        <v>575</v>
      </c>
      <c r="B964" s="2" t="s">
        <v>576</v>
      </c>
      <c r="C964" s="2">
        <v>32142</v>
      </c>
      <c r="D964" s="2">
        <v>42762</v>
      </c>
      <c r="E964" s="3">
        <v>46050</v>
      </c>
      <c r="F964" s="3">
        <v>46265</v>
      </c>
      <c r="G964" s="4">
        <v>165300</v>
      </c>
      <c r="H964" s="2">
        <v>0</v>
      </c>
      <c r="I964" s="2" t="s">
        <v>577</v>
      </c>
      <c r="J964" s="2" t="s">
        <v>117</v>
      </c>
    </row>
    <row r="965" spans="1:10" x14ac:dyDescent="0.3">
      <c r="A965" s="2" t="s">
        <v>509</v>
      </c>
      <c r="B965" s="2" t="s">
        <v>510</v>
      </c>
      <c r="C965" s="2">
        <v>32152</v>
      </c>
      <c r="D965" s="2">
        <v>42774</v>
      </c>
      <c r="E965" s="3">
        <v>46051</v>
      </c>
      <c r="F965" s="3">
        <v>46265</v>
      </c>
      <c r="G965" s="4">
        <v>234200</v>
      </c>
      <c r="H965" s="2">
        <v>0</v>
      </c>
      <c r="I965" s="2" t="s">
        <v>511</v>
      </c>
      <c r="J965" s="2" t="s">
        <v>66</v>
      </c>
    </row>
    <row r="966" spans="1:10" x14ac:dyDescent="0.3">
      <c r="A966" s="2" t="s">
        <v>509</v>
      </c>
      <c r="B966" s="2" t="s">
        <v>510</v>
      </c>
      <c r="C966" s="2">
        <v>32153</v>
      </c>
      <c r="D966" s="2">
        <v>42775</v>
      </c>
      <c r="E966" s="3">
        <v>46051</v>
      </c>
      <c r="F966" s="3">
        <v>46265</v>
      </c>
      <c r="G966" s="4">
        <v>77500</v>
      </c>
      <c r="H966" s="2">
        <v>0</v>
      </c>
      <c r="I966" s="2" t="s">
        <v>511</v>
      </c>
      <c r="J966" s="2" t="s">
        <v>66</v>
      </c>
    </row>
    <row r="967" spans="1:10" x14ac:dyDescent="0.3">
      <c r="A967" s="2" t="s">
        <v>509</v>
      </c>
      <c r="B967" s="2" t="s">
        <v>510</v>
      </c>
      <c r="C967" s="2">
        <v>32160</v>
      </c>
      <c r="D967" s="2">
        <v>42782</v>
      </c>
      <c r="E967" s="3">
        <v>46051</v>
      </c>
      <c r="F967" s="3">
        <v>46265</v>
      </c>
      <c r="G967" s="4">
        <v>122620</v>
      </c>
      <c r="H967" s="2">
        <v>0</v>
      </c>
      <c r="I967" s="2" t="s">
        <v>511</v>
      </c>
      <c r="J967" s="2" t="s">
        <v>66</v>
      </c>
    </row>
    <row r="968" spans="1:10" x14ac:dyDescent="0.3">
      <c r="A968" s="2" t="s">
        <v>538</v>
      </c>
      <c r="B968" s="2" t="s">
        <v>539</v>
      </c>
      <c r="C968" s="2">
        <v>32212</v>
      </c>
      <c r="D968" s="2">
        <v>42847</v>
      </c>
      <c r="E968" s="3">
        <v>46059</v>
      </c>
      <c r="F968" s="3">
        <v>46265</v>
      </c>
      <c r="G968" s="4">
        <v>146400</v>
      </c>
      <c r="H968" s="2">
        <v>0</v>
      </c>
      <c r="I968" s="2" t="s">
        <v>603</v>
      </c>
      <c r="J968" s="2" t="s">
        <v>117</v>
      </c>
    </row>
    <row r="969" spans="1:10" x14ac:dyDescent="0.3">
      <c r="A969" s="2" t="s">
        <v>604</v>
      </c>
      <c r="B969" s="2" t="s">
        <v>605</v>
      </c>
      <c r="C969" s="2">
        <v>32214</v>
      </c>
      <c r="D969" s="2">
        <v>42849</v>
      </c>
      <c r="E969" s="3">
        <v>46059</v>
      </c>
      <c r="F969" s="3">
        <v>46265</v>
      </c>
      <c r="G969" s="4">
        <v>224486.25</v>
      </c>
      <c r="H969" s="2">
        <v>0</v>
      </c>
      <c r="I969" s="2" t="s">
        <v>606</v>
      </c>
      <c r="J969" s="2" t="s">
        <v>117</v>
      </c>
    </row>
    <row r="970" spans="1:10" x14ac:dyDescent="0.3">
      <c r="A970" s="2" t="s">
        <v>604</v>
      </c>
      <c r="B970" s="2" t="s">
        <v>605</v>
      </c>
      <c r="C970" s="2">
        <v>32217</v>
      </c>
      <c r="D970" s="2">
        <v>42852</v>
      </c>
      <c r="E970" s="3">
        <v>46059</v>
      </c>
      <c r="F970" s="3">
        <v>46265</v>
      </c>
      <c r="G970" s="4">
        <v>242146</v>
      </c>
      <c r="H970" s="2">
        <v>0</v>
      </c>
      <c r="I970" s="2" t="s">
        <v>606</v>
      </c>
      <c r="J970" s="2" t="s">
        <v>117</v>
      </c>
    </row>
    <row r="971" spans="1:10" x14ac:dyDescent="0.3">
      <c r="A971" s="2" t="s">
        <v>611</v>
      </c>
      <c r="B971" s="2" t="s">
        <v>612</v>
      </c>
      <c r="C971" s="2">
        <v>32231</v>
      </c>
      <c r="D971" s="2">
        <v>42866</v>
      </c>
      <c r="E971" s="3">
        <v>46063</v>
      </c>
      <c r="F971" s="3">
        <v>46265</v>
      </c>
      <c r="G971" s="4">
        <v>93135</v>
      </c>
      <c r="H971" s="2">
        <v>0</v>
      </c>
      <c r="I971" s="2" t="s">
        <v>613</v>
      </c>
      <c r="J971" s="2" t="s">
        <v>66</v>
      </c>
    </row>
    <row r="972" spans="1:10" x14ac:dyDescent="0.3">
      <c r="A972" s="2" t="s">
        <v>509</v>
      </c>
      <c r="B972" s="2" t="s">
        <v>510</v>
      </c>
      <c r="C972" s="2">
        <v>32234</v>
      </c>
      <c r="D972" s="2">
        <v>42869</v>
      </c>
      <c r="E972" s="3">
        <v>46063</v>
      </c>
      <c r="F972" s="3">
        <v>46265</v>
      </c>
      <c r="G972" s="4">
        <v>33280</v>
      </c>
      <c r="H972" s="2">
        <v>0</v>
      </c>
      <c r="I972" s="2" t="s">
        <v>511</v>
      </c>
      <c r="J972" s="2" t="s">
        <v>66</v>
      </c>
    </row>
    <row r="973" spans="1:10" x14ac:dyDescent="0.3">
      <c r="A973" s="2" t="s">
        <v>617</v>
      </c>
      <c r="B973" s="2" t="s">
        <v>618</v>
      </c>
      <c r="C973" s="2">
        <v>32236</v>
      </c>
      <c r="D973" s="2">
        <v>42871</v>
      </c>
      <c r="E973" s="3">
        <v>46063</v>
      </c>
      <c r="F973" s="3">
        <v>46265</v>
      </c>
      <c r="G973" s="4">
        <v>3630</v>
      </c>
      <c r="H973" s="2">
        <v>0</v>
      </c>
      <c r="I973" s="2" t="s">
        <v>619</v>
      </c>
      <c r="J973" s="2" t="s">
        <v>66</v>
      </c>
    </row>
    <row r="974" spans="1:10" x14ac:dyDescent="0.3">
      <c r="A974" s="2" t="s">
        <v>620</v>
      </c>
      <c r="B974" s="2" t="s">
        <v>621</v>
      </c>
      <c r="C974" s="2">
        <v>32239</v>
      </c>
      <c r="D974" s="2">
        <v>42872</v>
      </c>
      <c r="E974" s="3">
        <v>46063</v>
      </c>
      <c r="F974" s="3">
        <v>46265</v>
      </c>
      <c r="G974" s="4">
        <v>24766</v>
      </c>
      <c r="H974" s="2">
        <v>0</v>
      </c>
      <c r="I974" s="2" t="s">
        <v>622</v>
      </c>
      <c r="J974" s="2" t="s">
        <v>66</v>
      </c>
    </row>
    <row r="975" spans="1:10" x14ac:dyDescent="0.3">
      <c r="A975" s="2" t="s">
        <v>623</v>
      </c>
      <c r="B975" s="2" t="s">
        <v>624</v>
      </c>
      <c r="C975" s="2">
        <v>32240</v>
      </c>
      <c r="D975" s="2">
        <v>42873</v>
      </c>
      <c r="E975" s="3">
        <v>46063</v>
      </c>
      <c r="F975" s="3">
        <v>46265</v>
      </c>
      <c r="G975" s="4">
        <v>37012</v>
      </c>
      <c r="H975" s="2">
        <v>0</v>
      </c>
      <c r="I975" s="2" t="s">
        <v>625</v>
      </c>
      <c r="J975" s="2" t="s">
        <v>66</v>
      </c>
    </row>
    <row r="976" spans="1:10" x14ac:dyDescent="0.3">
      <c r="A976" s="2" t="s">
        <v>509</v>
      </c>
      <c r="B976" s="2" t="s">
        <v>510</v>
      </c>
      <c r="C976" s="2">
        <v>32256</v>
      </c>
      <c r="D976" s="2">
        <v>42890</v>
      </c>
      <c r="E976" s="3">
        <v>46063</v>
      </c>
      <c r="F976" s="3">
        <v>46265</v>
      </c>
      <c r="G976" s="4">
        <v>20800</v>
      </c>
      <c r="H976" s="2">
        <v>0</v>
      </c>
      <c r="I976" s="2" t="s">
        <v>511</v>
      </c>
      <c r="J976" s="2" t="s">
        <v>66</v>
      </c>
    </row>
    <row r="977" spans="1:10" x14ac:dyDescent="0.3">
      <c r="A977" s="2" t="s">
        <v>650</v>
      </c>
      <c r="B977" s="2" t="s">
        <v>651</v>
      </c>
      <c r="C977" s="2">
        <v>32279</v>
      </c>
      <c r="D977" s="2">
        <v>42910</v>
      </c>
      <c r="E977" s="3">
        <v>46064</v>
      </c>
      <c r="F977" s="3">
        <v>46265</v>
      </c>
      <c r="G977" s="4">
        <v>42995.6</v>
      </c>
      <c r="H977" s="2">
        <v>0</v>
      </c>
      <c r="I977" s="2" t="s">
        <v>652</v>
      </c>
      <c r="J977" s="2" t="s">
        <v>66</v>
      </c>
    </row>
    <row r="978" spans="1:10" x14ac:dyDescent="0.3">
      <c r="A978" s="2" t="s">
        <v>504</v>
      </c>
      <c r="B978" s="2" t="s">
        <v>505</v>
      </c>
      <c r="C978" s="2">
        <v>32333</v>
      </c>
      <c r="D978" s="2">
        <v>42970</v>
      </c>
      <c r="E978" s="3">
        <v>46072</v>
      </c>
      <c r="F978" s="3">
        <v>46265</v>
      </c>
      <c r="G978" s="4">
        <v>5385</v>
      </c>
      <c r="H978" s="2">
        <v>0</v>
      </c>
      <c r="I978" s="2" t="s">
        <v>553</v>
      </c>
      <c r="J978" s="2" t="s">
        <v>117</v>
      </c>
    </row>
    <row r="979" spans="1:10" x14ac:dyDescent="0.3">
      <c r="A979" s="2" t="s">
        <v>114</v>
      </c>
      <c r="B979" s="2" t="s">
        <v>115</v>
      </c>
      <c r="C979" s="2">
        <v>32338</v>
      </c>
      <c r="D979" s="2">
        <v>42975</v>
      </c>
      <c r="E979" s="3">
        <v>46072</v>
      </c>
      <c r="F979" s="3">
        <v>46265</v>
      </c>
      <c r="G979" s="4">
        <v>1540.4</v>
      </c>
      <c r="H979" s="2">
        <v>0</v>
      </c>
      <c r="I979" s="2" t="s">
        <v>689</v>
      </c>
      <c r="J979" s="2" t="s">
        <v>117</v>
      </c>
    </row>
    <row r="980" spans="1:10" x14ac:dyDescent="0.3">
      <c r="A980" s="2" t="s">
        <v>114</v>
      </c>
      <c r="B980" s="2" t="s">
        <v>115</v>
      </c>
      <c r="C980" s="2">
        <v>32339</v>
      </c>
      <c r="D980" s="2">
        <v>42976</v>
      </c>
      <c r="E980" s="3">
        <v>46072</v>
      </c>
      <c r="F980" s="3">
        <v>46265</v>
      </c>
      <c r="G980" s="4">
        <v>15042</v>
      </c>
      <c r="H980" s="2">
        <v>0</v>
      </c>
      <c r="I980" s="2" t="s">
        <v>689</v>
      </c>
      <c r="J980" s="2" t="s">
        <v>117</v>
      </c>
    </row>
    <row r="981" spans="1:10" x14ac:dyDescent="0.3">
      <c r="A981" s="2" t="s">
        <v>114</v>
      </c>
      <c r="B981" s="2" t="s">
        <v>115</v>
      </c>
      <c r="C981" s="2">
        <v>32340</v>
      </c>
      <c r="D981" s="2">
        <v>42977</v>
      </c>
      <c r="E981" s="3">
        <v>46072</v>
      </c>
      <c r="F981" s="3">
        <v>46265</v>
      </c>
      <c r="G981" s="4">
        <v>53812</v>
      </c>
      <c r="H981" s="2">
        <v>0</v>
      </c>
      <c r="I981" s="2" t="s">
        <v>689</v>
      </c>
      <c r="J981" s="2" t="s">
        <v>117</v>
      </c>
    </row>
    <row r="982" spans="1:10" x14ac:dyDescent="0.3">
      <c r="A982" s="2" t="s">
        <v>524</v>
      </c>
      <c r="B982" s="2" t="s">
        <v>525</v>
      </c>
      <c r="C982" s="2">
        <v>32373</v>
      </c>
      <c r="D982" s="2">
        <v>43036</v>
      </c>
      <c r="E982" s="3">
        <v>46076</v>
      </c>
      <c r="F982" s="3">
        <v>46265</v>
      </c>
      <c r="G982" s="4">
        <v>4338.6000000000004</v>
      </c>
      <c r="H982" s="2">
        <v>0</v>
      </c>
      <c r="I982" s="2" t="s">
        <v>702</v>
      </c>
      <c r="J982" s="2" t="s">
        <v>26</v>
      </c>
    </row>
    <row r="983" spans="1:10" x14ac:dyDescent="0.3">
      <c r="A983" s="2" t="s">
        <v>84</v>
      </c>
      <c r="B983" s="2" t="s">
        <v>85</v>
      </c>
      <c r="C983" s="2">
        <v>32421</v>
      </c>
      <c r="D983" s="2">
        <v>43084</v>
      </c>
      <c r="E983" s="3">
        <v>46079</v>
      </c>
      <c r="F983" s="3">
        <v>46265</v>
      </c>
      <c r="G983" s="4">
        <v>195344.7</v>
      </c>
      <c r="H983" s="2">
        <v>0</v>
      </c>
      <c r="I983" s="2" t="s">
        <v>492</v>
      </c>
      <c r="J983" s="2" t="s">
        <v>66</v>
      </c>
    </row>
    <row r="984" spans="1:10" x14ac:dyDescent="0.3">
      <c r="A984" s="2" t="s">
        <v>257</v>
      </c>
      <c r="B984" s="2" t="s">
        <v>258</v>
      </c>
      <c r="C984" s="2">
        <v>32480</v>
      </c>
      <c r="D984" s="2">
        <v>43147</v>
      </c>
      <c r="E984" s="3">
        <v>46083</v>
      </c>
      <c r="F984" s="3">
        <v>46265</v>
      </c>
      <c r="G984" s="4">
        <v>4395.4799999999996</v>
      </c>
      <c r="H984" s="2">
        <v>0</v>
      </c>
      <c r="I984" s="2" t="s">
        <v>551</v>
      </c>
      <c r="J984" s="2" t="s">
        <v>260</v>
      </c>
    </row>
    <row r="985" spans="1:10" x14ac:dyDescent="0.3">
      <c r="A985" s="2" t="s">
        <v>84</v>
      </c>
      <c r="B985" s="2" t="s">
        <v>85</v>
      </c>
      <c r="C985" s="2">
        <v>32493</v>
      </c>
      <c r="D985" s="2">
        <v>43159</v>
      </c>
      <c r="E985" s="3">
        <v>46084</v>
      </c>
      <c r="F985" s="3">
        <v>46265</v>
      </c>
      <c r="G985" s="4">
        <v>91770.7</v>
      </c>
      <c r="H985" s="2">
        <v>0</v>
      </c>
      <c r="I985" s="2" t="s">
        <v>492</v>
      </c>
      <c r="J985" s="2" t="s">
        <v>66</v>
      </c>
    </row>
    <row r="986" spans="1:10" x14ac:dyDescent="0.3">
      <c r="A986" s="2" t="s">
        <v>514</v>
      </c>
      <c r="B986" s="2" t="s">
        <v>515</v>
      </c>
      <c r="C986" s="2">
        <v>32500</v>
      </c>
      <c r="D986" s="2">
        <v>43166</v>
      </c>
      <c r="E986" s="3">
        <v>46084</v>
      </c>
      <c r="F986" s="3">
        <v>46265</v>
      </c>
      <c r="G986" s="4">
        <v>4902.82</v>
      </c>
      <c r="H986" s="2">
        <v>0</v>
      </c>
      <c r="I986" s="2" t="s">
        <v>516</v>
      </c>
      <c r="J986" s="2" t="s">
        <v>238</v>
      </c>
    </row>
    <row r="987" spans="1:10" x14ac:dyDescent="0.3">
      <c r="A987" s="2" t="s">
        <v>504</v>
      </c>
      <c r="B987" s="2" t="s">
        <v>505</v>
      </c>
      <c r="C987" s="2">
        <v>32505</v>
      </c>
      <c r="D987" s="2">
        <v>43179</v>
      </c>
      <c r="E987" s="3">
        <v>46086</v>
      </c>
      <c r="F987" s="3">
        <v>46265</v>
      </c>
      <c r="G987" s="4">
        <v>37500</v>
      </c>
      <c r="H987" s="2">
        <v>0</v>
      </c>
      <c r="I987" s="2" t="s">
        <v>553</v>
      </c>
      <c r="J987" s="2" t="s">
        <v>117</v>
      </c>
    </row>
    <row r="988" spans="1:10" x14ac:dyDescent="0.3">
      <c r="A988" s="2" t="s">
        <v>504</v>
      </c>
      <c r="B988" s="2" t="s">
        <v>505</v>
      </c>
      <c r="C988" s="2">
        <v>32506</v>
      </c>
      <c r="D988" s="2">
        <v>43180</v>
      </c>
      <c r="E988" s="3">
        <v>46086</v>
      </c>
      <c r="F988" s="3">
        <v>46265</v>
      </c>
      <c r="G988" s="4">
        <v>9560</v>
      </c>
      <c r="H988" s="2">
        <v>0</v>
      </c>
      <c r="I988" s="2" t="s">
        <v>553</v>
      </c>
      <c r="J988" s="2" t="s">
        <v>117</v>
      </c>
    </row>
    <row r="989" spans="1:10" x14ac:dyDescent="0.3">
      <c r="A989" s="2" t="s">
        <v>778</v>
      </c>
      <c r="B989" s="2" t="s">
        <v>779</v>
      </c>
      <c r="C989" s="2">
        <v>32548</v>
      </c>
      <c r="D989" s="2">
        <v>43223</v>
      </c>
      <c r="E989" s="3">
        <v>46091</v>
      </c>
      <c r="F989" s="3">
        <v>46265</v>
      </c>
      <c r="G989" s="4">
        <v>228000</v>
      </c>
      <c r="H989" s="2">
        <v>0</v>
      </c>
      <c r="I989" s="2" t="s">
        <v>780</v>
      </c>
      <c r="J989" s="2" t="s">
        <v>117</v>
      </c>
    </row>
    <row r="990" spans="1:10" x14ac:dyDescent="0.3">
      <c r="A990" s="2" t="s">
        <v>778</v>
      </c>
      <c r="B990" s="2" t="s">
        <v>779</v>
      </c>
      <c r="C990" s="2">
        <v>32557</v>
      </c>
      <c r="D990" s="2">
        <v>43234</v>
      </c>
      <c r="E990" s="3">
        <v>46092</v>
      </c>
      <c r="F990" s="3">
        <v>46265</v>
      </c>
      <c r="G990" s="4">
        <v>228000</v>
      </c>
      <c r="H990" s="2">
        <v>0</v>
      </c>
      <c r="I990" s="2" t="s">
        <v>780</v>
      </c>
      <c r="J990" s="2" t="s">
        <v>117</v>
      </c>
    </row>
    <row r="991" spans="1:10" x14ac:dyDescent="0.3">
      <c r="A991" s="2" t="s">
        <v>114</v>
      </c>
      <c r="B991" s="2" t="s">
        <v>115</v>
      </c>
      <c r="C991" s="2">
        <v>32577</v>
      </c>
      <c r="D991" s="2">
        <v>43251</v>
      </c>
      <c r="E991" s="3">
        <v>46094</v>
      </c>
      <c r="F991" s="3">
        <v>46265</v>
      </c>
      <c r="G991" s="4">
        <v>99522</v>
      </c>
      <c r="H991" s="2">
        <v>0</v>
      </c>
      <c r="I991" s="2" t="s">
        <v>689</v>
      </c>
      <c r="J991" s="2" t="s">
        <v>117</v>
      </c>
    </row>
    <row r="992" spans="1:10" x14ac:dyDescent="0.3">
      <c r="A992" s="2" t="s">
        <v>794</v>
      </c>
      <c r="B992" s="2" t="s">
        <v>795</v>
      </c>
      <c r="C992" s="2">
        <v>32578</v>
      </c>
      <c r="D992" s="2">
        <v>43252</v>
      </c>
      <c r="E992" s="3">
        <v>46094</v>
      </c>
      <c r="F992" s="3">
        <v>46265</v>
      </c>
      <c r="G992" s="4">
        <v>46250</v>
      </c>
      <c r="H992" s="2">
        <v>0</v>
      </c>
      <c r="I992" s="2" t="s">
        <v>796</v>
      </c>
      <c r="J992" s="2" t="s">
        <v>117</v>
      </c>
    </row>
    <row r="993" spans="1:10" x14ac:dyDescent="0.3">
      <c r="A993" s="2" t="s">
        <v>440</v>
      </c>
      <c r="B993" s="2" t="s">
        <v>441</v>
      </c>
      <c r="C993" s="2">
        <v>32663</v>
      </c>
      <c r="D993" s="2">
        <v>43318</v>
      </c>
      <c r="E993" s="3">
        <v>46100</v>
      </c>
      <c r="F993" s="3">
        <v>46265</v>
      </c>
      <c r="G993" s="4">
        <v>36913.96</v>
      </c>
      <c r="H993" s="2">
        <v>0</v>
      </c>
      <c r="I993" s="2" t="s">
        <v>829</v>
      </c>
      <c r="J993" s="2" t="s">
        <v>417</v>
      </c>
    </row>
    <row r="994" spans="1:10" x14ac:dyDescent="0.3">
      <c r="A994" s="2" t="s">
        <v>414</v>
      </c>
      <c r="B994" s="2" t="s">
        <v>415</v>
      </c>
      <c r="C994" s="2">
        <v>32844</v>
      </c>
      <c r="D994" s="2">
        <v>43498</v>
      </c>
      <c r="E994" s="3">
        <v>46114</v>
      </c>
      <c r="F994" s="3">
        <v>46265</v>
      </c>
      <c r="G994" s="2">
        <v>566.66999999999996</v>
      </c>
      <c r="H994" s="2">
        <v>0</v>
      </c>
      <c r="I994" s="2" t="s">
        <v>955</v>
      </c>
      <c r="J994" s="2" t="s">
        <v>417</v>
      </c>
    </row>
    <row r="995" spans="1:10" x14ac:dyDescent="0.3">
      <c r="A995" s="2" t="s">
        <v>257</v>
      </c>
      <c r="B995" s="2" t="s">
        <v>258</v>
      </c>
      <c r="C995" s="2">
        <v>33070</v>
      </c>
      <c r="D995" s="2">
        <v>43715</v>
      </c>
      <c r="E995" s="3">
        <v>46146</v>
      </c>
      <c r="F995" s="3">
        <v>46266</v>
      </c>
      <c r="G995" s="4">
        <v>3535.36</v>
      </c>
      <c r="H995" s="2">
        <v>0</v>
      </c>
      <c r="I995" s="2" t="s">
        <v>1089</v>
      </c>
      <c r="J995" s="2" t="s">
        <v>260</v>
      </c>
    </row>
    <row r="996" spans="1:10" x14ac:dyDescent="0.3">
      <c r="A996" s="2" t="s">
        <v>557</v>
      </c>
      <c r="B996" s="2" t="s">
        <v>558</v>
      </c>
      <c r="C996" s="2">
        <v>33071</v>
      </c>
      <c r="D996" s="2">
        <v>43716</v>
      </c>
      <c r="E996" s="3">
        <v>46146</v>
      </c>
      <c r="F996" s="3">
        <v>46266</v>
      </c>
      <c r="G996" s="4">
        <v>10831</v>
      </c>
      <c r="H996" s="2">
        <v>0</v>
      </c>
      <c r="I996" s="2" t="s">
        <v>1090</v>
      </c>
      <c r="J996" s="2" t="s">
        <v>19</v>
      </c>
    </row>
    <row r="997" spans="1:10" x14ac:dyDescent="0.3">
      <c r="A997" s="2" t="s">
        <v>557</v>
      </c>
      <c r="B997" s="2" t="s">
        <v>558</v>
      </c>
      <c r="C997" s="2">
        <v>33072</v>
      </c>
      <c r="D997" s="2">
        <v>43717</v>
      </c>
      <c r="E997" s="3">
        <v>46146</v>
      </c>
      <c r="F997" s="3">
        <v>46266</v>
      </c>
      <c r="G997" s="4">
        <v>1675</v>
      </c>
      <c r="H997" s="2">
        <v>0</v>
      </c>
      <c r="I997" s="2" t="s">
        <v>1091</v>
      </c>
      <c r="J997" s="2" t="s">
        <v>19</v>
      </c>
    </row>
    <row r="998" spans="1:10" x14ac:dyDescent="0.3">
      <c r="A998" s="2" t="s">
        <v>1096</v>
      </c>
      <c r="B998" s="2" t="s">
        <v>1097</v>
      </c>
      <c r="C998" s="2">
        <v>33178</v>
      </c>
      <c r="D998" s="2">
        <v>43825</v>
      </c>
      <c r="E998" s="3">
        <v>46160</v>
      </c>
      <c r="F998" s="3">
        <v>46266</v>
      </c>
      <c r="G998" s="4">
        <v>40652.5</v>
      </c>
      <c r="H998" s="2">
        <v>0</v>
      </c>
      <c r="I998" s="2" t="s">
        <v>1165</v>
      </c>
      <c r="J998" s="2" t="s">
        <v>97</v>
      </c>
    </row>
    <row r="999" spans="1:10" x14ac:dyDescent="0.3">
      <c r="A999" s="2" t="s">
        <v>360</v>
      </c>
      <c r="B999" s="2" t="s">
        <v>361</v>
      </c>
      <c r="C999" s="2">
        <v>33074</v>
      </c>
      <c r="D999" s="2">
        <v>43719</v>
      </c>
      <c r="E999" s="3">
        <v>46147</v>
      </c>
      <c r="F999" s="3">
        <v>46267</v>
      </c>
      <c r="G999" s="2">
        <v>505.82</v>
      </c>
      <c r="H999" s="2">
        <v>0</v>
      </c>
      <c r="I999" s="2" t="s">
        <v>1092</v>
      </c>
      <c r="J999" s="2" t="s">
        <v>92</v>
      </c>
    </row>
    <row r="1000" spans="1:10" x14ac:dyDescent="0.3">
      <c r="A1000" s="2" t="s">
        <v>360</v>
      </c>
      <c r="B1000" s="2" t="s">
        <v>361</v>
      </c>
      <c r="C1000" s="2">
        <v>33075</v>
      </c>
      <c r="D1000" s="2">
        <v>43720</v>
      </c>
      <c r="E1000" s="3">
        <v>46147</v>
      </c>
      <c r="F1000" s="3">
        <v>46267</v>
      </c>
      <c r="G1000" s="4">
        <v>25755</v>
      </c>
      <c r="H1000" s="2">
        <v>0</v>
      </c>
      <c r="I1000" s="2" t="s">
        <v>1093</v>
      </c>
      <c r="J1000" s="2" t="s">
        <v>92</v>
      </c>
    </row>
    <row r="1001" spans="1:10" x14ac:dyDescent="0.3">
      <c r="A1001" s="2" t="s">
        <v>1096</v>
      </c>
      <c r="B1001" s="2" t="s">
        <v>1097</v>
      </c>
      <c r="C1001" s="2">
        <v>33079</v>
      </c>
      <c r="D1001" s="2">
        <v>43724</v>
      </c>
      <c r="E1001" s="3">
        <v>46147</v>
      </c>
      <c r="F1001" s="3">
        <v>46267</v>
      </c>
      <c r="G1001" s="4">
        <v>42740</v>
      </c>
      <c r="H1001" s="2">
        <v>0</v>
      </c>
      <c r="I1001" s="2" t="s">
        <v>1098</v>
      </c>
      <c r="J1001" s="2" t="s">
        <v>97</v>
      </c>
    </row>
    <row r="1002" spans="1:10" x14ac:dyDescent="0.3">
      <c r="A1002" s="2" t="s">
        <v>943</v>
      </c>
      <c r="B1002" s="2" t="s">
        <v>707</v>
      </c>
      <c r="C1002" s="2">
        <v>33085</v>
      </c>
      <c r="D1002" s="2">
        <v>43730</v>
      </c>
      <c r="E1002" s="3">
        <v>46147</v>
      </c>
      <c r="F1002" s="3">
        <v>46267</v>
      </c>
      <c r="G1002" s="4">
        <v>78420</v>
      </c>
      <c r="H1002" s="2">
        <v>0</v>
      </c>
      <c r="I1002" s="2" t="s">
        <v>1103</v>
      </c>
      <c r="J1002" s="2" t="s">
        <v>417</v>
      </c>
    </row>
    <row r="1003" spans="1:10" x14ac:dyDescent="0.3">
      <c r="A1003" s="2" t="s">
        <v>740</v>
      </c>
      <c r="B1003" s="2" t="s">
        <v>727</v>
      </c>
      <c r="C1003" s="2">
        <v>33092</v>
      </c>
      <c r="D1003" s="2">
        <v>43738</v>
      </c>
      <c r="E1003" s="3">
        <v>46149</v>
      </c>
      <c r="F1003" s="3">
        <v>46269</v>
      </c>
      <c r="G1003" s="4">
        <v>4000</v>
      </c>
      <c r="H1003" s="2">
        <v>0</v>
      </c>
      <c r="I1003" s="2" t="s">
        <v>1108</v>
      </c>
      <c r="J1003" s="2" t="s">
        <v>394</v>
      </c>
    </row>
    <row r="1004" spans="1:10" x14ac:dyDescent="0.3">
      <c r="A1004" s="2" t="s">
        <v>740</v>
      </c>
      <c r="B1004" s="2" t="s">
        <v>727</v>
      </c>
      <c r="C1004" s="2">
        <v>33093</v>
      </c>
      <c r="D1004" s="2">
        <v>43739</v>
      </c>
      <c r="E1004" s="3">
        <v>46149</v>
      </c>
      <c r="F1004" s="3">
        <v>46269</v>
      </c>
      <c r="G1004" s="4">
        <v>51949.95</v>
      </c>
      <c r="H1004" s="2">
        <v>0</v>
      </c>
      <c r="I1004" s="2" t="s">
        <v>1109</v>
      </c>
      <c r="J1004" s="2" t="s">
        <v>394</v>
      </c>
    </row>
    <row r="1005" spans="1:10" x14ac:dyDescent="0.3">
      <c r="A1005" s="2" t="s">
        <v>729</v>
      </c>
      <c r="B1005" s="2" t="s">
        <v>727</v>
      </c>
      <c r="C1005" s="2">
        <v>33094</v>
      </c>
      <c r="D1005" s="2">
        <v>43740</v>
      </c>
      <c r="E1005" s="3">
        <v>46149</v>
      </c>
      <c r="F1005" s="3">
        <v>46269</v>
      </c>
      <c r="G1005" s="4">
        <v>57519.94</v>
      </c>
      <c r="H1005" s="2">
        <v>0</v>
      </c>
      <c r="I1005" s="2" t="s">
        <v>1110</v>
      </c>
      <c r="J1005" s="2" t="s">
        <v>394</v>
      </c>
    </row>
    <row r="1006" spans="1:10" x14ac:dyDescent="0.3">
      <c r="A1006" s="2" t="s">
        <v>729</v>
      </c>
      <c r="B1006" s="2" t="s">
        <v>727</v>
      </c>
      <c r="C1006" s="2">
        <v>33095</v>
      </c>
      <c r="D1006" s="2">
        <v>43741</v>
      </c>
      <c r="E1006" s="3">
        <v>46149</v>
      </c>
      <c r="F1006" s="3">
        <v>46269</v>
      </c>
      <c r="G1006" s="4">
        <v>47499.95</v>
      </c>
      <c r="H1006" s="2">
        <v>0</v>
      </c>
      <c r="I1006" s="2" t="s">
        <v>1111</v>
      </c>
      <c r="J1006" s="2" t="s">
        <v>394</v>
      </c>
    </row>
    <row r="1007" spans="1:10" x14ac:dyDescent="0.3">
      <c r="A1007" s="2" t="s">
        <v>822</v>
      </c>
      <c r="B1007" s="2" t="s">
        <v>823</v>
      </c>
      <c r="C1007" s="2">
        <v>33100</v>
      </c>
      <c r="D1007" s="2">
        <v>43746</v>
      </c>
      <c r="E1007" s="3">
        <v>46149</v>
      </c>
      <c r="F1007" s="3">
        <v>46269</v>
      </c>
      <c r="G1007" s="4">
        <v>10023.75</v>
      </c>
      <c r="H1007" s="2">
        <v>0</v>
      </c>
      <c r="I1007" s="2" t="s">
        <v>1114</v>
      </c>
      <c r="J1007" s="2" t="s">
        <v>535</v>
      </c>
    </row>
    <row r="1008" spans="1:10" x14ac:dyDescent="0.3">
      <c r="A1008" s="2" t="s">
        <v>735</v>
      </c>
      <c r="B1008" s="2" t="s">
        <v>736</v>
      </c>
      <c r="C1008" s="2">
        <v>33105</v>
      </c>
      <c r="D1008" s="2">
        <v>43750</v>
      </c>
      <c r="E1008" s="3">
        <v>46149</v>
      </c>
      <c r="F1008" s="3">
        <v>46269</v>
      </c>
      <c r="G1008" s="4">
        <v>3500</v>
      </c>
      <c r="H1008" s="2">
        <v>0</v>
      </c>
      <c r="I1008" s="2" t="s">
        <v>1115</v>
      </c>
      <c r="J1008" s="2" t="s">
        <v>19</v>
      </c>
    </row>
    <row r="1009" spans="1:10" x14ac:dyDescent="0.3">
      <c r="A1009" s="2" t="s">
        <v>396</v>
      </c>
      <c r="B1009" s="2" t="s">
        <v>392</v>
      </c>
      <c r="C1009" s="2">
        <v>33108</v>
      </c>
      <c r="D1009" s="2">
        <v>43753</v>
      </c>
      <c r="E1009" s="3">
        <v>46149</v>
      </c>
      <c r="F1009" s="3">
        <v>46269</v>
      </c>
      <c r="G1009" s="4">
        <v>17640</v>
      </c>
      <c r="H1009" s="2">
        <v>0</v>
      </c>
      <c r="I1009" s="2" t="s">
        <v>1118</v>
      </c>
      <c r="J1009" s="2" t="s">
        <v>394</v>
      </c>
    </row>
    <row r="1010" spans="1:10" x14ac:dyDescent="0.3">
      <c r="A1010" s="2" t="s">
        <v>396</v>
      </c>
      <c r="B1010" s="2" t="s">
        <v>392</v>
      </c>
      <c r="C1010" s="2">
        <v>33117</v>
      </c>
      <c r="D1010" s="2">
        <v>43762</v>
      </c>
      <c r="E1010" s="3">
        <v>46150</v>
      </c>
      <c r="F1010" s="3">
        <v>46270</v>
      </c>
      <c r="G1010" s="4">
        <v>27648</v>
      </c>
      <c r="H1010" s="2">
        <v>0</v>
      </c>
      <c r="I1010" s="2" t="s">
        <v>1124</v>
      </c>
      <c r="J1010" s="2" t="s">
        <v>394</v>
      </c>
    </row>
    <row r="1011" spans="1:10" x14ac:dyDescent="0.3">
      <c r="A1011" s="2" t="s">
        <v>585</v>
      </c>
      <c r="B1011" s="2" t="s">
        <v>392</v>
      </c>
      <c r="C1011" s="2">
        <v>33118</v>
      </c>
      <c r="D1011" s="2">
        <v>43763</v>
      </c>
      <c r="E1011" s="3">
        <v>46150</v>
      </c>
      <c r="F1011" s="3">
        <v>46270</v>
      </c>
      <c r="G1011" s="4">
        <v>144822.5</v>
      </c>
      <c r="H1011" s="2">
        <v>0</v>
      </c>
      <c r="I1011" s="2" t="s">
        <v>1125</v>
      </c>
      <c r="J1011" s="2" t="s">
        <v>394</v>
      </c>
    </row>
    <row r="1012" spans="1:10" x14ac:dyDescent="0.3">
      <c r="A1012" s="2" t="s">
        <v>396</v>
      </c>
      <c r="B1012" s="2" t="s">
        <v>392</v>
      </c>
      <c r="C1012" s="2">
        <v>33119</v>
      </c>
      <c r="D1012" s="2">
        <v>43764</v>
      </c>
      <c r="E1012" s="3">
        <v>46150</v>
      </c>
      <c r="F1012" s="3">
        <v>46270</v>
      </c>
      <c r="G1012" s="4">
        <v>15900</v>
      </c>
      <c r="H1012" s="2">
        <v>0</v>
      </c>
      <c r="I1012" s="2" t="s">
        <v>1126</v>
      </c>
      <c r="J1012" s="2" t="s">
        <v>394</v>
      </c>
    </row>
    <row r="1013" spans="1:10" x14ac:dyDescent="0.3">
      <c r="A1013" s="2" t="s">
        <v>121</v>
      </c>
      <c r="B1013" s="2" t="s">
        <v>122</v>
      </c>
      <c r="C1013" s="2">
        <v>30569</v>
      </c>
      <c r="D1013" s="2">
        <v>40985</v>
      </c>
      <c r="E1013" s="3">
        <v>45912</v>
      </c>
      <c r="F1013" s="3">
        <v>46273</v>
      </c>
      <c r="G1013" s="4">
        <v>90234</v>
      </c>
      <c r="H1013" s="2">
        <v>0</v>
      </c>
      <c r="I1013" s="2" t="s">
        <v>140</v>
      </c>
      <c r="J1013" s="2" t="s">
        <v>92</v>
      </c>
    </row>
    <row r="1014" spans="1:10" x14ac:dyDescent="0.3">
      <c r="A1014" s="2" t="s">
        <v>257</v>
      </c>
      <c r="B1014" s="2" t="s">
        <v>258</v>
      </c>
      <c r="C1014" s="2">
        <v>32553</v>
      </c>
      <c r="D1014" s="2">
        <v>43230</v>
      </c>
      <c r="E1014" s="3">
        <v>46092</v>
      </c>
      <c r="F1014" s="3">
        <v>46273</v>
      </c>
      <c r="G1014" s="4">
        <v>112833.56</v>
      </c>
      <c r="H1014" s="2">
        <v>0</v>
      </c>
      <c r="I1014" s="2" t="s">
        <v>551</v>
      </c>
      <c r="J1014" s="2" t="s">
        <v>260</v>
      </c>
    </row>
    <row r="1015" spans="1:10" x14ac:dyDescent="0.3">
      <c r="A1015" s="2" t="s">
        <v>786</v>
      </c>
      <c r="B1015" s="2" t="s">
        <v>787</v>
      </c>
      <c r="C1015" s="2">
        <v>32566</v>
      </c>
      <c r="D1015" s="2">
        <v>43243</v>
      </c>
      <c r="E1015" s="3">
        <v>46093</v>
      </c>
      <c r="F1015" s="3">
        <v>46273</v>
      </c>
      <c r="G1015" s="4">
        <v>5620</v>
      </c>
      <c r="H1015" s="2">
        <v>0</v>
      </c>
      <c r="I1015" s="2" t="s">
        <v>788</v>
      </c>
      <c r="J1015" s="2" t="s">
        <v>260</v>
      </c>
    </row>
    <row r="1016" spans="1:10" x14ac:dyDescent="0.3">
      <c r="A1016" s="2" t="s">
        <v>789</v>
      </c>
      <c r="B1016" s="2" t="s">
        <v>470</v>
      </c>
      <c r="C1016" s="2">
        <v>32568</v>
      </c>
      <c r="D1016" s="2">
        <v>43245</v>
      </c>
      <c r="E1016" s="3">
        <v>46093</v>
      </c>
      <c r="F1016" s="3">
        <v>46273</v>
      </c>
      <c r="G1016" s="4">
        <v>12400</v>
      </c>
      <c r="H1016" s="2">
        <v>0</v>
      </c>
      <c r="I1016" s="2" t="s">
        <v>790</v>
      </c>
      <c r="J1016" s="2" t="s">
        <v>394</v>
      </c>
    </row>
    <row r="1017" spans="1:10" x14ac:dyDescent="0.3">
      <c r="A1017" s="2" t="s">
        <v>886</v>
      </c>
      <c r="B1017" s="2" t="s">
        <v>415</v>
      </c>
      <c r="C1017" s="2">
        <v>32743</v>
      </c>
      <c r="D1017" s="2">
        <v>43401</v>
      </c>
      <c r="E1017" s="3">
        <v>46107</v>
      </c>
      <c r="F1017" s="3">
        <v>46273</v>
      </c>
      <c r="G1017" s="4">
        <v>31866.63</v>
      </c>
      <c r="H1017" s="2">
        <v>0</v>
      </c>
      <c r="I1017" s="2" t="s">
        <v>887</v>
      </c>
      <c r="J1017" s="2" t="s">
        <v>417</v>
      </c>
    </row>
    <row r="1018" spans="1:10" x14ac:dyDescent="0.3">
      <c r="A1018" s="2" t="s">
        <v>886</v>
      </c>
      <c r="B1018" s="2" t="s">
        <v>415</v>
      </c>
      <c r="C1018" s="2">
        <v>32744</v>
      </c>
      <c r="D1018" s="2">
        <v>43402</v>
      </c>
      <c r="E1018" s="3">
        <v>46107</v>
      </c>
      <c r="F1018" s="3">
        <v>46273</v>
      </c>
      <c r="G1018" s="2">
        <v>566.66999999999996</v>
      </c>
      <c r="H1018" s="2">
        <v>0</v>
      </c>
      <c r="I1018" s="2" t="s">
        <v>888</v>
      </c>
      <c r="J1018" s="2" t="s">
        <v>417</v>
      </c>
    </row>
    <row r="1019" spans="1:10" x14ac:dyDescent="0.3">
      <c r="A1019" s="2" t="s">
        <v>480</v>
      </c>
      <c r="B1019" s="2" t="s">
        <v>481</v>
      </c>
      <c r="C1019" s="2">
        <v>32871</v>
      </c>
      <c r="D1019" s="2">
        <v>43526</v>
      </c>
      <c r="E1019" s="3">
        <v>46120</v>
      </c>
      <c r="F1019" s="3">
        <v>46273</v>
      </c>
      <c r="G1019" s="4">
        <v>26890.3</v>
      </c>
      <c r="H1019" s="2">
        <v>0</v>
      </c>
      <c r="I1019" s="2" t="s">
        <v>963</v>
      </c>
      <c r="J1019" s="2" t="s">
        <v>238</v>
      </c>
    </row>
    <row r="1020" spans="1:10" x14ac:dyDescent="0.3">
      <c r="A1020" s="2" t="s">
        <v>735</v>
      </c>
      <c r="B1020" s="2" t="s">
        <v>736</v>
      </c>
      <c r="C1020" s="2">
        <v>32878</v>
      </c>
      <c r="D1020" s="2">
        <v>43533</v>
      </c>
      <c r="E1020" s="3">
        <v>46121</v>
      </c>
      <c r="F1020" s="3">
        <v>46273</v>
      </c>
      <c r="G1020" s="4">
        <v>4266.68</v>
      </c>
      <c r="H1020" s="2">
        <v>0</v>
      </c>
      <c r="I1020" s="2" t="s">
        <v>967</v>
      </c>
      <c r="J1020" s="2" t="s">
        <v>19</v>
      </c>
    </row>
    <row r="1021" spans="1:10" x14ac:dyDescent="0.3">
      <c r="A1021" s="2" t="s">
        <v>735</v>
      </c>
      <c r="B1021" s="2" t="s">
        <v>736</v>
      </c>
      <c r="C1021" s="2">
        <v>32879</v>
      </c>
      <c r="D1021" s="2">
        <v>43534</v>
      </c>
      <c r="E1021" s="3">
        <v>46121</v>
      </c>
      <c r="F1021" s="3">
        <v>46273</v>
      </c>
      <c r="G1021" s="4">
        <v>4266.68</v>
      </c>
      <c r="H1021" s="2">
        <v>0</v>
      </c>
      <c r="I1021" s="2" t="s">
        <v>968</v>
      </c>
      <c r="J1021" s="2" t="s">
        <v>19</v>
      </c>
    </row>
    <row r="1022" spans="1:10" x14ac:dyDescent="0.3">
      <c r="A1022" s="2" t="s">
        <v>740</v>
      </c>
      <c r="B1022" s="2" t="s">
        <v>727</v>
      </c>
      <c r="C1022" s="2">
        <v>33110</v>
      </c>
      <c r="D1022" s="2">
        <v>43755</v>
      </c>
      <c r="E1022" s="3">
        <v>46150</v>
      </c>
      <c r="F1022" s="3">
        <v>46273</v>
      </c>
      <c r="G1022" s="4">
        <v>2280</v>
      </c>
      <c r="H1022" s="2">
        <v>0</v>
      </c>
      <c r="I1022" s="2" t="s">
        <v>1119</v>
      </c>
      <c r="J1022" s="2" t="s">
        <v>394</v>
      </c>
    </row>
    <row r="1023" spans="1:10" x14ac:dyDescent="0.3">
      <c r="A1023" s="2" t="s">
        <v>440</v>
      </c>
      <c r="B1023" s="2" t="s">
        <v>441</v>
      </c>
      <c r="C1023" s="2">
        <v>33120</v>
      </c>
      <c r="D1023" s="2">
        <v>43765</v>
      </c>
      <c r="E1023" s="3">
        <v>46150</v>
      </c>
      <c r="F1023" s="3">
        <v>46273</v>
      </c>
      <c r="G1023" s="4">
        <v>4666.66</v>
      </c>
      <c r="H1023" s="2">
        <v>0</v>
      </c>
      <c r="I1023" s="2" t="s">
        <v>1127</v>
      </c>
      <c r="J1023" s="2" t="s">
        <v>417</v>
      </c>
    </row>
    <row r="1024" spans="1:10" x14ac:dyDescent="0.3">
      <c r="A1024" s="2" t="s">
        <v>440</v>
      </c>
      <c r="B1024" s="2" t="s">
        <v>441</v>
      </c>
      <c r="C1024" s="2">
        <v>33121</v>
      </c>
      <c r="D1024" s="2">
        <v>43766</v>
      </c>
      <c r="E1024" s="3">
        <v>46150</v>
      </c>
      <c r="F1024" s="3">
        <v>46273</v>
      </c>
      <c r="G1024" s="4">
        <v>16386.87</v>
      </c>
      <c r="H1024" s="2">
        <v>0</v>
      </c>
      <c r="I1024" s="2" t="s">
        <v>1128</v>
      </c>
      <c r="J1024" s="2" t="s">
        <v>417</v>
      </c>
    </row>
    <row r="1025" spans="1:10" x14ac:dyDescent="0.3">
      <c r="A1025" s="2" t="s">
        <v>440</v>
      </c>
      <c r="B1025" s="2" t="s">
        <v>441</v>
      </c>
      <c r="C1025" s="2">
        <v>33122</v>
      </c>
      <c r="D1025" s="2">
        <v>43767</v>
      </c>
      <c r="E1025" s="3">
        <v>46150</v>
      </c>
      <c r="F1025" s="3">
        <v>46273</v>
      </c>
      <c r="G1025" s="4">
        <v>15771.98</v>
      </c>
      <c r="H1025" s="2">
        <v>0</v>
      </c>
      <c r="I1025" s="2" t="s">
        <v>1129</v>
      </c>
      <c r="J1025" s="2" t="s">
        <v>417</v>
      </c>
    </row>
    <row r="1026" spans="1:10" x14ac:dyDescent="0.3">
      <c r="A1026" s="2" t="s">
        <v>706</v>
      </c>
      <c r="B1026" s="2" t="s">
        <v>707</v>
      </c>
      <c r="C1026" s="2">
        <v>33123</v>
      </c>
      <c r="D1026" s="2">
        <v>43768</v>
      </c>
      <c r="E1026" s="3">
        <v>46150</v>
      </c>
      <c r="F1026" s="3">
        <v>46273</v>
      </c>
      <c r="G1026" s="4">
        <v>28729.56</v>
      </c>
      <c r="H1026" s="2">
        <v>0</v>
      </c>
      <c r="I1026" s="2" t="s">
        <v>1130</v>
      </c>
      <c r="J1026" s="2" t="s">
        <v>417</v>
      </c>
    </row>
    <row r="1027" spans="1:10" x14ac:dyDescent="0.3">
      <c r="A1027" s="2" t="s">
        <v>943</v>
      </c>
      <c r="B1027" s="2" t="s">
        <v>707</v>
      </c>
      <c r="C1027" s="2">
        <v>33124</v>
      </c>
      <c r="D1027" s="2">
        <v>43769</v>
      </c>
      <c r="E1027" s="3">
        <v>46150</v>
      </c>
      <c r="F1027" s="3">
        <v>46273</v>
      </c>
      <c r="G1027" s="4">
        <v>71065</v>
      </c>
      <c r="H1027" s="2">
        <v>0</v>
      </c>
      <c r="I1027" s="2" t="s">
        <v>1131</v>
      </c>
      <c r="J1027" s="2" t="s">
        <v>417</v>
      </c>
    </row>
    <row r="1028" spans="1:10" x14ac:dyDescent="0.3">
      <c r="A1028" s="2" t="s">
        <v>257</v>
      </c>
      <c r="B1028" s="2" t="s">
        <v>258</v>
      </c>
      <c r="C1028" s="2">
        <v>33136</v>
      </c>
      <c r="D1028" s="2">
        <v>43780</v>
      </c>
      <c r="E1028" s="3">
        <v>46153</v>
      </c>
      <c r="F1028" s="3">
        <v>46273</v>
      </c>
      <c r="G1028" s="4">
        <v>181350</v>
      </c>
      <c r="H1028" s="2">
        <v>0</v>
      </c>
      <c r="I1028" s="2" t="s">
        <v>1139</v>
      </c>
      <c r="J1028" s="2" t="s">
        <v>260</v>
      </c>
    </row>
    <row r="1029" spans="1:10" x14ac:dyDescent="0.3">
      <c r="A1029" s="2" t="s">
        <v>409</v>
      </c>
      <c r="B1029" s="2" t="s">
        <v>410</v>
      </c>
      <c r="C1029" s="2">
        <v>33144</v>
      </c>
      <c r="D1029" s="2">
        <v>43787</v>
      </c>
      <c r="E1029" s="3">
        <v>46154</v>
      </c>
      <c r="F1029" s="3">
        <v>46274</v>
      </c>
      <c r="G1029" s="4">
        <v>23600</v>
      </c>
      <c r="H1029" s="2">
        <v>0</v>
      </c>
      <c r="I1029" s="2" t="s">
        <v>1143</v>
      </c>
      <c r="J1029" s="2" t="s">
        <v>412</v>
      </c>
    </row>
    <row r="1030" spans="1:10" x14ac:dyDescent="0.3">
      <c r="A1030" s="2" t="s">
        <v>357</v>
      </c>
      <c r="B1030" s="2" t="s">
        <v>358</v>
      </c>
      <c r="C1030" s="2">
        <v>33146</v>
      </c>
      <c r="D1030" s="2">
        <v>43788</v>
      </c>
      <c r="E1030" s="3">
        <v>46154</v>
      </c>
      <c r="F1030" s="3">
        <v>46274</v>
      </c>
      <c r="G1030" s="4">
        <v>40389.75</v>
      </c>
      <c r="H1030" s="2">
        <v>0</v>
      </c>
      <c r="I1030" s="2" t="s">
        <v>1144</v>
      </c>
      <c r="J1030" s="2" t="s">
        <v>260</v>
      </c>
    </row>
    <row r="1031" spans="1:10" x14ac:dyDescent="0.3">
      <c r="A1031" s="2" t="s">
        <v>357</v>
      </c>
      <c r="B1031" s="2" t="s">
        <v>358</v>
      </c>
      <c r="C1031" s="2">
        <v>33147</v>
      </c>
      <c r="D1031" s="2">
        <v>43790</v>
      </c>
      <c r="E1031" s="3">
        <v>46154</v>
      </c>
      <c r="F1031" s="3">
        <v>46274</v>
      </c>
      <c r="G1031" s="4">
        <v>79975.92</v>
      </c>
      <c r="H1031" s="2">
        <v>0</v>
      </c>
      <c r="I1031" s="2" t="s">
        <v>1145</v>
      </c>
      <c r="J1031" s="2" t="s">
        <v>260</v>
      </c>
    </row>
    <row r="1032" spans="1:10" x14ac:dyDescent="0.3">
      <c r="A1032" s="2" t="s">
        <v>357</v>
      </c>
      <c r="B1032" s="2" t="s">
        <v>358</v>
      </c>
      <c r="C1032" s="2">
        <v>33150</v>
      </c>
      <c r="D1032" s="2">
        <v>43793</v>
      </c>
      <c r="E1032" s="3">
        <v>46154</v>
      </c>
      <c r="F1032" s="3">
        <v>46274</v>
      </c>
      <c r="G1032" s="4">
        <v>165375</v>
      </c>
      <c r="H1032" s="2">
        <v>0</v>
      </c>
      <c r="I1032" s="2" t="s">
        <v>1147</v>
      </c>
      <c r="J1032" s="2" t="s">
        <v>260</v>
      </c>
    </row>
    <row r="1033" spans="1:10" x14ac:dyDescent="0.3">
      <c r="A1033" s="2" t="s">
        <v>336</v>
      </c>
      <c r="B1033" s="2" t="s">
        <v>337</v>
      </c>
      <c r="C1033" s="2">
        <v>31932</v>
      </c>
      <c r="D1033" s="2">
        <v>42530</v>
      </c>
      <c r="E1033" s="3">
        <v>46035</v>
      </c>
      <c r="F1033" s="3">
        <v>46275</v>
      </c>
      <c r="G1033" s="4">
        <v>41185</v>
      </c>
      <c r="H1033" s="2">
        <v>0</v>
      </c>
      <c r="I1033" s="2" t="s">
        <v>503</v>
      </c>
      <c r="J1033" s="2" t="s">
        <v>339</v>
      </c>
    </row>
    <row r="1034" spans="1:10" x14ac:dyDescent="0.3">
      <c r="A1034" s="2" t="s">
        <v>554</v>
      </c>
      <c r="B1034" s="2" t="s">
        <v>555</v>
      </c>
      <c r="C1034" s="2">
        <v>32093</v>
      </c>
      <c r="D1034" s="2">
        <v>42725</v>
      </c>
      <c r="E1034" s="3">
        <v>46048</v>
      </c>
      <c r="F1034" s="3">
        <v>46275</v>
      </c>
      <c r="G1034" s="4">
        <v>60750</v>
      </c>
      <c r="H1034" s="2">
        <v>0</v>
      </c>
      <c r="I1034" s="2" t="s">
        <v>556</v>
      </c>
      <c r="J1034" s="2" t="s">
        <v>50</v>
      </c>
    </row>
    <row r="1035" spans="1:10" x14ac:dyDescent="0.3">
      <c r="A1035" s="2" t="s">
        <v>440</v>
      </c>
      <c r="B1035" s="2" t="s">
        <v>441</v>
      </c>
      <c r="C1035" s="2">
        <v>32914</v>
      </c>
      <c r="D1035" s="2">
        <v>43569</v>
      </c>
      <c r="E1035" s="3">
        <v>46125</v>
      </c>
      <c r="F1035" s="3">
        <v>46275</v>
      </c>
      <c r="G1035" s="4">
        <v>23646.2</v>
      </c>
      <c r="H1035" s="2">
        <v>0</v>
      </c>
      <c r="I1035" s="2" t="s">
        <v>987</v>
      </c>
      <c r="J1035" s="2" t="s">
        <v>417</v>
      </c>
    </row>
    <row r="1036" spans="1:10" x14ac:dyDescent="0.3">
      <c r="A1036" s="2" t="s">
        <v>336</v>
      </c>
      <c r="B1036" s="2" t="s">
        <v>337</v>
      </c>
      <c r="C1036" s="2">
        <v>32918</v>
      </c>
      <c r="D1036" s="2">
        <v>43573</v>
      </c>
      <c r="E1036" s="3">
        <v>46125</v>
      </c>
      <c r="F1036" s="3">
        <v>46275</v>
      </c>
      <c r="G1036" s="4">
        <v>24000</v>
      </c>
      <c r="H1036" s="2">
        <v>0</v>
      </c>
      <c r="I1036" s="2" t="s">
        <v>991</v>
      </c>
      <c r="J1036" s="2" t="s">
        <v>339</v>
      </c>
    </row>
    <row r="1037" spans="1:10" x14ac:dyDescent="0.3">
      <c r="A1037" s="2" t="s">
        <v>106</v>
      </c>
      <c r="B1037" s="2" t="s">
        <v>90</v>
      </c>
      <c r="C1037" s="2">
        <v>32919</v>
      </c>
      <c r="D1037" s="2">
        <v>43574</v>
      </c>
      <c r="E1037" s="3">
        <v>46125</v>
      </c>
      <c r="F1037" s="3">
        <v>46275</v>
      </c>
      <c r="G1037" s="4">
        <v>113400</v>
      </c>
      <c r="H1037" s="2">
        <v>0</v>
      </c>
      <c r="I1037" s="2" t="s">
        <v>992</v>
      </c>
      <c r="J1037" s="2" t="s">
        <v>97</v>
      </c>
    </row>
    <row r="1038" spans="1:10" x14ac:dyDescent="0.3">
      <c r="A1038" s="2" t="s">
        <v>440</v>
      </c>
      <c r="B1038" s="2" t="s">
        <v>441</v>
      </c>
      <c r="C1038" s="2">
        <v>32926</v>
      </c>
      <c r="D1038" s="2">
        <v>43581</v>
      </c>
      <c r="E1038" s="3">
        <v>46125</v>
      </c>
      <c r="F1038" s="3">
        <v>46275</v>
      </c>
      <c r="G1038" s="4">
        <v>13716.43</v>
      </c>
      <c r="H1038" s="2">
        <v>0</v>
      </c>
      <c r="I1038" s="2" t="s">
        <v>996</v>
      </c>
      <c r="J1038" s="2" t="s">
        <v>417</v>
      </c>
    </row>
    <row r="1039" spans="1:10" x14ac:dyDescent="0.3">
      <c r="A1039" s="2" t="s">
        <v>440</v>
      </c>
      <c r="B1039" s="2" t="s">
        <v>441</v>
      </c>
      <c r="C1039" s="2">
        <v>32927</v>
      </c>
      <c r="D1039" s="2">
        <v>43582</v>
      </c>
      <c r="E1039" s="3">
        <v>46125</v>
      </c>
      <c r="F1039" s="3">
        <v>46275</v>
      </c>
      <c r="G1039" s="4">
        <v>9599.99</v>
      </c>
      <c r="H1039" s="2">
        <v>0</v>
      </c>
      <c r="I1039" s="2" t="s">
        <v>997</v>
      </c>
      <c r="J1039" s="2" t="s">
        <v>417</v>
      </c>
    </row>
    <row r="1040" spans="1:10" x14ac:dyDescent="0.3">
      <c r="A1040" s="2" t="s">
        <v>440</v>
      </c>
      <c r="B1040" s="2" t="s">
        <v>441</v>
      </c>
      <c r="C1040" s="2">
        <v>32928</v>
      </c>
      <c r="D1040" s="2">
        <v>43583</v>
      </c>
      <c r="E1040" s="3">
        <v>46125</v>
      </c>
      <c r="F1040" s="3">
        <v>46275</v>
      </c>
      <c r="G1040" s="4">
        <v>2933.33</v>
      </c>
      <c r="H1040" s="2">
        <v>0</v>
      </c>
      <c r="I1040" s="2" t="s">
        <v>998</v>
      </c>
      <c r="J1040" s="2" t="s">
        <v>417</v>
      </c>
    </row>
    <row r="1041" spans="1:10" x14ac:dyDescent="0.3">
      <c r="A1041" s="2" t="s">
        <v>440</v>
      </c>
      <c r="B1041" s="2" t="s">
        <v>441</v>
      </c>
      <c r="C1041" s="2">
        <v>32930</v>
      </c>
      <c r="D1041" s="2">
        <v>43584</v>
      </c>
      <c r="E1041" s="3">
        <v>46125</v>
      </c>
      <c r="F1041" s="3">
        <v>46275</v>
      </c>
      <c r="G1041" s="4">
        <v>6191.55</v>
      </c>
      <c r="H1041" s="2">
        <v>0</v>
      </c>
      <c r="I1041" s="2" t="s">
        <v>999</v>
      </c>
      <c r="J1041" s="2" t="s">
        <v>417</v>
      </c>
    </row>
    <row r="1042" spans="1:10" x14ac:dyDescent="0.3">
      <c r="A1042" s="2" t="s">
        <v>414</v>
      </c>
      <c r="B1042" s="2" t="s">
        <v>415</v>
      </c>
      <c r="C1042" s="2">
        <v>33157</v>
      </c>
      <c r="D1042" s="2">
        <v>43798</v>
      </c>
      <c r="E1042" s="3">
        <v>46155</v>
      </c>
      <c r="F1042" s="3">
        <v>46275</v>
      </c>
      <c r="G1042" s="4">
        <v>81063.92</v>
      </c>
      <c r="H1042" s="2">
        <v>0</v>
      </c>
      <c r="I1042" s="2" t="s">
        <v>1150</v>
      </c>
      <c r="J1042" s="2" t="s">
        <v>417</v>
      </c>
    </row>
    <row r="1043" spans="1:10" x14ac:dyDescent="0.3">
      <c r="A1043" s="2" t="s">
        <v>414</v>
      </c>
      <c r="B1043" s="2" t="s">
        <v>415</v>
      </c>
      <c r="C1043" s="2">
        <v>33158</v>
      </c>
      <c r="D1043" s="2">
        <v>43799</v>
      </c>
      <c r="E1043" s="3">
        <v>46155</v>
      </c>
      <c r="F1043" s="3">
        <v>46275</v>
      </c>
      <c r="G1043" s="4">
        <v>24868.98</v>
      </c>
      <c r="H1043" s="2">
        <v>0</v>
      </c>
      <c r="I1043" s="2" t="s">
        <v>1151</v>
      </c>
      <c r="J1043" s="2" t="s">
        <v>417</v>
      </c>
    </row>
    <row r="1044" spans="1:10" x14ac:dyDescent="0.3">
      <c r="A1044" s="2" t="s">
        <v>532</v>
      </c>
      <c r="B1044" s="2" t="s">
        <v>533</v>
      </c>
      <c r="C1044" s="2">
        <v>33159</v>
      </c>
      <c r="D1044" s="2">
        <v>43800</v>
      </c>
      <c r="E1044" s="3">
        <v>46155</v>
      </c>
      <c r="F1044" s="3">
        <v>46275</v>
      </c>
      <c r="G1044" s="4">
        <v>10692.42</v>
      </c>
      <c r="H1044" s="2">
        <v>0</v>
      </c>
      <c r="I1044" s="2" t="s">
        <v>1152</v>
      </c>
      <c r="J1044" s="2" t="s">
        <v>535</v>
      </c>
    </row>
    <row r="1045" spans="1:10" x14ac:dyDescent="0.3">
      <c r="A1045" s="2" t="s">
        <v>582</v>
      </c>
      <c r="B1045" s="2" t="s">
        <v>583</v>
      </c>
      <c r="C1045" s="2">
        <v>33160</v>
      </c>
      <c r="D1045" s="2">
        <v>43801</v>
      </c>
      <c r="E1045" s="3">
        <v>46155</v>
      </c>
      <c r="F1045" s="3">
        <v>46275</v>
      </c>
      <c r="G1045" s="4">
        <v>5085.93</v>
      </c>
      <c r="H1045" s="2">
        <v>0</v>
      </c>
      <c r="I1045" s="2" t="s">
        <v>1153</v>
      </c>
      <c r="J1045" s="2" t="s">
        <v>92</v>
      </c>
    </row>
    <row r="1046" spans="1:10" x14ac:dyDescent="0.3">
      <c r="A1046" s="2" t="s">
        <v>257</v>
      </c>
      <c r="B1046" s="2" t="s">
        <v>258</v>
      </c>
      <c r="C1046" s="2">
        <v>33162</v>
      </c>
      <c r="D1046" s="2">
        <v>43803</v>
      </c>
      <c r="E1046" s="3">
        <v>46155</v>
      </c>
      <c r="F1046" s="3">
        <v>46275</v>
      </c>
      <c r="G1046" s="4">
        <v>241920</v>
      </c>
      <c r="H1046" s="2">
        <v>0</v>
      </c>
      <c r="I1046" s="2" t="s">
        <v>1154</v>
      </c>
      <c r="J1046" s="2" t="s">
        <v>260</v>
      </c>
    </row>
    <row r="1047" spans="1:10" x14ac:dyDescent="0.3">
      <c r="A1047" s="2" t="s">
        <v>943</v>
      </c>
      <c r="B1047" s="2" t="s">
        <v>707</v>
      </c>
      <c r="C1047" s="2">
        <v>33163</v>
      </c>
      <c r="D1047" s="2">
        <v>43804</v>
      </c>
      <c r="E1047" s="3">
        <v>46155</v>
      </c>
      <c r="F1047" s="3">
        <v>46275</v>
      </c>
      <c r="G1047" s="4">
        <v>16584</v>
      </c>
      <c r="H1047" s="2">
        <v>0</v>
      </c>
      <c r="I1047" s="2" t="s">
        <v>1155</v>
      </c>
      <c r="J1047" s="2" t="s">
        <v>417</v>
      </c>
    </row>
    <row r="1048" spans="1:10" x14ac:dyDescent="0.3">
      <c r="A1048" s="2" t="s">
        <v>943</v>
      </c>
      <c r="B1048" s="2" t="s">
        <v>707</v>
      </c>
      <c r="C1048" s="2">
        <v>33164</v>
      </c>
      <c r="D1048" s="2">
        <v>43805</v>
      </c>
      <c r="E1048" s="3">
        <v>46155</v>
      </c>
      <c r="F1048" s="3">
        <v>46275</v>
      </c>
      <c r="G1048" s="4">
        <v>5228</v>
      </c>
      <c r="H1048" s="2">
        <v>0</v>
      </c>
      <c r="I1048" s="2" t="s">
        <v>1156</v>
      </c>
      <c r="J1048" s="2" t="s">
        <v>417</v>
      </c>
    </row>
    <row r="1049" spans="1:10" x14ac:dyDescent="0.3">
      <c r="A1049" s="2" t="s">
        <v>943</v>
      </c>
      <c r="B1049" s="2" t="s">
        <v>707</v>
      </c>
      <c r="C1049" s="2">
        <v>33165</v>
      </c>
      <c r="D1049" s="2">
        <v>43806</v>
      </c>
      <c r="E1049" s="3">
        <v>46155</v>
      </c>
      <c r="F1049" s="3">
        <v>46275</v>
      </c>
      <c r="G1049" s="4">
        <v>36596</v>
      </c>
      <c r="H1049" s="2">
        <v>0</v>
      </c>
      <c r="I1049" s="2" t="s">
        <v>1157</v>
      </c>
      <c r="J1049" s="2" t="s">
        <v>417</v>
      </c>
    </row>
    <row r="1050" spans="1:10" x14ac:dyDescent="0.3">
      <c r="A1050" s="2" t="s">
        <v>360</v>
      </c>
      <c r="B1050" s="2" t="s">
        <v>361</v>
      </c>
      <c r="C1050" s="2">
        <v>32771</v>
      </c>
      <c r="D1050" s="2">
        <v>43427</v>
      </c>
      <c r="E1050" s="3">
        <v>46111</v>
      </c>
      <c r="F1050" s="3">
        <v>46276</v>
      </c>
      <c r="G1050" s="4">
        <v>2565.4499999999998</v>
      </c>
      <c r="H1050" s="2">
        <v>0</v>
      </c>
      <c r="I1050" s="2" t="s">
        <v>895</v>
      </c>
      <c r="J1050" s="2" t="s">
        <v>92</v>
      </c>
    </row>
    <row r="1051" spans="1:10" x14ac:dyDescent="0.3">
      <c r="A1051" s="2" t="s">
        <v>1008</v>
      </c>
      <c r="B1051" s="2" t="s">
        <v>1009</v>
      </c>
      <c r="C1051" s="2">
        <v>32949</v>
      </c>
      <c r="D1051" s="2">
        <v>43602</v>
      </c>
      <c r="E1051" s="3">
        <v>46128</v>
      </c>
      <c r="F1051" s="3">
        <v>46277</v>
      </c>
      <c r="G1051" s="4">
        <v>174929.18</v>
      </c>
      <c r="H1051" s="2">
        <v>0</v>
      </c>
      <c r="I1051" s="2" t="s">
        <v>1010</v>
      </c>
      <c r="J1051" s="2" t="s">
        <v>313</v>
      </c>
    </row>
    <row r="1052" spans="1:10" x14ac:dyDescent="0.3">
      <c r="A1052" s="2" t="s">
        <v>391</v>
      </c>
      <c r="B1052" s="2" t="s">
        <v>392</v>
      </c>
      <c r="C1052" s="2">
        <v>32645</v>
      </c>
      <c r="D1052" s="2">
        <v>43299</v>
      </c>
      <c r="E1052" s="3">
        <v>46098</v>
      </c>
      <c r="F1052" s="3">
        <v>46278</v>
      </c>
      <c r="G1052" s="4">
        <v>80921</v>
      </c>
      <c r="H1052" s="2">
        <v>0</v>
      </c>
      <c r="I1052" s="2" t="s">
        <v>813</v>
      </c>
      <c r="J1052" s="2" t="s">
        <v>394</v>
      </c>
    </row>
    <row r="1053" spans="1:10" x14ac:dyDescent="0.3">
      <c r="A1053" s="2" t="s">
        <v>152</v>
      </c>
      <c r="B1053" s="2" t="s">
        <v>153</v>
      </c>
      <c r="C1053" s="2">
        <v>30612</v>
      </c>
      <c r="D1053" s="2">
        <v>41038</v>
      </c>
      <c r="E1053" s="3">
        <v>45917</v>
      </c>
      <c r="F1053" s="3">
        <v>46279</v>
      </c>
      <c r="G1053" s="4">
        <v>89566.36</v>
      </c>
      <c r="H1053" s="2">
        <v>0</v>
      </c>
      <c r="I1053" s="2" t="s">
        <v>154</v>
      </c>
      <c r="J1053" s="2" t="s">
        <v>92</v>
      </c>
    </row>
    <row r="1054" spans="1:10" x14ac:dyDescent="0.3">
      <c r="A1054" s="2" t="s">
        <v>152</v>
      </c>
      <c r="B1054" s="2" t="s">
        <v>153</v>
      </c>
      <c r="C1054" s="2">
        <v>30613</v>
      </c>
      <c r="D1054" s="2">
        <v>41039</v>
      </c>
      <c r="E1054" s="3">
        <v>45917</v>
      </c>
      <c r="F1054" s="3">
        <v>46279</v>
      </c>
      <c r="G1054" s="4">
        <v>2150</v>
      </c>
      <c r="H1054" s="2">
        <v>0</v>
      </c>
      <c r="I1054" s="2" t="s">
        <v>155</v>
      </c>
      <c r="J1054" s="2" t="s">
        <v>92</v>
      </c>
    </row>
    <row r="1055" spans="1:10" x14ac:dyDescent="0.3">
      <c r="A1055" s="2" t="s">
        <v>804</v>
      </c>
      <c r="B1055" s="2" t="s">
        <v>805</v>
      </c>
      <c r="C1055" s="2">
        <v>32640</v>
      </c>
      <c r="D1055" s="2">
        <v>43294</v>
      </c>
      <c r="E1055" s="3">
        <v>46098</v>
      </c>
      <c r="F1055" s="3">
        <v>46279</v>
      </c>
      <c r="G1055" s="4">
        <v>23327.72</v>
      </c>
      <c r="H1055" s="2">
        <v>0</v>
      </c>
      <c r="I1055" s="2" t="s">
        <v>806</v>
      </c>
      <c r="J1055" s="2" t="s">
        <v>92</v>
      </c>
    </row>
    <row r="1056" spans="1:10" x14ac:dyDescent="0.3">
      <c r="A1056" s="2" t="s">
        <v>391</v>
      </c>
      <c r="B1056" s="2" t="s">
        <v>392</v>
      </c>
      <c r="C1056" s="2">
        <v>32651</v>
      </c>
      <c r="D1056" s="2">
        <v>43305</v>
      </c>
      <c r="E1056" s="3">
        <v>46099</v>
      </c>
      <c r="F1056" s="3">
        <v>46279</v>
      </c>
      <c r="G1056" s="4">
        <v>143960</v>
      </c>
      <c r="H1056" s="2">
        <v>0</v>
      </c>
      <c r="I1056" s="2" t="s">
        <v>819</v>
      </c>
      <c r="J1056" s="2" t="s">
        <v>394</v>
      </c>
    </row>
    <row r="1057" spans="1:10" x14ac:dyDescent="0.3">
      <c r="A1057" s="2" t="s">
        <v>831</v>
      </c>
      <c r="B1057" s="2" t="s">
        <v>832</v>
      </c>
      <c r="C1057" s="2">
        <v>32670</v>
      </c>
      <c r="D1057" s="2">
        <v>43325</v>
      </c>
      <c r="E1057" s="3">
        <v>46100</v>
      </c>
      <c r="F1057" s="3">
        <v>46279</v>
      </c>
      <c r="G1057" s="4">
        <v>11500</v>
      </c>
      <c r="H1057" s="2">
        <v>0</v>
      </c>
      <c r="I1057" s="2" t="s">
        <v>835</v>
      </c>
      <c r="J1057" s="2" t="s">
        <v>394</v>
      </c>
    </row>
    <row r="1058" spans="1:10" x14ac:dyDescent="0.3">
      <c r="A1058" s="2" t="s">
        <v>414</v>
      </c>
      <c r="B1058" s="2" t="s">
        <v>415</v>
      </c>
      <c r="C1058" s="2">
        <v>32827</v>
      </c>
      <c r="D1058" s="2">
        <v>43484</v>
      </c>
      <c r="E1058" s="3">
        <v>46112</v>
      </c>
      <c r="F1058" s="3">
        <v>46279</v>
      </c>
      <c r="G1058" s="4">
        <v>29199.97</v>
      </c>
      <c r="H1058" s="2">
        <v>0</v>
      </c>
      <c r="I1058" s="2" t="s">
        <v>945</v>
      </c>
      <c r="J1058" s="2" t="s">
        <v>417</v>
      </c>
    </row>
    <row r="1059" spans="1:10" x14ac:dyDescent="0.3">
      <c r="A1059" s="2" t="s">
        <v>414</v>
      </c>
      <c r="B1059" s="2" t="s">
        <v>415</v>
      </c>
      <c r="C1059" s="2">
        <v>32831</v>
      </c>
      <c r="D1059" s="2">
        <v>43488</v>
      </c>
      <c r="E1059" s="3">
        <v>46112</v>
      </c>
      <c r="F1059" s="3">
        <v>46279</v>
      </c>
      <c r="G1059" s="4">
        <v>2544</v>
      </c>
      <c r="H1059" s="2">
        <v>0</v>
      </c>
      <c r="I1059" s="2" t="s">
        <v>949</v>
      </c>
      <c r="J1059" s="2" t="s">
        <v>417</v>
      </c>
    </row>
    <row r="1060" spans="1:10" x14ac:dyDescent="0.3">
      <c r="A1060" s="2" t="s">
        <v>414</v>
      </c>
      <c r="B1060" s="2" t="s">
        <v>415</v>
      </c>
      <c r="C1060" s="2">
        <v>32844</v>
      </c>
      <c r="D1060" s="2">
        <v>43498</v>
      </c>
      <c r="E1060" s="3">
        <v>46114</v>
      </c>
      <c r="F1060" s="3">
        <v>46279</v>
      </c>
      <c r="G1060" s="2">
        <v>566.66999999999996</v>
      </c>
      <c r="H1060" s="2">
        <v>0</v>
      </c>
      <c r="I1060" s="2" t="s">
        <v>955</v>
      </c>
      <c r="J1060" s="2" t="s">
        <v>417</v>
      </c>
    </row>
    <row r="1061" spans="1:10" x14ac:dyDescent="0.3">
      <c r="A1061" s="2" t="s">
        <v>514</v>
      </c>
      <c r="B1061" s="2" t="s">
        <v>515</v>
      </c>
      <c r="C1061" s="2">
        <v>32947</v>
      </c>
      <c r="D1061" s="2">
        <v>43600</v>
      </c>
      <c r="E1061" s="3">
        <v>46127</v>
      </c>
      <c r="F1061" s="3">
        <v>46279</v>
      </c>
      <c r="G1061" s="4">
        <v>2640</v>
      </c>
      <c r="H1061" s="2">
        <v>0</v>
      </c>
      <c r="I1061" s="2" t="s">
        <v>1004</v>
      </c>
      <c r="J1061" s="2" t="s">
        <v>238</v>
      </c>
    </row>
    <row r="1062" spans="1:10" x14ac:dyDescent="0.3">
      <c r="A1062" s="2" t="s">
        <v>360</v>
      </c>
      <c r="B1062" s="2" t="s">
        <v>361</v>
      </c>
      <c r="C1062" s="2">
        <v>33173</v>
      </c>
      <c r="D1062" s="2">
        <v>43816</v>
      </c>
      <c r="E1062" s="3">
        <v>46157</v>
      </c>
      <c r="F1062" s="3">
        <v>46279</v>
      </c>
      <c r="G1062" s="4">
        <v>6768.18</v>
      </c>
      <c r="H1062" s="2">
        <v>0</v>
      </c>
      <c r="I1062" s="2" t="s">
        <v>1161</v>
      </c>
      <c r="J1062" s="2" t="s">
        <v>92</v>
      </c>
    </row>
    <row r="1063" spans="1:10" x14ac:dyDescent="0.3">
      <c r="A1063" s="2" t="s">
        <v>244</v>
      </c>
      <c r="B1063" s="2" t="s">
        <v>245</v>
      </c>
      <c r="C1063" s="2">
        <v>31531</v>
      </c>
      <c r="D1063" s="2">
        <v>42085</v>
      </c>
      <c r="E1063" s="3">
        <v>45996</v>
      </c>
      <c r="F1063" s="3">
        <v>46280</v>
      </c>
      <c r="G1063" s="4">
        <v>473564.3</v>
      </c>
      <c r="H1063" s="2">
        <v>0</v>
      </c>
      <c r="I1063" s="2" t="s">
        <v>371</v>
      </c>
      <c r="J1063" s="2" t="s">
        <v>66</v>
      </c>
    </row>
    <row r="1064" spans="1:10" x14ac:dyDescent="0.3">
      <c r="A1064" s="2" t="s">
        <v>402</v>
      </c>
      <c r="B1064" s="2" t="s">
        <v>403</v>
      </c>
      <c r="C1064" s="2">
        <v>31620</v>
      </c>
      <c r="D1064" s="2">
        <v>42183</v>
      </c>
      <c r="E1064" s="3">
        <v>46001</v>
      </c>
      <c r="F1064" s="3">
        <v>46280</v>
      </c>
      <c r="G1064" s="4">
        <v>66848.33</v>
      </c>
      <c r="H1064" s="2">
        <v>0</v>
      </c>
      <c r="I1064" s="2" t="s">
        <v>404</v>
      </c>
      <c r="J1064" s="2" t="s">
        <v>97</v>
      </c>
    </row>
    <row r="1065" spans="1:10" x14ac:dyDescent="0.3">
      <c r="A1065" s="2" t="s">
        <v>402</v>
      </c>
      <c r="B1065" s="2" t="s">
        <v>403</v>
      </c>
      <c r="C1065" s="2">
        <v>31638</v>
      </c>
      <c r="D1065" s="2">
        <v>42206</v>
      </c>
      <c r="E1065" s="3">
        <v>46002</v>
      </c>
      <c r="F1065" s="3">
        <v>46280</v>
      </c>
      <c r="G1065" s="4">
        <v>17148.400000000001</v>
      </c>
      <c r="H1065" s="2">
        <v>0</v>
      </c>
      <c r="I1065" s="2" t="s">
        <v>413</v>
      </c>
      <c r="J1065" s="2" t="s">
        <v>97</v>
      </c>
    </row>
    <row r="1066" spans="1:10" x14ac:dyDescent="0.3">
      <c r="A1066" s="2" t="s">
        <v>440</v>
      </c>
      <c r="B1066" s="2" t="s">
        <v>441</v>
      </c>
      <c r="C1066" s="2">
        <v>32663</v>
      </c>
      <c r="D1066" s="2">
        <v>43318</v>
      </c>
      <c r="E1066" s="3">
        <v>46100</v>
      </c>
      <c r="F1066" s="3">
        <v>46280</v>
      </c>
      <c r="G1066" s="4">
        <v>36914.32</v>
      </c>
      <c r="H1066" s="2">
        <v>0</v>
      </c>
      <c r="I1066" s="2" t="s">
        <v>829</v>
      </c>
      <c r="J1066" s="2" t="s">
        <v>417</v>
      </c>
    </row>
    <row r="1067" spans="1:10" x14ac:dyDescent="0.3">
      <c r="A1067" s="2" t="s">
        <v>831</v>
      </c>
      <c r="B1067" s="2" t="s">
        <v>832</v>
      </c>
      <c r="C1067" s="2">
        <v>32671</v>
      </c>
      <c r="D1067" s="2">
        <v>43326</v>
      </c>
      <c r="E1067" s="3">
        <v>46100</v>
      </c>
      <c r="F1067" s="3">
        <v>46280</v>
      </c>
      <c r="G1067" s="4">
        <v>16100</v>
      </c>
      <c r="H1067" s="2">
        <v>0</v>
      </c>
      <c r="I1067" s="2" t="s">
        <v>836</v>
      </c>
      <c r="J1067" s="2" t="s">
        <v>394</v>
      </c>
    </row>
    <row r="1068" spans="1:10" x14ac:dyDescent="0.3">
      <c r="A1068" s="2" t="s">
        <v>396</v>
      </c>
      <c r="B1068" s="2" t="s">
        <v>392</v>
      </c>
      <c r="C1068" s="2">
        <v>32672</v>
      </c>
      <c r="D1068" s="2">
        <v>43327</v>
      </c>
      <c r="E1068" s="3">
        <v>46100</v>
      </c>
      <c r="F1068" s="3">
        <v>46280</v>
      </c>
      <c r="G1068" s="4">
        <v>94400</v>
      </c>
      <c r="H1068" s="2">
        <v>0</v>
      </c>
      <c r="I1068" s="2" t="s">
        <v>837</v>
      </c>
      <c r="J1068" s="2" t="s">
        <v>394</v>
      </c>
    </row>
    <row r="1069" spans="1:10" x14ac:dyDescent="0.3">
      <c r="A1069" s="2" t="s">
        <v>585</v>
      </c>
      <c r="B1069" s="2" t="s">
        <v>392</v>
      </c>
      <c r="C1069" s="2">
        <v>32679</v>
      </c>
      <c r="D1069" s="2">
        <v>43334</v>
      </c>
      <c r="E1069" s="3">
        <v>46100</v>
      </c>
      <c r="F1069" s="3">
        <v>46280</v>
      </c>
      <c r="G1069" s="4">
        <v>94400</v>
      </c>
      <c r="H1069" s="2">
        <v>0</v>
      </c>
      <c r="I1069" s="2" t="s">
        <v>843</v>
      </c>
      <c r="J1069" s="2" t="s">
        <v>394</v>
      </c>
    </row>
    <row r="1070" spans="1:10" x14ac:dyDescent="0.3">
      <c r="A1070" s="2" t="s">
        <v>735</v>
      </c>
      <c r="B1070" s="2" t="s">
        <v>736</v>
      </c>
      <c r="C1070" s="2">
        <v>33174</v>
      </c>
      <c r="D1070" s="2">
        <v>43817</v>
      </c>
      <c r="E1070" s="3">
        <v>46160</v>
      </c>
      <c r="F1070" s="3">
        <v>46280</v>
      </c>
      <c r="G1070" s="4">
        <v>48208.29</v>
      </c>
      <c r="H1070" s="2">
        <v>0</v>
      </c>
      <c r="I1070" s="2" t="s">
        <v>1162</v>
      </c>
      <c r="J1070" s="2" t="s">
        <v>19</v>
      </c>
    </row>
    <row r="1071" spans="1:10" x14ac:dyDescent="0.3">
      <c r="A1071" s="2" t="s">
        <v>557</v>
      </c>
      <c r="B1071" s="2" t="s">
        <v>558</v>
      </c>
      <c r="C1071" s="2">
        <v>33177</v>
      </c>
      <c r="D1071" s="2">
        <v>43824</v>
      </c>
      <c r="E1071" s="3">
        <v>46160</v>
      </c>
      <c r="F1071" s="3">
        <v>46280</v>
      </c>
      <c r="G1071" s="4">
        <v>8666.66</v>
      </c>
      <c r="H1071" s="2">
        <v>0</v>
      </c>
      <c r="I1071" s="2" t="s">
        <v>1164</v>
      </c>
      <c r="J1071" s="2" t="s">
        <v>19</v>
      </c>
    </row>
    <row r="1072" spans="1:10" x14ac:dyDescent="0.3">
      <c r="A1072" s="2" t="s">
        <v>257</v>
      </c>
      <c r="B1072" s="2" t="s">
        <v>258</v>
      </c>
      <c r="C1072" s="2">
        <v>32702</v>
      </c>
      <c r="D1072" s="2">
        <v>43356</v>
      </c>
      <c r="E1072" s="3">
        <v>46101</v>
      </c>
      <c r="F1072" s="3">
        <v>46281</v>
      </c>
      <c r="G1072" s="4">
        <v>3314.62</v>
      </c>
      <c r="H1072" s="2">
        <v>0</v>
      </c>
      <c r="I1072" s="2" t="s">
        <v>551</v>
      </c>
      <c r="J1072" s="2" t="s">
        <v>260</v>
      </c>
    </row>
    <row r="1073" spans="1:10" x14ac:dyDescent="0.3">
      <c r="A1073" s="2" t="s">
        <v>665</v>
      </c>
      <c r="B1073" s="2" t="s">
        <v>666</v>
      </c>
      <c r="C1073" s="2">
        <v>33179</v>
      </c>
      <c r="D1073" s="2">
        <v>43826</v>
      </c>
      <c r="E1073" s="3">
        <v>46161</v>
      </c>
      <c r="F1073" s="3">
        <v>46281</v>
      </c>
      <c r="G1073" s="4">
        <v>5103.1099999999997</v>
      </c>
      <c r="H1073" s="2">
        <v>0</v>
      </c>
      <c r="I1073" s="2" t="s">
        <v>1166</v>
      </c>
      <c r="J1073" s="2" t="s">
        <v>238</v>
      </c>
    </row>
    <row r="1074" spans="1:10" x14ac:dyDescent="0.3">
      <c r="A1074" s="2" t="s">
        <v>1167</v>
      </c>
      <c r="B1074" s="2" t="s">
        <v>657</v>
      </c>
      <c r="C1074" s="2">
        <v>33185</v>
      </c>
      <c r="D1074" s="2">
        <v>43832</v>
      </c>
      <c r="E1074" s="3">
        <v>46161</v>
      </c>
      <c r="F1074" s="3">
        <v>46281</v>
      </c>
      <c r="G1074" s="4">
        <v>78120</v>
      </c>
      <c r="H1074" s="2">
        <v>0</v>
      </c>
      <c r="I1074" s="2" t="s">
        <v>1168</v>
      </c>
      <c r="J1074" s="2" t="s">
        <v>162</v>
      </c>
    </row>
    <row r="1075" spans="1:10" x14ac:dyDescent="0.3">
      <c r="A1075" s="2" t="s">
        <v>357</v>
      </c>
      <c r="B1075" s="2" t="s">
        <v>358</v>
      </c>
      <c r="C1075" s="2">
        <v>32312</v>
      </c>
      <c r="D1075" s="2">
        <v>42948</v>
      </c>
      <c r="E1075" s="3">
        <v>46072</v>
      </c>
      <c r="F1075" s="3">
        <v>46282</v>
      </c>
      <c r="G1075" s="4">
        <v>6574.08</v>
      </c>
      <c r="H1075" s="2">
        <v>0</v>
      </c>
      <c r="I1075" s="2" t="s">
        <v>547</v>
      </c>
      <c r="J1075" s="2" t="s">
        <v>260</v>
      </c>
    </row>
    <row r="1076" spans="1:10" x14ac:dyDescent="0.3">
      <c r="A1076" s="2" t="s">
        <v>357</v>
      </c>
      <c r="B1076" s="2" t="s">
        <v>358</v>
      </c>
      <c r="C1076" s="2">
        <v>32352</v>
      </c>
      <c r="D1076" s="2">
        <v>42986</v>
      </c>
      <c r="E1076" s="3">
        <v>46072</v>
      </c>
      <c r="F1076" s="3">
        <v>46282</v>
      </c>
      <c r="G1076" s="4">
        <v>1185</v>
      </c>
      <c r="H1076" s="2">
        <v>0</v>
      </c>
      <c r="I1076" s="2" t="s">
        <v>547</v>
      </c>
      <c r="J1076" s="2" t="s">
        <v>260</v>
      </c>
    </row>
    <row r="1077" spans="1:10" x14ac:dyDescent="0.3">
      <c r="A1077" s="2" t="s">
        <v>360</v>
      </c>
      <c r="B1077" s="2" t="s">
        <v>361</v>
      </c>
      <c r="C1077" s="2">
        <v>33074</v>
      </c>
      <c r="D1077" s="2">
        <v>43719</v>
      </c>
      <c r="E1077" s="3">
        <v>46147</v>
      </c>
      <c r="F1077" s="3">
        <v>46282</v>
      </c>
      <c r="G1077" s="2">
        <v>505.82</v>
      </c>
      <c r="H1077" s="2">
        <v>0</v>
      </c>
      <c r="I1077" s="2" t="s">
        <v>1092</v>
      </c>
      <c r="J1077" s="2" t="s">
        <v>92</v>
      </c>
    </row>
    <row r="1078" spans="1:10" x14ac:dyDescent="0.3">
      <c r="A1078" s="2" t="s">
        <v>517</v>
      </c>
      <c r="B1078" s="2" t="s">
        <v>518</v>
      </c>
      <c r="C1078" s="2">
        <v>33191</v>
      </c>
      <c r="D1078" s="2">
        <v>43838</v>
      </c>
      <c r="E1078" s="3">
        <v>46162</v>
      </c>
      <c r="F1078" s="3">
        <v>46282</v>
      </c>
      <c r="G1078" s="4">
        <v>3515.34</v>
      </c>
      <c r="H1078" s="2">
        <v>0</v>
      </c>
      <c r="I1078" s="2" t="s">
        <v>1175</v>
      </c>
      <c r="J1078" s="2" t="s">
        <v>238</v>
      </c>
    </row>
    <row r="1079" spans="1:10" x14ac:dyDescent="0.3">
      <c r="A1079" s="2" t="s">
        <v>360</v>
      </c>
      <c r="B1079" s="2" t="s">
        <v>361</v>
      </c>
      <c r="C1079" s="2">
        <v>33192</v>
      </c>
      <c r="D1079" s="2">
        <v>43839</v>
      </c>
      <c r="E1079" s="3">
        <v>46162</v>
      </c>
      <c r="F1079" s="3">
        <v>46282</v>
      </c>
      <c r="G1079" s="4">
        <v>41601.9</v>
      </c>
      <c r="H1079" s="2">
        <v>0</v>
      </c>
      <c r="I1079" s="2" t="s">
        <v>1176</v>
      </c>
      <c r="J1079" s="2" t="s">
        <v>92</v>
      </c>
    </row>
    <row r="1080" spans="1:10" x14ac:dyDescent="0.3">
      <c r="A1080" s="2" t="s">
        <v>847</v>
      </c>
      <c r="B1080" s="2" t="s">
        <v>660</v>
      </c>
      <c r="C1080" s="2">
        <v>33099</v>
      </c>
      <c r="D1080" s="2">
        <v>43745</v>
      </c>
      <c r="E1080" s="3">
        <v>46149</v>
      </c>
      <c r="F1080" s="3">
        <v>46283</v>
      </c>
      <c r="G1080" s="4">
        <v>34875</v>
      </c>
      <c r="H1080" s="2">
        <v>0</v>
      </c>
      <c r="I1080" s="2" t="s">
        <v>1113</v>
      </c>
      <c r="J1080" s="2" t="s">
        <v>535</v>
      </c>
    </row>
    <row r="1081" spans="1:10" x14ac:dyDescent="0.3">
      <c r="A1081" s="2" t="s">
        <v>257</v>
      </c>
      <c r="B1081" s="2" t="s">
        <v>258</v>
      </c>
      <c r="C1081" s="2">
        <v>33195</v>
      </c>
      <c r="D1081" s="2">
        <v>43842</v>
      </c>
      <c r="E1081" s="3">
        <v>46163</v>
      </c>
      <c r="F1081" s="3">
        <v>46283</v>
      </c>
      <c r="G1081" s="4">
        <v>198400</v>
      </c>
      <c r="H1081" s="2">
        <v>0</v>
      </c>
      <c r="I1081" s="2" t="s">
        <v>1180</v>
      </c>
      <c r="J1081" s="2" t="s">
        <v>260</v>
      </c>
    </row>
    <row r="1082" spans="1:10" x14ac:dyDescent="0.3">
      <c r="A1082" s="2" t="s">
        <v>469</v>
      </c>
      <c r="B1082" s="2" t="s">
        <v>470</v>
      </c>
      <c r="C1082" s="2">
        <v>33199</v>
      </c>
      <c r="D1082" s="2">
        <v>43846</v>
      </c>
      <c r="E1082" s="3">
        <v>46163</v>
      </c>
      <c r="F1082" s="3">
        <v>46283</v>
      </c>
      <c r="G1082" s="4">
        <v>5292</v>
      </c>
      <c r="H1082" s="2">
        <v>0</v>
      </c>
      <c r="I1082" s="2" t="s">
        <v>1184</v>
      </c>
      <c r="J1082" s="2" t="s">
        <v>394</v>
      </c>
    </row>
    <row r="1083" spans="1:10" x14ac:dyDescent="0.3">
      <c r="A1083" s="2" t="s">
        <v>762</v>
      </c>
      <c r="B1083" s="2" t="s">
        <v>763</v>
      </c>
      <c r="C1083" s="2">
        <v>33205</v>
      </c>
      <c r="D1083" s="2">
        <v>43850</v>
      </c>
      <c r="E1083" s="3">
        <v>46163</v>
      </c>
      <c r="F1083" s="3">
        <v>46283</v>
      </c>
      <c r="G1083" s="4">
        <v>11019</v>
      </c>
      <c r="H1083" s="2">
        <v>0</v>
      </c>
      <c r="I1083" s="2" t="s">
        <v>1187</v>
      </c>
      <c r="J1083" s="2" t="s">
        <v>92</v>
      </c>
    </row>
    <row r="1084" spans="1:10" x14ac:dyDescent="0.3">
      <c r="A1084" s="2" t="s">
        <v>1041</v>
      </c>
      <c r="B1084" s="2" t="s">
        <v>1042</v>
      </c>
      <c r="C1084" s="2">
        <v>33206</v>
      </c>
      <c r="D1084" s="2">
        <v>43853</v>
      </c>
      <c r="E1084" s="3">
        <v>46163</v>
      </c>
      <c r="F1084" s="3">
        <v>46283</v>
      </c>
      <c r="G1084" s="4">
        <v>6704.99</v>
      </c>
      <c r="H1084" s="2">
        <v>0</v>
      </c>
      <c r="I1084" s="2" t="s">
        <v>1188</v>
      </c>
      <c r="J1084" s="2" t="s">
        <v>238</v>
      </c>
    </row>
    <row r="1085" spans="1:10" x14ac:dyDescent="0.3">
      <c r="A1085" s="2" t="s">
        <v>1189</v>
      </c>
      <c r="B1085" s="2" t="s">
        <v>657</v>
      </c>
      <c r="C1085" s="2">
        <v>33209</v>
      </c>
      <c r="D1085" s="2">
        <v>43857</v>
      </c>
      <c r="E1085" s="3">
        <v>46163</v>
      </c>
      <c r="F1085" s="3">
        <v>46283</v>
      </c>
      <c r="G1085" s="4">
        <v>30212.6</v>
      </c>
      <c r="H1085" s="2">
        <v>0</v>
      </c>
      <c r="I1085" s="2" t="s">
        <v>1190</v>
      </c>
      <c r="J1085" s="2" t="s">
        <v>162</v>
      </c>
    </row>
    <row r="1086" spans="1:10" x14ac:dyDescent="0.3">
      <c r="A1086" s="2" t="s">
        <v>656</v>
      </c>
      <c r="B1086" s="2" t="s">
        <v>657</v>
      </c>
      <c r="C1086" s="2">
        <v>33211</v>
      </c>
      <c r="D1086" s="2">
        <v>43858</v>
      </c>
      <c r="E1086" s="3">
        <v>46163</v>
      </c>
      <c r="F1086" s="3">
        <v>46283</v>
      </c>
      <c r="G1086" s="4">
        <v>29909.3</v>
      </c>
      <c r="H1086" s="2">
        <v>0</v>
      </c>
      <c r="I1086" s="2" t="s">
        <v>1191</v>
      </c>
      <c r="J1086" s="2" t="s">
        <v>162</v>
      </c>
    </row>
    <row r="1087" spans="1:10" x14ac:dyDescent="0.3">
      <c r="A1087" s="2" t="s">
        <v>1047</v>
      </c>
      <c r="B1087" s="2" t="s">
        <v>1048</v>
      </c>
      <c r="C1087" s="2">
        <v>33007</v>
      </c>
      <c r="D1087" s="2">
        <v>43656</v>
      </c>
      <c r="E1087" s="3">
        <v>46135</v>
      </c>
      <c r="F1087" s="3">
        <v>46285</v>
      </c>
      <c r="G1087" s="4">
        <v>2503</v>
      </c>
      <c r="H1087" s="2">
        <v>0</v>
      </c>
      <c r="I1087" s="2" t="s">
        <v>1054</v>
      </c>
      <c r="J1087" s="2" t="s">
        <v>66</v>
      </c>
    </row>
    <row r="1088" spans="1:10" x14ac:dyDescent="0.3">
      <c r="A1088" s="2" t="s">
        <v>430</v>
      </c>
      <c r="B1088" s="2" t="s">
        <v>431</v>
      </c>
      <c r="C1088" s="2">
        <v>31724</v>
      </c>
      <c r="D1088" s="2">
        <v>42295</v>
      </c>
      <c r="E1088" s="3">
        <v>46007</v>
      </c>
      <c r="F1088" s="3">
        <v>46286</v>
      </c>
      <c r="G1088" s="4">
        <v>91850</v>
      </c>
      <c r="H1088" s="2">
        <v>0</v>
      </c>
      <c r="I1088" s="2" t="s">
        <v>432</v>
      </c>
      <c r="J1088" s="2" t="s">
        <v>97</v>
      </c>
    </row>
    <row r="1089" spans="1:10" x14ac:dyDescent="0.3">
      <c r="A1089" s="2" t="s">
        <v>430</v>
      </c>
      <c r="B1089" s="2" t="s">
        <v>431</v>
      </c>
      <c r="C1089" s="2">
        <v>31734</v>
      </c>
      <c r="D1089" s="2">
        <v>42305</v>
      </c>
      <c r="E1089" s="3">
        <v>46007</v>
      </c>
      <c r="F1089" s="3">
        <v>46286</v>
      </c>
      <c r="G1089" s="4">
        <v>25000</v>
      </c>
      <c r="H1089" s="2">
        <v>0</v>
      </c>
      <c r="I1089" s="2" t="s">
        <v>435</v>
      </c>
      <c r="J1089" s="2" t="s">
        <v>97</v>
      </c>
    </row>
    <row r="1090" spans="1:10" x14ac:dyDescent="0.3">
      <c r="A1090" s="2" t="s">
        <v>430</v>
      </c>
      <c r="B1090" s="2" t="s">
        <v>431</v>
      </c>
      <c r="C1090" s="2">
        <v>31841</v>
      </c>
      <c r="D1090" s="2">
        <v>42423</v>
      </c>
      <c r="E1090" s="3">
        <v>46027</v>
      </c>
      <c r="F1090" s="3">
        <v>46286</v>
      </c>
      <c r="G1090" s="4">
        <v>17000</v>
      </c>
      <c r="H1090" s="2">
        <v>0</v>
      </c>
      <c r="I1090" s="2" t="s">
        <v>478</v>
      </c>
      <c r="J1090" s="2" t="s">
        <v>97</v>
      </c>
    </row>
    <row r="1091" spans="1:10" x14ac:dyDescent="0.3">
      <c r="A1091" s="2" t="s">
        <v>430</v>
      </c>
      <c r="B1091" s="2" t="s">
        <v>431</v>
      </c>
      <c r="C1091" s="2">
        <v>31842</v>
      </c>
      <c r="D1091" s="2">
        <v>42424</v>
      </c>
      <c r="E1091" s="3">
        <v>46027</v>
      </c>
      <c r="F1091" s="3">
        <v>46286</v>
      </c>
      <c r="G1091" s="4">
        <v>250150</v>
      </c>
      <c r="H1091" s="2">
        <v>0</v>
      </c>
      <c r="I1091" s="2" t="s">
        <v>478</v>
      </c>
      <c r="J1091" s="2" t="s">
        <v>97</v>
      </c>
    </row>
    <row r="1092" spans="1:10" x14ac:dyDescent="0.3">
      <c r="A1092" s="2" t="s">
        <v>544</v>
      </c>
      <c r="B1092" s="2" t="s">
        <v>545</v>
      </c>
      <c r="C1092" s="2">
        <v>32016</v>
      </c>
      <c r="D1092" s="2">
        <v>42635</v>
      </c>
      <c r="E1092" s="3">
        <v>46042</v>
      </c>
      <c r="F1092" s="3">
        <v>46286</v>
      </c>
      <c r="G1092" s="4">
        <v>53694.2</v>
      </c>
      <c r="H1092" s="2">
        <v>0</v>
      </c>
      <c r="I1092" s="2" t="s">
        <v>546</v>
      </c>
      <c r="J1092" s="2" t="s">
        <v>66</v>
      </c>
    </row>
    <row r="1093" spans="1:10" x14ac:dyDescent="0.3">
      <c r="A1093" s="2" t="s">
        <v>59</v>
      </c>
      <c r="B1093" s="2" t="s">
        <v>52</v>
      </c>
      <c r="C1093" s="2">
        <v>32028</v>
      </c>
      <c r="D1093" s="2">
        <v>42654</v>
      </c>
      <c r="E1093" s="3">
        <v>46044</v>
      </c>
      <c r="F1093" s="3">
        <v>46286</v>
      </c>
      <c r="G1093" s="4">
        <v>133000</v>
      </c>
      <c r="H1093" s="2">
        <v>0</v>
      </c>
      <c r="I1093" s="2" t="s">
        <v>60</v>
      </c>
      <c r="J1093" s="2" t="s">
        <v>54</v>
      </c>
    </row>
    <row r="1094" spans="1:10" x14ac:dyDescent="0.3">
      <c r="A1094" s="2" t="s">
        <v>548</v>
      </c>
      <c r="B1094" s="2" t="s">
        <v>549</v>
      </c>
      <c r="C1094" s="2">
        <v>32045</v>
      </c>
      <c r="D1094" s="2">
        <v>42672</v>
      </c>
      <c r="E1094" s="3">
        <v>46044</v>
      </c>
      <c r="F1094" s="3">
        <v>46286</v>
      </c>
      <c r="G1094" s="4">
        <v>86463.8</v>
      </c>
      <c r="H1094" s="2">
        <v>0</v>
      </c>
      <c r="I1094" s="2" t="s">
        <v>550</v>
      </c>
      <c r="J1094" s="2" t="s">
        <v>66</v>
      </c>
    </row>
    <row r="1095" spans="1:10" x14ac:dyDescent="0.3">
      <c r="A1095" s="2" t="s">
        <v>544</v>
      </c>
      <c r="B1095" s="2" t="s">
        <v>545</v>
      </c>
      <c r="C1095" s="2">
        <v>32078</v>
      </c>
      <c r="D1095" s="2">
        <v>42707</v>
      </c>
      <c r="E1095" s="3">
        <v>46045</v>
      </c>
      <c r="F1095" s="3">
        <v>46286</v>
      </c>
      <c r="G1095" s="4">
        <v>373403.2</v>
      </c>
      <c r="H1095" s="2">
        <v>0</v>
      </c>
      <c r="I1095" s="2" t="s">
        <v>546</v>
      </c>
      <c r="J1095" s="2" t="s">
        <v>66</v>
      </c>
    </row>
    <row r="1096" spans="1:10" x14ac:dyDescent="0.3">
      <c r="A1096" s="2" t="s">
        <v>548</v>
      </c>
      <c r="B1096" s="2" t="s">
        <v>549</v>
      </c>
      <c r="C1096" s="2">
        <v>32079</v>
      </c>
      <c r="D1096" s="2">
        <v>42708</v>
      </c>
      <c r="E1096" s="3">
        <v>46045</v>
      </c>
      <c r="F1096" s="3">
        <v>46286</v>
      </c>
      <c r="G1096" s="4">
        <v>138680.20000000001</v>
      </c>
      <c r="H1096" s="2">
        <v>0</v>
      </c>
      <c r="I1096" s="2" t="s">
        <v>550</v>
      </c>
      <c r="J1096" s="2" t="s">
        <v>66</v>
      </c>
    </row>
    <row r="1097" spans="1:10" x14ac:dyDescent="0.3">
      <c r="A1097" s="2" t="s">
        <v>430</v>
      </c>
      <c r="B1097" s="2" t="s">
        <v>431</v>
      </c>
      <c r="C1097" s="2">
        <v>32082</v>
      </c>
      <c r="D1097" s="2">
        <v>42715</v>
      </c>
      <c r="E1097" s="3">
        <v>46048</v>
      </c>
      <c r="F1097" s="3">
        <v>46286</v>
      </c>
      <c r="G1097" s="4">
        <v>79500</v>
      </c>
      <c r="H1097" s="2">
        <v>0</v>
      </c>
      <c r="I1097" s="2" t="s">
        <v>478</v>
      </c>
      <c r="J1097" s="2" t="s">
        <v>97</v>
      </c>
    </row>
    <row r="1098" spans="1:10" x14ac:dyDescent="0.3">
      <c r="A1098" s="2" t="s">
        <v>493</v>
      </c>
      <c r="B1098" s="2" t="s">
        <v>494</v>
      </c>
      <c r="C1098" s="2">
        <v>32084</v>
      </c>
      <c r="D1098" s="2">
        <v>42717</v>
      </c>
      <c r="E1098" s="3">
        <v>46048</v>
      </c>
      <c r="F1098" s="3">
        <v>46286</v>
      </c>
      <c r="G1098" s="4">
        <v>206868</v>
      </c>
      <c r="H1098" s="2">
        <v>0</v>
      </c>
      <c r="I1098" s="2" t="s">
        <v>495</v>
      </c>
      <c r="J1098" s="2" t="s">
        <v>97</v>
      </c>
    </row>
    <row r="1099" spans="1:10" x14ac:dyDescent="0.3">
      <c r="A1099" s="2" t="s">
        <v>430</v>
      </c>
      <c r="B1099" s="2" t="s">
        <v>431</v>
      </c>
      <c r="C1099" s="2">
        <v>32087</v>
      </c>
      <c r="D1099" s="2">
        <v>42720</v>
      </c>
      <c r="E1099" s="3">
        <v>46048</v>
      </c>
      <c r="F1099" s="3">
        <v>46286</v>
      </c>
      <c r="G1099" s="4">
        <v>19044</v>
      </c>
      <c r="H1099" s="2">
        <v>0</v>
      </c>
      <c r="I1099" s="2" t="s">
        <v>478</v>
      </c>
      <c r="J1099" s="2" t="s">
        <v>97</v>
      </c>
    </row>
    <row r="1100" spans="1:10" x14ac:dyDescent="0.3">
      <c r="A1100" s="2" t="s">
        <v>614</v>
      </c>
      <c r="B1100" s="2" t="s">
        <v>615</v>
      </c>
      <c r="C1100" s="2">
        <v>32235</v>
      </c>
      <c r="D1100" s="2">
        <v>42870</v>
      </c>
      <c r="E1100" s="3">
        <v>46063</v>
      </c>
      <c r="F1100" s="3">
        <v>46286</v>
      </c>
      <c r="G1100" s="4">
        <v>35450.400000000001</v>
      </c>
      <c r="H1100" s="2">
        <v>0</v>
      </c>
      <c r="I1100" s="2" t="s">
        <v>616</v>
      </c>
      <c r="J1100" s="2" t="s">
        <v>66</v>
      </c>
    </row>
    <row r="1101" spans="1:10" x14ac:dyDescent="0.3">
      <c r="A1101" s="2" t="s">
        <v>626</v>
      </c>
      <c r="B1101" s="2" t="s">
        <v>627</v>
      </c>
      <c r="C1101" s="2">
        <v>32242</v>
      </c>
      <c r="D1101" s="2">
        <v>42876</v>
      </c>
      <c r="E1101" s="3">
        <v>46063</v>
      </c>
      <c r="F1101" s="3">
        <v>46286</v>
      </c>
      <c r="G1101" s="4">
        <v>12870</v>
      </c>
      <c r="H1101" s="2">
        <v>0</v>
      </c>
      <c r="I1101" s="2" t="s">
        <v>628</v>
      </c>
      <c r="J1101" s="2" t="s">
        <v>66</v>
      </c>
    </row>
    <row r="1102" spans="1:10" x14ac:dyDescent="0.3">
      <c r="A1102" s="2" t="s">
        <v>626</v>
      </c>
      <c r="B1102" s="2" t="s">
        <v>627</v>
      </c>
      <c r="C1102" s="2">
        <v>32243</v>
      </c>
      <c r="D1102" s="2">
        <v>42877</v>
      </c>
      <c r="E1102" s="3">
        <v>46063</v>
      </c>
      <c r="F1102" s="3">
        <v>46286</v>
      </c>
      <c r="G1102" s="4">
        <v>5400</v>
      </c>
      <c r="H1102" s="2">
        <v>0</v>
      </c>
      <c r="I1102" s="2" t="s">
        <v>628</v>
      </c>
      <c r="J1102" s="2" t="s">
        <v>66</v>
      </c>
    </row>
    <row r="1103" spans="1:10" x14ac:dyDescent="0.3">
      <c r="A1103" s="2" t="s">
        <v>629</v>
      </c>
      <c r="B1103" s="2" t="s">
        <v>630</v>
      </c>
      <c r="C1103" s="2">
        <v>32244</v>
      </c>
      <c r="D1103" s="2">
        <v>42878</v>
      </c>
      <c r="E1103" s="3">
        <v>46063</v>
      </c>
      <c r="F1103" s="3">
        <v>46286</v>
      </c>
      <c r="G1103" s="4">
        <v>12870</v>
      </c>
      <c r="H1103" s="2">
        <v>0</v>
      </c>
      <c r="I1103" s="2" t="s">
        <v>631</v>
      </c>
      <c r="J1103" s="2" t="s">
        <v>66</v>
      </c>
    </row>
    <row r="1104" spans="1:10" x14ac:dyDescent="0.3">
      <c r="A1104" s="2" t="s">
        <v>629</v>
      </c>
      <c r="B1104" s="2" t="s">
        <v>630</v>
      </c>
      <c r="C1104" s="2">
        <v>32245</v>
      </c>
      <c r="D1104" s="2">
        <v>42879</v>
      </c>
      <c r="E1104" s="3">
        <v>46063</v>
      </c>
      <c r="F1104" s="3">
        <v>46286</v>
      </c>
      <c r="G1104" s="4">
        <v>5400</v>
      </c>
      <c r="H1104" s="2">
        <v>0</v>
      </c>
      <c r="I1104" s="2" t="s">
        <v>631</v>
      </c>
      <c r="J1104" s="2" t="s">
        <v>66</v>
      </c>
    </row>
    <row r="1105" spans="1:10" x14ac:dyDescent="0.3">
      <c r="A1105" s="2" t="s">
        <v>632</v>
      </c>
      <c r="B1105" s="2" t="s">
        <v>633</v>
      </c>
      <c r="C1105" s="2">
        <v>32247</v>
      </c>
      <c r="D1105" s="2">
        <v>42881</v>
      </c>
      <c r="E1105" s="3">
        <v>46063</v>
      </c>
      <c r="F1105" s="3">
        <v>46286</v>
      </c>
      <c r="G1105" s="4">
        <v>19700</v>
      </c>
      <c r="H1105" s="2">
        <v>0</v>
      </c>
      <c r="I1105" s="2" t="s">
        <v>634</v>
      </c>
      <c r="J1105" s="2" t="s">
        <v>66</v>
      </c>
    </row>
    <row r="1106" spans="1:10" x14ac:dyDescent="0.3">
      <c r="A1106" s="2" t="s">
        <v>632</v>
      </c>
      <c r="B1106" s="2" t="s">
        <v>633</v>
      </c>
      <c r="C1106" s="2">
        <v>32248</v>
      </c>
      <c r="D1106" s="2">
        <v>42882</v>
      </c>
      <c r="E1106" s="3">
        <v>46063</v>
      </c>
      <c r="F1106" s="3">
        <v>46286</v>
      </c>
      <c r="G1106" s="4">
        <v>8100</v>
      </c>
      <c r="H1106" s="2">
        <v>0</v>
      </c>
      <c r="I1106" s="2" t="s">
        <v>634</v>
      </c>
      <c r="J1106" s="2" t="s">
        <v>66</v>
      </c>
    </row>
    <row r="1107" spans="1:10" x14ac:dyDescent="0.3">
      <c r="A1107" s="2" t="s">
        <v>635</v>
      </c>
      <c r="B1107" s="2" t="s">
        <v>636</v>
      </c>
      <c r="C1107" s="2">
        <v>32249</v>
      </c>
      <c r="D1107" s="2">
        <v>42883</v>
      </c>
      <c r="E1107" s="3">
        <v>46063</v>
      </c>
      <c r="F1107" s="3">
        <v>46286</v>
      </c>
      <c r="G1107" s="4">
        <v>111720.2</v>
      </c>
      <c r="H1107" s="2">
        <v>0</v>
      </c>
      <c r="I1107" s="2" t="s">
        <v>637</v>
      </c>
      <c r="J1107" s="2" t="s">
        <v>66</v>
      </c>
    </row>
    <row r="1108" spans="1:10" x14ac:dyDescent="0.3">
      <c r="A1108" s="2" t="s">
        <v>635</v>
      </c>
      <c r="B1108" s="2" t="s">
        <v>636</v>
      </c>
      <c r="C1108" s="2">
        <v>32250</v>
      </c>
      <c r="D1108" s="2">
        <v>42884</v>
      </c>
      <c r="E1108" s="3">
        <v>46063</v>
      </c>
      <c r="F1108" s="3">
        <v>46286</v>
      </c>
      <c r="G1108" s="4">
        <v>24975</v>
      </c>
      <c r="H1108" s="2">
        <v>0</v>
      </c>
      <c r="I1108" s="2" t="s">
        <v>637</v>
      </c>
      <c r="J1108" s="2" t="s">
        <v>66</v>
      </c>
    </row>
    <row r="1109" spans="1:10" x14ac:dyDescent="0.3">
      <c r="A1109" s="2" t="s">
        <v>638</v>
      </c>
      <c r="B1109" s="2" t="s">
        <v>639</v>
      </c>
      <c r="C1109" s="2">
        <v>32251</v>
      </c>
      <c r="D1109" s="2">
        <v>42885</v>
      </c>
      <c r="E1109" s="3">
        <v>46063</v>
      </c>
      <c r="F1109" s="3">
        <v>46286</v>
      </c>
      <c r="G1109" s="4">
        <v>5660</v>
      </c>
      <c r="H1109" s="2">
        <v>0</v>
      </c>
      <c r="I1109" s="2" t="s">
        <v>640</v>
      </c>
      <c r="J1109" s="2" t="s">
        <v>66</v>
      </c>
    </row>
    <row r="1110" spans="1:10" x14ac:dyDescent="0.3">
      <c r="A1110" s="2" t="s">
        <v>638</v>
      </c>
      <c r="B1110" s="2" t="s">
        <v>639</v>
      </c>
      <c r="C1110" s="2">
        <v>32252</v>
      </c>
      <c r="D1110" s="2">
        <v>42886</v>
      </c>
      <c r="E1110" s="3">
        <v>46063</v>
      </c>
      <c r="F1110" s="3">
        <v>46286</v>
      </c>
      <c r="G1110" s="4">
        <v>2025</v>
      </c>
      <c r="H1110" s="2">
        <v>0</v>
      </c>
      <c r="I1110" s="2" t="s">
        <v>640</v>
      </c>
      <c r="J1110" s="2" t="s">
        <v>66</v>
      </c>
    </row>
    <row r="1111" spans="1:10" x14ac:dyDescent="0.3">
      <c r="A1111" s="2" t="s">
        <v>641</v>
      </c>
      <c r="B1111" s="2" t="s">
        <v>642</v>
      </c>
      <c r="C1111" s="2">
        <v>32253</v>
      </c>
      <c r="D1111" s="2">
        <v>42887</v>
      </c>
      <c r="E1111" s="3">
        <v>46063</v>
      </c>
      <c r="F1111" s="3">
        <v>46286</v>
      </c>
      <c r="G1111" s="4">
        <v>12870</v>
      </c>
      <c r="H1111" s="2">
        <v>0</v>
      </c>
      <c r="I1111" s="2" t="s">
        <v>643</v>
      </c>
      <c r="J1111" s="2" t="s">
        <v>66</v>
      </c>
    </row>
    <row r="1112" spans="1:10" x14ac:dyDescent="0.3">
      <c r="A1112" s="2" t="s">
        <v>641</v>
      </c>
      <c r="B1112" s="2" t="s">
        <v>642</v>
      </c>
      <c r="C1112" s="2">
        <v>32254</v>
      </c>
      <c r="D1112" s="2">
        <v>42888</v>
      </c>
      <c r="E1112" s="3">
        <v>46063</v>
      </c>
      <c r="F1112" s="3">
        <v>46286</v>
      </c>
      <c r="G1112" s="4">
        <v>5400</v>
      </c>
      <c r="H1112" s="2">
        <v>0</v>
      </c>
      <c r="I1112" s="2" t="s">
        <v>643</v>
      </c>
      <c r="J1112" s="2" t="s">
        <v>66</v>
      </c>
    </row>
    <row r="1113" spans="1:10" x14ac:dyDescent="0.3">
      <c r="A1113" s="2" t="s">
        <v>644</v>
      </c>
      <c r="B1113" s="2" t="s">
        <v>645</v>
      </c>
      <c r="C1113" s="2">
        <v>32258</v>
      </c>
      <c r="D1113" s="2">
        <v>42892</v>
      </c>
      <c r="E1113" s="3">
        <v>46063</v>
      </c>
      <c r="F1113" s="3">
        <v>46286</v>
      </c>
      <c r="G1113" s="4">
        <v>11320</v>
      </c>
      <c r="H1113" s="2">
        <v>0</v>
      </c>
      <c r="I1113" s="2" t="s">
        <v>646</v>
      </c>
      <c r="J1113" s="2" t="s">
        <v>66</v>
      </c>
    </row>
    <row r="1114" spans="1:10" x14ac:dyDescent="0.3">
      <c r="A1114" s="2" t="s">
        <v>644</v>
      </c>
      <c r="B1114" s="2" t="s">
        <v>645</v>
      </c>
      <c r="C1114" s="2">
        <v>32259</v>
      </c>
      <c r="D1114" s="2">
        <v>42893</v>
      </c>
      <c r="E1114" s="3">
        <v>46063</v>
      </c>
      <c r="F1114" s="3">
        <v>46286</v>
      </c>
      <c r="G1114" s="4">
        <v>4387.5</v>
      </c>
      <c r="H1114" s="2">
        <v>0</v>
      </c>
      <c r="I1114" s="2" t="s">
        <v>646</v>
      </c>
      <c r="J1114" s="2" t="s">
        <v>66</v>
      </c>
    </row>
    <row r="1115" spans="1:10" x14ac:dyDescent="0.3">
      <c r="A1115" s="2" t="s">
        <v>647</v>
      </c>
      <c r="B1115" s="2" t="s">
        <v>648</v>
      </c>
      <c r="C1115" s="2">
        <v>32261</v>
      </c>
      <c r="D1115" s="2">
        <v>42895</v>
      </c>
      <c r="E1115" s="3">
        <v>46063</v>
      </c>
      <c r="F1115" s="3">
        <v>46286</v>
      </c>
      <c r="G1115" s="4">
        <v>6830</v>
      </c>
      <c r="H1115" s="2">
        <v>0</v>
      </c>
      <c r="I1115" s="2" t="s">
        <v>649</v>
      </c>
      <c r="J1115" s="2" t="s">
        <v>66</v>
      </c>
    </row>
    <row r="1116" spans="1:10" x14ac:dyDescent="0.3">
      <c r="A1116" s="2" t="s">
        <v>647</v>
      </c>
      <c r="B1116" s="2" t="s">
        <v>648</v>
      </c>
      <c r="C1116" s="2">
        <v>32262</v>
      </c>
      <c r="D1116" s="2">
        <v>42896</v>
      </c>
      <c r="E1116" s="3">
        <v>46063</v>
      </c>
      <c r="F1116" s="3">
        <v>46286</v>
      </c>
      <c r="G1116" s="4">
        <v>2700</v>
      </c>
      <c r="H1116" s="2">
        <v>0</v>
      </c>
      <c r="I1116" s="2" t="s">
        <v>649</v>
      </c>
      <c r="J1116" s="2" t="s">
        <v>66</v>
      </c>
    </row>
    <row r="1117" spans="1:10" x14ac:dyDescent="0.3">
      <c r="A1117" s="2" t="s">
        <v>493</v>
      </c>
      <c r="B1117" s="2" t="s">
        <v>494</v>
      </c>
      <c r="C1117" s="2">
        <v>32282</v>
      </c>
      <c r="D1117" s="2">
        <v>42914</v>
      </c>
      <c r="E1117" s="3">
        <v>46064</v>
      </c>
      <c r="F1117" s="3">
        <v>46286</v>
      </c>
      <c r="G1117" s="4">
        <v>79960</v>
      </c>
      <c r="H1117" s="2">
        <v>0</v>
      </c>
      <c r="I1117" s="2" t="s">
        <v>495</v>
      </c>
      <c r="J1117" s="2" t="s">
        <v>97</v>
      </c>
    </row>
    <row r="1118" spans="1:10" x14ac:dyDescent="0.3">
      <c r="A1118" s="2" t="s">
        <v>671</v>
      </c>
      <c r="B1118" s="2" t="s">
        <v>672</v>
      </c>
      <c r="C1118" s="2">
        <v>32319</v>
      </c>
      <c r="D1118" s="2">
        <v>42955</v>
      </c>
      <c r="E1118" s="3">
        <v>46072</v>
      </c>
      <c r="F1118" s="3">
        <v>46286</v>
      </c>
      <c r="G1118" s="4">
        <v>38475</v>
      </c>
      <c r="H1118" s="2">
        <v>0</v>
      </c>
      <c r="I1118" s="2" t="s">
        <v>673</v>
      </c>
      <c r="J1118" s="2" t="s">
        <v>66</v>
      </c>
    </row>
    <row r="1119" spans="1:10" x14ac:dyDescent="0.3">
      <c r="A1119" s="2" t="s">
        <v>671</v>
      </c>
      <c r="B1119" s="2" t="s">
        <v>672</v>
      </c>
      <c r="C1119" s="2">
        <v>32320</v>
      </c>
      <c r="D1119" s="2">
        <v>42956</v>
      </c>
      <c r="E1119" s="3">
        <v>46072</v>
      </c>
      <c r="F1119" s="3">
        <v>46286</v>
      </c>
      <c r="G1119" s="4">
        <v>189176.4</v>
      </c>
      <c r="H1119" s="2">
        <v>0</v>
      </c>
      <c r="I1119" s="2" t="s">
        <v>673</v>
      </c>
      <c r="J1119" s="2" t="s">
        <v>66</v>
      </c>
    </row>
    <row r="1120" spans="1:10" x14ac:dyDescent="0.3">
      <c r="A1120" s="2" t="s">
        <v>674</v>
      </c>
      <c r="B1120" s="2" t="s">
        <v>675</v>
      </c>
      <c r="C1120" s="2">
        <v>32321</v>
      </c>
      <c r="D1120" s="2">
        <v>42957</v>
      </c>
      <c r="E1120" s="3">
        <v>46072</v>
      </c>
      <c r="F1120" s="3">
        <v>46286</v>
      </c>
      <c r="G1120" s="4">
        <v>27000</v>
      </c>
      <c r="H1120" s="2">
        <v>0</v>
      </c>
      <c r="I1120" s="2" t="s">
        <v>676</v>
      </c>
      <c r="J1120" s="2" t="s">
        <v>66</v>
      </c>
    </row>
    <row r="1121" spans="1:10" x14ac:dyDescent="0.3">
      <c r="A1121" s="2" t="s">
        <v>674</v>
      </c>
      <c r="B1121" s="2" t="s">
        <v>675</v>
      </c>
      <c r="C1121" s="2">
        <v>32322</v>
      </c>
      <c r="D1121" s="2">
        <v>42958</v>
      </c>
      <c r="E1121" s="3">
        <v>46072</v>
      </c>
      <c r="F1121" s="3">
        <v>46286</v>
      </c>
      <c r="G1121" s="4">
        <v>47790</v>
      </c>
      <c r="H1121" s="2">
        <v>0</v>
      </c>
      <c r="I1121" s="2" t="s">
        <v>676</v>
      </c>
      <c r="J1121" s="2" t="s">
        <v>66</v>
      </c>
    </row>
    <row r="1122" spans="1:10" x14ac:dyDescent="0.3">
      <c r="A1122" s="2" t="s">
        <v>677</v>
      </c>
      <c r="B1122" s="2" t="s">
        <v>678</v>
      </c>
      <c r="C1122" s="2">
        <v>32323</v>
      </c>
      <c r="D1122" s="2">
        <v>42959</v>
      </c>
      <c r="E1122" s="3">
        <v>46072</v>
      </c>
      <c r="F1122" s="3">
        <v>46286</v>
      </c>
      <c r="G1122" s="4">
        <v>18900</v>
      </c>
      <c r="H1122" s="2">
        <v>0</v>
      </c>
      <c r="I1122" s="2" t="s">
        <v>679</v>
      </c>
      <c r="J1122" s="2" t="s">
        <v>66</v>
      </c>
    </row>
    <row r="1123" spans="1:10" x14ac:dyDescent="0.3">
      <c r="A1123" s="2" t="s">
        <v>677</v>
      </c>
      <c r="B1123" s="2" t="s">
        <v>678</v>
      </c>
      <c r="C1123" s="2">
        <v>32324</v>
      </c>
      <c r="D1123" s="2">
        <v>42960</v>
      </c>
      <c r="E1123" s="3">
        <v>46072</v>
      </c>
      <c r="F1123" s="3">
        <v>46286</v>
      </c>
      <c r="G1123" s="4">
        <v>45440</v>
      </c>
      <c r="H1123" s="2">
        <v>0</v>
      </c>
      <c r="I1123" s="2" t="s">
        <v>679</v>
      </c>
      <c r="J1123" s="2" t="s">
        <v>66</v>
      </c>
    </row>
    <row r="1124" spans="1:10" x14ac:dyDescent="0.3">
      <c r="A1124" s="2" t="s">
        <v>680</v>
      </c>
      <c r="B1124" s="2" t="s">
        <v>681</v>
      </c>
      <c r="C1124" s="2">
        <v>32325</v>
      </c>
      <c r="D1124" s="2">
        <v>42961</v>
      </c>
      <c r="E1124" s="3">
        <v>46072</v>
      </c>
      <c r="F1124" s="3">
        <v>46286</v>
      </c>
      <c r="G1124" s="4">
        <v>4725</v>
      </c>
      <c r="H1124" s="2">
        <v>0</v>
      </c>
      <c r="I1124" s="2" t="s">
        <v>682</v>
      </c>
      <c r="J1124" s="2" t="s">
        <v>66</v>
      </c>
    </row>
    <row r="1125" spans="1:10" x14ac:dyDescent="0.3">
      <c r="A1125" s="2" t="s">
        <v>680</v>
      </c>
      <c r="B1125" s="2" t="s">
        <v>681</v>
      </c>
      <c r="C1125" s="2">
        <v>32326</v>
      </c>
      <c r="D1125" s="2">
        <v>42962</v>
      </c>
      <c r="E1125" s="3">
        <v>46072</v>
      </c>
      <c r="F1125" s="3">
        <v>46286</v>
      </c>
      <c r="G1125" s="4">
        <v>12490</v>
      </c>
      <c r="H1125" s="2">
        <v>0</v>
      </c>
      <c r="I1125" s="2" t="s">
        <v>682</v>
      </c>
      <c r="J1125" s="2" t="s">
        <v>66</v>
      </c>
    </row>
    <row r="1126" spans="1:10" x14ac:dyDescent="0.3">
      <c r="A1126" s="2" t="s">
        <v>430</v>
      </c>
      <c r="B1126" s="2" t="s">
        <v>431</v>
      </c>
      <c r="C1126" s="2">
        <v>32383</v>
      </c>
      <c r="D1126" s="2">
        <v>43048</v>
      </c>
      <c r="E1126" s="3">
        <v>46077</v>
      </c>
      <c r="F1126" s="3">
        <v>46286</v>
      </c>
      <c r="G1126" s="4">
        <v>98675</v>
      </c>
      <c r="H1126" s="2">
        <v>0</v>
      </c>
      <c r="I1126" s="2" t="s">
        <v>478</v>
      </c>
      <c r="J1126" s="2" t="s">
        <v>97</v>
      </c>
    </row>
    <row r="1127" spans="1:10" x14ac:dyDescent="0.3">
      <c r="A1127" s="2" t="s">
        <v>714</v>
      </c>
      <c r="B1127" s="2" t="s">
        <v>615</v>
      </c>
      <c r="C1127" s="2">
        <v>32420</v>
      </c>
      <c r="D1127" s="2">
        <v>43083</v>
      </c>
      <c r="E1127" s="3">
        <v>46079</v>
      </c>
      <c r="F1127" s="3">
        <v>46286</v>
      </c>
      <c r="G1127" s="4">
        <v>46609.2</v>
      </c>
      <c r="H1127" s="2">
        <v>0</v>
      </c>
      <c r="I1127" s="2" t="s">
        <v>715</v>
      </c>
      <c r="J1127" s="2" t="s">
        <v>66</v>
      </c>
    </row>
    <row r="1128" spans="1:10" x14ac:dyDescent="0.3">
      <c r="A1128" s="2" t="s">
        <v>716</v>
      </c>
      <c r="B1128" s="2" t="s">
        <v>717</v>
      </c>
      <c r="C1128" s="2">
        <v>32423</v>
      </c>
      <c r="D1128" s="2">
        <v>43086</v>
      </c>
      <c r="E1128" s="3">
        <v>46079</v>
      </c>
      <c r="F1128" s="3">
        <v>46286</v>
      </c>
      <c r="G1128" s="4">
        <v>88116.2</v>
      </c>
      <c r="H1128" s="2">
        <v>0</v>
      </c>
      <c r="I1128" s="2" t="s">
        <v>718</v>
      </c>
      <c r="J1128" s="2" t="s">
        <v>66</v>
      </c>
    </row>
    <row r="1129" spans="1:10" x14ac:dyDescent="0.3">
      <c r="A1129" s="2" t="s">
        <v>716</v>
      </c>
      <c r="B1129" s="2" t="s">
        <v>717</v>
      </c>
      <c r="C1129" s="2">
        <v>32424</v>
      </c>
      <c r="D1129" s="2">
        <v>43087</v>
      </c>
      <c r="E1129" s="3">
        <v>46079</v>
      </c>
      <c r="F1129" s="3">
        <v>46286</v>
      </c>
      <c r="G1129" s="4">
        <v>247168</v>
      </c>
      <c r="H1129" s="2">
        <v>0</v>
      </c>
      <c r="I1129" s="2" t="s">
        <v>718</v>
      </c>
      <c r="J1129" s="2" t="s">
        <v>66</v>
      </c>
    </row>
    <row r="1130" spans="1:10" x14ac:dyDescent="0.3">
      <c r="A1130" s="2" t="s">
        <v>714</v>
      </c>
      <c r="B1130" s="2" t="s">
        <v>615</v>
      </c>
      <c r="C1130" s="2">
        <v>32494</v>
      </c>
      <c r="D1130" s="2">
        <v>43160</v>
      </c>
      <c r="E1130" s="3">
        <v>46084</v>
      </c>
      <c r="F1130" s="3">
        <v>46286</v>
      </c>
      <c r="G1130" s="4">
        <v>127885.15</v>
      </c>
      <c r="H1130" s="2">
        <v>0</v>
      </c>
      <c r="I1130" s="2" t="s">
        <v>715</v>
      </c>
      <c r="J1130" s="2" t="s">
        <v>66</v>
      </c>
    </row>
    <row r="1131" spans="1:10" x14ac:dyDescent="0.3">
      <c r="A1131" s="2" t="s">
        <v>614</v>
      </c>
      <c r="B1131" s="2" t="s">
        <v>615</v>
      </c>
      <c r="C1131" s="2">
        <v>32495</v>
      </c>
      <c r="D1131" s="2">
        <v>43161</v>
      </c>
      <c r="E1131" s="3">
        <v>46084</v>
      </c>
      <c r="F1131" s="3">
        <v>46286</v>
      </c>
      <c r="G1131" s="4">
        <v>39304.400000000001</v>
      </c>
      <c r="H1131" s="2">
        <v>0</v>
      </c>
      <c r="I1131" s="2" t="s">
        <v>616</v>
      </c>
      <c r="J1131" s="2" t="s">
        <v>66</v>
      </c>
    </row>
    <row r="1132" spans="1:10" x14ac:dyDescent="0.3">
      <c r="A1132" s="2" t="s">
        <v>493</v>
      </c>
      <c r="B1132" s="2" t="s">
        <v>494</v>
      </c>
      <c r="C1132" s="2">
        <v>32544</v>
      </c>
      <c r="D1132" s="2">
        <v>43219</v>
      </c>
      <c r="E1132" s="3">
        <v>46091</v>
      </c>
      <c r="F1132" s="3">
        <v>46286</v>
      </c>
      <c r="G1132" s="4">
        <v>20360</v>
      </c>
      <c r="H1132" s="2">
        <v>0</v>
      </c>
      <c r="I1132" s="2" t="s">
        <v>495</v>
      </c>
      <c r="J1132" s="2" t="s">
        <v>97</v>
      </c>
    </row>
    <row r="1133" spans="1:10" x14ac:dyDescent="0.3">
      <c r="A1133" s="2" t="s">
        <v>430</v>
      </c>
      <c r="B1133" s="2" t="s">
        <v>431</v>
      </c>
      <c r="C1133" s="2">
        <v>32637</v>
      </c>
      <c r="D1133" s="2">
        <v>43291</v>
      </c>
      <c r="E1133" s="3">
        <v>46098</v>
      </c>
      <c r="F1133" s="3">
        <v>46286</v>
      </c>
      <c r="G1133" s="4">
        <v>40641</v>
      </c>
      <c r="H1133" s="2">
        <v>0</v>
      </c>
      <c r="I1133" s="2" t="s">
        <v>802</v>
      </c>
      <c r="J1133" s="2" t="s">
        <v>97</v>
      </c>
    </row>
    <row r="1134" spans="1:10" x14ac:dyDescent="0.3">
      <c r="A1134" s="2" t="s">
        <v>430</v>
      </c>
      <c r="B1134" s="2" t="s">
        <v>431</v>
      </c>
      <c r="C1134" s="2">
        <v>32696</v>
      </c>
      <c r="D1134" s="2">
        <v>43350</v>
      </c>
      <c r="E1134" s="3">
        <v>46101</v>
      </c>
      <c r="F1134" s="3">
        <v>46286</v>
      </c>
      <c r="G1134" s="4">
        <v>76990</v>
      </c>
      <c r="H1134" s="2">
        <v>0</v>
      </c>
      <c r="I1134" s="2" t="s">
        <v>853</v>
      </c>
      <c r="J1134" s="2" t="s">
        <v>97</v>
      </c>
    </row>
    <row r="1135" spans="1:10" x14ac:dyDescent="0.3">
      <c r="A1135" s="2" t="s">
        <v>398</v>
      </c>
      <c r="B1135" s="2" t="s">
        <v>399</v>
      </c>
      <c r="C1135" s="2">
        <v>32728</v>
      </c>
      <c r="D1135" s="2">
        <v>43383</v>
      </c>
      <c r="E1135" s="3">
        <v>46105</v>
      </c>
      <c r="F1135" s="3">
        <v>46286</v>
      </c>
      <c r="G1135" s="4">
        <v>109334.39999999999</v>
      </c>
      <c r="H1135" s="2">
        <v>0</v>
      </c>
      <c r="I1135" s="2" t="s">
        <v>876</v>
      </c>
      <c r="J1135" s="2" t="s">
        <v>394</v>
      </c>
    </row>
    <row r="1136" spans="1:10" x14ac:dyDescent="0.3">
      <c r="A1136" s="2" t="s">
        <v>391</v>
      </c>
      <c r="B1136" s="2" t="s">
        <v>392</v>
      </c>
      <c r="C1136" s="2">
        <v>32731</v>
      </c>
      <c r="D1136" s="2">
        <v>43389</v>
      </c>
      <c r="E1136" s="3">
        <v>46106</v>
      </c>
      <c r="F1136" s="3">
        <v>46286</v>
      </c>
      <c r="G1136" s="4">
        <v>3540</v>
      </c>
      <c r="H1136" s="2">
        <v>0</v>
      </c>
      <c r="I1136" s="2" t="s">
        <v>878</v>
      </c>
      <c r="J1136" s="2" t="s">
        <v>394</v>
      </c>
    </row>
    <row r="1137" spans="1:10" x14ac:dyDescent="0.3">
      <c r="A1137" s="2" t="s">
        <v>714</v>
      </c>
      <c r="B1137" s="2" t="s">
        <v>615</v>
      </c>
      <c r="C1137" s="2">
        <v>32889</v>
      </c>
      <c r="D1137" s="2">
        <v>43544</v>
      </c>
      <c r="E1137" s="3">
        <v>46121</v>
      </c>
      <c r="F1137" s="3">
        <v>46286</v>
      </c>
      <c r="G1137" s="4">
        <v>22244</v>
      </c>
      <c r="H1137" s="2">
        <v>0</v>
      </c>
      <c r="I1137" s="2" t="s">
        <v>974</v>
      </c>
      <c r="J1137" s="2" t="s">
        <v>66</v>
      </c>
    </row>
    <row r="1138" spans="1:10" x14ac:dyDescent="0.3">
      <c r="A1138" s="2" t="s">
        <v>430</v>
      </c>
      <c r="B1138" s="2" t="s">
        <v>431</v>
      </c>
      <c r="C1138" s="2">
        <v>32890</v>
      </c>
      <c r="D1138" s="2">
        <v>43545</v>
      </c>
      <c r="E1138" s="3">
        <v>46121</v>
      </c>
      <c r="F1138" s="3">
        <v>46286</v>
      </c>
      <c r="G1138" s="4">
        <v>34000</v>
      </c>
      <c r="H1138" s="2">
        <v>0</v>
      </c>
      <c r="I1138" s="2" t="s">
        <v>975</v>
      </c>
      <c r="J1138" s="2" t="s">
        <v>97</v>
      </c>
    </row>
    <row r="1139" spans="1:10" x14ac:dyDescent="0.3">
      <c r="A1139" s="2" t="s">
        <v>106</v>
      </c>
      <c r="B1139" s="2" t="s">
        <v>90</v>
      </c>
      <c r="C1139" s="2">
        <v>32942</v>
      </c>
      <c r="D1139" s="2">
        <v>43596</v>
      </c>
      <c r="E1139" s="3">
        <v>46127</v>
      </c>
      <c r="F1139" s="3">
        <v>46286</v>
      </c>
      <c r="G1139" s="4">
        <v>126000</v>
      </c>
      <c r="H1139" s="2">
        <v>0</v>
      </c>
      <c r="I1139" s="2" t="s">
        <v>1001</v>
      </c>
      <c r="J1139" s="2" t="s">
        <v>97</v>
      </c>
    </row>
    <row r="1140" spans="1:10" x14ac:dyDescent="0.3">
      <c r="A1140" s="2" t="s">
        <v>106</v>
      </c>
      <c r="B1140" s="2" t="s">
        <v>90</v>
      </c>
      <c r="C1140" s="2">
        <v>32955</v>
      </c>
      <c r="D1140" s="2">
        <v>43607</v>
      </c>
      <c r="E1140" s="3">
        <v>46129</v>
      </c>
      <c r="F1140" s="3">
        <v>46286</v>
      </c>
      <c r="G1140" s="4">
        <v>126000</v>
      </c>
      <c r="H1140" s="2">
        <v>0</v>
      </c>
      <c r="I1140" s="2" t="s">
        <v>1014</v>
      </c>
      <c r="J1140" s="2" t="s">
        <v>97</v>
      </c>
    </row>
    <row r="1141" spans="1:10" x14ac:dyDescent="0.3">
      <c r="A1141" s="2" t="s">
        <v>514</v>
      </c>
      <c r="B1141" s="2" t="s">
        <v>515</v>
      </c>
      <c r="C1141" s="2">
        <v>32982</v>
      </c>
      <c r="D1141" s="2">
        <v>43632</v>
      </c>
      <c r="E1141" s="3">
        <v>46134</v>
      </c>
      <c r="F1141" s="3">
        <v>46286</v>
      </c>
      <c r="G1141" s="4">
        <v>4896.74</v>
      </c>
      <c r="H1141" s="2">
        <v>0</v>
      </c>
      <c r="I1141" s="2" t="s">
        <v>1035</v>
      </c>
      <c r="J1141" s="2" t="s">
        <v>238</v>
      </c>
    </row>
    <row r="1142" spans="1:10" x14ac:dyDescent="0.3">
      <c r="A1142" s="2" t="s">
        <v>1041</v>
      </c>
      <c r="B1142" s="2" t="s">
        <v>1042</v>
      </c>
      <c r="C1142" s="2">
        <v>32989</v>
      </c>
      <c r="D1142" s="2">
        <v>43639</v>
      </c>
      <c r="E1142" s="3">
        <v>46135</v>
      </c>
      <c r="F1142" s="3">
        <v>46286</v>
      </c>
      <c r="G1142" s="4">
        <v>2185</v>
      </c>
      <c r="H1142" s="2">
        <v>0</v>
      </c>
      <c r="I1142" s="2" t="s">
        <v>1043</v>
      </c>
      <c r="J1142" s="2" t="s">
        <v>238</v>
      </c>
    </row>
    <row r="1143" spans="1:10" x14ac:dyDescent="0.3">
      <c r="A1143" s="2" t="s">
        <v>257</v>
      </c>
      <c r="B1143" s="2" t="s">
        <v>258</v>
      </c>
      <c r="C1143" s="2">
        <v>33009</v>
      </c>
      <c r="D1143" s="2">
        <v>43658</v>
      </c>
      <c r="E1143" s="3">
        <v>46136</v>
      </c>
      <c r="F1143" s="3">
        <v>46286</v>
      </c>
      <c r="G1143" s="4">
        <v>4390.26</v>
      </c>
      <c r="H1143" s="2">
        <v>0</v>
      </c>
      <c r="I1143" s="2" t="s">
        <v>1056</v>
      </c>
      <c r="J1143" s="2" t="s">
        <v>260</v>
      </c>
    </row>
    <row r="1144" spans="1:10" x14ac:dyDescent="0.3">
      <c r="A1144" s="2" t="s">
        <v>440</v>
      </c>
      <c r="B1144" s="2" t="s">
        <v>441</v>
      </c>
      <c r="C1144" s="2">
        <v>33120</v>
      </c>
      <c r="D1144" s="2">
        <v>43765</v>
      </c>
      <c r="E1144" s="3">
        <v>46150</v>
      </c>
      <c r="F1144" s="3">
        <v>46286</v>
      </c>
      <c r="G1144" s="4">
        <v>4666.66</v>
      </c>
      <c r="H1144" s="2">
        <v>0</v>
      </c>
      <c r="I1144" s="2" t="s">
        <v>1127</v>
      </c>
      <c r="J1144" s="2" t="s">
        <v>417</v>
      </c>
    </row>
    <row r="1145" spans="1:10" x14ac:dyDescent="0.3">
      <c r="A1145" s="2" t="s">
        <v>440</v>
      </c>
      <c r="B1145" s="2" t="s">
        <v>441</v>
      </c>
      <c r="C1145" s="2">
        <v>33121</v>
      </c>
      <c r="D1145" s="2">
        <v>43766</v>
      </c>
      <c r="E1145" s="3">
        <v>46150</v>
      </c>
      <c r="F1145" s="3">
        <v>46286</v>
      </c>
      <c r="G1145" s="4">
        <v>16386.87</v>
      </c>
      <c r="H1145" s="2">
        <v>0</v>
      </c>
      <c r="I1145" s="2" t="s">
        <v>1128</v>
      </c>
      <c r="J1145" s="2" t="s">
        <v>417</v>
      </c>
    </row>
    <row r="1146" spans="1:10" x14ac:dyDescent="0.3">
      <c r="A1146" s="2" t="s">
        <v>440</v>
      </c>
      <c r="B1146" s="2" t="s">
        <v>441</v>
      </c>
      <c r="C1146" s="2">
        <v>33122</v>
      </c>
      <c r="D1146" s="2">
        <v>43767</v>
      </c>
      <c r="E1146" s="3">
        <v>46150</v>
      </c>
      <c r="F1146" s="3">
        <v>46286</v>
      </c>
      <c r="G1146" s="4">
        <v>15771.98</v>
      </c>
      <c r="H1146" s="2">
        <v>0</v>
      </c>
      <c r="I1146" s="2" t="s">
        <v>1129</v>
      </c>
      <c r="J1146" s="2" t="s">
        <v>417</v>
      </c>
    </row>
    <row r="1147" spans="1:10" x14ac:dyDescent="0.3">
      <c r="A1147" s="2" t="s">
        <v>480</v>
      </c>
      <c r="B1147" s="2" t="s">
        <v>481</v>
      </c>
      <c r="C1147" s="2">
        <v>33212</v>
      </c>
      <c r="D1147" s="2">
        <v>43859</v>
      </c>
      <c r="E1147" s="3">
        <v>46164</v>
      </c>
      <c r="F1147" s="3">
        <v>46286</v>
      </c>
      <c r="G1147" s="4">
        <v>28255.47</v>
      </c>
      <c r="H1147" s="2">
        <v>0</v>
      </c>
      <c r="I1147" s="2" t="s">
        <v>1192</v>
      </c>
      <c r="J1147" s="2" t="s">
        <v>238</v>
      </c>
    </row>
    <row r="1148" spans="1:10" x14ac:dyDescent="0.3">
      <c r="A1148" s="2" t="s">
        <v>271</v>
      </c>
      <c r="B1148" s="2" t="s">
        <v>272</v>
      </c>
      <c r="C1148" s="2">
        <v>32391</v>
      </c>
      <c r="D1148" s="2">
        <v>43056</v>
      </c>
      <c r="E1148" s="3">
        <v>46077</v>
      </c>
      <c r="F1148" s="3">
        <v>46287</v>
      </c>
      <c r="G1148" s="4">
        <v>20300</v>
      </c>
      <c r="H1148" s="2">
        <v>0</v>
      </c>
      <c r="I1148" s="2" t="s">
        <v>329</v>
      </c>
      <c r="J1148" s="2" t="s">
        <v>238</v>
      </c>
    </row>
    <row r="1149" spans="1:10" x14ac:dyDescent="0.3">
      <c r="A1149" s="2" t="s">
        <v>886</v>
      </c>
      <c r="B1149" s="2" t="s">
        <v>415</v>
      </c>
      <c r="C1149" s="2">
        <v>32743</v>
      </c>
      <c r="D1149" s="2">
        <v>43401</v>
      </c>
      <c r="E1149" s="3">
        <v>46107</v>
      </c>
      <c r="F1149" s="3">
        <v>46287</v>
      </c>
      <c r="G1149" s="4">
        <v>31866.63</v>
      </c>
      <c r="H1149" s="2">
        <v>0</v>
      </c>
      <c r="I1149" s="2" t="s">
        <v>887</v>
      </c>
      <c r="J1149" s="2" t="s">
        <v>417</v>
      </c>
    </row>
    <row r="1150" spans="1:10" x14ac:dyDescent="0.3">
      <c r="A1150" s="2" t="s">
        <v>886</v>
      </c>
      <c r="B1150" s="2" t="s">
        <v>415</v>
      </c>
      <c r="C1150" s="2">
        <v>32744</v>
      </c>
      <c r="D1150" s="2">
        <v>43402</v>
      </c>
      <c r="E1150" s="3">
        <v>46107</v>
      </c>
      <c r="F1150" s="3">
        <v>46287</v>
      </c>
      <c r="G1150" s="2">
        <v>566.66999999999996</v>
      </c>
      <c r="H1150" s="2">
        <v>0</v>
      </c>
      <c r="I1150" s="2" t="s">
        <v>888</v>
      </c>
      <c r="J1150" s="2" t="s">
        <v>417</v>
      </c>
    </row>
    <row r="1151" spans="1:10" x14ac:dyDescent="0.3">
      <c r="A1151" s="2" t="s">
        <v>735</v>
      </c>
      <c r="B1151" s="2" t="s">
        <v>736</v>
      </c>
      <c r="C1151" s="2">
        <v>33218</v>
      </c>
      <c r="D1151" s="2">
        <v>43865</v>
      </c>
      <c r="E1151" s="3">
        <v>46167</v>
      </c>
      <c r="F1151" s="3">
        <v>46287</v>
      </c>
      <c r="G1151" s="4">
        <v>3316.66</v>
      </c>
      <c r="H1151" s="2">
        <v>0</v>
      </c>
      <c r="I1151" s="2" t="s">
        <v>1196</v>
      </c>
      <c r="J1151" s="2" t="s">
        <v>19</v>
      </c>
    </row>
    <row r="1152" spans="1:10" x14ac:dyDescent="0.3">
      <c r="A1152" s="2" t="s">
        <v>735</v>
      </c>
      <c r="B1152" s="2" t="s">
        <v>736</v>
      </c>
      <c r="C1152" s="2">
        <v>33219</v>
      </c>
      <c r="D1152" s="2">
        <v>43866</v>
      </c>
      <c r="E1152" s="3">
        <v>46167</v>
      </c>
      <c r="F1152" s="3">
        <v>46287</v>
      </c>
      <c r="G1152" s="4">
        <v>37299.96</v>
      </c>
      <c r="H1152" s="2">
        <v>0</v>
      </c>
      <c r="I1152" s="2" t="s">
        <v>1197</v>
      </c>
      <c r="J1152" s="2" t="s">
        <v>19</v>
      </c>
    </row>
    <row r="1153" spans="1:10" x14ac:dyDescent="0.3">
      <c r="A1153" s="2" t="s">
        <v>735</v>
      </c>
      <c r="B1153" s="2" t="s">
        <v>736</v>
      </c>
      <c r="C1153" s="2">
        <v>33220</v>
      </c>
      <c r="D1153" s="2">
        <v>43867</v>
      </c>
      <c r="E1153" s="3">
        <v>46167</v>
      </c>
      <c r="F1153" s="3">
        <v>46287</v>
      </c>
      <c r="G1153" s="4">
        <v>22750</v>
      </c>
      <c r="H1153" s="2">
        <v>0</v>
      </c>
      <c r="I1153" s="2" t="s">
        <v>1198</v>
      </c>
      <c r="J1153" s="2" t="s">
        <v>19</v>
      </c>
    </row>
    <row r="1154" spans="1:10" x14ac:dyDescent="0.3">
      <c r="A1154" s="2" t="s">
        <v>683</v>
      </c>
      <c r="B1154" s="2" t="s">
        <v>684</v>
      </c>
      <c r="C1154" s="2">
        <v>33222</v>
      </c>
      <c r="D1154" s="2">
        <v>43869</v>
      </c>
      <c r="E1154" s="3">
        <v>46167</v>
      </c>
      <c r="F1154" s="3">
        <v>46287</v>
      </c>
      <c r="G1154" s="4">
        <v>47680</v>
      </c>
      <c r="H1154" s="2">
        <v>0</v>
      </c>
      <c r="I1154" s="2" t="s">
        <v>1199</v>
      </c>
      <c r="J1154" s="2" t="s">
        <v>412</v>
      </c>
    </row>
    <row r="1155" spans="1:10" x14ac:dyDescent="0.3">
      <c r="A1155" s="2" t="s">
        <v>683</v>
      </c>
      <c r="B1155" s="2" t="s">
        <v>684</v>
      </c>
      <c r="C1155" s="2">
        <v>33223</v>
      </c>
      <c r="D1155" s="2">
        <v>43870</v>
      </c>
      <c r="E1155" s="3">
        <v>46167</v>
      </c>
      <c r="F1155" s="3">
        <v>46287</v>
      </c>
      <c r="G1155" s="4">
        <v>25700</v>
      </c>
      <c r="H1155" s="2">
        <v>0</v>
      </c>
      <c r="I1155" s="2" t="s">
        <v>1200</v>
      </c>
      <c r="J1155" s="2" t="s">
        <v>412</v>
      </c>
    </row>
    <row r="1156" spans="1:10" x14ac:dyDescent="0.3">
      <c r="A1156" s="2" t="s">
        <v>683</v>
      </c>
      <c r="B1156" s="2" t="s">
        <v>684</v>
      </c>
      <c r="C1156" s="2">
        <v>33224</v>
      </c>
      <c r="D1156" s="2">
        <v>43871</v>
      </c>
      <c r="E1156" s="3">
        <v>46167</v>
      </c>
      <c r="F1156" s="3">
        <v>46287</v>
      </c>
      <c r="G1156" s="4">
        <v>3000</v>
      </c>
      <c r="H1156" s="2">
        <v>0</v>
      </c>
      <c r="I1156" s="2" t="s">
        <v>1201</v>
      </c>
      <c r="J1156" s="2" t="s">
        <v>412</v>
      </c>
    </row>
    <row r="1157" spans="1:10" x14ac:dyDescent="0.3">
      <c r="A1157" s="2" t="s">
        <v>409</v>
      </c>
      <c r="B1157" s="2" t="s">
        <v>410</v>
      </c>
      <c r="C1157" s="2">
        <v>33225</v>
      </c>
      <c r="D1157" s="2">
        <v>43872</v>
      </c>
      <c r="E1157" s="3">
        <v>46167</v>
      </c>
      <c r="F1157" s="3">
        <v>46287</v>
      </c>
      <c r="G1157" s="4">
        <v>16920</v>
      </c>
      <c r="H1157" s="2">
        <v>0</v>
      </c>
      <c r="I1157" s="2" t="s">
        <v>1202</v>
      </c>
      <c r="J1157" s="2" t="s">
        <v>412</v>
      </c>
    </row>
    <row r="1158" spans="1:10" x14ac:dyDescent="0.3">
      <c r="A1158" s="2" t="s">
        <v>257</v>
      </c>
      <c r="B1158" s="2" t="s">
        <v>258</v>
      </c>
      <c r="C1158" s="2">
        <v>33226</v>
      </c>
      <c r="D1158" s="2">
        <v>43873</v>
      </c>
      <c r="E1158" s="3">
        <v>46167</v>
      </c>
      <c r="F1158" s="3">
        <v>46287</v>
      </c>
      <c r="G1158" s="4">
        <v>181350</v>
      </c>
      <c r="H1158" s="2">
        <v>0</v>
      </c>
      <c r="I1158" s="2" t="s">
        <v>1203</v>
      </c>
      <c r="J1158" s="2" t="s">
        <v>260</v>
      </c>
    </row>
    <row r="1159" spans="1:10" x14ac:dyDescent="0.3">
      <c r="A1159" s="2" t="s">
        <v>257</v>
      </c>
      <c r="B1159" s="2" t="s">
        <v>258</v>
      </c>
      <c r="C1159" s="2">
        <v>33227</v>
      </c>
      <c r="D1159" s="2">
        <v>43874</v>
      </c>
      <c r="E1159" s="3">
        <v>46167</v>
      </c>
      <c r="F1159" s="3">
        <v>46287</v>
      </c>
      <c r="G1159" s="4">
        <v>241920</v>
      </c>
      <c r="H1159" s="2">
        <v>0</v>
      </c>
      <c r="I1159" s="2" t="s">
        <v>1204</v>
      </c>
      <c r="J1159" s="2" t="s">
        <v>260</v>
      </c>
    </row>
    <row r="1160" spans="1:10" x14ac:dyDescent="0.3">
      <c r="A1160" s="2" t="s">
        <v>514</v>
      </c>
      <c r="B1160" s="2" t="s">
        <v>515</v>
      </c>
      <c r="C1160" s="2">
        <v>32754</v>
      </c>
      <c r="D1160" s="2">
        <v>43411</v>
      </c>
      <c r="E1160" s="3">
        <v>46108</v>
      </c>
      <c r="F1160" s="3">
        <v>46288</v>
      </c>
      <c r="G1160" s="4">
        <v>4053</v>
      </c>
      <c r="H1160" s="2">
        <v>0</v>
      </c>
      <c r="I1160" s="2" t="s">
        <v>516</v>
      </c>
      <c r="J1160" s="2" t="s">
        <v>238</v>
      </c>
    </row>
    <row r="1161" spans="1:10" x14ac:dyDescent="0.3">
      <c r="A1161" s="2" t="s">
        <v>1169</v>
      </c>
      <c r="B1161" s="2" t="s">
        <v>1170</v>
      </c>
      <c r="C1161" s="2">
        <v>33229</v>
      </c>
      <c r="D1161" s="2">
        <v>43876</v>
      </c>
      <c r="E1161" s="3">
        <v>46168</v>
      </c>
      <c r="F1161" s="3">
        <v>46288</v>
      </c>
      <c r="G1161" s="4">
        <v>35750</v>
      </c>
      <c r="H1161" s="2">
        <v>0</v>
      </c>
      <c r="I1161" s="2" t="s">
        <v>1205</v>
      </c>
      <c r="J1161" s="2" t="s">
        <v>92</v>
      </c>
    </row>
    <row r="1162" spans="1:10" x14ac:dyDescent="0.3">
      <c r="A1162" s="2" t="s">
        <v>1206</v>
      </c>
      <c r="B1162" s="2" t="s">
        <v>1207</v>
      </c>
      <c r="C1162" s="2">
        <v>33230</v>
      </c>
      <c r="D1162" s="2">
        <v>43877</v>
      </c>
      <c r="E1162" s="3">
        <v>46168</v>
      </c>
      <c r="F1162" s="3">
        <v>46288</v>
      </c>
      <c r="G1162" s="4">
        <v>71500</v>
      </c>
      <c r="H1162" s="2">
        <v>0</v>
      </c>
      <c r="I1162" s="2" t="s">
        <v>1208</v>
      </c>
      <c r="J1162" s="2" t="s">
        <v>92</v>
      </c>
    </row>
    <row r="1163" spans="1:10" x14ac:dyDescent="0.3">
      <c r="A1163" s="2" t="s">
        <v>257</v>
      </c>
      <c r="B1163" s="2" t="s">
        <v>258</v>
      </c>
      <c r="C1163" s="2">
        <v>33232</v>
      </c>
      <c r="D1163" s="2">
        <v>43879</v>
      </c>
      <c r="E1163" s="3">
        <v>46168</v>
      </c>
      <c r="F1163" s="3">
        <v>46288</v>
      </c>
      <c r="G1163" s="4">
        <v>15781.65</v>
      </c>
      <c r="H1163" s="2">
        <v>0</v>
      </c>
      <c r="I1163" s="2" t="s">
        <v>1209</v>
      </c>
      <c r="J1163" s="2" t="s">
        <v>260</v>
      </c>
    </row>
    <row r="1164" spans="1:10" x14ac:dyDescent="0.3">
      <c r="A1164" s="2" t="s">
        <v>257</v>
      </c>
      <c r="B1164" s="2" t="s">
        <v>258</v>
      </c>
      <c r="C1164" s="2">
        <v>33233</v>
      </c>
      <c r="D1164" s="2">
        <v>43880</v>
      </c>
      <c r="E1164" s="3">
        <v>46168</v>
      </c>
      <c r="F1164" s="3">
        <v>46288</v>
      </c>
      <c r="G1164" s="4">
        <v>11399.99</v>
      </c>
      <c r="H1164" s="2">
        <v>0</v>
      </c>
      <c r="I1164" s="2" t="s">
        <v>1210</v>
      </c>
      <c r="J1164" s="2" t="s">
        <v>260</v>
      </c>
    </row>
    <row r="1165" spans="1:10" x14ac:dyDescent="0.3">
      <c r="A1165" s="2" t="s">
        <v>257</v>
      </c>
      <c r="B1165" s="2" t="s">
        <v>258</v>
      </c>
      <c r="C1165" s="2">
        <v>33234</v>
      </c>
      <c r="D1165" s="2">
        <v>43881</v>
      </c>
      <c r="E1165" s="3">
        <v>46168</v>
      </c>
      <c r="F1165" s="3">
        <v>46288</v>
      </c>
      <c r="G1165" s="4">
        <v>22400</v>
      </c>
      <c r="H1165" s="2">
        <v>0</v>
      </c>
      <c r="I1165" s="2" t="s">
        <v>1211</v>
      </c>
      <c r="J1165" s="2" t="s">
        <v>260</v>
      </c>
    </row>
    <row r="1166" spans="1:10" x14ac:dyDescent="0.3">
      <c r="A1166" s="2" t="s">
        <v>804</v>
      </c>
      <c r="B1166" s="2" t="s">
        <v>805</v>
      </c>
      <c r="C1166" s="2">
        <v>33236</v>
      </c>
      <c r="D1166" s="2">
        <v>43883</v>
      </c>
      <c r="E1166" s="3">
        <v>46168</v>
      </c>
      <c r="F1166" s="3">
        <v>46288</v>
      </c>
      <c r="G1166" s="4">
        <v>20810</v>
      </c>
      <c r="H1166" s="2">
        <v>0</v>
      </c>
      <c r="I1166" s="2" t="s">
        <v>1212</v>
      </c>
      <c r="J1166" s="2" t="s">
        <v>92</v>
      </c>
    </row>
    <row r="1167" spans="1:10" x14ac:dyDescent="0.3">
      <c r="A1167" s="2" t="s">
        <v>588</v>
      </c>
      <c r="B1167" s="2" t="s">
        <v>589</v>
      </c>
      <c r="C1167" s="2">
        <v>33237</v>
      </c>
      <c r="D1167" s="2">
        <v>43884</v>
      </c>
      <c r="E1167" s="3">
        <v>46168</v>
      </c>
      <c r="F1167" s="3">
        <v>46288</v>
      </c>
      <c r="G1167" s="4">
        <v>6739.84</v>
      </c>
      <c r="H1167" s="2">
        <v>0</v>
      </c>
      <c r="I1167" s="2" t="s">
        <v>1213</v>
      </c>
      <c r="J1167" s="2" t="s">
        <v>92</v>
      </c>
    </row>
    <row r="1168" spans="1:10" x14ac:dyDescent="0.3">
      <c r="A1168" s="2" t="s">
        <v>789</v>
      </c>
      <c r="B1168" s="2" t="s">
        <v>470</v>
      </c>
      <c r="C1168" s="2">
        <v>33239</v>
      </c>
      <c r="D1168" s="2">
        <v>43886</v>
      </c>
      <c r="E1168" s="3">
        <v>46168</v>
      </c>
      <c r="F1168" s="3">
        <v>46288</v>
      </c>
      <c r="G1168" s="4">
        <v>169790</v>
      </c>
      <c r="H1168" s="2">
        <v>0</v>
      </c>
      <c r="I1168" s="2" t="s">
        <v>1214</v>
      </c>
      <c r="J1168" s="2" t="s">
        <v>394</v>
      </c>
    </row>
    <row r="1169" spans="1:10" x14ac:dyDescent="0.3">
      <c r="A1169" s="2" t="s">
        <v>719</v>
      </c>
      <c r="B1169" s="2" t="s">
        <v>720</v>
      </c>
      <c r="C1169" s="2">
        <v>32425</v>
      </c>
      <c r="D1169" s="2">
        <v>43088</v>
      </c>
      <c r="E1169" s="3">
        <v>46079</v>
      </c>
      <c r="F1169" s="3">
        <v>46289</v>
      </c>
      <c r="G1169" s="4">
        <v>10463.799999999999</v>
      </c>
      <c r="H1169" s="2">
        <v>0</v>
      </c>
      <c r="I1169" s="2" t="s">
        <v>721</v>
      </c>
      <c r="J1169" s="2" t="s">
        <v>318</v>
      </c>
    </row>
    <row r="1170" spans="1:10" x14ac:dyDescent="0.3">
      <c r="A1170" s="2" t="s">
        <v>735</v>
      </c>
      <c r="B1170" s="2" t="s">
        <v>736</v>
      </c>
      <c r="C1170" s="2">
        <v>33015</v>
      </c>
      <c r="D1170" s="2">
        <v>43664</v>
      </c>
      <c r="E1170" s="3">
        <v>46139</v>
      </c>
      <c r="F1170" s="3">
        <v>46289</v>
      </c>
      <c r="G1170" s="4">
        <v>66166.8</v>
      </c>
      <c r="H1170" s="2">
        <v>0</v>
      </c>
      <c r="I1170" s="2" t="s">
        <v>1061</v>
      </c>
      <c r="J1170" s="2" t="s">
        <v>19</v>
      </c>
    </row>
    <row r="1171" spans="1:10" x14ac:dyDescent="0.3">
      <c r="A1171" s="2" t="s">
        <v>740</v>
      </c>
      <c r="B1171" s="2" t="s">
        <v>727</v>
      </c>
      <c r="C1171" s="2">
        <v>33243</v>
      </c>
      <c r="D1171" s="2">
        <v>43892</v>
      </c>
      <c r="E1171" s="3">
        <v>46169</v>
      </c>
      <c r="F1171" s="3">
        <v>46289</v>
      </c>
      <c r="G1171" s="4">
        <v>167250</v>
      </c>
      <c r="H1171" s="2">
        <v>0</v>
      </c>
      <c r="I1171" s="2" t="s">
        <v>1219</v>
      </c>
      <c r="J1171" s="2" t="s">
        <v>394</v>
      </c>
    </row>
    <row r="1172" spans="1:10" x14ac:dyDescent="0.3">
      <c r="A1172" s="2" t="s">
        <v>729</v>
      </c>
      <c r="B1172" s="2" t="s">
        <v>727</v>
      </c>
      <c r="C1172" s="2">
        <v>33244</v>
      </c>
      <c r="D1172" s="2">
        <v>43893</v>
      </c>
      <c r="E1172" s="3">
        <v>46169</v>
      </c>
      <c r="F1172" s="3">
        <v>46289</v>
      </c>
      <c r="G1172" s="4">
        <v>6840</v>
      </c>
      <c r="H1172" s="2">
        <v>0</v>
      </c>
      <c r="I1172" s="2" t="s">
        <v>1220</v>
      </c>
      <c r="J1172" s="2" t="s">
        <v>394</v>
      </c>
    </row>
    <row r="1173" spans="1:10" x14ac:dyDescent="0.3">
      <c r="A1173" s="2" t="s">
        <v>257</v>
      </c>
      <c r="B1173" s="2" t="s">
        <v>258</v>
      </c>
      <c r="C1173" s="2">
        <v>33245</v>
      </c>
      <c r="D1173" s="2">
        <v>43894</v>
      </c>
      <c r="E1173" s="3">
        <v>46169</v>
      </c>
      <c r="F1173" s="3">
        <v>46289</v>
      </c>
      <c r="G1173" s="4">
        <v>76050</v>
      </c>
      <c r="H1173" s="2">
        <v>0</v>
      </c>
      <c r="I1173" s="2" t="s">
        <v>1221</v>
      </c>
      <c r="J1173" s="2" t="s">
        <v>260</v>
      </c>
    </row>
    <row r="1174" spans="1:10" x14ac:dyDescent="0.3">
      <c r="A1174" s="2" t="s">
        <v>729</v>
      </c>
      <c r="B1174" s="2" t="s">
        <v>727</v>
      </c>
      <c r="C1174" s="2">
        <v>33247</v>
      </c>
      <c r="D1174" s="2">
        <v>43896</v>
      </c>
      <c r="E1174" s="3">
        <v>46169</v>
      </c>
      <c r="F1174" s="3">
        <v>46289</v>
      </c>
      <c r="G1174" s="4">
        <v>174540</v>
      </c>
      <c r="H1174" s="2">
        <v>0</v>
      </c>
      <c r="I1174" s="2" t="s">
        <v>1223</v>
      </c>
      <c r="J1174" s="2" t="s">
        <v>394</v>
      </c>
    </row>
    <row r="1175" spans="1:10" x14ac:dyDescent="0.3">
      <c r="A1175" s="2" t="s">
        <v>726</v>
      </c>
      <c r="B1175" s="2" t="s">
        <v>727</v>
      </c>
      <c r="C1175" s="2">
        <v>33249</v>
      </c>
      <c r="D1175" s="2">
        <v>43898</v>
      </c>
      <c r="E1175" s="3">
        <v>46169</v>
      </c>
      <c r="F1175" s="3">
        <v>46289</v>
      </c>
      <c r="G1175" s="4">
        <v>51195</v>
      </c>
      <c r="H1175" s="2">
        <v>0</v>
      </c>
      <c r="I1175" s="2" t="s">
        <v>1225</v>
      </c>
      <c r="J1175" s="2" t="s">
        <v>394</v>
      </c>
    </row>
    <row r="1176" spans="1:10" x14ac:dyDescent="0.3">
      <c r="A1176" s="2" t="s">
        <v>121</v>
      </c>
      <c r="B1176" s="2" t="s">
        <v>122</v>
      </c>
      <c r="C1176" s="2">
        <v>30855</v>
      </c>
      <c r="D1176" s="2">
        <v>41316</v>
      </c>
      <c r="E1176" s="3">
        <v>45930</v>
      </c>
      <c r="F1176" s="3">
        <v>46290</v>
      </c>
      <c r="G1176" s="4">
        <v>83838</v>
      </c>
      <c r="H1176" s="2">
        <v>0</v>
      </c>
      <c r="I1176" s="2" t="s">
        <v>228</v>
      </c>
      <c r="J1176" s="2" t="s">
        <v>92</v>
      </c>
    </row>
    <row r="1177" spans="1:10" x14ac:dyDescent="0.3">
      <c r="A1177" s="2" t="s">
        <v>440</v>
      </c>
      <c r="B1177" s="2" t="s">
        <v>441</v>
      </c>
      <c r="C1177" s="2">
        <v>32914</v>
      </c>
      <c r="D1177" s="2">
        <v>43569</v>
      </c>
      <c r="E1177" s="3">
        <v>46125</v>
      </c>
      <c r="F1177" s="3">
        <v>46290</v>
      </c>
      <c r="G1177" s="4">
        <v>23646.2</v>
      </c>
      <c r="H1177" s="2">
        <v>0</v>
      </c>
      <c r="I1177" s="2" t="s">
        <v>987</v>
      </c>
      <c r="J1177" s="2" t="s">
        <v>417</v>
      </c>
    </row>
    <row r="1178" spans="1:10" x14ac:dyDescent="0.3">
      <c r="A1178" s="2" t="s">
        <v>440</v>
      </c>
      <c r="B1178" s="2" t="s">
        <v>441</v>
      </c>
      <c r="C1178" s="2">
        <v>32926</v>
      </c>
      <c r="D1178" s="2">
        <v>43581</v>
      </c>
      <c r="E1178" s="3">
        <v>46125</v>
      </c>
      <c r="F1178" s="3">
        <v>46290</v>
      </c>
      <c r="G1178" s="4">
        <v>13716.43</v>
      </c>
      <c r="H1178" s="2">
        <v>0</v>
      </c>
      <c r="I1178" s="2" t="s">
        <v>996</v>
      </c>
      <c r="J1178" s="2" t="s">
        <v>417</v>
      </c>
    </row>
    <row r="1179" spans="1:10" x14ac:dyDescent="0.3">
      <c r="A1179" s="2" t="s">
        <v>440</v>
      </c>
      <c r="B1179" s="2" t="s">
        <v>441</v>
      </c>
      <c r="C1179" s="2">
        <v>32927</v>
      </c>
      <c r="D1179" s="2">
        <v>43582</v>
      </c>
      <c r="E1179" s="3">
        <v>46125</v>
      </c>
      <c r="F1179" s="3">
        <v>46290</v>
      </c>
      <c r="G1179" s="4">
        <v>9599.99</v>
      </c>
      <c r="H1179" s="2">
        <v>0</v>
      </c>
      <c r="I1179" s="2" t="s">
        <v>997</v>
      </c>
      <c r="J1179" s="2" t="s">
        <v>417</v>
      </c>
    </row>
    <row r="1180" spans="1:10" x14ac:dyDescent="0.3">
      <c r="A1180" s="2" t="s">
        <v>440</v>
      </c>
      <c r="B1180" s="2" t="s">
        <v>441</v>
      </c>
      <c r="C1180" s="2">
        <v>32928</v>
      </c>
      <c r="D1180" s="2">
        <v>43583</v>
      </c>
      <c r="E1180" s="3">
        <v>46125</v>
      </c>
      <c r="F1180" s="3">
        <v>46290</v>
      </c>
      <c r="G1180" s="4">
        <v>2933.33</v>
      </c>
      <c r="H1180" s="2">
        <v>0</v>
      </c>
      <c r="I1180" s="2" t="s">
        <v>998</v>
      </c>
      <c r="J1180" s="2" t="s">
        <v>417</v>
      </c>
    </row>
    <row r="1181" spans="1:10" x14ac:dyDescent="0.3">
      <c r="A1181" s="2" t="s">
        <v>440</v>
      </c>
      <c r="B1181" s="2" t="s">
        <v>441</v>
      </c>
      <c r="C1181" s="2">
        <v>32930</v>
      </c>
      <c r="D1181" s="2">
        <v>43584</v>
      </c>
      <c r="E1181" s="3">
        <v>46125</v>
      </c>
      <c r="F1181" s="3">
        <v>46290</v>
      </c>
      <c r="G1181" s="4">
        <v>6191.55</v>
      </c>
      <c r="H1181" s="2">
        <v>0</v>
      </c>
      <c r="I1181" s="2" t="s">
        <v>999</v>
      </c>
      <c r="J1181" s="2" t="s">
        <v>417</v>
      </c>
    </row>
    <row r="1182" spans="1:10" x14ac:dyDescent="0.3">
      <c r="A1182" s="2" t="s">
        <v>480</v>
      </c>
      <c r="B1182" s="2" t="s">
        <v>481</v>
      </c>
      <c r="C1182" s="2">
        <v>33031</v>
      </c>
      <c r="D1182" s="2">
        <v>43681</v>
      </c>
      <c r="E1182" s="3">
        <v>46140</v>
      </c>
      <c r="F1182" s="3">
        <v>46290</v>
      </c>
      <c r="G1182" s="4">
        <v>1168</v>
      </c>
      <c r="H1182" s="2">
        <v>0</v>
      </c>
      <c r="I1182" s="2" t="s">
        <v>1070</v>
      </c>
      <c r="J1182" s="2" t="s">
        <v>238</v>
      </c>
    </row>
    <row r="1183" spans="1:10" x14ac:dyDescent="0.3">
      <c r="A1183" s="2" t="s">
        <v>357</v>
      </c>
      <c r="B1183" s="2" t="s">
        <v>358</v>
      </c>
      <c r="C1183" s="2">
        <v>33255</v>
      </c>
      <c r="D1183" s="2">
        <v>43904</v>
      </c>
      <c r="E1183" s="3">
        <v>46170</v>
      </c>
      <c r="F1183" s="3">
        <v>46290</v>
      </c>
      <c r="G1183" s="4">
        <v>10080</v>
      </c>
      <c r="H1183" s="2">
        <v>0</v>
      </c>
      <c r="I1183" s="2" t="s">
        <v>1232</v>
      </c>
      <c r="J1183" s="2" t="s">
        <v>260</v>
      </c>
    </row>
    <row r="1184" spans="1:10" x14ac:dyDescent="0.3">
      <c r="A1184" s="2" t="s">
        <v>357</v>
      </c>
      <c r="B1184" s="2" t="s">
        <v>358</v>
      </c>
      <c r="C1184" s="2">
        <v>33258</v>
      </c>
      <c r="D1184" s="2">
        <v>43907</v>
      </c>
      <c r="E1184" s="3">
        <v>46170</v>
      </c>
      <c r="F1184" s="3">
        <v>46290</v>
      </c>
      <c r="G1184" s="4">
        <v>114250</v>
      </c>
      <c r="H1184" s="2">
        <v>0</v>
      </c>
      <c r="I1184" s="2" t="s">
        <v>1235</v>
      </c>
      <c r="J1184" s="2" t="s">
        <v>260</v>
      </c>
    </row>
    <row r="1185" spans="1:10" x14ac:dyDescent="0.3">
      <c r="A1185" s="2" t="s">
        <v>357</v>
      </c>
      <c r="B1185" s="2" t="s">
        <v>358</v>
      </c>
      <c r="C1185" s="2">
        <v>33259</v>
      </c>
      <c r="D1185" s="2">
        <v>43908</v>
      </c>
      <c r="E1185" s="3">
        <v>46170</v>
      </c>
      <c r="F1185" s="3">
        <v>46290</v>
      </c>
      <c r="G1185" s="4">
        <v>3650.66</v>
      </c>
      <c r="H1185" s="2">
        <v>0</v>
      </c>
      <c r="I1185" s="2" t="s">
        <v>1236</v>
      </c>
      <c r="J1185" s="2" t="s">
        <v>260</v>
      </c>
    </row>
    <row r="1186" spans="1:10" x14ac:dyDescent="0.3">
      <c r="A1186" s="2" t="s">
        <v>1206</v>
      </c>
      <c r="B1186" s="2" t="s">
        <v>1207</v>
      </c>
      <c r="C1186" s="2">
        <v>33263</v>
      </c>
      <c r="D1186" s="2">
        <v>43911</v>
      </c>
      <c r="E1186" s="3">
        <v>46170</v>
      </c>
      <c r="F1186" s="3">
        <v>46290</v>
      </c>
      <c r="G1186" s="4">
        <v>175500</v>
      </c>
      <c r="H1186" s="2">
        <v>0</v>
      </c>
      <c r="I1186" s="2" t="s">
        <v>1238</v>
      </c>
      <c r="J1186" s="2" t="s">
        <v>92</v>
      </c>
    </row>
    <row r="1187" spans="1:10" x14ac:dyDescent="0.3">
      <c r="A1187" s="2" t="s">
        <v>831</v>
      </c>
      <c r="B1187" s="2" t="s">
        <v>832</v>
      </c>
      <c r="C1187" s="2">
        <v>33268</v>
      </c>
      <c r="D1187" s="2">
        <v>43916</v>
      </c>
      <c r="E1187" s="3">
        <v>46170</v>
      </c>
      <c r="F1187" s="3">
        <v>46290</v>
      </c>
      <c r="G1187" s="4">
        <v>305850</v>
      </c>
      <c r="H1187" s="2">
        <v>0</v>
      </c>
      <c r="I1187" s="2" t="s">
        <v>1241</v>
      </c>
      <c r="J1187" s="2" t="s">
        <v>394</v>
      </c>
    </row>
    <row r="1188" spans="1:10" x14ac:dyDescent="0.3">
      <c r="A1188" s="2" t="s">
        <v>396</v>
      </c>
      <c r="B1188" s="2" t="s">
        <v>392</v>
      </c>
      <c r="C1188" s="2">
        <v>33270</v>
      </c>
      <c r="D1188" s="2">
        <v>43918</v>
      </c>
      <c r="E1188" s="3">
        <v>46170</v>
      </c>
      <c r="F1188" s="3">
        <v>46290</v>
      </c>
      <c r="G1188" s="4">
        <v>302351.75</v>
      </c>
      <c r="H1188" s="2">
        <v>0</v>
      </c>
      <c r="I1188" s="2" t="s">
        <v>1243</v>
      </c>
      <c r="J1188" s="2" t="s">
        <v>394</v>
      </c>
    </row>
    <row r="1189" spans="1:10" x14ac:dyDescent="0.3">
      <c r="A1189" s="2" t="s">
        <v>121</v>
      </c>
      <c r="B1189" s="2" t="s">
        <v>122</v>
      </c>
      <c r="C1189" s="2">
        <v>30877</v>
      </c>
      <c r="D1189" s="2">
        <v>41344</v>
      </c>
      <c r="E1189" s="3">
        <v>45932</v>
      </c>
      <c r="F1189" s="3">
        <v>46293</v>
      </c>
      <c r="G1189" s="4">
        <v>189840</v>
      </c>
      <c r="H1189" s="2">
        <v>0</v>
      </c>
      <c r="I1189" s="2" t="s">
        <v>234</v>
      </c>
      <c r="J1189" s="2" t="s">
        <v>92</v>
      </c>
    </row>
    <row r="1190" spans="1:10" x14ac:dyDescent="0.3">
      <c r="A1190" s="2" t="s">
        <v>121</v>
      </c>
      <c r="B1190" s="2" t="s">
        <v>122</v>
      </c>
      <c r="C1190" s="2">
        <v>30886</v>
      </c>
      <c r="D1190" s="2">
        <v>41355</v>
      </c>
      <c r="E1190" s="3">
        <v>45932</v>
      </c>
      <c r="F1190" s="3">
        <v>46293</v>
      </c>
      <c r="G1190" s="4">
        <v>36800</v>
      </c>
      <c r="H1190" s="2">
        <v>0</v>
      </c>
      <c r="I1190" s="2" t="s">
        <v>242</v>
      </c>
      <c r="J1190" s="2" t="s">
        <v>92</v>
      </c>
    </row>
    <row r="1191" spans="1:10" x14ac:dyDescent="0.3">
      <c r="A1191" s="2" t="s">
        <v>360</v>
      </c>
      <c r="B1191" s="2" t="s">
        <v>361</v>
      </c>
      <c r="C1191" s="2">
        <v>32771</v>
      </c>
      <c r="D1191" s="2">
        <v>43427</v>
      </c>
      <c r="E1191" s="3">
        <v>46111</v>
      </c>
      <c r="F1191" s="3">
        <v>46293</v>
      </c>
      <c r="G1191" s="4">
        <v>2565.5</v>
      </c>
      <c r="H1191" s="2">
        <v>0</v>
      </c>
      <c r="I1191" s="2" t="s">
        <v>895</v>
      </c>
      <c r="J1191" s="2" t="s">
        <v>92</v>
      </c>
    </row>
    <row r="1192" spans="1:10" x14ac:dyDescent="0.3">
      <c r="A1192" s="2" t="s">
        <v>398</v>
      </c>
      <c r="B1192" s="2" t="s">
        <v>399</v>
      </c>
      <c r="C1192" s="2">
        <v>32773</v>
      </c>
      <c r="D1192" s="2">
        <v>43429</v>
      </c>
      <c r="E1192" s="3">
        <v>46111</v>
      </c>
      <c r="F1192" s="3">
        <v>46293</v>
      </c>
      <c r="G1192" s="4">
        <v>17700</v>
      </c>
      <c r="H1192" s="2">
        <v>0</v>
      </c>
      <c r="I1192" s="2" t="s">
        <v>897</v>
      </c>
      <c r="J1192" s="2" t="s">
        <v>394</v>
      </c>
    </row>
    <row r="1193" spans="1:10" x14ac:dyDescent="0.3">
      <c r="A1193" s="2" t="s">
        <v>398</v>
      </c>
      <c r="B1193" s="2" t="s">
        <v>399</v>
      </c>
      <c r="C1193" s="2">
        <v>32774</v>
      </c>
      <c r="D1193" s="2">
        <v>43430</v>
      </c>
      <c r="E1193" s="3">
        <v>46111</v>
      </c>
      <c r="F1193" s="3">
        <v>46293</v>
      </c>
      <c r="G1193" s="4">
        <v>23870</v>
      </c>
      <c r="H1193" s="2">
        <v>0</v>
      </c>
      <c r="I1193" s="2" t="s">
        <v>898</v>
      </c>
      <c r="J1193" s="2" t="s">
        <v>394</v>
      </c>
    </row>
    <row r="1194" spans="1:10" x14ac:dyDescent="0.3">
      <c r="A1194" s="2" t="s">
        <v>398</v>
      </c>
      <c r="B1194" s="2" t="s">
        <v>399</v>
      </c>
      <c r="C1194" s="2">
        <v>32775</v>
      </c>
      <c r="D1194" s="2">
        <v>43431</v>
      </c>
      <c r="E1194" s="3">
        <v>46111</v>
      </c>
      <c r="F1194" s="3">
        <v>46293</v>
      </c>
      <c r="G1194" s="4">
        <v>13790</v>
      </c>
      <c r="H1194" s="2">
        <v>0</v>
      </c>
      <c r="I1194" s="2" t="s">
        <v>899</v>
      </c>
      <c r="J1194" s="2" t="s">
        <v>394</v>
      </c>
    </row>
    <row r="1195" spans="1:10" x14ac:dyDescent="0.3">
      <c r="A1195" s="2" t="s">
        <v>398</v>
      </c>
      <c r="B1195" s="2" t="s">
        <v>399</v>
      </c>
      <c r="C1195" s="2">
        <v>32778</v>
      </c>
      <c r="D1195" s="2">
        <v>43434</v>
      </c>
      <c r="E1195" s="3">
        <v>46111</v>
      </c>
      <c r="F1195" s="3">
        <v>46293</v>
      </c>
      <c r="G1195" s="4">
        <v>110640</v>
      </c>
      <c r="H1195" s="2">
        <v>0</v>
      </c>
      <c r="I1195" s="2" t="s">
        <v>902</v>
      </c>
      <c r="J1195" s="2" t="s">
        <v>394</v>
      </c>
    </row>
    <row r="1196" spans="1:10" x14ac:dyDescent="0.3">
      <c r="A1196" s="2" t="s">
        <v>257</v>
      </c>
      <c r="B1196" s="2" t="s">
        <v>258</v>
      </c>
      <c r="C1196" s="2">
        <v>32794</v>
      </c>
      <c r="D1196" s="2">
        <v>43450</v>
      </c>
      <c r="E1196" s="3">
        <v>46112</v>
      </c>
      <c r="F1196" s="3">
        <v>46293</v>
      </c>
      <c r="G1196" s="4">
        <v>8762.48</v>
      </c>
      <c r="H1196" s="2">
        <v>0</v>
      </c>
      <c r="I1196" s="2" t="s">
        <v>918</v>
      </c>
      <c r="J1196" s="2" t="s">
        <v>260</v>
      </c>
    </row>
    <row r="1197" spans="1:10" x14ac:dyDescent="0.3">
      <c r="A1197" s="2" t="s">
        <v>731</v>
      </c>
      <c r="B1197" s="2" t="s">
        <v>392</v>
      </c>
      <c r="C1197" s="2">
        <v>32799</v>
      </c>
      <c r="D1197" s="2">
        <v>43455</v>
      </c>
      <c r="E1197" s="3">
        <v>46112</v>
      </c>
      <c r="F1197" s="3">
        <v>46293</v>
      </c>
      <c r="G1197" s="4">
        <v>23256</v>
      </c>
      <c r="H1197" s="2">
        <v>0</v>
      </c>
      <c r="I1197" s="2" t="s">
        <v>919</v>
      </c>
      <c r="J1197" s="2" t="s">
        <v>260</v>
      </c>
    </row>
    <row r="1198" spans="1:10" x14ac:dyDescent="0.3">
      <c r="A1198" s="2" t="s">
        <v>729</v>
      </c>
      <c r="B1198" s="2" t="s">
        <v>727</v>
      </c>
      <c r="C1198" s="2">
        <v>32803</v>
      </c>
      <c r="D1198" s="2">
        <v>43459</v>
      </c>
      <c r="E1198" s="3">
        <v>46112</v>
      </c>
      <c r="F1198" s="3">
        <v>46293</v>
      </c>
      <c r="G1198" s="4">
        <v>300324</v>
      </c>
      <c r="H1198" s="2">
        <v>0</v>
      </c>
      <c r="I1198" s="2" t="s">
        <v>921</v>
      </c>
      <c r="J1198" s="2" t="s">
        <v>394</v>
      </c>
    </row>
    <row r="1199" spans="1:10" x14ac:dyDescent="0.3">
      <c r="A1199" s="2" t="s">
        <v>726</v>
      </c>
      <c r="B1199" s="2" t="s">
        <v>727</v>
      </c>
      <c r="C1199" s="2">
        <v>32806</v>
      </c>
      <c r="D1199" s="2">
        <v>43462</v>
      </c>
      <c r="E1199" s="3">
        <v>46112</v>
      </c>
      <c r="F1199" s="3">
        <v>46293</v>
      </c>
      <c r="G1199" s="4">
        <v>110008</v>
      </c>
      <c r="H1199" s="2">
        <v>0</v>
      </c>
      <c r="I1199" s="2" t="s">
        <v>923</v>
      </c>
      <c r="J1199" s="2" t="s">
        <v>394</v>
      </c>
    </row>
    <row r="1200" spans="1:10" x14ac:dyDescent="0.3">
      <c r="A1200" s="2" t="s">
        <v>585</v>
      </c>
      <c r="B1200" s="2" t="s">
        <v>392</v>
      </c>
      <c r="C1200" s="2">
        <v>32810</v>
      </c>
      <c r="D1200" s="2">
        <v>43466</v>
      </c>
      <c r="E1200" s="3">
        <v>46112</v>
      </c>
      <c r="F1200" s="3">
        <v>46293</v>
      </c>
      <c r="G1200" s="4">
        <v>27000</v>
      </c>
      <c r="H1200" s="2">
        <v>0</v>
      </c>
      <c r="I1200" s="2" t="s">
        <v>927</v>
      </c>
      <c r="J1200" s="2" t="s">
        <v>394</v>
      </c>
    </row>
    <row r="1201" spans="1:10" x14ac:dyDescent="0.3">
      <c r="A1201" s="2" t="s">
        <v>585</v>
      </c>
      <c r="B1201" s="2" t="s">
        <v>392</v>
      </c>
      <c r="C1201" s="2">
        <v>32814</v>
      </c>
      <c r="D1201" s="2">
        <v>43470</v>
      </c>
      <c r="E1201" s="3">
        <v>46112</v>
      </c>
      <c r="F1201" s="3">
        <v>46293</v>
      </c>
      <c r="G1201" s="4">
        <v>91560</v>
      </c>
      <c r="H1201" s="2">
        <v>0</v>
      </c>
      <c r="I1201" s="2" t="s">
        <v>931</v>
      </c>
      <c r="J1201" s="2" t="s">
        <v>394</v>
      </c>
    </row>
    <row r="1202" spans="1:10" x14ac:dyDescent="0.3">
      <c r="A1202" s="2" t="s">
        <v>789</v>
      </c>
      <c r="B1202" s="2" t="s">
        <v>470</v>
      </c>
      <c r="C1202" s="2">
        <v>32821</v>
      </c>
      <c r="D1202" s="2">
        <v>43478</v>
      </c>
      <c r="E1202" s="3">
        <v>46112</v>
      </c>
      <c r="F1202" s="3">
        <v>46293</v>
      </c>
      <c r="G1202" s="4">
        <v>12400</v>
      </c>
      <c r="H1202" s="2">
        <v>0</v>
      </c>
      <c r="I1202" s="2" t="s">
        <v>937</v>
      </c>
      <c r="J1202" s="2" t="s">
        <v>394</v>
      </c>
    </row>
    <row r="1203" spans="1:10" x14ac:dyDescent="0.3">
      <c r="A1203" s="2" t="s">
        <v>409</v>
      </c>
      <c r="B1203" s="2" t="s">
        <v>410</v>
      </c>
      <c r="C1203" s="2">
        <v>32822</v>
      </c>
      <c r="D1203" s="2">
        <v>43479</v>
      </c>
      <c r="E1203" s="3">
        <v>46112</v>
      </c>
      <c r="F1203" s="3">
        <v>46293</v>
      </c>
      <c r="G1203" s="4">
        <v>50613.7</v>
      </c>
      <c r="H1203" s="2">
        <v>0</v>
      </c>
      <c r="I1203" s="2" t="s">
        <v>938</v>
      </c>
      <c r="J1203" s="2" t="s">
        <v>412</v>
      </c>
    </row>
    <row r="1204" spans="1:10" x14ac:dyDescent="0.3">
      <c r="A1204" s="2" t="s">
        <v>414</v>
      </c>
      <c r="B1204" s="2" t="s">
        <v>415</v>
      </c>
      <c r="C1204" s="2">
        <v>32827</v>
      </c>
      <c r="D1204" s="2">
        <v>43484</v>
      </c>
      <c r="E1204" s="3">
        <v>46112</v>
      </c>
      <c r="F1204" s="3">
        <v>46293</v>
      </c>
      <c r="G1204" s="4">
        <v>29200.240000000002</v>
      </c>
      <c r="H1204" s="2">
        <v>0</v>
      </c>
      <c r="I1204" s="2" t="s">
        <v>945</v>
      </c>
      <c r="J1204" s="2" t="s">
        <v>417</v>
      </c>
    </row>
    <row r="1205" spans="1:10" x14ac:dyDescent="0.3">
      <c r="A1205" s="2" t="s">
        <v>414</v>
      </c>
      <c r="B1205" s="2" t="s">
        <v>415</v>
      </c>
      <c r="C1205" s="2">
        <v>32831</v>
      </c>
      <c r="D1205" s="2">
        <v>43488</v>
      </c>
      <c r="E1205" s="3">
        <v>46112</v>
      </c>
      <c r="F1205" s="3">
        <v>46293</v>
      </c>
      <c r="G1205" s="4">
        <v>2544</v>
      </c>
      <c r="H1205" s="2">
        <v>0</v>
      </c>
      <c r="I1205" s="2" t="s">
        <v>949</v>
      </c>
      <c r="J1205" s="2" t="s">
        <v>417</v>
      </c>
    </row>
    <row r="1206" spans="1:10" x14ac:dyDescent="0.3">
      <c r="A1206" s="2" t="s">
        <v>360</v>
      </c>
      <c r="B1206" s="2" t="s">
        <v>361</v>
      </c>
      <c r="C1206" s="2">
        <v>33173</v>
      </c>
      <c r="D1206" s="2">
        <v>43816</v>
      </c>
      <c r="E1206" s="3">
        <v>46157</v>
      </c>
      <c r="F1206" s="3">
        <v>46293</v>
      </c>
      <c r="G1206" s="4">
        <v>6768.18</v>
      </c>
      <c r="H1206" s="2">
        <v>0</v>
      </c>
      <c r="I1206" s="2" t="s">
        <v>1161</v>
      </c>
      <c r="J1206" s="2" t="s">
        <v>92</v>
      </c>
    </row>
    <row r="1207" spans="1:10" x14ac:dyDescent="0.3">
      <c r="A1207" s="2" t="s">
        <v>414</v>
      </c>
      <c r="B1207" s="2" t="s">
        <v>415</v>
      </c>
      <c r="C1207" s="2">
        <v>32844</v>
      </c>
      <c r="D1207" s="2">
        <v>43498</v>
      </c>
      <c r="E1207" s="3">
        <v>46114</v>
      </c>
      <c r="F1207" s="3">
        <v>46294</v>
      </c>
      <c r="G1207" s="2">
        <v>566.64</v>
      </c>
      <c r="H1207" s="2">
        <v>0</v>
      </c>
      <c r="I1207" s="2" t="s">
        <v>955</v>
      </c>
      <c r="J1207" s="2" t="s">
        <v>417</v>
      </c>
    </row>
    <row r="1208" spans="1:10" x14ac:dyDescent="0.3">
      <c r="A1208" s="2" t="s">
        <v>152</v>
      </c>
      <c r="B1208" s="2" t="s">
        <v>153</v>
      </c>
      <c r="C1208" s="2">
        <v>31271</v>
      </c>
      <c r="D1208" s="2">
        <v>41799</v>
      </c>
      <c r="E1208" s="3">
        <v>45968</v>
      </c>
      <c r="F1208" s="3">
        <v>46295</v>
      </c>
      <c r="G1208" s="4">
        <v>20359</v>
      </c>
      <c r="H1208" s="2">
        <v>0</v>
      </c>
      <c r="I1208" s="2" t="s">
        <v>314</v>
      </c>
      <c r="J1208" s="2" t="s">
        <v>92</v>
      </c>
    </row>
    <row r="1209" spans="1:10" x14ac:dyDescent="0.3">
      <c r="A1209" s="2" t="s">
        <v>373</v>
      </c>
      <c r="B1209" s="2" t="s">
        <v>354</v>
      </c>
      <c r="C1209" s="2">
        <v>31539</v>
      </c>
      <c r="D1209" s="2">
        <v>42094</v>
      </c>
      <c r="E1209" s="3">
        <v>45996</v>
      </c>
      <c r="F1209" s="3">
        <v>46295</v>
      </c>
      <c r="G1209" s="4">
        <v>57000</v>
      </c>
      <c r="H1209" s="2">
        <v>0</v>
      </c>
      <c r="I1209" s="2" t="s">
        <v>374</v>
      </c>
      <c r="J1209" s="2" t="s">
        <v>146</v>
      </c>
    </row>
    <row r="1210" spans="1:10" x14ac:dyDescent="0.3">
      <c r="A1210" s="2" t="s">
        <v>373</v>
      </c>
      <c r="B1210" s="2" t="s">
        <v>354</v>
      </c>
      <c r="C1210" s="2">
        <v>31540</v>
      </c>
      <c r="D1210" s="2">
        <v>42095</v>
      </c>
      <c r="E1210" s="3">
        <v>45996</v>
      </c>
      <c r="F1210" s="3">
        <v>46295</v>
      </c>
      <c r="G1210" s="4">
        <v>168860</v>
      </c>
      <c r="H1210" s="2">
        <v>0</v>
      </c>
      <c r="I1210" s="2" t="s">
        <v>375</v>
      </c>
      <c r="J1210" s="2" t="s">
        <v>146</v>
      </c>
    </row>
    <row r="1211" spans="1:10" x14ac:dyDescent="0.3">
      <c r="A1211" s="2" t="s">
        <v>93</v>
      </c>
      <c r="B1211" s="2" t="s">
        <v>90</v>
      </c>
      <c r="C1211" s="2">
        <v>31562</v>
      </c>
      <c r="D1211" s="2">
        <v>42116</v>
      </c>
      <c r="E1211" s="3">
        <v>45999</v>
      </c>
      <c r="F1211" s="3">
        <v>46295</v>
      </c>
      <c r="G1211" s="4">
        <v>14500</v>
      </c>
      <c r="H1211" s="2">
        <v>0</v>
      </c>
      <c r="I1211" s="2" t="s">
        <v>381</v>
      </c>
      <c r="J1211" s="2" t="s">
        <v>92</v>
      </c>
    </row>
    <row r="1212" spans="1:10" x14ac:dyDescent="0.3">
      <c r="A1212" s="2" t="s">
        <v>108</v>
      </c>
      <c r="B1212" s="2" t="s">
        <v>90</v>
      </c>
      <c r="C1212" s="2">
        <v>31563</v>
      </c>
      <c r="D1212" s="2">
        <v>42117</v>
      </c>
      <c r="E1212" s="3">
        <v>45999</v>
      </c>
      <c r="F1212" s="3">
        <v>46295</v>
      </c>
      <c r="G1212" s="4">
        <v>8500</v>
      </c>
      <c r="H1212" s="2">
        <v>0</v>
      </c>
      <c r="I1212" s="2" t="s">
        <v>382</v>
      </c>
      <c r="J1212" s="2" t="s">
        <v>92</v>
      </c>
    </row>
    <row r="1213" spans="1:10" x14ac:dyDescent="0.3">
      <c r="A1213" s="2" t="s">
        <v>93</v>
      </c>
      <c r="B1213" s="2" t="s">
        <v>90</v>
      </c>
      <c r="C1213" s="2">
        <v>31564</v>
      </c>
      <c r="D1213" s="2">
        <v>42118</v>
      </c>
      <c r="E1213" s="3">
        <v>45999</v>
      </c>
      <c r="F1213" s="3">
        <v>46295</v>
      </c>
      <c r="G1213" s="4">
        <v>8500</v>
      </c>
      <c r="H1213" s="2">
        <v>0</v>
      </c>
      <c r="I1213" s="2" t="s">
        <v>383</v>
      </c>
      <c r="J1213" s="2" t="s">
        <v>92</v>
      </c>
    </row>
    <row r="1214" spans="1:10" x14ac:dyDescent="0.3">
      <c r="A1214" s="2" t="s">
        <v>104</v>
      </c>
      <c r="B1214" s="2" t="s">
        <v>90</v>
      </c>
      <c r="C1214" s="2">
        <v>31565</v>
      </c>
      <c r="D1214" s="2">
        <v>42119</v>
      </c>
      <c r="E1214" s="3">
        <v>45999</v>
      </c>
      <c r="F1214" s="3">
        <v>46295</v>
      </c>
      <c r="G1214" s="4">
        <v>51000</v>
      </c>
      <c r="H1214" s="2">
        <v>0</v>
      </c>
      <c r="I1214" s="2" t="s">
        <v>384</v>
      </c>
      <c r="J1214" s="2" t="s">
        <v>97</v>
      </c>
    </row>
    <row r="1215" spans="1:10" x14ac:dyDescent="0.3">
      <c r="A1215" s="2" t="s">
        <v>89</v>
      </c>
      <c r="B1215" s="2" t="s">
        <v>90</v>
      </c>
      <c r="C1215" s="2">
        <v>31566</v>
      </c>
      <c r="D1215" s="2">
        <v>42120</v>
      </c>
      <c r="E1215" s="3">
        <v>45999</v>
      </c>
      <c r="F1215" s="3">
        <v>46295</v>
      </c>
      <c r="G1215" s="4">
        <v>8700</v>
      </c>
      <c r="H1215" s="2">
        <v>0</v>
      </c>
      <c r="I1215" s="2" t="s">
        <v>385</v>
      </c>
      <c r="J1215" s="2" t="s">
        <v>92</v>
      </c>
    </row>
    <row r="1216" spans="1:10" x14ac:dyDescent="0.3">
      <c r="A1216" s="2" t="s">
        <v>110</v>
      </c>
      <c r="B1216" s="2" t="s">
        <v>90</v>
      </c>
      <c r="C1216" s="2">
        <v>31567</v>
      </c>
      <c r="D1216" s="2">
        <v>42122</v>
      </c>
      <c r="E1216" s="3">
        <v>45999</v>
      </c>
      <c r="F1216" s="3">
        <v>46295</v>
      </c>
      <c r="G1216" s="4">
        <v>8500</v>
      </c>
      <c r="H1216" s="2">
        <v>0</v>
      </c>
      <c r="I1216" s="2" t="s">
        <v>386</v>
      </c>
      <c r="J1216" s="2" t="s">
        <v>97</v>
      </c>
    </row>
    <row r="1217" spans="1:10" x14ac:dyDescent="0.3">
      <c r="A1217" s="2" t="s">
        <v>102</v>
      </c>
      <c r="B1217" s="2" t="s">
        <v>90</v>
      </c>
      <c r="C1217" s="2">
        <v>31568</v>
      </c>
      <c r="D1217" s="2">
        <v>42123</v>
      </c>
      <c r="E1217" s="3">
        <v>45999</v>
      </c>
      <c r="F1217" s="3">
        <v>46295</v>
      </c>
      <c r="G1217" s="4">
        <v>8500</v>
      </c>
      <c r="H1217" s="2">
        <v>0</v>
      </c>
      <c r="I1217" s="2" t="s">
        <v>387</v>
      </c>
      <c r="J1217" s="2" t="s">
        <v>97</v>
      </c>
    </row>
    <row r="1218" spans="1:10" x14ac:dyDescent="0.3">
      <c r="A1218" s="2" t="s">
        <v>353</v>
      </c>
      <c r="B1218" s="2" t="s">
        <v>354</v>
      </c>
      <c r="C1218" s="2">
        <v>31579</v>
      </c>
      <c r="D1218" s="2">
        <v>42138</v>
      </c>
      <c r="E1218" s="3">
        <v>45999</v>
      </c>
      <c r="F1218" s="3">
        <v>46295</v>
      </c>
      <c r="G1218" s="4">
        <v>292690</v>
      </c>
      <c r="H1218" s="2">
        <v>0</v>
      </c>
      <c r="I1218" s="2" t="s">
        <v>390</v>
      </c>
      <c r="J1218" s="2" t="s">
        <v>146</v>
      </c>
    </row>
    <row r="1219" spans="1:10" x14ac:dyDescent="0.3">
      <c r="A1219" s="2" t="s">
        <v>373</v>
      </c>
      <c r="B1219" s="2" t="s">
        <v>354</v>
      </c>
      <c r="C1219" s="2">
        <v>31630</v>
      </c>
      <c r="D1219" s="2">
        <v>42194</v>
      </c>
      <c r="E1219" s="3">
        <v>46001</v>
      </c>
      <c r="F1219" s="3">
        <v>46295</v>
      </c>
      <c r="G1219" s="4">
        <v>145000</v>
      </c>
      <c r="H1219" s="2">
        <v>0</v>
      </c>
      <c r="I1219" s="2" t="s">
        <v>406</v>
      </c>
      <c r="J1219" s="2" t="s">
        <v>146</v>
      </c>
    </row>
    <row r="1220" spans="1:10" x14ac:dyDescent="0.3">
      <c r="A1220" s="2" t="s">
        <v>373</v>
      </c>
      <c r="B1220" s="2" t="s">
        <v>354</v>
      </c>
      <c r="C1220" s="2">
        <v>31631</v>
      </c>
      <c r="D1220" s="2">
        <v>42195</v>
      </c>
      <c r="E1220" s="3">
        <v>46001</v>
      </c>
      <c r="F1220" s="3">
        <v>46295</v>
      </c>
      <c r="G1220" s="4">
        <v>35000</v>
      </c>
      <c r="H1220" s="2">
        <v>0</v>
      </c>
      <c r="I1220" s="2" t="s">
        <v>407</v>
      </c>
      <c r="J1220" s="2" t="s">
        <v>146</v>
      </c>
    </row>
    <row r="1221" spans="1:10" x14ac:dyDescent="0.3">
      <c r="A1221" s="2" t="s">
        <v>106</v>
      </c>
      <c r="B1221" s="2" t="s">
        <v>90</v>
      </c>
      <c r="C1221" s="2">
        <v>31683</v>
      </c>
      <c r="D1221" s="2">
        <v>42260</v>
      </c>
      <c r="E1221" s="3">
        <v>46006</v>
      </c>
      <c r="F1221" s="3">
        <v>46295</v>
      </c>
      <c r="G1221" s="2">
        <v>900</v>
      </c>
      <c r="H1221" s="2">
        <v>0</v>
      </c>
      <c r="I1221" s="2" t="s">
        <v>426</v>
      </c>
      <c r="J1221" s="2" t="s">
        <v>97</v>
      </c>
    </row>
    <row r="1222" spans="1:10" x14ac:dyDescent="0.3">
      <c r="A1222" s="2" t="s">
        <v>453</v>
      </c>
      <c r="B1222" s="2" t="s">
        <v>454</v>
      </c>
      <c r="C1222" s="2">
        <v>31772</v>
      </c>
      <c r="D1222" s="2">
        <v>42341</v>
      </c>
      <c r="E1222" s="3">
        <v>46008</v>
      </c>
      <c r="F1222" s="3">
        <v>46295</v>
      </c>
      <c r="G1222" s="4">
        <v>277114.8</v>
      </c>
      <c r="H1222" s="2">
        <v>0</v>
      </c>
      <c r="I1222" s="2" t="s">
        <v>455</v>
      </c>
      <c r="J1222" s="2" t="s">
        <v>298</v>
      </c>
    </row>
    <row r="1223" spans="1:10" x14ac:dyDescent="0.3">
      <c r="A1223" s="2" t="s">
        <v>453</v>
      </c>
      <c r="B1223" s="2" t="s">
        <v>454</v>
      </c>
      <c r="C1223" s="2">
        <v>31773</v>
      </c>
      <c r="D1223" s="2">
        <v>42342</v>
      </c>
      <c r="E1223" s="3">
        <v>46008</v>
      </c>
      <c r="F1223" s="3">
        <v>46295</v>
      </c>
      <c r="G1223" s="4">
        <v>18600</v>
      </c>
      <c r="H1223" s="2">
        <v>0</v>
      </c>
      <c r="I1223" s="2" t="s">
        <v>456</v>
      </c>
      <c r="J1223" s="2" t="s">
        <v>298</v>
      </c>
    </row>
    <row r="1224" spans="1:10" x14ac:dyDescent="0.3">
      <c r="A1224" s="2" t="s">
        <v>373</v>
      </c>
      <c r="B1224" s="2" t="s">
        <v>354</v>
      </c>
      <c r="C1224" s="2">
        <v>31822</v>
      </c>
      <c r="D1224" s="2">
        <v>42403</v>
      </c>
      <c r="E1224" s="3">
        <v>46020</v>
      </c>
      <c r="F1224" s="3">
        <v>46295</v>
      </c>
      <c r="G1224" s="4">
        <v>83120</v>
      </c>
      <c r="H1224" s="2">
        <v>0</v>
      </c>
      <c r="I1224" s="2" t="s">
        <v>473</v>
      </c>
      <c r="J1224" s="2" t="s">
        <v>146</v>
      </c>
    </row>
    <row r="1225" spans="1:10" x14ac:dyDescent="0.3">
      <c r="A1225" s="2" t="s">
        <v>353</v>
      </c>
      <c r="B1225" s="2" t="s">
        <v>354</v>
      </c>
      <c r="C1225" s="2">
        <v>31824</v>
      </c>
      <c r="D1225" s="2">
        <v>42405</v>
      </c>
      <c r="E1225" s="3">
        <v>46020</v>
      </c>
      <c r="F1225" s="3">
        <v>46295</v>
      </c>
      <c r="G1225" s="4">
        <v>66125.600000000006</v>
      </c>
      <c r="H1225" s="2">
        <v>0</v>
      </c>
      <c r="I1225" s="2" t="s">
        <v>474</v>
      </c>
      <c r="J1225" s="2" t="s">
        <v>146</v>
      </c>
    </row>
    <row r="1226" spans="1:10" x14ac:dyDescent="0.3">
      <c r="A1226" s="2" t="s">
        <v>106</v>
      </c>
      <c r="B1226" s="2" t="s">
        <v>90</v>
      </c>
      <c r="C1226" s="2">
        <v>31839</v>
      </c>
      <c r="D1226" s="2">
        <v>42421</v>
      </c>
      <c r="E1226" s="3">
        <v>46027</v>
      </c>
      <c r="F1226" s="3">
        <v>46295</v>
      </c>
      <c r="G1226" s="4">
        <v>8100</v>
      </c>
      <c r="H1226" s="2">
        <v>0</v>
      </c>
      <c r="I1226" s="2" t="s">
        <v>280</v>
      </c>
      <c r="J1226" s="2" t="s">
        <v>97</v>
      </c>
    </row>
    <row r="1227" spans="1:10" x14ac:dyDescent="0.3">
      <c r="A1227" s="2" t="s">
        <v>483</v>
      </c>
      <c r="B1227" s="2" t="s">
        <v>484</v>
      </c>
      <c r="C1227" s="2">
        <v>31868</v>
      </c>
      <c r="D1227" s="2">
        <v>42453</v>
      </c>
      <c r="E1227" s="3">
        <v>46028</v>
      </c>
      <c r="F1227" s="3">
        <v>46295</v>
      </c>
      <c r="G1227" s="4">
        <v>102810.4</v>
      </c>
      <c r="H1227" s="2">
        <v>0</v>
      </c>
      <c r="I1227" s="2" t="s">
        <v>485</v>
      </c>
      <c r="J1227" s="2" t="s">
        <v>66</v>
      </c>
    </row>
    <row r="1228" spans="1:10" x14ac:dyDescent="0.3">
      <c r="A1228" s="2" t="s">
        <v>486</v>
      </c>
      <c r="B1228" s="2" t="s">
        <v>487</v>
      </c>
      <c r="C1228" s="2">
        <v>31870</v>
      </c>
      <c r="D1228" s="2">
        <v>42455</v>
      </c>
      <c r="E1228" s="3">
        <v>46028</v>
      </c>
      <c r="F1228" s="3">
        <v>46295</v>
      </c>
      <c r="G1228" s="4">
        <v>239511.2</v>
      </c>
      <c r="H1228" s="2">
        <v>0</v>
      </c>
      <c r="I1228" s="2" t="s">
        <v>488</v>
      </c>
      <c r="J1228" s="2" t="s">
        <v>66</v>
      </c>
    </row>
    <row r="1229" spans="1:10" x14ac:dyDescent="0.3">
      <c r="A1229" s="2" t="s">
        <v>486</v>
      </c>
      <c r="B1229" s="2" t="s">
        <v>487</v>
      </c>
      <c r="C1229" s="2">
        <v>31871</v>
      </c>
      <c r="D1229" s="2">
        <v>42456</v>
      </c>
      <c r="E1229" s="3">
        <v>46028</v>
      </c>
      <c r="F1229" s="3">
        <v>46295</v>
      </c>
      <c r="G1229" s="4">
        <v>68920</v>
      </c>
      <c r="H1229" s="2">
        <v>0</v>
      </c>
      <c r="I1229" s="2" t="s">
        <v>488</v>
      </c>
      <c r="J1229" s="2" t="s">
        <v>66</v>
      </c>
    </row>
    <row r="1230" spans="1:10" x14ac:dyDescent="0.3">
      <c r="A1230" s="2" t="s">
        <v>453</v>
      </c>
      <c r="B1230" s="2" t="s">
        <v>454</v>
      </c>
      <c r="C1230" s="2">
        <v>31924</v>
      </c>
      <c r="D1230" s="2">
        <v>42523</v>
      </c>
      <c r="E1230" s="3">
        <v>46035</v>
      </c>
      <c r="F1230" s="3">
        <v>46295</v>
      </c>
      <c r="G1230" s="4">
        <v>367484</v>
      </c>
      <c r="H1230" s="2">
        <v>0</v>
      </c>
      <c r="I1230" s="2" t="s">
        <v>502</v>
      </c>
      <c r="J1230" s="2" t="s">
        <v>298</v>
      </c>
    </row>
    <row r="1231" spans="1:10" x14ac:dyDescent="0.3">
      <c r="A1231" s="2" t="s">
        <v>453</v>
      </c>
      <c r="B1231" s="2" t="s">
        <v>454</v>
      </c>
      <c r="C1231" s="2">
        <v>31925</v>
      </c>
      <c r="D1231" s="2">
        <v>42524</v>
      </c>
      <c r="E1231" s="3">
        <v>46035</v>
      </c>
      <c r="F1231" s="3">
        <v>46295</v>
      </c>
      <c r="G1231" s="4">
        <v>36000</v>
      </c>
      <c r="H1231" s="2">
        <v>0</v>
      </c>
      <c r="I1231" s="2" t="s">
        <v>502</v>
      </c>
      <c r="J1231" s="2" t="s">
        <v>298</v>
      </c>
    </row>
    <row r="1232" spans="1:10" x14ac:dyDescent="0.3">
      <c r="A1232" s="2" t="s">
        <v>453</v>
      </c>
      <c r="B1232" s="2" t="s">
        <v>454</v>
      </c>
      <c r="C1232" s="2">
        <v>31926</v>
      </c>
      <c r="D1232" s="2">
        <v>42525</v>
      </c>
      <c r="E1232" s="3">
        <v>46035</v>
      </c>
      <c r="F1232" s="3">
        <v>46295</v>
      </c>
      <c r="G1232" s="4">
        <v>50000</v>
      </c>
      <c r="H1232" s="2">
        <v>0</v>
      </c>
      <c r="I1232" s="2" t="s">
        <v>502</v>
      </c>
      <c r="J1232" s="2" t="s">
        <v>298</v>
      </c>
    </row>
    <row r="1233" spans="1:10" x14ac:dyDescent="0.3">
      <c r="A1233" s="2" t="s">
        <v>100</v>
      </c>
      <c r="B1233" s="2" t="s">
        <v>90</v>
      </c>
      <c r="C1233" s="2">
        <v>31976</v>
      </c>
      <c r="D1233" s="2">
        <v>42595</v>
      </c>
      <c r="E1233" s="3">
        <v>46042</v>
      </c>
      <c r="F1233" s="3">
        <v>46295</v>
      </c>
      <c r="G1233" s="4">
        <v>14500</v>
      </c>
      <c r="H1233" s="2">
        <v>0</v>
      </c>
      <c r="I1233" s="2" t="s">
        <v>528</v>
      </c>
      <c r="J1233" s="2" t="s">
        <v>97</v>
      </c>
    </row>
    <row r="1234" spans="1:10" x14ac:dyDescent="0.3">
      <c r="A1234" s="2" t="s">
        <v>95</v>
      </c>
      <c r="B1234" s="2" t="s">
        <v>90</v>
      </c>
      <c r="C1234" s="2">
        <v>31977</v>
      </c>
      <c r="D1234" s="2">
        <v>42596</v>
      </c>
      <c r="E1234" s="3">
        <v>46042</v>
      </c>
      <c r="F1234" s="3">
        <v>46295</v>
      </c>
      <c r="G1234" s="4">
        <v>36250</v>
      </c>
      <c r="H1234" s="2">
        <v>0</v>
      </c>
      <c r="I1234" s="2" t="s">
        <v>529</v>
      </c>
      <c r="J1234" s="2" t="s">
        <v>97</v>
      </c>
    </row>
    <row r="1235" spans="1:10" x14ac:dyDescent="0.3">
      <c r="A1235" s="2" t="s">
        <v>102</v>
      </c>
      <c r="B1235" s="2" t="s">
        <v>90</v>
      </c>
      <c r="C1235" s="2">
        <v>31978</v>
      </c>
      <c r="D1235" s="2">
        <v>42597</v>
      </c>
      <c r="E1235" s="3">
        <v>46042</v>
      </c>
      <c r="F1235" s="3">
        <v>46295</v>
      </c>
      <c r="G1235" s="4">
        <v>72500</v>
      </c>
      <c r="H1235" s="2">
        <v>0</v>
      </c>
      <c r="I1235" s="2" t="s">
        <v>530</v>
      </c>
      <c r="J1235" s="2" t="s">
        <v>97</v>
      </c>
    </row>
    <row r="1236" spans="1:10" x14ac:dyDescent="0.3">
      <c r="A1236" s="2" t="s">
        <v>112</v>
      </c>
      <c r="B1236" s="2" t="s">
        <v>90</v>
      </c>
      <c r="C1236" s="2">
        <v>31979</v>
      </c>
      <c r="D1236" s="2">
        <v>42598</v>
      </c>
      <c r="E1236" s="3">
        <v>46042</v>
      </c>
      <c r="F1236" s="3">
        <v>46295</v>
      </c>
      <c r="G1236" s="4">
        <v>58000</v>
      </c>
      <c r="H1236" s="2">
        <v>0</v>
      </c>
      <c r="I1236" s="2" t="s">
        <v>281</v>
      </c>
      <c r="J1236" s="2" t="s">
        <v>97</v>
      </c>
    </row>
    <row r="1237" spans="1:10" x14ac:dyDescent="0.3">
      <c r="A1237" s="2" t="s">
        <v>106</v>
      </c>
      <c r="B1237" s="2" t="s">
        <v>90</v>
      </c>
      <c r="C1237" s="2">
        <v>31980</v>
      </c>
      <c r="D1237" s="2">
        <v>42599</v>
      </c>
      <c r="E1237" s="3">
        <v>46042</v>
      </c>
      <c r="F1237" s="3">
        <v>46295</v>
      </c>
      <c r="G1237" s="4">
        <v>29000</v>
      </c>
      <c r="H1237" s="2">
        <v>0</v>
      </c>
      <c r="I1237" s="2" t="s">
        <v>280</v>
      </c>
      <c r="J1237" s="2" t="s">
        <v>97</v>
      </c>
    </row>
    <row r="1238" spans="1:10" x14ac:dyDescent="0.3">
      <c r="A1238" s="2" t="s">
        <v>104</v>
      </c>
      <c r="B1238" s="2" t="s">
        <v>90</v>
      </c>
      <c r="C1238" s="2">
        <v>31981</v>
      </c>
      <c r="D1238" s="2">
        <v>42600</v>
      </c>
      <c r="E1238" s="3">
        <v>46042</v>
      </c>
      <c r="F1238" s="3">
        <v>46295</v>
      </c>
      <c r="G1238" s="4">
        <v>7250</v>
      </c>
      <c r="H1238" s="2">
        <v>0</v>
      </c>
      <c r="I1238" s="2" t="s">
        <v>531</v>
      </c>
      <c r="J1238" s="2" t="s">
        <v>97</v>
      </c>
    </row>
    <row r="1239" spans="1:10" x14ac:dyDescent="0.3">
      <c r="A1239" s="2" t="s">
        <v>108</v>
      </c>
      <c r="B1239" s="2" t="s">
        <v>90</v>
      </c>
      <c r="C1239" s="2">
        <v>32008</v>
      </c>
      <c r="D1239" s="2">
        <v>42627</v>
      </c>
      <c r="E1239" s="3">
        <v>46042</v>
      </c>
      <c r="F1239" s="3">
        <v>46295</v>
      </c>
      <c r="G1239" s="4">
        <v>11450</v>
      </c>
      <c r="H1239" s="2">
        <v>0</v>
      </c>
      <c r="I1239" s="2" t="s">
        <v>541</v>
      </c>
      <c r="J1239" s="2" t="s">
        <v>92</v>
      </c>
    </row>
    <row r="1240" spans="1:10" x14ac:dyDescent="0.3">
      <c r="A1240" s="2" t="s">
        <v>89</v>
      </c>
      <c r="B1240" s="2" t="s">
        <v>90</v>
      </c>
      <c r="C1240" s="2">
        <v>32009</v>
      </c>
      <c r="D1240" s="2">
        <v>42628</v>
      </c>
      <c r="E1240" s="3">
        <v>46042</v>
      </c>
      <c r="F1240" s="3">
        <v>46295</v>
      </c>
      <c r="G1240" s="4">
        <v>14500</v>
      </c>
      <c r="H1240" s="2">
        <v>0</v>
      </c>
      <c r="I1240" s="2" t="s">
        <v>542</v>
      </c>
      <c r="J1240" s="2" t="s">
        <v>92</v>
      </c>
    </row>
    <row r="1241" spans="1:10" x14ac:dyDescent="0.3">
      <c r="A1241" s="2" t="s">
        <v>93</v>
      </c>
      <c r="B1241" s="2" t="s">
        <v>90</v>
      </c>
      <c r="C1241" s="2">
        <v>32010</v>
      </c>
      <c r="D1241" s="2">
        <v>42629</v>
      </c>
      <c r="E1241" s="3">
        <v>46042</v>
      </c>
      <c r="F1241" s="3">
        <v>46295</v>
      </c>
      <c r="G1241" s="4">
        <v>7250</v>
      </c>
      <c r="H1241" s="2">
        <v>0</v>
      </c>
      <c r="I1241" s="2" t="s">
        <v>94</v>
      </c>
      <c r="J1241" s="2" t="s">
        <v>92</v>
      </c>
    </row>
    <row r="1242" spans="1:10" x14ac:dyDescent="0.3">
      <c r="A1242" s="2" t="s">
        <v>98</v>
      </c>
      <c r="B1242" s="2" t="s">
        <v>90</v>
      </c>
      <c r="C1242" s="2">
        <v>32011</v>
      </c>
      <c r="D1242" s="2">
        <v>42630</v>
      </c>
      <c r="E1242" s="3">
        <v>46042</v>
      </c>
      <c r="F1242" s="3">
        <v>46295</v>
      </c>
      <c r="G1242" s="4">
        <v>29000</v>
      </c>
      <c r="H1242" s="2">
        <v>0</v>
      </c>
      <c r="I1242" s="2" t="s">
        <v>543</v>
      </c>
      <c r="J1242" s="2" t="s">
        <v>92</v>
      </c>
    </row>
    <row r="1243" spans="1:10" x14ac:dyDescent="0.3">
      <c r="A1243" s="2" t="s">
        <v>453</v>
      </c>
      <c r="B1243" s="2" t="s">
        <v>454</v>
      </c>
      <c r="C1243" s="2">
        <v>32033</v>
      </c>
      <c r="D1243" s="2">
        <v>42659</v>
      </c>
      <c r="E1243" s="3">
        <v>46044</v>
      </c>
      <c r="F1243" s="3">
        <v>46295</v>
      </c>
      <c r="G1243" s="4">
        <v>56248</v>
      </c>
      <c r="H1243" s="2">
        <v>0</v>
      </c>
      <c r="I1243" s="2" t="s">
        <v>502</v>
      </c>
      <c r="J1243" s="2" t="s">
        <v>298</v>
      </c>
    </row>
    <row r="1244" spans="1:10" x14ac:dyDescent="0.3">
      <c r="A1244" s="2" t="s">
        <v>554</v>
      </c>
      <c r="B1244" s="2" t="s">
        <v>555</v>
      </c>
      <c r="C1244" s="2">
        <v>32071</v>
      </c>
      <c r="D1244" s="2">
        <v>42699</v>
      </c>
      <c r="E1244" s="3">
        <v>46045</v>
      </c>
      <c r="F1244" s="3">
        <v>46295</v>
      </c>
      <c r="G1244" s="4">
        <v>169500</v>
      </c>
      <c r="H1244" s="2">
        <v>0</v>
      </c>
      <c r="I1244" s="2" t="s">
        <v>556</v>
      </c>
      <c r="J1244" s="2" t="s">
        <v>50</v>
      </c>
    </row>
    <row r="1245" spans="1:10" x14ac:dyDescent="0.3">
      <c r="A1245" s="2" t="s">
        <v>453</v>
      </c>
      <c r="B1245" s="2" t="s">
        <v>454</v>
      </c>
      <c r="C1245" s="2">
        <v>32094</v>
      </c>
      <c r="D1245" s="2">
        <v>42726</v>
      </c>
      <c r="E1245" s="3">
        <v>46049</v>
      </c>
      <c r="F1245" s="3">
        <v>46295</v>
      </c>
      <c r="G1245" s="4">
        <v>112200</v>
      </c>
      <c r="H1245" s="2">
        <v>0</v>
      </c>
      <c r="I1245" s="2" t="s">
        <v>502</v>
      </c>
      <c r="J1245" s="2" t="s">
        <v>298</v>
      </c>
    </row>
    <row r="1246" spans="1:10" x14ac:dyDescent="0.3">
      <c r="A1246" s="2" t="s">
        <v>453</v>
      </c>
      <c r="B1246" s="2" t="s">
        <v>454</v>
      </c>
      <c r="C1246" s="2">
        <v>32095</v>
      </c>
      <c r="D1246" s="2">
        <v>42727</v>
      </c>
      <c r="E1246" s="3">
        <v>46049</v>
      </c>
      <c r="F1246" s="3">
        <v>46295</v>
      </c>
      <c r="G1246" s="4">
        <v>270648</v>
      </c>
      <c r="H1246" s="2">
        <v>0</v>
      </c>
      <c r="I1246" s="2" t="s">
        <v>502</v>
      </c>
      <c r="J1246" s="2" t="s">
        <v>298</v>
      </c>
    </row>
    <row r="1247" spans="1:10" x14ac:dyDescent="0.3">
      <c r="A1247" s="2" t="s">
        <v>39</v>
      </c>
      <c r="B1247" s="2" t="s">
        <v>40</v>
      </c>
      <c r="C1247" s="2">
        <v>32173</v>
      </c>
      <c r="D1247" s="2">
        <v>42797</v>
      </c>
      <c r="E1247" s="3">
        <v>46052</v>
      </c>
      <c r="F1247" s="3">
        <v>46295</v>
      </c>
      <c r="G1247" s="4">
        <v>380443</v>
      </c>
      <c r="H1247" s="2">
        <v>0</v>
      </c>
      <c r="I1247" s="2" t="s">
        <v>41</v>
      </c>
      <c r="J1247" s="2" t="s">
        <v>42</v>
      </c>
    </row>
    <row r="1248" spans="1:10" x14ac:dyDescent="0.3">
      <c r="A1248" s="2" t="s">
        <v>118</v>
      </c>
      <c r="B1248" s="2" t="s">
        <v>119</v>
      </c>
      <c r="C1248" s="2">
        <v>32201</v>
      </c>
      <c r="D1248" s="2">
        <v>42834</v>
      </c>
      <c r="E1248" s="3">
        <v>46058</v>
      </c>
      <c r="F1248" s="3">
        <v>46295</v>
      </c>
      <c r="G1248" s="4">
        <v>3480</v>
      </c>
      <c r="H1248" s="2">
        <v>0</v>
      </c>
      <c r="I1248" s="2" t="s">
        <v>597</v>
      </c>
      <c r="J1248" s="2" t="s">
        <v>46</v>
      </c>
    </row>
    <row r="1249" spans="1:10" x14ac:dyDescent="0.3">
      <c r="A1249" s="2" t="s">
        <v>118</v>
      </c>
      <c r="B1249" s="2" t="s">
        <v>119</v>
      </c>
      <c r="C1249" s="2">
        <v>32202</v>
      </c>
      <c r="D1249" s="2">
        <v>42835</v>
      </c>
      <c r="E1249" s="3">
        <v>46058</v>
      </c>
      <c r="F1249" s="3">
        <v>46295</v>
      </c>
      <c r="G1249" s="4">
        <v>101710</v>
      </c>
      <c r="H1249" s="2">
        <v>0</v>
      </c>
      <c r="I1249" s="2" t="s">
        <v>597</v>
      </c>
      <c r="J1249" s="2" t="s">
        <v>46</v>
      </c>
    </row>
    <row r="1250" spans="1:10" x14ac:dyDescent="0.3">
      <c r="A1250" s="2" t="s">
        <v>229</v>
      </c>
      <c r="B1250" s="2" t="s">
        <v>230</v>
      </c>
      <c r="C1250" s="2">
        <v>32203</v>
      </c>
      <c r="D1250" s="2">
        <v>42836</v>
      </c>
      <c r="E1250" s="3">
        <v>46058</v>
      </c>
      <c r="F1250" s="3">
        <v>46295</v>
      </c>
      <c r="G1250" s="4">
        <v>173400</v>
      </c>
      <c r="H1250" s="2">
        <v>0</v>
      </c>
      <c r="I1250" s="2" t="s">
        <v>598</v>
      </c>
      <c r="J1250" s="2" t="s">
        <v>46</v>
      </c>
    </row>
    <row r="1251" spans="1:10" x14ac:dyDescent="0.3">
      <c r="A1251" s="2" t="s">
        <v>152</v>
      </c>
      <c r="B1251" s="2" t="s">
        <v>153</v>
      </c>
      <c r="C1251" s="2">
        <v>32207</v>
      </c>
      <c r="D1251" s="2">
        <v>42840</v>
      </c>
      <c r="E1251" s="3">
        <v>46058</v>
      </c>
      <c r="F1251" s="3">
        <v>46295</v>
      </c>
      <c r="G1251" s="4">
        <v>8346</v>
      </c>
      <c r="H1251" s="2">
        <v>0</v>
      </c>
      <c r="I1251" s="2" t="s">
        <v>602</v>
      </c>
      <c r="J1251" s="2" t="s">
        <v>92</v>
      </c>
    </row>
    <row r="1252" spans="1:10" x14ac:dyDescent="0.3">
      <c r="A1252" s="2" t="s">
        <v>353</v>
      </c>
      <c r="B1252" s="2" t="s">
        <v>354</v>
      </c>
      <c r="C1252" s="2">
        <v>32220</v>
      </c>
      <c r="D1252" s="2">
        <v>42856</v>
      </c>
      <c r="E1252" s="3">
        <v>46059</v>
      </c>
      <c r="F1252" s="3">
        <v>46295</v>
      </c>
      <c r="G1252" s="4">
        <v>5482.4</v>
      </c>
      <c r="H1252" s="2">
        <v>0</v>
      </c>
      <c r="I1252" s="2" t="s">
        <v>607</v>
      </c>
      <c r="J1252" s="2" t="s">
        <v>146</v>
      </c>
    </row>
    <row r="1253" spans="1:10" x14ac:dyDescent="0.3">
      <c r="A1253" s="2" t="s">
        <v>703</v>
      </c>
      <c r="B1253" s="2" t="s">
        <v>704</v>
      </c>
      <c r="C1253" s="2">
        <v>32379</v>
      </c>
      <c r="D1253" s="2">
        <v>43042</v>
      </c>
      <c r="E1253" s="3">
        <v>46077</v>
      </c>
      <c r="F1253" s="3">
        <v>46295</v>
      </c>
      <c r="G1253" s="4">
        <v>40000</v>
      </c>
      <c r="H1253" s="2">
        <v>0</v>
      </c>
      <c r="I1253" s="2" t="s">
        <v>705</v>
      </c>
      <c r="J1253" s="2" t="s">
        <v>42</v>
      </c>
    </row>
    <row r="1254" spans="1:10" x14ac:dyDescent="0.3">
      <c r="A1254" s="2" t="s">
        <v>179</v>
      </c>
      <c r="B1254" s="2" t="s">
        <v>180</v>
      </c>
      <c r="C1254" s="2">
        <v>32381</v>
      </c>
      <c r="D1254" s="2">
        <v>43044</v>
      </c>
      <c r="E1254" s="3">
        <v>46077</v>
      </c>
      <c r="F1254" s="3">
        <v>46295</v>
      </c>
      <c r="G1254" s="4">
        <v>150360</v>
      </c>
      <c r="H1254" s="2">
        <v>0</v>
      </c>
      <c r="I1254" s="2" t="s">
        <v>401</v>
      </c>
      <c r="J1254" s="2" t="s">
        <v>42</v>
      </c>
    </row>
    <row r="1255" spans="1:10" x14ac:dyDescent="0.3">
      <c r="A1255" s="2" t="s">
        <v>229</v>
      </c>
      <c r="B1255" s="2" t="s">
        <v>230</v>
      </c>
      <c r="C1255" s="2">
        <v>32382</v>
      </c>
      <c r="D1255" s="2">
        <v>43047</v>
      </c>
      <c r="E1255" s="3">
        <v>46077</v>
      </c>
      <c r="F1255" s="3">
        <v>46295</v>
      </c>
      <c r="G1255" s="4">
        <v>4040</v>
      </c>
      <c r="H1255" s="2">
        <v>0</v>
      </c>
      <c r="I1255" s="2" t="s">
        <v>598</v>
      </c>
      <c r="J1255" s="2" t="s">
        <v>46</v>
      </c>
    </row>
    <row r="1256" spans="1:10" x14ac:dyDescent="0.3">
      <c r="A1256" s="2" t="s">
        <v>229</v>
      </c>
      <c r="B1256" s="2" t="s">
        <v>230</v>
      </c>
      <c r="C1256" s="2">
        <v>32384</v>
      </c>
      <c r="D1256" s="2">
        <v>43049</v>
      </c>
      <c r="E1256" s="3">
        <v>46077</v>
      </c>
      <c r="F1256" s="3">
        <v>46295</v>
      </c>
      <c r="G1256" s="4">
        <v>39050</v>
      </c>
      <c r="H1256" s="2">
        <v>0</v>
      </c>
      <c r="I1256" s="2" t="s">
        <v>598</v>
      </c>
      <c r="J1256" s="2" t="s">
        <v>46</v>
      </c>
    </row>
    <row r="1257" spans="1:10" x14ac:dyDescent="0.3">
      <c r="A1257" s="2" t="s">
        <v>483</v>
      </c>
      <c r="B1257" s="2" t="s">
        <v>484</v>
      </c>
      <c r="C1257" s="2">
        <v>32438</v>
      </c>
      <c r="D1257" s="2">
        <v>43101</v>
      </c>
      <c r="E1257" s="3">
        <v>46079</v>
      </c>
      <c r="F1257" s="3">
        <v>46295</v>
      </c>
      <c r="G1257" s="4">
        <v>27650.400000000001</v>
      </c>
      <c r="H1257" s="2">
        <v>0</v>
      </c>
      <c r="I1257" s="2" t="s">
        <v>485</v>
      </c>
      <c r="J1257" s="2" t="s">
        <v>66</v>
      </c>
    </row>
    <row r="1258" spans="1:10" x14ac:dyDescent="0.3">
      <c r="A1258" s="2" t="s">
        <v>554</v>
      </c>
      <c r="B1258" s="2" t="s">
        <v>555</v>
      </c>
      <c r="C1258" s="2">
        <v>32439</v>
      </c>
      <c r="D1258" s="2">
        <v>43102</v>
      </c>
      <c r="E1258" s="3">
        <v>46079</v>
      </c>
      <c r="F1258" s="3">
        <v>46295</v>
      </c>
      <c r="G1258" s="4">
        <v>18894</v>
      </c>
      <c r="H1258" s="2">
        <v>0</v>
      </c>
      <c r="I1258" s="2" t="s">
        <v>556</v>
      </c>
      <c r="J1258" s="2" t="s">
        <v>50</v>
      </c>
    </row>
    <row r="1259" spans="1:10" x14ac:dyDescent="0.3">
      <c r="A1259" s="2" t="s">
        <v>219</v>
      </c>
      <c r="B1259" s="2" t="s">
        <v>220</v>
      </c>
      <c r="C1259" s="2">
        <v>32441</v>
      </c>
      <c r="D1259" s="2">
        <v>43104</v>
      </c>
      <c r="E1259" s="3">
        <v>46079</v>
      </c>
      <c r="F1259" s="3">
        <v>46295</v>
      </c>
      <c r="G1259" s="4">
        <v>62225</v>
      </c>
      <c r="H1259" s="2">
        <v>0</v>
      </c>
      <c r="I1259" s="2" t="s">
        <v>326</v>
      </c>
      <c r="J1259" s="2" t="s">
        <v>66</v>
      </c>
    </row>
    <row r="1260" spans="1:10" x14ac:dyDescent="0.3">
      <c r="A1260" s="2" t="s">
        <v>524</v>
      </c>
      <c r="B1260" s="2" t="s">
        <v>525</v>
      </c>
      <c r="C1260" s="2">
        <v>32472</v>
      </c>
      <c r="D1260" s="2">
        <v>43138</v>
      </c>
      <c r="E1260" s="3">
        <v>46080</v>
      </c>
      <c r="F1260" s="3">
        <v>46295</v>
      </c>
      <c r="G1260" s="4">
        <v>3970</v>
      </c>
      <c r="H1260" s="2">
        <v>0</v>
      </c>
      <c r="I1260" s="2" t="s">
        <v>746</v>
      </c>
      <c r="J1260" s="2" t="s">
        <v>26</v>
      </c>
    </row>
    <row r="1261" spans="1:10" x14ac:dyDescent="0.3">
      <c r="A1261" s="2" t="s">
        <v>703</v>
      </c>
      <c r="B1261" s="2" t="s">
        <v>704</v>
      </c>
      <c r="C1261" s="2">
        <v>32576</v>
      </c>
      <c r="D1261" s="2">
        <v>43250</v>
      </c>
      <c r="E1261" s="3">
        <v>46094</v>
      </c>
      <c r="F1261" s="3">
        <v>46295</v>
      </c>
      <c r="G1261" s="4">
        <v>40000</v>
      </c>
      <c r="H1261" s="2">
        <v>0</v>
      </c>
      <c r="I1261" s="2" t="s">
        <v>705</v>
      </c>
      <c r="J1261" s="2" t="s">
        <v>42</v>
      </c>
    </row>
    <row r="1262" spans="1:10" x14ac:dyDescent="0.3">
      <c r="A1262" s="2" t="s">
        <v>98</v>
      </c>
      <c r="B1262" s="2" t="s">
        <v>90</v>
      </c>
      <c r="C1262" s="2">
        <v>32698</v>
      </c>
      <c r="D1262" s="2">
        <v>43352</v>
      </c>
      <c r="E1262" s="3">
        <v>46101</v>
      </c>
      <c r="F1262" s="3">
        <v>46295</v>
      </c>
      <c r="G1262" s="4">
        <v>20032</v>
      </c>
      <c r="H1262" s="2">
        <v>0</v>
      </c>
      <c r="I1262" s="2" t="s">
        <v>855</v>
      </c>
      <c r="J1262" s="2" t="s">
        <v>92</v>
      </c>
    </row>
    <row r="1263" spans="1:10" x14ac:dyDescent="0.3">
      <c r="A1263" s="2" t="s">
        <v>453</v>
      </c>
      <c r="B1263" s="2" t="s">
        <v>454</v>
      </c>
      <c r="C1263" s="2">
        <v>32726</v>
      </c>
      <c r="D1263" s="2">
        <v>43381</v>
      </c>
      <c r="E1263" s="3">
        <v>46105</v>
      </c>
      <c r="F1263" s="3">
        <v>46295</v>
      </c>
      <c r="G1263" s="4">
        <v>77200</v>
      </c>
      <c r="H1263" s="2">
        <v>0</v>
      </c>
      <c r="I1263" s="2" t="s">
        <v>874</v>
      </c>
      <c r="J1263" s="2" t="s">
        <v>298</v>
      </c>
    </row>
    <row r="1264" spans="1:10" x14ac:dyDescent="0.3">
      <c r="A1264" s="2" t="s">
        <v>106</v>
      </c>
      <c r="B1264" s="2" t="s">
        <v>90</v>
      </c>
      <c r="C1264" s="2">
        <v>33003</v>
      </c>
      <c r="D1264" s="2">
        <v>43652</v>
      </c>
      <c r="E1264" s="3">
        <v>46135</v>
      </c>
      <c r="F1264" s="3">
        <v>46295</v>
      </c>
      <c r="G1264" s="4">
        <v>23740</v>
      </c>
      <c r="H1264" s="2">
        <v>0</v>
      </c>
      <c r="I1264" s="2" t="s">
        <v>1050</v>
      </c>
      <c r="J1264" s="2" t="s">
        <v>97</v>
      </c>
    </row>
    <row r="1265" spans="1:10" x14ac:dyDescent="0.3">
      <c r="A1265" s="2" t="s">
        <v>532</v>
      </c>
      <c r="B1265" s="2" t="s">
        <v>533</v>
      </c>
      <c r="C1265" s="2">
        <v>33159</v>
      </c>
      <c r="D1265" s="2">
        <v>43800</v>
      </c>
      <c r="E1265" s="3">
        <v>46155</v>
      </c>
      <c r="F1265" s="3">
        <v>46295</v>
      </c>
      <c r="G1265" s="4">
        <v>10692.42</v>
      </c>
      <c r="H1265" s="2">
        <v>0</v>
      </c>
      <c r="I1265" s="2" t="s">
        <v>1152</v>
      </c>
      <c r="J1265" s="2" t="s">
        <v>535</v>
      </c>
    </row>
    <row r="1266" spans="1:10" x14ac:dyDescent="0.3">
      <c r="A1266" s="2" t="s">
        <v>561</v>
      </c>
      <c r="B1266" s="2" t="s">
        <v>562</v>
      </c>
      <c r="C1266" s="2">
        <v>33202</v>
      </c>
      <c r="D1266" s="2">
        <v>43848</v>
      </c>
      <c r="E1266" s="3">
        <v>46163</v>
      </c>
      <c r="F1266" s="3">
        <v>46295</v>
      </c>
      <c r="G1266" s="4">
        <v>352467.36</v>
      </c>
      <c r="H1266" s="2">
        <v>0</v>
      </c>
      <c r="I1266" s="2" t="s">
        <v>1185</v>
      </c>
      <c r="J1266" s="2" t="s">
        <v>563</v>
      </c>
    </row>
    <row r="1267" spans="1:10" x14ac:dyDescent="0.3">
      <c r="A1267" s="2" t="s">
        <v>229</v>
      </c>
      <c r="B1267" s="2" t="s">
        <v>230</v>
      </c>
      <c r="C1267" s="2">
        <v>33240</v>
      </c>
      <c r="D1267" s="2">
        <v>43889</v>
      </c>
      <c r="E1267" s="3">
        <v>46169</v>
      </c>
      <c r="F1267" s="3">
        <v>46295</v>
      </c>
      <c r="G1267" s="4">
        <v>307740</v>
      </c>
      <c r="H1267" s="2">
        <v>0</v>
      </c>
      <c r="I1267" s="2" t="s">
        <v>1215</v>
      </c>
      <c r="J1267" s="2" t="s">
        <v>46</v>
      </c>
    </row>
    <row r="1268" spans="1:10" x14ac:dyDescent="0.3">
      <c r="A1268" s="2" t="s">
        <v>257</v>
      </c>
      <c r="B1268" s="2" t="s">
        <v>258</v>
      </c>
      <c r="C1268" s="2">
        <v>33070</v>
      </c>
      <c r="D1268" s="2">
        <v>43715</v>
      </c>
      <c r="E1268" s="3">
        <v>46146</v>
      </c>
      <c r="F1268" s="3">
        <v>46296</v>
      </c>
      <c r="G1268" s="4">
        <v>3535.36</v>
      </c>
      <c r="H1268" s="2">
        <v>0</v>
      </c>
      <c r="I1268" s="2" t="s">
        <v>1089</v>
      </c>
      <c r="J1268" s="2" t="s">
        <v>260</v>
      </c>
    </row>
    <row r="1269" spans="1:10" x14ac:dyDescent="0.3">
      <c r="A1269" s="2" t="s">
        <v>557</v>
      </c>
      <c r="B1269" s="2" t="s">
        <v>558</v>
      </c>
      <c r="C1269" s="2">
        <v>33071</v>
      </c>
      <c r="D1269" s="2">
        <v>43716</v>
      </c>
      <c r="E1269" s="3">
        <v>46146</v>
      </c>
      <c r="F1269" s="3">
        <v>46296</v>
      </c>
      <c r="G1269" s="4">
        <v>10831</v>
      </c>
      <c r="H1269" s="2">
        <v>0</v>
      </c>
      <c r="I1269" s="2" t="s">
        <v>1090</v>
      </c>
      <c r="J1269" s="2" t="s">
        <v>19</v>
      </c>
    </row>
    <row r="1270" spans="1:10" x14ac:dyDescent="0.3">
      <c r="A1270" s="2" t="s">
        <v>1096</v>
      </c>
      <c r="B1270" s="2" t="s">
        <v>1097</v>
      </c>
      <c r="C1270" s="2">
        <v>33178</v>
      </c>
      <c r="D1270" s="2">
        <v>43825</v>
      </c>
      <c r="E1270" s="3">
        <v>46160</v>
      </c>
      <c r="F1270" s="3">
        <v>46296</v>
      </c>
      <c r="G1270" s="4">
        <v>40652.5</v>
      </c>
      <c r="H1270" s="2">
        <v>0</v>
      </c>
      <c r="I1270" s="2" t="s">
        <v>1165</v>
      </c>
      <c r="J1270" s="2" t="s">
        <v>97</v>
      </c>
    </row>
    <row r="1271" spans="1:10" x14ac:dyDescent="0.3">
      <c r="A1271" s="2" t="s">
        <v>360</v>
      </c>
      <c r="B1271" s="2" t="s">
        <v>361</v>
      </c>
      <c r="C1271" s="2">
        <v>33074</v>
      </c>
      <c r="D1271" s="2">
        <v>43719</v>
      </c>
      <c r="E1271" s="3">
        <v>46147</v>
      </c>
      <c r="F1271" s="3">
        <v>46297</v>
      </c>
      <c r="G1271" s="2">
        <v>505.82</v>
      </c>
      <c r="H1271" s="2">
        <v>0</v>
      </c>
      <c r="I1271" s="2" t="s">
        <v>1092</v>
      </c>
      <c r="J1271" s="2" t="s">
        <v>92</v>
      </c>
    </row>
    <row r="1272" spans="1:10" x14ac:dyDescent="0.3">
      <c r="A1272" s="2" t="s">
        <v>110</v>
      </c>
      <c r="B1272" s="2" t="s">
        <v>90</v>
      </c>
      <c r="C1272" s="2">
        <v>33082</v>
      </c>
      <c r="D1272" s="2">
        <v>43727</v>
      </c>
      <c r="E1272" s="3">
        <v>46147</v>
      </c>
      <c r="F1272" s="3">
        <v>46297</v>
      </c>
      <c r="G1272" s="4">
        <v>4508</v>
      </c>
      <c r="H1272" s="2">
        <v>0</v>
      </c>
      <c r="I1272" s="2" t="s">
        <v>1102</v>
      </c>
      <c r="J1272" s="2" t="s">
        <v>97</v>
      </c>
    </row>
    <row r="1273" spans="1:10" x14ac:dyDescent="0.3">
      <c r="A1273" s="2" t="s">
        <v>807</v>
      </c>
      <c r="B1273" s="2" t="s">
        <v>808</v>
      </c>
      <c r="C1273" s="2">
        <v>32642</v>
      </c>
      <c r="D1273" s="2">
        <v>43296</v>
      </c>
      <c r="E1273" s="3">
        <v>46098</v>
      </c>
      <c r="F1273" s="3">
        <v>46298</v>
      </c>
      <c r="G1273" s="4">
        <v>11725.88</v>
      </c>
      <c r="H1273" s="2">
        <v>0</v>
      </c>
      <c r="I1273" s="2" t="s">
        <v>810</v>
      </c>
      <c r="J1273" s="2" t="s">
        <v>92</v>
      </c>
    </row>
    <row r="1274" spans="1:10" x14ac:dyDescent="0.3">
      <c r="A1274" s="2" t="s">
        <v>608</v>
      </c>
      <c r="B1274" s="2" t="s">
        <v>609</v>
      </c>
      <c r="C1274" s="2">
        <v>33262</v>
      </c>
      <c r="D1274" s="2">
        <v>43910</v>
      </c>
      <c r="E1274" s="3">
        <v>46170</v>
      </c>
      <c r="F1274" s="3">
        <v>46299</v>
      </c>
      <c r="G1274" s="4">
        <v>291300.47999999998</v>
      </c>
      <c r="H1274" s="2">
        <v>0</v>
      </c>
      <c r="I1274" s="2" t="s">
        <v>1237</v>
      </c>
      <c r="J1274" s="2" t="s">
        <v>563</v>
      </c>
    </row>
    <row r="1275" spans="1:10" x14ac:dyDescent="0.3">
      <c r="A1275" s="2" t="s">
        <v>490</v>
      </c>
      <c r="B1275" s="2" t="s">
        <v>303</v>
      </c>
      <c r="C1275" s="2">
        <v>31883</v>
      </c>
      <c r="D1275" s="2">
        <v>42474</v>
      </c>
      <c r="E1275" s="3">
        <v>46030</v>
      </c>
      <c r="F1275" s="3">
        <v>46300</v>
      </c>
      <c r="G1275" s="4">
        <v>20092.64</v>
      </c>
      <c r="H1275" s="2">
        <v>0</v>
      </c>
      <c r="I1275" s="2" t="s">
        <v>491</v>
      </c>
      <c r="J1275" s="2" t="s">
        <v>92</v>
      </c>
    </row>
    <row r="1276" spans="1:10" x14ac:dyDescent="0.3">
      <c r="A1276" s="2" t="s">
        <v>315</v>
      </c>
      <c r="B1276" s="2" t="s">
        <v>316</v>
      </c>
      <c r="C1276" s="2">
        <v>32531</v>
      </c>
      <c r="D1276" s="2">
        <v>43207</v>
      </c>
      <c r="E1276" s="3">
        <v>46090</v>
      </c>
      <c r="F1276" s="3">
        <v>46300</v>
      </c>
      <c r="G1276" s="4">
        <v>13860</v>
      </c>
      <c r="H1276" s="2">
        <v>0</v>
      </c>
      <c r="I1276" s="2" t="s">
        <v>774</v>
      </c>
      <c r="J1276" s="2" t="s">
        <v>318</v>
      </c>
    </row>
    <row r="1277" spans="1:10" x14ac:dyDescent="0.3">
      <c r="A1277" s="2" t="s">
        <v>740</v>
      </c>
      <c r="B1277" s="2" t="s">
        <v>727</v>
      </c>
      <c r="C1277" s="2">
        <v>33092</v>
      </c>
      <c r="D1277" s="2">
        <v>43738</v>
      </c>
      <c r="E1277" s="3">
        <v>46149</v>
      </c>
      <c r="F1277" s="3">
        <v>46300</v>
      </c>
      <c r="G1277" s="4">
        <v>4000</v>
      </c>
      <c r="H1277" s="2">
        <v>0</v>
      </c>
      <c r="I1277" s="2" t="s">
        <v>1108</v>
      </c>
      <c r="J1277" s="2" t="s">
        <v>394</v>
      </c>
    </row>
    <row r="1278" spans="1:10" x14ac:dyDescent="0.3">
      <c r="A1278" s="2" t="s">
        <v>740</v>
      </c>
      <c r="B1278" s="2" t="s">
        <v>727</v>
      </c>
      <c r="C1278" s="2">
        <v>33093</v>
      </c>
      <c r="D1278" s="2">
        <v>43739</v>
      </c>
      <c r="E1278" s="3">
        <v>46149</v>
      </c>
      <c r="F1278" s="3">
        <v>46300</v>
      </c>
      <c r="G1278" s="4">
        <v>51950.1</v>
      </c>
      <c r="H1278" s="2">
        <v>0</v>
      </c>
      <c r="I1278" s="2" t="s">
        <v>1109</v>
      </c>
      <c r="J1278" s="2" t="s">
        <v>394</v>
      </c>
    </row>
    <row r="1279" spans="1:10" x14ac:dyDescent="0.3">
      <c r="A1279" s="2" t="s">
        <v>729</v>
      </c>
      <c r="B1279" s="2" t="s">
        <v>727</v>
      </c>
      <c r="C1279" s="2">
        <v>33094</v>
      </c>
      <c r="D1279" s="2">
        <v>43740</v>
      </c>
      <c r="E1279" s="3">
        <v>46149</v>
      </c>
      <c r="F1279" s="3">
        <v>46300</v>
      </c>
      <c r="G1279" s="4">
        <v>57519.94</v>
      </c>
      <c r="H1279" s="2">
        <v>0</v>
      </c>
      <c r="I1279" s="2" t="s">
        <v>1110</v>
      </c>
      <c r="J1279" s="2" t="s">
        <v>394</v>
      </c>
    </row>
    <row r="1280" spans="1:10" x14ac:dyDescent="0.3">
      <c r="A1280" s="2" t="s">
        <v>729</v>
      </c>
      <c r="B1280" s="2" t="s">
        <v>727</v>
      </c>
      <c r="C1280" s="2">
        <v>33095</v>
      </c>
      <c r="D1280" s="2">
        <v>43741</v>
      </c>
      <c r="E1280" s="3">
        <v>46149</v>
      </c>
      <c r="F1280" s="3">
        <v>46300</v>
      </c>
      <c r="G1280" s="4">
        <v>47500.1</v>
      </c>
      <c r="H1280" s="2">
        <v>0</v>
      </c>
      <c r="I1280" s="2" t="s">
        <v>1111</v>
      </c>
      <c r="J1280" s="2" t="s">
        <v>394</v>
      </c>
    </row>
    <row r="1281" spans="1:10" x14ac:dyDescent="0.3">
      <c r="A1281" s="2" t="s">
        <v>740</v>
      </c>
      <c r="B1281" s="2" t="s">
        <v>727</v>
      </c>
      <c r="C1281" s="2">
        <v>33110</v>
      </c>
      <c r="D1281" s="2">
        <v>43755</v>
      </c>
      <c r="E1281" s="3">
        <v>46150</v>
      </c>
      <c r="F1281" s="3">
        <v>46300</v>
      </c>
      <c r="G1281" s="4">
        <v>2280</v>
      </c>
      <c r="H1281" s="2">
        <v>0</v>
      </c>
      <c r="I1281" s="2" t="s">
        <v>1119</v>
      </c>
      <c r="J1281" s="2" t="s">
        <v>394</v>
      </c>
    </row>
    <row r="1282" spans="1:10" x14ac:dyDescent="0.3">
      <c r="A1282" s="2" t="s">
        <v>440</v>
      </c>
      <c r="B1282" s="2" t="s">
        <v>441</v>
      </c>
      <c r="C1282" s="2">
        <v>33120</v>
      </c>
      <c r="D1282" s="2">
        <v>43765</v>
      </c>
      <c r="E1282" s="3">
        <v>46150</v>
      </c>
      <c r="F1282" s="3">
        <v>46300</v>
      </c>
      <c r="G1282" s="4">
        <v>4666.66</v>
      </c>
      <c r="H1282" s="2">
        <v>0</v>
      </c>
      <c r="I1282" s="2" t="s">
        <v>1127</v>
      </c>
      <c r="J1282" s="2" t="s">
        <v>417</v>
      </c>
    </row>
    <row r="1283" spans="1:10" x14ac:dyDescent="0.3">
      <c r="A1283" s="2" t="s">
        <v>440</v>
      </c>
      <c r="B1283" s="2" t="s">
        <v>441</v>
      </c>
      <c r="C1283" s="2">
        <v>33121</v>
      </c>
      <c r="D1283" s="2">
        <v>43766</v>
      </c>
      <c r="E1283" s="3">
        <v>46150</v>
      </c>
      <c r="F1283" s="3">
        <v>46300</v>
      </c>
      <c r="G1283" s="4">
        <v>16386.87</v>
      </c>
      <c r="H1283" s="2">
        <v>0</v>
      </c>
      <c r="I1283" s="2" t="s">
        <v>1128</v>
      </c>
      <c r="J1283" s="2" t="s">
        <v>417</v>
      </c>
    </row>
    <row r="1284" spans="1:10" x14ac:dyDescent="0.3">
      <c r="A1284" s="2" t="s">
        <v>440</v>
      </c>
      <c r="B1284" s="2" t="s">
        <v>441</v>
      </c>
      <c r="C1284" s="2">
        <v>33122</v>
      </c>
      <c r="D1284" s="2">
        <v>43767</v>
      </c>
      <c r="E1284" s="3">
        <v>46150</v>
      </c>
      <c r="F1284" s="3">
        <v>46300</v>
      </c>
      <c r="G1284" s="4">
        <v>15771.98</v>
      </c>
      <c r="H1284" s="2">
        <v>0</v>
      </c>
      <c r="I1284" s="2" t="s">
        <v>1129</v>
      </c>
      <c r="J1284" s="2" t="s">
        <v>417</v>
      </c>
    </row>
    <row r="1285" spans="1:10" x14ac:dyDescent="0.3">
      <c r="A1285" s="2" t="s">
        <v>396</v>
      </c>
      <c r="B1285" s="2" t="s">
        <v>392</v>
      </c>
      <c r="C1285" s="2">
        <v>32894</v>
      </c>
      <c r="D1285" s="2">
        <v>43549</v>
      </c>
      <c r="E1285" s="3">
        <v>46121</v>
      </c>
      <c r="F1285" s="3">
        <v>46301</v>
      </c>
      <c r="G1285" s="4">
        <v>201600</v>
      </c>
      <c r="H1285" s="2">
        <v>0</v>
      </c>
      <c r="I1285" s="2" t="s">
        <v>979</v>
      </c>
      <c r="J1285" s="2" t="s">
        <v>394</v>
      </c>
    </row>
    <row r="1286" spans="1:10" x14ac:dyDescent="0.3">
      <c r="A1286" s="2" t="s">
        <v>396</v>
      </c>
      <c r="B1286" s="2" t="s">
        <v>392</v>
      </c>
      <c r="C1286" s="2">
        <v>32896</v>
      </c>
      <c r="D1286" s="2">
        <v>43551</v>
      </c>
      <c r="E1286" s="3">
        <v>46121</v>
      </c>
      <c r="F1286" s="3">
        <v>46301</v>
      </c>
      <c r="G1286" s="4">
        <v>16775.7</v>
      </c>
      <c r="H1286" s="2">
        <v>0</v>
      </c>
      <c r="I1286" s="2" t="s">
        <v>981</v>
      </c>
      <c r="J1286" s="2" t="s">
        <v>394</v>
      </c>
    </row>
    <row r="1287" spans="1:10" x14ac:dyDescent="0.3">
      <c r="A1287" s="2" t="s">
        <v>271</v>
      </c>
      <c r="B1287" s="2" t="s">
        <v>272</v>
      </c>
      <c r="C1287" s="2">
        <v>32559</v>
      </c>
      <c r="D1287" s="2">
        <v>43236</v>
      </c>
      <c r="E1287" s="3">
        <v>46092</v>
      </c>
      <c r="F1287" s="3">
        <v>46302</v>
      </c>
      <c r="G1287" s="4">
        <v>20300</v>
      </c>
      <c r="H1287" s="2">
        <v>0</v>
      </c>
      <c r="I1287" s="2" t="s">
        <v>329</v>
      </c>
      <c r="J1287" s="2" t="s">
        <v>238</v>
      </c>
    </row>
    <row r="1288" spans="1:10" x14ac:dyDescent="0.3">
      <c r="A1288" s="2" t="s">
        <v>886</v>
      </c>
      <c r="B1288" s="2" t="s">
        <v>415</v>
      </c>
      <c r="C1288" s="2">
        <v>32743</v>
      </c>
      <c r="D1288" s="2">
        <v>43401</v>
      </c>
      <c r="E1288" s="3">
        <v>46107</v>
      </c>
      <c r="F1288" s="3">
        <v>46302</v>
      </c>
      <c r="G1288" s="4">
        <v>31866.63</v>
      </c>
      <c r="H1288" s="2">
        <v>0</v>
      </c>
      <c r="I1288" s="2" t="s">
        <v>887</v>
      </c>
      <c r="J1288" s="2" t="s">
        <v>417</v>
      </c>
    </row>
    <row r="1289" spans="1:10" x14ac:dyDescent="0.3">
      <c r="A1289" s="2" t="s">
        <v>886</v>
      </c>
      <c r="B1289" s="2" t="s">
        <v>415</v>
      </c>
      <c r="C1289" s="2">
        <v>32744</v>
      </c>
      <c r="D1289" s="2">
        <v>43402</v>
      </c>
      <c r="E1289" s="3">
        <v>46107</v>
      </c>
      <c r="F1289" s="3">
        <v>46302</v>
      </c>
      <c r="G1289" s="2">
        <v>566.66999999999996</v>
      </c>
      <c r="H1289" s="2">
        <v>0</v>
      </c>
      <c r="I1289" s="2" t="s">
        <v>888</v>
      </c>
      <c r="J1289" s="2" t="s">
        <v>417</v>
      </c>
    </row>
    <row r="1290" spans="1:10" x14ac:dyDescent="0.3">
      <c r="A1290" s="2" t="s">
        <v>1136</v>
      </c>
      <c r="B1290" s="2" t="s">
        <v>1137</v>
      </c>
      <c r="C1290" s="2">
        <v>33134</v>
      </c>
      <c r="D1290" s="2">
        <v>43778</v>
      </c>
      <c r="E1290" s="3">
        <v>46153</v>
      </c>
      <c r="F1290" s="3">
        <v>46303</v>
      </c>
      <c r="G1290" s="4">
        <v>20480</v>
      </c>
      <c r="H1290" s="2">
        <v>0</v>
      </c>
      <c r="I1290" s="2" t="s">
        <v>1138</v>
      </c>
      <c r="J1290" s="2" t="s">
        <v>260</v>
      </c>
    </row>
    <row r="1291" spans="1:10" x14ac:dyDescent="0.3">
      <c r="A1291" s="2" t="s">
        <v>55</v>
      </c>
      <c r="B1291" s="2" t="s">
        <v>52</v>
      </c>
      <c r="C1291" s="2">
        <v>32029</v>
      </c>
      <c r="D1291" s="2">
        <v>42655</v>
      </c>
      <c r="E1291" s="3">
        <v>46044</v>
      </c>
      <c r="F1291" s="3">
        <v>46304</v>
      </c>
      <c r="G1291" s="4">
        <v>8640</v>
      </c>
      <c r="H1291" s="2">
        <v>0</v>
      </c>
      <c r="I1291" s="2" t="s">
        <v>56</v>
      </c>
      <c r="J1291" s="2" t="s">
        <v>54</v>
      </c>
    </row>
    <row r="1292" spans="1:10" x14ac:dyDescent="0.3">
      <c r="A1292" s="2" t="s">
        <v>336</v>
      </c>
      <c r="B1292" s="2" t="s">
        <v>337</v>
      </c>
      <c r="C1292" s="2">
        <v>33045</v>
      </c>
      <c r="D1292" s="2">
        <v>43695</v>
      </c>
      <c r="E1292" s="3">
        <v>46141</v>
      </c>
      <c r="F1292" s="3">
        <v>46304</v>
      </c>
      <c r="G1292" s="4">
        <v>26300</v>
      </c>
      <c r="H1292" s="2">
        <v>0</v>
      </c>
      <c r="I1292" s="2" t="s">
        <v>1078</v>
      </c>
      <c r="J1292" s="2" t="s">
        <v>339</v>
      </c>
    </row>
    <row r="1293" spans="1:10" x14ac:dyDescent="0.3">
      <c r="A1293" s="2" t="s">
        <v>357</v>
      </c>
      <c r="B1293" s="2" t="s">
        <v>358</v>
      </c>
      <c r="C1293" s="2">
        <v>33147</v>
      </c>
      <c r="D1293" s="2">
        <v>43790</v>
      </c>
      <c r="E1293" s="3">
        <v>46154</v>
      </c>
      <c r="F1293" s="3">
        <v>46304</v>
      </c>
      <c r="G1293" s="4">
        <v>79975.92</v>
      </c>
      <c r="H1293" s="2">
        <v>0</v>
      </c>
      <c r="I1293" s="2" t="s">
        <v>1145</v>
      </c>
      <c r="J1293" s="2" t="s">
        <v>260</v>
      </c>
    </row>
    <row r="1294" spans="1:10" x14ac:dyDescent="0.3">
      <c r="A1294" s="2" t="s">
        <v>357</v>
      </c>
      <c r="B1294" s="2" t="s">
        <v>358</v>
      </c>
      <c r="C1294" s="2">
        <v>33152</v>
      </c>
      <c r="D1294" s="2">
        <v>43794</v>
      </c>
      <c r="E1294" s="3">
        <v>46154</v>
      </c>
      <c r="F1294" s="3">
        <v>46304</v>
      </c>
      <c r="G1294" s="4">
        <v>36720</v>
      </c>
      <c r="H1294" s="2">
        <v>0</v>
      </c>
      <c r="I1294" s="2" t="s">
        <v>1148</v>
      </c>
      <c r="J1294" s="2" t="s">
        <v>260</v>
      </c>
    </row>
    <row r="1295" spans="1:10" x14ac:dyDescent="0.3">
      <c r="A1295" s="2" t="s">
        <v>804</v>
      </c>
      <c r="B1295" s="2" t="s">
        <v>805</v>
      </c>
      <c r="C1295" s="2">
        <v>32640</v>
      </c>
      <c r="D1295" s="2">
        <v>43294</v>
      </c>
      <c r="E1295" s="3">
        <v>46098</v>
      </c>
      <c r="F1295" s="3">
        <v>46308</v>
      </c>
      <c r="G1295" s="4">
        <v>23327.72</v>
      </c>
      <c r="H1295" s="2">
        <v>0</v>
      </c>
      <c r="I1295" s="2" t="s">
        <v>806</v>
      </c>
      <c r="J1295" s="2" t="s">
        <v>92</v>
      </c>
    </row>
    <row r="1296" spans="1:10" x14ac:dyDescent="0.3">
      <c r="A1296" s="2" t="s">
        <v>440</v>
      </c>
      <c r="B1296" s="2" t="s">
        <v>441</v>
      </c>
      <c r="C1296" s="2">
        <v>32914</v>
      </c>
      <c r="D1296" s="2">
        <v>43569</v>
      </c>
      <c r="E1296" s="3">
        <v>46125</v>
      </c>
      <c r="F1296" s="3">
        <v>46308</v>
      </c>
      <c r="G1296" s="4">
        <v>23646.400000000001</v>
      </c>
      <c r="H1296" s="2">
        <v>0</v>
      </c>
      <c r="I1296" s="2" t="s">
        <v>987</v>
      </c>
      <c r="J1296" s="2" t="s">
        <v>417</v>
      </c>
    </row>
    <row r="1297" spans="1:10" x14ac:dyDescent="0.3">
      <c r="A1297" s="2" t="s">
        <v>740</v>
      </c>
      <c r="B1297" s="2" t="s">
        <v>727</v>
      </c>
      <c r="C1297" s="2">
        <v>32916</v>
      </c>
      <c r="D1297" s="2">
        <v>43571</v>
      </c>
      <c r="E1297" s="3">
        <v>46125</v>
      </c>
      <c r="F1297" s="3">
        <v>46308</v>
      </c>
      <c r="G1297" s="4">
        <v>178260</v>
      </c>
      <c r="H1297" s="2">
        <v>0</v>
      </c>
      <c r="I1297" s="2" t="s">
        <v>989</v>
      </c>
      <c r="J1297" s="2" t="s">
        <v>394</v>
      </c>
    </row>
    <row r="1298" spans="1:10" x14ac:dyDescent="0.3">
      <c r="A1298" s="2" t="s">
        <v>440</v>
      </c>
      <c r="B1298" s="2" t="s">
        <v>441</v>
      </c>
      <c r="C1298" s="2">
        <v>32926</v>
      </c>
      <c r="D1298" s="2">
        <v>43581</v>
      </c>
      <c r="E1298" s="3">
        <v>46125</v>
      </c>
      <c r="F1298" s="3">
        <v>46308</v>
      </c>
      <c r="G1298" s="4">
        <v>13716.56</v>
      </c>
      <c r="H1298" s="2">
        <v>0</v>
      </c>
      <c r="I1298" s="2" t="s">
        <v>996</v>
      </c>
      <c r="J1298" s="2" t="s">
        <v>417</v>
      </c>
    </row>
    <row r="1299" spans="1:10" x14ac:dyDescent="0.3">
      <c r="A1299" s="2" t="s">
        <v>440</v>
      </c>
      <c r="B1299" s="2" t="s">
        <v>441</v>
      </c>
      <c r="C1299" s="2">
        <v>32927</v>
      </c>
      <c r="D1299" s="2">
        <v>43582</v>
      </c>
      <c r="E1299" s="3">
        <v>46125</v>
      </c>
      <c r="F1299" s="3">
        <v>46308</v>
      </c>
      <c r="G1299" s="4">
        <v>9600.08</v>
      </c>
      <c r="H1299" s="2">
        <v>0</v>
      </c>
      <c r="I1299" s="2" t="s">
        <v>997</v>
      </c>
      <c r="J1299" s="2" t="s">
        <v>417</v>
      </c>
    </row>
    <row r="1300" spans="1:10" x14ac:dyDescent="0.3">
      <c r="A1300" s="2" t="s">
        <v>440</v>
      </c>
      <c r="B1300" s="2" t="s">
        <v>441</v>
      </c>
      <c r="C1300" s="2">
        <v>32928</v>
      </c>
      <c r="D1300" s="2">
        <v>43583</v>
      </c>
      <c r="E1300" s="3">
        <v>46125</v>
      </c>
      <c r="F1300" s="3">
        <v>46308</v>
      </c>
      <c r="G1300" s="4">
        <v>2933.36</v>
      </c>
      <c r="H1300" s="2">
        <v>0</v>
      </c>
      <c r="I1300" s="2" t="s">
        <v>998</v>
      </c>
      <c r="J1300" s="2" t="s">
        <v>417</v>
      </c>
    </row>
    <row r="1301" spans="1:10" x14ac:dyDescent="0.3">
      <c r="A1301" s="2" t="s">
        <v>440</v>
      </c>
      <c r="B1301" s="2" t="s">
        <v>441</v>
      </c>
      <c r="C1301" s="2">
        <v>32930</v>
      </c>
      <c r="D1301" s="2">
        <v>43584</v>
      </c>
      <c r="E1301" s="3">
        <v>46125</v>
      </c>
      <c r="F1301" s="3">
        <v>46308</v>
      </c>
      <c r="G1301" s="4">
        <v>6191.6</v>
      </c>
      <c r="H1301" s="2">
        <v>0</v>
      </c>
      <c r="I1301" s="2" t="s">
        <v>999</v>
      </c>
      <c r="J1301" s="2" t="s">
        <v>417</v>
      </c>
    </row>
    <row r="1302" spans="1:10" x14ac:dyDescent="0.3">
      <c r="A1302" s="2" t="s">
        <v>514</v>
      </c>
      <c r="B1302" s="2" t="s">
        <v>515</v>
      </c>
      <c r="C1302" s="2">
        <v>32947</v>
      </c>
      <c r="D1302" s="2">
        <v>43600</v>
      </c>
      <c r="E1302" s="3">
        <v>46127</v>
      </c>
      <c r="F1302" s="3">
        <v>46308</v>
      </c>
      <c r="G1302" s="4">
        <v>2640</v>
      </c>
      <c r="H1302" s="2">
        <v>0</v>
      </c>
      <c r="I1302" s="2" t="s">
        <v>1004</v>
      </c>
      <c r="J1302" s="2" t="s">
        <v>238</v>
      </c>
    </row>
    <row r="1303" spans="1:10" x14ac:dyDescent="0.3">
      <c r="A1303" s="2" t="s">
        <v>100</v>
      </c>
      <c r="B1303" s="2" t="s">
        <v>90</v>
      </c>
      <c r="C1303" s="2">
        <v>33098</v>
      </c>
      <c r="D1303" s="2">
        <v>43744</v>
      </c>
      <c r="E1303" s="3">
        <v>46149</v>
      </c>
      <c r="F1303" s="3">
        <v>46308</v>
      </c>
      <c r="G1303" s="4">
        <v>18596</v>
      </c>
      <c r="H1303" s="2">
        <v>0</v>
      </c>
      <c r="I1303" s="2" t="s">
        <v>1112</v>
      </c>
      <c r="J1303" s="2" t="s">
        <v>97</v>
      </c>
    </row>
    <row r="1304" spans="1:10" x14ac:dyDescent="0.3">
      <c r="A1304" s="2" t="s">
        <v>100</v>
      </c>
      <c r="B1304" s="2" t="s">
        <v>90</v>
      </c>
      <c r="C1304" s="2">
        <v>33106</v>
      </c>
      <c r="D1304" s="2">
        <v>43751</v>
      </c>
      <c r="E1304" s="3">
        <v>46149</v>
      </c>
      <c r="F1304" s="3">
        <v>46308</v>
      </c>
      <c r="G1304" s="4">
        <v>46200</v>
      </c>
      <c r="H1304" s="2">
        <v>0</v>
      </c>
      <c r="I1304" s="2" t="s">
        <v>1116</v>
      </c>
      <c r="J1304" s="2" t="s">
        <v>97</v>
      </c>
    </row>
    <row r="1305" spans="1:10" x14ac:dyDescent="0.3">
      <c r="A1305" s="2" t="s">
        <v>100</v>
      </c>
      <c r="B1305" s="2" t="s">
        <v>90</v>
      </c>
      <c r="C1305" s="2">
        <v>33107</v>
      </c>
      <c r="D1305" s="2">
        <v>43752</v>
      </c>
      <c r="E1305" s="3">
        <v>46149</v>
      </c>
      <c r="F1305" s="3">
        <v>46308</v>
      </c>
      <c r="G1305" s="4">
        <v>92400</v>
      </c>
      <c r="H1305" s="2">
        <v>0</v>
      </c>
      <c r="I1305" s="2" t="s">
        <v>1117</v>
      </c>
      <c r="J1305" s="2" t="s">
        <v>97</v>
      </c>
    </row>
    <row r="1306" spans="1:10" x14ac:dyDescent="0.3">
      <c r="A1306" s="2" t="s">
        <v>100</v>
      </c>
      <c r="B1306" s="2" t="s">
        <v>90</v>
      </c>
      <c r="C1306" s="2">
        <v>33111</v>
      </c>
      <c r="D1306" s="2">
        <v>43756</v>
      </c>
      <c r="E1306" s="3">
        <v>46150</v>
      </c>
      <c r="F1306" s="3">
        <v>46308</v>
      </c>
      <c r="G1306" s="4">
        <v>3788</v>
      </c>
      <c r="H1306" s="2">
        <v>0</v>
      </c>
      <c r="I1306" s="2" t="s">
        <v>1120</v>
      </c>
      <c r="J1306" s="2" t="s">
        <v>97</v>
      </c>
    </row>
    <row r="1307" spans="1:10" x14ac:dyDescent="0.3">
      <c r="A1307" s="2" t="s">
        <v>100</v>
      </c>
      <c r="B1307" s="2" t="s">
        <v>90</v>
      </c>
      <c r="C1307" s="2">
        <v>33116</v>
      </c>
      <c r="D1307" s="2">
        <v>43761</v>
      </c>
      <c r="E1307" s="3">
        <v>46150</v>
      </c>
      <c r="F1307" s="3">
        <v>46308</v>
      </c>
      <c r="G1307" s="4">
        <v>19800</v>
      </c>
      <c r="H1307" s="2">
        <v>0</v>
      </c>
      <c r="I1307" s="2" t="s">
        <v>1123</v>
      </c>
      <c r="J1307" s="2" t="s">
        <v>97</v>
      </c>
    </row>
    <row r="1308" spans="1:10" x14ac:dyDescent="0.3">
      <c r="A1308" s="2" t="s">
        <v>106</v>
      </c>
      <c r="B1308" s="2" t="s">
        <v>90</v>
      </c>
      <c r="C1308" s="2">
        <v>33131</v>
      </c>
      <c r="D1308" s="2">
        <v>43774</v>
      </c>
      <c r="E1308" s="3">
        <v>46153</v>
      </c>
      <c r="F1308" s="3">
        <v>46308</v>
      </c>
      <c r="G1308" s="4">
        <v>65300</v>
      </c>
      <c r="H1308" s="2">
        <v>0</v>
      </c>
      <c r="I1308" s="2" t="s">
        <v>1132</v>
      </c>
      <c r="J1308" s="2" t="s">
        <v>97</v>
      </c>
    </row>
    <row r="1309" spans="1:10" x14ac:dyDescent="0.3">
      <c r="A1309" s="2" t="s">
        <v>110</v>
      </c>
      <c r="B1309" s="2" t="s">
        <v>90</v>
      </c>
      <c r="C1309" s="2">
        <v>33132</v>
      </c>
      <c r="D1309" s="2">
        <v>43775</v>
      </c>
      <c r="E1309" s="3">
        <v>46153</v>
      </c>
      <c r="F1309" s="3">
        <v>46308</v>
      </c>
      <c r="G1309" s="4">
        <v>19590</v>
      </c>
      <c r="H1309" s="2">
        <v>0</v>
      </c>
      <c r="I1309" s="2" t="s">
        <v>1133</v>
      </c>
      <c r="J1309" s="2" t="s">
        <v>97</v>
      </c>
    </row>
    <row r="1310" spans="1:10" x14ac:dyDescent="0.3">
      <c r="A1310" s="2" t="s">
        <v>110</v>
      </c>
      <c r="B1310" s="2" t="s">
        <v>90</v>
      </c>
      <c r="C1310" s="2">
        <v>33137</v>
      </c>
      <c r="D1310" s="2">
        <v>43781</v>
      </c>
      <c r="E1310" s="3">
        <v>46154</v>
      </c>
      <c r="F1310" s="3">
        <v>46308</v>
      </c>
      <c r="G1310" s="4">
        <v>39330</v>
      </c>
      <c r="H1310" s="2">
        <v>0</v>
      </c>
      <c r="I1310" s="2" t="s">
        <v>1140</v>
      </c>
      <c r="J1310" s="2" t="s">
        <v>97</v>
      </c>
    </row>
    <row r="1311" spans="1:10" x14ac:dyDescent="0.3">
      <c r="A1311" s="2" t="s">
        <v>414</v>
      </c>
      <c r="B1311" s="2" t="s">
        <v>415</v>
      </c>
      <c r="C1311" s="2">
        <v>33157</v>
      </c>
      <c r="D1311" s="2">
        <v>43798</v>
      </c>
      <c r="E1311" s="3">
        <v>46155</v>
      </c>
      <c r="F1311" s="3">
        <v>46308</v>
      </c>
      <c r="G1311" s="4">
        <v>81064.160000000003</v>
      </c>
      <c r="H1311" s="2">
        <v>0</v>
      </c>
      <c r="I1311" s="2" t="s">
        <v>1150</v>
      </c>
      <c r="J1311" s="2" t="s">
        <v>417</v>
      </c>
    </row>
    <row r="1312" spans="1:10" x14ac:dyDescent="0.3">
      <c r="A1312" s="2" t="s">
        <v>414</v>
      </c>
      <c r="B1312" s="2" t="s">
        <v>415</v>
      </c>
      <c r="C1312" s="2">
        <v>33158</v>
      </c>
      <c r="D1312" s="2">
        <v>43799</v>
      </c>
      <c r="E1312" s="3">
        <v>46155</v>
      </c>
      <c r="F1312" s="3">
        <v>46308</v>
      </c>
      <c r="G1312" s="4">
        <v>24869.040000000001</v>
      </c>
      <c r="H1312" s="2">
        <v>0</v>
      </c>
      <c r="I1312" s="2" t="s">
        <v>1151</v>
      </c>
      <c r="J1312" s="2" t="s">
        <v>417</v>
      </c>
    </row>
    <row r="1313" spans="1:10" x14ac:dyDescent="0.3">
      <c r="A1313" s="2" t="s">
        <v>360</v>
      </c>
      <c r="B1313" s="2" t="s">
        <v>361</v>
      </c>
      <c r="C1313" s="2">
        <v>33173</v>
      </c>
      <c r="D1313" s="2">
        <v>43816</v>
      </c>
      <c r="E1313" s="3">
        <v>46157</v>
      </c>
      <c r="F1313" s="3">
        <v>46308</v>
      </c>
      <c r="G1313" s="4">
        <v>6768.18</v>
      </c>
      <c r="H1313" s="2">
        <v>0</v>
      </c>
      <c r="I1313" s="2" t="s">
        <v>1161</v>
      </c>
      <c r="J1313" s="2" t="s">
        <v>92</v>
      </c>
    </row>
    <row r="1314" spans="1:10" x14ac:dyDescent="0.3">
      <c r="A1314" s="2" t="s">
        <v>244</v>
      </c>
      <c r="B1314" s="2" t="s">
        <v>245</v>
      </c>
      <c r="C1314" s="2">
        <v>32263</v>
      </c>
      <c r="D1314" s="2">
        <v>42897</v>
      </c>
      <c r="E1314" s="3">
        <v>46063</v>
      </c>
      <c r="F1314" s="3">
        <v>46310</v>
      </c>
      <c r="G1314" s="4">
        <v>381209.4</v>
      </c>
      <c r="H1314" s="2">
        <v>0</v>
      </c>
      <c r="I1314" s="2" t="s">
        <v>372</v>
      </c>
      <c r="J1314" s="2" t="s">
        <v>66</v>
      </c>
    </row>
    <row r="1315" spans="1:10" x14ac:dyDescent="0.3">
      <c r="A1315" s="2" t="s">
        <v>244</v>
      </c>
      <c r="B1315" s="2" t="s">
        <v>245</v>
      </c>
      <c r="C1315" s="2">
        <v>32264</v>
      </c>
      <c r="D1315" s="2">
        <v>42898</v>
      </c>
      <c r="E1315" s="3">
        <v>46063</v>
      </c>
      <c r="F1315" s="3">
        <v>46310</v>
      </c>
      <c r="G1315" s="4">
        <v>73530.399999999994</v>
      </c>
      <c r="H1315" s="2">
        <v>0</v>
      </c>
      <c r="I1315" s="2" t="s">
        <v>372</v>
      </c>
      <c r="J1315" s="2" t="s">
        <v>66</v>
      </c>
    </row>
    <row r="1316" spans="1:10" x14ac:dyDescent="0.3">
      <c r="A1316" s="2" t="s">
        <v>735</v>
      </c>
      <c r="B1316" s="2" t="s">
        <v>736</v>
      </c>
      <c r="C1316" s="2">
        <v>33174</v>
      </c>
      <c r="D1316" s="2">
        <v>43817</v>
      </c>
      <c r="E1316" s="3">
        <v>46160</v>
      </c>
      <c r="F1316" s="3">
        <v>46310</v>
      </c>
      <c r="G1316" s="4">
        <v>48208.42</v>
      </c>
      <c r="H1316" s="2">
        <v>0</v>
      </c>
      <c r="I1316" s="2" t="s">
        <v>1162</v>
      </c>
      <c r="J1316" s="2" t="s">
        <v>19</v>
      </c>
    </row>
    <row r="1317" spans="1:10" x14ac:dyDescent="0.3">
      <c r="A1317" s="2" t="s">
        <v>557</v>
      </c>
      <c r="B1317" s="2" t="s">
        <v>558</v>
      </c>
      <c r="C1317" s="2">
        <v>33177</v>
      </c>
      <c r="D1317" s="2">
        <v>43824</v>
      </c>
      <c r="E1317" s="3">
        <v>46160</v>
      </c>
      <c r="F1317" s="3">
        <v>46310</v>
      </c>
      <c r="G1317" s="4">
        <v>8666.66</v>
      </c>
      <c r="H1317" s="2">
        <v>0</v>
      </c>
      <c r="I1317" s="2" t="s">
        <v>1164</v>
      </c>
      <c r="J1317" s="2" t="s">
        <v>19</v>
      </c>
    </row>
    <row r="1318" spans="1:10" x14ac:dyDescent="0.3">
      <c r="A1318" s="2" t="s">
        <v>257</v>
      </c>
      <c r="B1318" s="2" t="s">
        <v>258</v>
      </c>
      <c r="C1318" s="2">
        <v>32702</v>
      </c>
      <c r="D1318" s="2">
        <v>43356</v>
      </c>
      <c r="E1318" s="3">
        <v>46101</v>
      </c>
      <c r="F1318" s="3">
        <v>46311</v>
      </c>
      <c r="G1318" s="4">
        <v>3314.62</v>
      </c>
      <c r="H1318" s="2">
        <v>0</v>
      </c>
      <c r="I1318" s="2" t="s">
        <v>551</v>
      </c>
      <c r="J1318" s="2" t="s">
        <v>260</v>
      </c>
    </row>
    <row r="1319" spans="1:10" x14ac:dyDescent="0.3">
      <c r="A1319" s="2" t="s">
        <v>665</v>
      </c>
      <c r="B1319" s="2" t="s">
        <v>666</v>
      </c>
      <c r="C1319" s="2">
        <v>33179</v>
      </c>
      <c r="D1319" s="2">
        <v>43826</v>
      </c>
      <c r="E1319" s="3">
        <v>46161</v>
      </c>
      <c r="F1319" s="3">
        <v>46311</v>
      </c>
      <c r="G1319" s="4">
        <v>5103.1400000000003</v>
      </c>
      <c r="H1319" s="2">
        <v>0</v>
      </c>
      <c r="I1319" s="2" t="s">
        <v>1166</v>
      </c>
      <c r="J1319" s="2" t="s">
        <v>238</v>
      </c>
    </row>
    <row r="1320" spans="1:10" x14ac:dyDescent="0.3">
      <c r="A1320" s="2" t="s">
        <v>1169</v>
      </c>
      <c r="B1320" s="2" t="s">
        <v>1170</v>
      </c>
      <c r="C1320" s="2">
        <v>33186</v>
      </c>
      <c r="D1320" s="2">
        <v>43833</v>
      </c>
      <c r="E1320" s="3">
        <v>46161</v>
      </c>
      <c r="F1320" s="3">
        <v>46311</v>
      </c>
      <c r="G1320" s="4">
        <v>14540.24</v>
      </c>
      <c r="H1320" s="2">
        <v>0</v>
      </c>
      <c r="I1320" s="2" t="s">
        <v>1171</v>
      </c>
      <c r="J1320" s="2" t="s">
        <v>92</v>
      </c>
    </row>
    <row r="1321" spans="1:10" x14ac:dyDescent="0.3">
      <c r="A1321" s="2" t="s">
        <v>398</v>
      </c>
      <c r="B1321" s="2" t="s">
        <v>399</v>
      </c>
      <c r="C1321" s="2">
        <v>32987</v>
      </c>
      <c r="D1321" s="2">
        <v>43637</v>
      </c>
      <c r="E1321" s="3">
        <v>46134</v>
      </c>
      <c r="F1321" s="3">
        <v>46314</v>
      </c>
      <c r="G1321" s="4">
        <v>4290</v>
      </c>
      <c r="H1321" s="2">
        <v>0</v>
      </c>
      <c r="I1321" s="2" t="s">
        <v>1039</v>
      </c>
      <c r="J1321" s="2" t="s">
        <v>394</v>
      </c>
    </row>
    <row r="1322" spans="1:10" x14ac:dyDescent="0.3">
      <c r="A1322" s="2" t="s">
        <v>360</v>
      </c>
      <c r="B1322" s="2" t="s">
        <v>361</v>
      </c>
      <c r="C1322" s="2">
        <v>33074</v>
      </c>
      <c r="D1322" s="2">
        <v>43719</v>
      </c>
      <c r="E1322" s="3">
        <v>46147</v>
      </c>
      <c r="F1322" s="3">
        <v>46314</v>
      </c>
      <c r="G1322" s="2">
        <v>505.82</v>
      </c>
      <c r="H1322" s="2">
        <v>0</v>
      </c>
      <c r="I1322" s="2" t="s">
        <v>1092</v>
      </c>
      <c r="J1322" s="2" t="s">
        <v>92</v>
      </c>
    </row>
    <row r="1323" spans="1:10" x14ac:dyDescent="0.3">
      <c r="A1323" s="2" t="s">
        <v>517</v>
      </c>
      <c r="B1323" s="2" t="s">
        <v>518</v>
      </c>
      <c r="C1323" s="2">
        <v>33191</v>
      </c>
      <c r="D1323" s="2">
        <v>43838</v>
      </c>
      <c r="E1323" s="3">
        <v>46162</v>
      </c>
      <c r="F1323" s="3">
        <v>46314</v>
      </c>
      <c r="G1323" s="4">
        <v>3515.35</v>
      </c>
      <c r="H1323" s="2">
        <v>0</v>
      </c>
      <c r="I1323" s="2" t="s">
        <v>1175</v>
      </c>
      <c r="J1323" s="2" t="s">
        <v>238</v>
      </c>
    </row>
    <row r="1324" spans="1:10" x14ac:dyDescent="0.3">
      <c r="A1324" s="2" t="s">
        <v>1041</v>
      </c>
      <c r="B1324" s="2" t="s">
        <v>1042</v>
      </c>
      <c r="C1324" s="2">
        <v>33206</v>
      </c>
      <c r="D1324" s="2">
        <v>43853</v>
      </c>
      <c r="E1324" s="3">
        <v>46163</v>
      </c>
      <c r="F1324" s="3">
        <v>46314</v>
      </c>
      <c r="G1324" s="4">
        <v>6704.99</v>
      </c>
      <c r="H1324" s="2">
        <v>0</v>
      </c>
      <c r="I1324" s="2" t="s">
        <v>1188</v>
      </c>
      <c r="J1324" s="2" t="s">
        <v>238</v>
      </c>
    </row>
    <row r="1325" spans="1:10" x14ac:dyDescent="0.3">
      <c r="A1325" s="2" t="s">
        <v>480</v>
      </c>
      <c r="B1325" s="2" t="s">
        <v>481</v>
      </c>
      <c r="C1325" s="2">
        <v>33212</v>
      </c>
      <c r="D1325" s="2">
        <v>43859</v>
      </c>
      <c r="E1325" s="3">
        <v>46164</v>
      </c>
      <c r="F1325" s="3">
        <v>46314</v>
      </c>
      <c r="G1325" s="4">
        <v>28255.56</v>
      </c>
      <c r="H1325" s="2">
        <v>0</v>
      </c>
      <c r="I1325" s="2" t="s">
        <v>1192</v>
      </c>
      <c r="J1325" s="2" t="s">
        <v>238</v>
      </c>
    </row>
    <row r="1326" spans="1:10" x14ac:dyDescent="0.3">
      <c r="A1326" s="2" t="s">
        <v>10</v>
      </c>
      <c r="B1326" s="2" t="s">
        <v>11</v>
      </c>
      <c r="C1326" s="2"/>
      <c r="D1326" s="2">
        <v>226346</v>
      </c>
      <c r="E1326" s="3">
        <v>45219</v>
      </c>
      <c r="F1326" s="3">
        <v>46315</v>
      </c>
      <c r="G1326" s="4">
        <v>465250</v>
      </c>
      <c r="H1326" s="2">
        <v>0</v>
      </c>
      <c r="I1326" s="2" t="s">
        <v>12</v>
      </c>
      <c r="J1326" s="2" t="s">
        <v>13</v>
      </c>
    </row>
    <row r="1327" spans="1:10" x14ac:dyDescent="0.3">
      <c r="A1327" s="2" t="s">
        <v>14</v>
      </c>
      <c r="B1327" s="2" t="s">
        <v>15</v>
      </c>
      <c r="C1327" s="2"/>
      <c r="D1327" s="2">
        <v>226346</v>
      </c>
      <c r="E1327" s="3">
        <v>45219</v>
      </c>
      <c r="F1327" s="3">
        <v>46315</v>
      </c>
      <c r="G1327" s="4">
        <v>465250</v>
      </c>
      <c r="H1327" s="2">
        <v>0</v>
      </c>
      <c r="I1327" s="2" t="s">
        <v>12</v>
      </c>
      <c r="J1327" s="2" t="s">
        <v>13</v>
      </c>
    </row>
    <row r="1328" spans="1:10" x14ac:dyDescent="0.3">
      <c r="A1328" s="2" t="s">
        <v>121</v>
      </c>
      <c r="B1328" s="2" t="s">
        <v>122</v>
      </c>
      <c r="C1328" s="2">
        <v>31559</v>
      </c>
      <c r="D1328" s="2">
        <v>42113</v>
      </c>
      <c r="E1328" s="3">
        <v>45999</v>
      </c>
      <c r="F1328" s="3">
        <v>46315</v>
      </c>
      <c r="G1328" s="4">
        <v>17625</v>
      </c>
      <c r="H1328" s="2">
        <v>0</v>
      </c>
      <c r="I1328" s="2" t="s">
        <v>380</v>
      </c>
      <c r="J1328" s="2" t="s">
        <v>92</v>
      </c>
    </row>
    <row r="1329" spans="1:10" x14ac:dyDescent="0.3">
      <c r="A1329" s="2" t="s">
        <v>1041</v>
      </c>
      <c r="B1329" s="2" t="s">
        <v>1042</v>
      </c>
      <c r="C1329" s="2">
        <v>32989</v>
      </c>
      <c r="D1329" s="2">
        <v>43639</v>
      </c>
      <c r="E1329" s="3">
        <v>46135</v>
      </c>
      <c r="F1329" s="3">
        <v>46315</v>
      </c>
      <c r="G1329" s="4">
        <v>2185</v>
      </c>
      <c r="H1329" s="2">
        <v>0</v>
      </c>
      <c r="I1329" s="2" t="s">
        <v>1043</v>
      </c>
      <c r="J1329" s="2" t="s">
        <v>238</v>
      </c>
    </row>
    <row r="1330" spans="1:10" x14ac:dyDescent="0.3">
      <c r="A1330" s="2" t="s">
        <v>440</v>
      </c>
      <c r="B1330" s="2" t="s">
        <v>441</v>
      </c>
      <c r="C1330" s="2">
        <v>33120</v>
      </c>
      <c r="D1330" s="2">
        <v>43765</v>
      </c>
      <c r="E1330" s="3">
        <v>46150</v>
      </c>
      <c r="F1330" s="3">
        <v>46315</v>
      </c>
      <c r="G1330" s="4">
        <v>4666.66</v>
      </c>
      <c r="H1330" s="2">
        <v>0</v>
      </c>
      <c r="I1330" s="2" t="s">
        <v>1127</v>
      </c>
      <c r="J1330" s="2" t="s">
        <v>417</v>
      </c>
    </row>
    <row r="1331" spans="1:10" x14ac:dyDescent="0.3">
      <c r="A1331" s="2" t="s">
        <v>440</v>
      </c>
      <c r="B1331" s="2" t="s">
        <v>441</v>
      </c>
      <c r="C1331" s="2">
        <v>33121</v>
      </c>
      <c r="D1331" s="2">
        <v>43766</v>
      </c>
      <c r="E1331" s="3">
        <v>46150</v>
      </c>
      <c r="F1331" s="3">
        <v>46315</v>
      </c>
      <c r="G1331" s="4">
        <v>16386.87</v>
      </c>
      <c r="H1331" s="2">
        <v>0</v>
      </c>
      <c r="I1331" s="2" t="s">
        <v>1128</v>
      </c>
      <c r="J1331" s="2" t="s">
        <v>417</v>
      </c>
    </row>
    <row r="1332" spans="1:10" x14ac:dyDescent="0.3">
      <c r="A1332" s="2" t="s">
        <v>440</v>
      </c>
      <c r="B1332" s="2" t="s">
        <v>441</v>
      </c>
      <c r="C1332" s="2">
        <v>33122</v>
      </c>
      <c r="D1332" s="2">
        <v>43767</v>
      </c>
      <c r="E1332" s="3">
        <v>46150</v>
      </c>
      <c r="F1332" s="3">
        <v>46315</v>
      </c>
      <c r="G1332" s="4">
        <v>15771.98</v>
      </c>
      <c r="H1332" s="2">
        <v>0</v>
      </c>
      <c r="I1332" s="2" t="s">
        <v>1129</v>
      </c>
      <c r="J1332" s="2" t="s">
        <v>417</v>
      </c>
    </row>
    <row r="1333" spans="1:10" x14ac:dyDescent="0.3">
      <c r="A1333" s="2" t="s">
        <v>257</v>
      </c>
      <c r="B1333" s="2" t="s">
        <v>258</v>
      </c>
      <c r="C1333" s="2">
        <v>33009</v>
      </c>
      <c r="D1333" s="2">
        <v>43658</v>
      </c>
      <c r="E1333" s="3">
        <v>46136</v>
      </c>
      <c r="F1333" s="3">
        <v>46316</v>
      </c>
      <c r="G1333" s="4">
        <v>4390.28</v>
      </c>
      <c r="H1333" s="2">
        <v>0</v>
      </c>
      <c r="I1333" s="2" t="s">
        <v>1056</v>
      </c>
      <c r="J1333" s="2" t="s">
        <v>260</v>
      </c>
    </row>
    <row r="1334" spans="1:10" x14ac:dyDescent="0.3">
      <c r="A1334" s="2" t="s">
        <v>886</v>
      </c>
      <c r="B1334" s="2" t="s">
        <v>415</v>
      </c>
      <c r="C1334" s="2">
        <v>32743</v>
      </c>
      <c r="D1334" s="2">
        <v>43401</v>
      </c>
      <c r="E1334" s="3">
        <v>46107</v>
      </c>
      <c r="F1334" s="3">
        <v>46317</v>
      </c>
      <c r="G1334" s="4">
        <v>31866.959999999999</v>
      </c>
      <c r="H1334" s="2">
        <v>0</v>
      </c>
      <c r="I1334" s="2" t="s">
        <v>887</v>
      </c>
      <c r="J1334" s="2" t="s">
        <v>417</v>
      </c>
    </row>
    <row r="1335" spans="1:10" x14ac:dyDescent="0.3">
      <c r="A1335" s="2" t="s">
        <v>886</v>
      </c>
      <c r="B1335" s="2" t="s">
        <v>415</v>
      </c>
      <c r="C1335" s="2">
        <v>32744</v>
      </c>
      <c r="D1335" s="2">
        <v>43402</v>
      </c>
      <c r="E1335" s="3">
        <v>46107</v>
      </c>
      <c r="F1335" s="3">
        <v>46317</v>
      </c>
      <c r="G1335" s="2">
        <v>566.64</v>
      </c>
      <c r="H1335" s="2">
        <v>0</v>
      </c>
      <c r="I1335" s="2" t="s">
        <v>888</v>
      </c>
      <c r="J1335" s="2" t="s">
        <v>417</v>
      </c>
    </row>
    <row r="1336" spans="1:10" x14ac:dyDescent="0.3">
      <c r="A1336" s="2" t="s">
        <v>735</v>
      </c>
      <c r="B1336" s="2" t="s">
        <v>736</v>
      </c>
      <c r="C1336" s="2">
        <v>33218</v>
      </c>
      <c r="D1336" s="2">
        <v>43865</v>
      </c>
      <c r="E1336" s="3">
        <v>46167</v>
      </c>
      <c r="F1336" s="3">
        <v>46317</v>
      </c>
      <c r="G1336" s="4">
        <v>3316.68</v>
      </c>
      <c r="H1336" s="2">
        <v>0</v>
      </c>
      <c r="I1336" s="2" t="s">
        <v>1196</v>
      </c>
      <c r="J1336" s="2" t="s">
        <v>19</v>
      </c>
    </row>
    <row r="1337" spans="1:10" x14ac:dyDescent="0.3">
      <c r="A1337" s="2" t="s">
        <v>735</v>
      </c>
      <c r="B1337" s="2" t="s">
        <v>736</v>
      </c>
      <c r="C1337" s="2">
        <v>33219</v>
      </c>
      <c r="D1337" s="2">
        <v>43866</v>
      </c>
      <c r="E1337" s="3">
        <v>46167</v>
      </c>
      <c r="F1337" s="3">
        <v>46317</v>
      </c>
      <c r="G1337" s="4">
        <v>37300.080000000002</v>
      </c>
      <c r="H1337" s="2">
        <v>0</v>
      </c>
      <c r="I1337" s="2" t="s">
        <v>1197</v>
      </c>
      <c r="J1337" s="2" t="s">
        <v>19</v>
      </c>
    </row>
    <row r="1338" spans="1:10" x14ac:dyDescent="0.3">
      <c r="A1338" s="2" t="s">
        <v>409</v>
      </c>
      <c r="B1338" s="2" t="s">
        <v>410</v>
      </c>
      <c r="C1338" s="2">
        <v>33225</v>
      </c>
      <c r="D1338" s="2">
        <v>43872</v>
      </c>
      <c r="E1338" s="3">
        <v>46167</v>
      </c>
      <c r="F1338" s="3">
        <v>46317</v>
      </c>
      <c r="G1338" s="4">
        <v>16920</v>
      </c>
      <c r="H1338" s="2">
        <v>0</v>
      </c>
      <c r="I1338" s="2" t="s">
        <v>1202</v>
      </c>
      <c r="J1338" s="2" t="s">
        <v>412</v>
      </c>
    </row>
    <row r="1339" spans="1:10" x14ac:dyDescent="0.3">
      <c r="A1339" s="2" t="s">
        <v>257</v>
      </c>
      <c r="B1339" s="2" t="s">
        <v>258</v>
      </c>
      <c r="C1339" s="2">
        <v>33232</v>
      </c>
      <c r="D1339" s="2">
        <v>43879</v>
      </c>
      <c r="E1339" s="3">
        <v>46168</v>
      </c>
      <c r="F1339" s="3">
        <v>46318</v>
      </c>
      <c r="G1339" s="4">
        <v>15781.7</v>
      </c>
      <c r="H1339" s="2">
        <v>0</v>
      </c>
      <c r="I1339" s="2" t="s">
        <v>1209</v>
      </c>
      <c r="J1339" s="2" t="s">
        <v>260</v>
      </c>
    </row>
    <row r="1340" spans="1:10" x14ac:dyDescent="0.3">
      <c r="A1340" s="2" t="s">
        <v>257</v>
      </c>
      <c r="B1340" s="2" t="s">
        <v>258</v>
      </c>
      <c r="C1340" s="2">
        <v>33233</v>
      </c>
      <c r="D1340" s="2">
        <v>43880</v>
      </c>
      <c r="E1340" s="3">
        <v>46168</v>
      </c>
      <c r="F1340" s="3">
        <v>46318</v>
      </c>
      <c r="G1340" s="4">
        <v>11400.02</v>
      </c>
      <c r="H1340" s="2">
        <v>0</v>
      </c>
      <c r="I1340" s="2" t="s">
        <v>1210</v>
      </c>
      <c r="J1340" s="2" t="s">
        <v>260</v>
      </c>
    </row>
    <row r="1341" spans="1:10" x14ac:dyDescent="0.3">
      <c r="A1341" s="2" t="s">
        <v>121</v>
      </c>
      <c r="B1341" s="2" t="s">
        <v>122</v>
      </c>
      <c r="C1341" s="2">
        <v>31201</v>
      </c>
      <c r="D1341" s="2">
        <v>41718</v>
      </c>
      <c r="E1341" s="3">
        <v>45961</v>
      </c>
      <c r="F1341" s="3">
        <v>46321</v>
      </c>
      <c r="G1341" s="4">
        <v>371315.20000000001</v>
      </c>
      <c r="H1341" s="2">
        <v>0</v>
      </c>
      <c r="I1341" s="2" t="s">
        <v>306</v>
      </c>
      <c r="J1341" s="2" t="s">
        <v>92</v>
      </c>
    </row>
    <row r="1342" spans="1:10" x14ac:dyDescent="0.3">
      <c r="A1342" s="2" t="s">
        <v>121</v>
      </c>
      <c r="B1342" s="2" t="s">
        <v>122</v>
      </c>
      <c r="C1342" s="2">
        <v>31204</v>
      </c>
      <c r="D1342" s="2">
        <v>41721</v>
      </c>
      <c r="E1342" s="3">
        <v>45961</v>
      </c>
      <c r="F1342" s="3">
        <v>46321</v>
      </c>
      <c r="G1342" s="4">
        <v>97056</v>
      </c>
      <c r="H1342" s="2">
        <v>0</v>
      </c>
      <c r="I1342" s="2" t="s">
        <v>307</v>
      </c>
      <c r="J1342" s="2" t="s">
        <v>92</v>
      </c>
    </row>
    <row r="1343" spans="1:10" x14ac:dyDescent="0.3">
      <c r="A1343" s="2" t="s">
        <v>585</v>
      </c>
      <c r="B1343" s="2" t="s">
        <v>392</v>
      </c>
      <c r="C1343" s="2">
        <v>33020</v>
      </c>
      <c r="D1343" s="2">
        <v>43669</v>
      </c>
      <c r="E1343" s="3">
        <v>46139</v>
      </c>
      <c r="F1343" s="3">
        <v>46321</v>
      </c>
      <c r="G1343" s="4">
        <v>1428</v>
      </c>
      <c r="H1343" s="2">
        <v>0</v>
      </c>
      <c r="I1343" s="2" t="s">
        <v>1064</v>
      </c>
      <c r="J1343" s="2" t="s">
        <v>394</v>
      </c>
    </row>
    <row r="1344" spans="1:10" x14ac:dyDescent="0.3">
      <c r="A1344" s="2" t="s">
        <v>585</v>
      </c>
      <c r="B1344" s="2" t="s">
        <v>392</v>
      </c>
      <c r="C1344" s="2">
        <v>33021</v>
      </c>
      <c r="D1344" s="2">
        <v>43670</v>
      </c>
      <c r="E1344" s="3">
        <v>46139</v>
      </c>
      <c r="F1344" s="3">
        <v>46321</v>
      </c>
      <c r="G1344" s="4">
        <v>22140</v>
      </c>
      <c r="H1344" s="2">
        <v>0</v>
      </c>
      <c r="I1344" s="2" t="s">
        <v>1065</v>
      </c>
      <c r="J1344" s="2" t="s">
        <v>394</v>
      </c>
    </row>
    <row r="1345" spans="1:10" x14ac:dyDescent="0.3">
      <c r="A1345" s="2" t="s">
        <v>726</v>
      </c>
      <c r="B1345" s="2" t="s">
        <v>727</v>
      </c>
      <c r="C1345" s="2">
        <v>33250</v>
      </c>
      <c r="D1345" s="2">
        <v>43899</v>
      </c>
      <c r="E1345" s="3">
        <v>46169</v>
      </c>
      <c r="F1345" s="3">
        <v>46321</v>
      </c>
      <c r="G1345" s="4">
        <v>17280</v>
      </c>
      <c r="H1345" s="2">
        <v>0</v>
      </c>
      <c r="I1345" s="2" t="s">
        <v>1226</v>
      </c>
      <c r="J1345" s="2" t="s">
        <v>394</v>
      </c>
    </row>
    <row r="1346" spans="1:10" x14ac:dyDescent="0.3">
      <c r="A1346" s="2" t="s">
        <v>357</v>
      </c>
      <c r="B1346" s="2" t="s">
        <v>358</v>
      </c>
      <c r="C1346" s="2">
        <v>33259</v>
      </c>
      <c r="D1346" s="2">
        <v>43908</v>
      </c>
      <c r="E1346" s="3">
        <v>46170</v>
      </c>
      <c r="F1346" s="3">
        <v>46321</v>
      </c>
      <c r="G1346" s="4">
        <v>3650.66</v>
      </c>
      <c r="H1346" s="2">
        <v>0</v>
      </c>
      <c r="I1346" s="2" t="s">
        <v>1236</v>
      </c>
      <c r="J1346" s="2" t="s">
        <v>260</v>
      </c>
    </row>
    <row r="1347" spans="1:10" x14ac:dyDescent="0.3">
      <c r="A1347" s="2" t="s">
        <v>943</v>
      </c>
      <c r="B1347" s="2" t="s">
        <v>707</v>
      </c>
      <c r="C1347" s="2">
        <v>32830</v>
      </c>
      <c r="D1347" s="2">
        <v>43487</v>
      </c>
      <c r="E1347" s="3">
        <v>46112</v>
      </c>
      <c r="F1347" s="3">
        <v>46322</v>
      </c>
      <c r="G1347" s="4">
        <v>35142</v>
      </c>
      <c r="H1347" s="2">
        <v>0</v>
      </c>
      <c r="I1347" s="2" t="s">
        <v>948</v>
      </c>
      <c r="J1347" s="2" t="s">
        <v>417</v>
      </c>
    </row>
    <row r="1348" spans="1:10" x14ac:dyDescent="0.3">
      <c r="A1348" s="2" t="s">
        <v>360</v>
      </c>
      <c r="B1348" s="2" t="s">
        <v>361</v>
      </c>
      <c r="C1348" s="2">
        <v>33173</v>
      </c>
      <c r="D1348" s="2">
        <v>43816</v>
      </c>
      <c r="E1348" s="3">
        <v>46157</v>
      </c>
      <c r="F1348" s="3">
        <v>46322</v>
      </c>
      <c r="G1348" s="4">
        <v>6768.18</v>
      </c>
      <c r="H1348" s="2">
        <v>0</v>
      </c>
      <c r="I1348" s="2" t="s">
        <v>1161</v>
      </c>
      <c r="J1348" s="2" t="s">
        <v>92</v>
      </c>
    </row>
    <row r="1349" spans="1:10" x14ac:dyDescent="0.3">
      <c r="A1349" s="2" t="s">
        <v>166</v>
      </c>
      <c r="B1349" s="2" t="s">
        <v>167</v>
      </c>
      <c r="C1349" s="2">
        <v>30636</v>
      </c>
      <c r="D1349" s="2">
        <v>41065</v>
      </c>
      <c r="E1349" s="3">
        <v>45917</v>
      </c>
      <c r="F1349" s="3">
        <v>46325</v>
      </c>
      <c r="G1349" s="4">
        <v>10933.8</v>
      </c>
      <c r="H1349" s="2">
        <v>0</v>
      </c>
      <c r="I1349" s="2" t="s">
        <v>168</v>
      </c>
      <c r="J1349" s="2" t="s">
        <v>50</v>
      </c>
    </row>
    <row r="1350" spans="1:10" x14ac:dyDescent="0.3">
      <c r="A1350" s="2" t="s">
        <v>166</v>
      </c>
      <c r="B1350" s="2" t="s">
        <v>167</v>
      </c>
      <c r="C1350" s="2">
        <v>30637</v>
      </c>
      <c r="D1350" s="2">
        <v>41066</v>
      </c>
      <c r="E1350" s="3">
        <v>45917</v>
      </c>
      <c r="F1350" s="3">
        <v>46325</v>
      </c>
      <c r="G1350" s="4">
        <v>18200</v>
      </c>
      <c r="H1350" s="2">
        <v>0</v>
      </c>
      <c r="I1350" s="2" t="s">
        <v>169</v>
      </c>
      <c r="J1350" s="2" t="s">
        <v>50</v>
      </c>
    </row>
    <row r="1351" spans="1:10" x14ac:dyDescent="0.3">
      <c r="A1351" s="2" t="s">
        <v>166</v>
      </c>
      <c r="B1351" s="2" t="s">
        <v>167</v>
      </c>
      <c r="C1351" s="2">
        <v>30639</v>
      </c>
      <c r="D1351" s="2">
        <v>41068</v>
      </c>
      <c r="E1351" s="3">
        <v>45917</v>
      </c>
      <c r="F1351" s="3">
        <v>46325</v>
      </c>
      <c r="G1351" s="4">
        <v>100280</v>
      </c>
      <c r="H1351" s="2">
        <v>0</v>
      </c>
      <c r="I1351" s="2" t="s">
        <v>170</v>
      </c>
      <c r="J1351" s="2" t="s">
        <v>50</v>
      </c>
    </row>
    <row r="1352" spans="1:10" x14ac:dyDescent="0.3">
      <c r="A1352" s="2" t="s">
        <v>166</v>
      </c>
      <c r="B1352" s="2" t="s">
        <v>167</v>
      </c>
      <c r="C1352" s="2">
        <v>30651</v>
      </c>
      <c r="D1352" s="2">
        <v>41081</v>
      </c>
      <c r="E1352" s="3">
        <v>45918</v>
      </c>
      <c r="F1352" s="3">
        <v>46325</v>
      </c>
      <c r="G1352" s="4">
        <v>28142</v>
      </c>
      <c r="H1352" s="2">
        <v>0</v>
      </c>
      <c r="I1352" s="2" t="s">
        <v>171</v>
      </c>
      <c r="J1352" s="2" t="s">
        <v>50</v>
      </c>
    </row>
    <row r="1353" spans="1:10" x14ac:dyDescent="0.3">
      <c r="A1353" s="2" t="s">
        <v>166</v>
      </c>
      <c r="B1353" s="2" t="s">
        <v>167</v>
      </c>
      <c r="C1353" s="2">
        <v>30788</v>
      </c>
      <c r="D1353" s="2">
        <v>41240</v>
      </c>
      <c r="E1353" s="3">
        <v>45926</v>
      </c>
      <c r="F1353" s="3">
        <v>46325</v>
      </c>
      <c r="G1353" s="4">
        <v>115712</v>
      </c>
      <c r="H1353" s="2">
        <v>0</v>
      </c>
      <c r="I1353" s="2" t="s">
        <v>218</v>
      </c>
      <c r="J1353" s="2" t="s">
        <v>50</v>
      </c>
    </row>
    <row r="1354" spans="1:10" x14ac:dyDescent="0.3">
      <c r="A1354" s="2" t="s">
        <v>166</v>
      </c>
      <c r="B1354" s="2" t="s">
        <v>167</v>
      </c>
      <c r="C1354" s="2">
        <v>30995</v>
      </c>
      <c r="D1354" s="2">
        <v>41499</v>
      </c>
      <c r="E1354" s="3">
        <v>45945</v>
      </c>
      <c r="F1354" s="3">
        <v>46325</v>
      </c>
      <c r="G1354" s="4">
        <v>165600</v>
      </c>
      <c r="H1354" s="2">
        <v>0</v>
      </c>
      <c r="I1354" s="2" t="s">
        <v>267</v>
      </c>
      <c r="J1354" s="2" t="s">
        <v>50</v>
      </c>
    </row>
    <row r="1355" spans="1:10" x14ac:dyDescent="0.3">
      <c r="A1355" s="2" t="s">
        <v>166</v>
      </c>
      <c r="B1355" s="2" t="s">
        <v>167</v>
      </c>
      <c r="C1355" s="2">
        <v>31005</v>
      </c>
      <c r="D1355" s="2">
        <v>41508</v>
      </c>
      <c r="E1355" s="3">
        <v>45946</v>
      </c>
      <c r="F1355" s="3">
        <v>46325</v>
      </c>
      <c r="G1355" s="4">
        <v>332020</v>
      </c>
      <c r="H1355" s="2">
        <v>0</v>
      </c>
      <c r="I1355" s="2" t="s">
        <v>269</v>
      </c>
      <c r="J1355" s="2" t="s">
        <v>50</v>
      </c>
    </row>
    <row r="1356" spans="1:10" x14ac:dyDescent="0.3">
      <c r="A1356" s="2" t="s">
        <v>166</v>
      </c>
      <c r="B1356" s="2" t="s">
        <v>167</v>
      </c>
      <c r="C1356" s="2">
        <v>31079</v>
      </c>
      <c r="D1356" s="2">
        <v>41591</v>
      </c>
      <c r="E1356" s="3">
        <v>45952</v>
      </c>
      <c r="F1356" s="3">
        <v>46325</v>
      </c>
      <c r="G1356" s="4">
        <v>167200</v>
      </c>
      <c r="H1356" s="2">
        <v>0</v>
      </c>
      <c r="I1356" s="2" t="s">
        <v>285</v>
      </c>
      <c r="J1356" s="2" t="s">
        <v>50</v>
      </c>
    </row>
    <row r="1357" spans="1:10" x14ac:dyDescent="0.3">
      <c r="A1357" s="2" t="s">
        <v>166</v>
      </c>
      <c r="B1357" s="2" t="s">
        <v>167</v>
      </c>
      <c r="C1357" s="2">
        <v>31295</v>
      </c>
      <c r="D1357" s="2">
        <v>41830</v>
      </c>
      <c r="E1357" s="3">
        <v>45972</v>
      </c>
      <c r="F1357" s="3">
        <v>46325</v>
      </c>
      <c r="G1357" s="4">
        <v>248000</v>
      </c>
      <c r="H1357" s="2">
        <v>0</v>
      </c>
      <c r="I1357" s="2" t="s">
        <v>319</v>
      </c>
      <c r="J1357" s="2" t="s">
        <v>50</v>
      </c>
    </row>
    <row r="1358" spans="1:10" x14ac:dyDescent="0.3">
      <c r="A1358" s="2" t="s">
        <v>166</v>
      </c>
      <c r="B1358" s="2" t="s">
        <v>167</v>
      </c>
      <c r="C1358" s="2">
        <v>31416</v>
      </c>
      <c r="D1358" s="2">
        <v>41965</v>
      </c>
      <c r="E1358" s="3">
        <v>45982</v>
      </c>
      <c r="F1358" s="3">
        <v>46325</v>
      </c>
      <c r="G1358" s="4">
        <v>32000</v>
      </c>
      <c r="H1358" s="2">
        <v>0</v>
      </c>
      <c r="I1358" s="2" t="s">
        <v>341</v>
      </c>
      <c r="J1358" s="2" t="s">
        <v>50</v>
      </c>
    </row>
    <row r="1359" spans="1:10" x14ac:dyDescent="0.3">
      <c r="A1359" s="2" t="s">
        <v>166</v>
      </c>
      <c r="B1359" s="2" t="s">
        <v>167</v>
      </c>
      <c r="C1359" s="2">
        <v>31418</v>
      </c>
      <c r="D1359" s="2">
        <v>41967</v>
      </c>
      <c r="E1359" s="3">
        <v>45982</v>
      </c>
      <c r="F1359" s="3">
        <v>46325</v>
      </c>
      <c r="G1359" s="4">
        <v>32000</v>
      </c>
      <c r="H1359" s="2">
        <v>0</v>
      </c>
      <c r="I1359" s="2" t="s">
        <v>342</v>
      </c>
      <c r="J1359" s="2" t="s">
        <v>50</v>
      </c>
    </row>
    <row r="1360" spans="1:10" x14ac:dyDescent="0.3">
      <c r="A1360" s="2" t="s">
        <v>166</v>
      </c>
      <c r="B1360" s="2" t="s">
        <v>167</v>
      </c>
      <c r="C1360" s="2">
        <v>31675</v>
      </c>
      <c r="D1360" s="2">
        <v>42246</v>
      </c>
      <c r="E1360" s="3">
        <v>46003</v>
      </c>
      <c r="F1360" s="3">
        <v>46325</v>
      </c>
      <c r="G1360" s="4">
        <v>24930.400000000001</v>
      </c>
      <c r="H1360" s="2">
        <v>0</v>
      </c>
      <c r="I1360" s="2" t="s">
        <v>424</v>
      </c>
      <c r="J1360" s="2" t="s">
        <v>50</v>
      </c>
    </row>
    <row r="1361" spans="1:10" x14ac:dyDescent="0.3">
      <c r="A1361" s="2" t="s">
        <v>315</v>
      </c>
      <c r="B1361" s="2" t="s">
        <v>316</v>
      </c>
      <c r="C1361" s="2">
        <v>31730</v>
      </c>
      <c r="D1361" s="2">
        <v>42301</v>
      </c>
      <c r="E1361" s="3">
        <v>46007</v>
      </c>
      <c r="F1361" s="3">
        <v>46325</v>
      </c>
      <c r="G1361" s="4">
        <v>106080</v>
      </c>
      <c r="H1361" s="2">
        <v>0</v>
      </c>
      <c r="I1361" s="2" t="s">
        <v>434</v>
      </c>
      <c r="J1361" s="2" t="s">
        <v>318</v>
      </c>
    </row>
    <row r="1362" spans="1:10" x14ac:dyDescent="0.3">
      <c r="A1362" s="2" t="s">
        <v>438</v>
      </c>
      <c r="B1362" s="2" t="s">
        <v>316</v>
      </c>
      <c r="C1362" s="2">
        <v>31736</v>
      </c>
      <c r="D1362" s="2">
        <v>42307</v>
      </c>
      <c r="E1362" s="3">
        <v>46007</v>
      </c>
      <c r="F1362" s="3">
        <v>46325</v>
      </c>
      <c r="G1362" s="4">
        <v>58000</v>
      </c>
      <c r="H1362" s="2">
        <v>0</v>
      </c>
      <c r="I1362" s="2" t="s">
        <v>439</v>
      </c>
      <c r="J1362" s="2" t="s">
        <v>318</v>
      </c>
    </row>
    <row r="1363" spans="1:10" x14ac:dyDescent="0.3">
      <c r="A1363" s="2" t="s">
        <v>438</v>
      </c>
      <c r="B1363" s="2" t="s">
        <v>316</v>
      </c>
      <c r="C1363" s="2">
        <v>31766</v>
      </c>
      <c r="D1363" s="2">
        <v>42335</v>
      </c>
      <c r="E1363" s="3">
        <v>46008</v>
      </c>
      <c r="F1363" s="3">
        <v>46325</v>
      </c>
      <c r="G1363" s="4">
        <v>225420</v>
      </c>
      <c r="H1363" s="2">
        <v>0</v>
      </c>
      <c r="I1363" s="2" t="s">
        <v>451</v>
      </c>
      <c r="J1363" s="2" t="s">
        <v>318</v>
      </c>
    </row>
    <row r="1364" spans="1:10" x14ac:dyDescent="0.3">
      <c r="A1364" s="2" t="s">
        <v>315</v>
      </c>
      <c r="B1364" s="2" t="s">
        <v>316</v>
      </c>
      <c r="C1364" s="2">
        <v>31767</v>
      </c>
      <c r="D1364" s="2">
        <v>42336</v>
      </c>
      <c r="E1364" s="3">
        <v>46008</v>
      </c>
      <c r="F1364" s="3">
        <v>46325</v>
      </c>
      <c r="G1364" s="4">
        <v>294720</v>
      </c>
      <c r="H1364" s="2">
        <v>0</v>
      </c>
      <c r="I1364" s="2" t="s">
        <v>452</v>
      </c>
      <c r="J1364" s="2" t="s">
        <v>318</v>
      </c>
    </row>
    <row r="1365" spans="1:10" x14ac:dyDescent="0.3">
      <c r="A1365" s="2" t="s">
        <v>315</v>
      </c>
      <c r="B1365" s="2" t="s">
        <v>316</v>
      </c>
      <c r="C1365" s="2">
        <v>31806</v>
      </c>
      <c r="D1365" s="2">
        <v>42379</v>
      </c>
      <c r="E1365" s="3">
        <v>46010</v>
      </c>
      <c r="F1365" s="3">
        <v>46325</v>
      </c>
      <c r="G1365" s="4">
        <v>233320</v>
      </c>
      <c r="H1365" s="2">
        <v>0</v>
      </c>
      <c r="I1365" s="2" t="s">
        <v>466</v>
      </c>
      <c r="J1365" s="2" t="s">
        <v>318</v>
      </c>
    </row>
    <row r="1366" spans="1:10" x14ac:dyDescent="0.3">
      <c r="A1366" s="2" t="s">
        <v>166</v>
      </c>
      <c r="B1366" s="2" t="s">
        <v>167</v>
      </c>
      <c r="C1366" s="2">
        <v>31876</v>
      </c>
      <c r="D1366" s="2">
        <v>42466</v>
      </c>
      <c r="E1366" s="3">
        <v>46029</v>
      </c>
      <c r="F1366" s="3">
        <v>46325</v>
      </c>
      <c r="G1366" s="4">
        <v>150000</v>
      </c>
      <c r="H1366" s="2">
        <v>0</v>
      </c>
      <c r="I1366" s="2" t="s">
        <v>489</v>
      </c>
      <c r="J1366" s="2" t="s">
        <v>50</v>
      </c>
    </row>
    <row r="1367" spans="1:10" x14ac:dyDescent="0.3">
      <c r="A1367" s="2" t="s">
        <v>166</v>
      </c>
      <c r="B1367" s="2" t="s">
        <v>167</v>
      </c>
      <c r="C1367" s="2">
        <v>31877</v>
      </c>
      <c r="D1367" s="2">
        <v>42467</v>
      </c>
      <c r="E1367" s="3">
        <v>46029</v>
      </c>
      <c r="F1367" s="3">
        <v>46325</v>
      </c>
      <c r="G1367" s="4">
        <v>157000</v>
      </c>
      <c r="H1367" s="2">
        <v>0</v>
      </c>
      <c r="I1367" s="2" t="s">
        <v>489</v>
      </c>
      <c r="J1367" s="2" t="s">
        <v>50</v>
      </c>
    </row>
    <row r="1368" spans="1:10" x14ac:dyDescent="0.3">
      <c r="A1368" s="2" t="s">
        <v>166</v>
      </c>
      <c r="B1368" s="2" t="s">
        <v>167</v>
      </c>
      <c r="C1368" s="2">
        <v>31946</v>
      </c>
      <c r="D1368" s="2">
        <v>42559</v>
      </c>
      <c r="E1368" s="3">
        <v>46037</v>
      </c>
      <c r="F1368" s="3">
        <v>46325</v>
      </c>
      <c r="G1368" s="4">
        <v>40120</v>
      </c>
      <c r="H1368" s="2">
        <v>0</v>
      </c>
      <c r="I1368" s="2" t="s">
        <v>489</v>
      </c>
      <c r="J1368" s="2" t="s">
        <v>50</v>
      </c>
    </row>
    <row r="1369" spans="1:10" x14ac:dyDescent="0.3">
      <c r="A1369" s="2" t="s">
        <v>166</v>
      </c>
      <c r="B1369" s="2" t="s">
        <v>167</v>
      </c>
      <c r="C1369" s="2">
        <v>31947</v>
      </c>
      <c r="D1369" s="2">
        <v>42560</v>
      </c>
      <c r="E1369" s="3">
        <v>46037</v>
      </c>
      <c r="F1369" s="3">
        <v>46325</v>
      </c>
      <c r="G1369" s="4">
        <v>65250</v>
      </c>
      <c r="H1369" s="2">
        <v>0</v>
      </c>
      <c r="I1369" s="2" t="s">
        <v>489</v>
      </c>
      <c r="J1369" s="2" t="s">
        <v>50</v>
      </c>
    </row>
    <row r="1370" spans="1:10" x14ac:dyDescent="0.3">
      <c r="A1370" s="2" t="s">
        <v>166</v>
      </c>
      <c r="B1370" s="2" t="s">
        <v>167</v>
      </c>
      <c r="C1370" s="2">
        <v>31948</v>
      </c>
      <c r="D1370" s="2">
        <v>42561</v>
      </c>
      <c r="E1370" s="3">
        <v>46037</v>
      </c>
      <c r="F1370" s="3">
        <v>46325</v>
      </c>
      <c r="G1370" s="4">
        <v>40500</v>
      </c>
      <c r="H1370" s="2">
        <v>0</v>
      </c>
      <c r="I1370" s="2" t="s">
        <v>489</v>
      </c>
      <c r="J1370" s="2" t="s">
        <v>50</v>
      </c>
    </row>
    <row r="1371" spans="1:10" x14ac:dyDescent="0.3">
      <c r="A1371" s="2" t="s">
        <v>166</v>
      </c>
      <c r="B1371" s="2" t="s">
        <v>167</v>
      </c>
      <c r="C1371" s="2">
        <v>31949</v>
      </c>
      <c r="D1371" s="2">
        <v>42562</v>
      </c>
      <c r="E1371" s="3">
        <v>46037</v>
      </c>
      <c r="F1371" s="3">
        <v>46325</v>
      </c>
      <c r="G1371" s="4">
        <v>24180</v>
      </c>
      <c r="H1371" s="2">
        <v>0</v>
      </c>
      <c r="I1371" s="2" t="s">
        <v>489</v>
      </c>
      <c r="J1371" s="2" t="s">
        <v>50</v>
      </c>
    </row>
    <row r="1372" spans="1:10" x14ac:dyDescent="0.3">
      <c r="A1372" s="2" t="s">
        <v>166</v>
      </c>
      <c r="B1372" s="2" t="s">
        <v>167</v>
      </c>
      <c r="C1372" s="2">
        <v>32072</v>
      </c>
      <c r="D1372" s="2">
        <v>42700</v>
      </c>
      <c r="E1372" s="3">
        <v>46045</v>
      </c>
      <c r="F1372" s="3">
        <v>46325</v>
      </c>
      <c r="G1372" s="4">
        <v>19800</v>
      </c>
      <c r="H1372" s="2">
        <v>0</v>
      </c>
      <c r="I1372" s="2" t="s">
        <v>489</v>
      </c>
      <c r="J1372" s="2" t="s">
        <v>50</v>
      </c>
    </row>
    <row r="1373" spans="1:10" x14ac:dyDescent="0.3">
      <c r="A1373" s="2" t="s">
        <v>166</v>
      </c>
      <c r="B1373" s="2" t="s">
        <v>167</v>
      </c>
      <c r="C1373" s="2">
        <v>32073</v>
      </c>
      <c r="D1373" s="2">
        <v>42701</v>
      </c>
      <c r="E1373" s="3">
        <v>46045</v>
      </c>
      <c r="F1373" s="3">
        <v>46325</v>
      </c>
      <c r="G1373" s="4">
        <v>53820</v>
      </c>
      <c r="H1373" s="2">
        <v>0</v>
      </c>
      <c r="I1373" s="2" t="s">
        <v>489</v>
      </c>
      <c r="J1373" s="2" t="s">
        <v>50</v>
      </c>
    </row>
    <row r="1374" spans="1:10" x14ac:dyDescent="0.3">
      <c r="A1374" s="2" t="s">
        <v>166</v>
      </c>
      <c r="B1374" s="2" t="s">
        <v>167</v>
      </c>
      <c r="C1374" s="2">
        <v>32074</v>
      </c>
      <c r="D1374" s="2">
        <v>42702</v>
      </c>
      <c r="E1374" s="3">
        <v>46045</v>
      </c>
      <c r="F1374" s="3">
        <v>46325</v>
      </c>
      <c r="G1374" s="4">
        <v>7040</v>
      </c>
      <c r="H1374" s="2">
        <v>0</v>
      </c>
      <c r="I1374" s="2" t="s">
        <v>489</v>
      </c>
      <c r="J1374" s="2" t="s">
        <v>50</v>
      </c>
    </row>
    <row r="1375" spans="1:10" x14ac:dyDescent="0.3">
      <c r="A1375" s="2" t="s">
        <v>166</v>
      </c>
      <c r="B1375" s="2" t="s">
        <v>167</v>
      </c>
      <c r="C1375" s="2">
        <v>32075</v>
      </c>
      <c r="D1375" s="2">
        <v>42703</v>
      </c>
      <c r="E1375" s="3">
        <v>46045</v>
      </c>
      <c r="F1375" s="3">
        <v>46325</v>
      </c>
      <c r="G1375" s="4">
        <v>46060.800000000003</v>
      </c>
      <c r="H1375" s="2">
        <v>0</v>
      </c>
      <c r="I1375" s="2" t="s">
        <v>489</v>
      </c>
      <c r="J1375" s="2" t="s">
        <v>50</v>
      </c>
    </row>
    <row r="1376" spans="1:10" x14ac:dyDescent="0.3">
      <c r="A1376" s="2" t="s">
        <v>166</v>
      </c>
      <c r="B1376" s="2" t="s">
        <v>167</v>
      </c>
      <c r="C1376" s="2">
        <v>32527</v>
      </c>
      <c r="D1376" s="2">
        <v>43203</v>
      </c>
      <c r="E1376" s="3">
        <v>46090</v>
      </c>
      <c r="F1376" s="3">
        <v>46325</v>
      </c>
      <c r="G1376" s="4">
        <v>66000</v>
      </c>
      <c r="H1376" s="2">
        <v>0</v>
      </c>
      <c r="I1376" s="2" t="s">
        <v>489</v>
      </c>
      <c r="J1376" s="2" t="s">
        <v>50</v>
      </c>
    </row>
    <row r="1377" spans="1:10" x14ac:dyDescent="0.3">
      <c r="A1377" s="2" t="s">
        <v>166</v>
      </c>
      <c r="B1377" s="2" t="s">
        <v>167</v>
      </c>
      <c r="C1377" s="2">
        <v>32528</v>
      </c>
      <c r="D1377" s="2">
        <v>43204</v>
      </c>
      <c r="E1377" s="3">
        <v>46090</v>
      </c>
      <c r="F1377" s="3">
        <v>46325</v>
      </c>
      <c r="G1377" s="4">
        <v>30000</v>
      </c>
      <c r="H1377" s="2">
        <v>0</v>
      </c>
      <c r="I1377" s="2" t="s">
        <v>489</v>
      </c>
      <c r="J1377" s="2" t="s">
        <v>50</v>
      </c>
    </row>
    <row r="1378" spans="1:10" x14ac:dyDescent="0.3">
      <c r="A1378" s="2" t="s">
        <v>166</v>
      </c>
      <c r="B1378" s="2" t="s">
        <v>167</v>
      </c>
      <c r="C1378" s="2">
        <v>32529</v>
      </c>
      <c r="D1378" s="2">
        <v>43205</v>
      </c>
      <c r="E1378" s="3">
        <v>46090</v>
      </c>
      <c r="F1378" s="3">
        <v>46325</v>
      </c>
      <c r="G1378" s="4">
        <v>2250</v>
      </c>
      <c r="H1378" s="2">
        <v>0</v>
      </c>
      <c r="I1378" s="2" t="s">
        <v>489</v>
      </c>
      <c r="J1378" s="2" t="s">
        <v>50</v>
      </c>
    </row>
    <row r="1379" spans="1:10" x14ac:dyDescent="0.3">
      <c r="A1379" s="2" t="s">
        <v>798</v>
      </c>
      <c r="B1379" s="2" t="s">
        <v>119</v>
      </c>
      <c r="C1379" s="2">
        <v>32634</v>
      </c>
      <c r="D1379" s="2">
        <v>43288</v>
      </c>
      <c r="E1379" s="3">
        <v>46098</v>
      </c>
      <c r="F1379" s="3">
        <v>46325</v>
      </c>
      <c r="G1379" s="4">
        <v>164032.5</v>
      </c>
      <c r="H1379" s="2">
        <v>0</v>
      </c>
      <c r="I1379" s="2" t="s">
        <v>799</v>
      </c>
      <c r="J1379" s="2" t="s">
        <v>46</v>
      </c>
    </row>
    <row r="1380" spans="1:10" x14ac:dyDescent="0.3">
      <c r="A1380" s="2" t="s">
        <v>118</v>
      </c>
      <c r="B1380" s="2" t="s">
        <v>119</v>
      </c>
      <c r="C1380" s="2">
        <v>32635</v>
      </c>
      <c r="D1380" s="2">
        <v>43289</v>
      </c>
      <c r="E1380" s="3">
        <v>46098</v>
      </c>
      <c r="F1380" s="3">
        <v>46325</v>
      </c>
      <c r="G1380" s="4">
        <v>111000</v>
      </c>
      <c r="H1380" s="2">
        <v>0</v>
      </c>
      <c r="I1380" s="2" t="s">
        <v>800</v>
      </c>
      <c r="J1380" s="2" t="s">
        <v>46</v>
      </c>
    </row>
    <row r="1381" spans="1:10" x14ac:dyDescent="0.3">
      <c r="A1381" s="2" t="s">
        <v>524</v>
      </c>
      <c r="B1381" s="2" t="s">
        <v>525</v>
      </c>
      <c r="C1381" s="2">
        <v>32636</v>
      </c>
      <c r="D1381" s="2">
        <v>43290</v>
      </c>
      <c r="E1381" s="3">
        <v>46098</v>
      </c>
      <c r="F1381" s="3">
        <v>46325</v>
      </c>
      <c r="G1381" s="4">
        <v>56370</v>
      </c>
      <c r="H1381" s="2">
        <v>0</v>
      </c>
      <c r="I1381" s="2" t="s">
        <v>801</v>
      </c>
      <c r="J1381" s="2" t="s">
        <v>26</v>
      </c>
    </row>
    <row r="1382" spans="1:10" x14ac:dyDescent="0.3">
      <c r="A1382" s="2" t="s">
        <v>496</v>
      </c>
      <c r="B1382" s="2" t="s">
        <v>497</v>
      </c>
      <c r="C1382" s="2">
        <v>32667</v>
      </c>
      <c r="D1382" s="2">
        <v>43322</v>
      </c>
      <c r="E1382" s="3">
        <v>46100</v>
      </c>
      <c r="F1382" s="3">
        <v>46325</v>
      </c>
      <c r="G1382" s="4">
        <v>253500</v>
      </c>
      <c r="H1382" s="2">
        <v>0</v>
      </c>
      <c r="I1382" s="2" t="s">
        <v>830</v>
      </c>
      <c r="J1382" s="2" t="s">
        <v>46</v>
      </c>
    </row>
    <row r="1383" spans="1:10" x14ac:dyDescent="0.3">
      <c r="A1383" s="2" t="s">
        <v>118</v>
      </c>
      <c r="B1383" s="2" t="s">
        <v>119</v>
      </c>
      <c r="C1383" s="2">
        <v>32695</v>
      </c>
      <c r="D1383" s="2">
        <v>43349</v>
      </c>
      <c r="E1383" s="3">
        <v>46101</v>
      </c>
      <c r="F1383" s="3">
        <v>46325</v>
      </c>
      <c r="G1383" s="4">
        <v>303334.59999999998</v>
      </c>
      <c r="H1383" s="2">
        <v>0</v>
      </c>
      <c r="I1383" s="2" t="s">
        <v>852</v>
      </c>
      <c r="J1383" s="2" t="s">
        <v>46</v>
      </c>
    </row>
    <row r="1384" spans="1:10" x14ac:dyDescent="0.3">
      <c r="A1384" s="2" t="s">
        <v>940</v>
      </c>
      <c r="B1384" s="2" t="s">
        <v>941</v>
      </c>
      <c r="C1384" s="2">
        <v>32824</v>
      </c>
      <c r="D1384" s="2">
        <v>43481</v>
      </c>
      <c r="E1384" s="3">
        <v>46112</v>
      </c>
      <c r="F1384" s="3">
        <v>46325</v>
      </c>
      <c r="G1384" s="4">
        <v>244965</v>
      </c>
      <c r="H1384" s="2">
        <v>0</v>
      </c>
      <c r="I1384" s="2" t="s">
        <v>942</v>
      </c>
      <c r="J1384" s="2" t="s">
        <v>756</v>
      </c>
    </row>
    <row r="1385" spans="1:10" x14ac:dyDescent="0.3">
      <c r="A1385" s="2" t="s">
        <v>363</v>
      </c>
      <c r="B1385" s="2" t="s">
        <v>364</v>
      </c>
      <c r="C1385" s="2">
        <v>32853</v>
      </c>
      <c r="D1385" s="2">
        <v>43506</v>
      </c>
      <c r="E1385" s="3">
        <v>46118</v>
      </c>
      <c r="F1385" s="3">
        <v>46325</v>
      </c>
      <c r="G1385" s="4">
        <v>11520</v>
      </c>
      <c r="H1385" s="2">
        <v>0</v>
      </c>
      <c r="I1385" s="2" t="s">
        <v>958</v>
      </c>
      <c r="J1385" s="2" t="s">
        <v>66</v>
      </c>
    </row>
    <row r="1386" spans="1:10" x14ac:dyDescent="0.3">
      <c r="A1386" s="2" t="s">
        <v>363</v>
      </c>
      <c r="B1386" s="2" t="s">
        <v>364</v>
      </c>
      <c r="C1386" s="2">
        <v>32887</v>
      </c>
      <c r="D1386" s="2">
        <v>43542</v>
      </c>
      <c r="E1386" s="3">
        <v>46121</v>
      </c>
      <c r="F1386" s="3">
        <v>46325</v>
      </c>
      <c r="G1386" s="4">
        <v>41760</v>
      </c>
      <c r="H1386" s="2">
        <v>0</v>
      </c>
      <c r="I1386" s="2" t="s">
        <v>973</v>
      </c>
      <c r="J1386" s="2" t="s">
        <v>66</v>
      </c>
    </row>
    <row r="1387" spans="1:10" x14ac:dyDescent="0.3">
      <c r="A1387" s="2" t="s">
        <v>302</v>
      </c>
      <c r="B1387" s="2" t="s">
        <v>303</v>
      </c>
      <c r="C1387" s="2">
        <v>33113</v>
      </c>
      <c r="D1387" s="2">
        <v>43758</v>
      </c>
      <c r="E1387" s="3">
        <v>46150</v>
      </c>
      <c r="F1387" s="3">
        <v>46325</v>
      </c>
      <c r="G1387" s="4">
        <v>72980</v>
      </c>
      <c r="H1387" s="2">
        <v>0</v>
      </c>
      <c r="I1387" s="2" t="s">
        <v>1121</v>
      </c>
      <c r="J1387" s="2" t="s">
        <v>26</v>
      </c>
    </row>
    <row r="1388" spans="1:10" x14ac:dyDescent="0.3">
      <c r="A1388" s="2" t="s">
        <v>524</v>
      </c>
      <c r="B1388" s="2" t="s">
        <v>525</v>
      </c>
      <c r="C1388" s="2">
        <v>33114</v>
      </c>
      <c r="D1388" s="2">
        <v>43759</v>
      </c>
      <c r="E1388" s="3">
        <v>46150</v>
      </c>
      <c r="F1388" s="3">
        <v>46325</v>
      </c>
      <c r="G1388" s="4">
        <v>81770</v>
      </c>
      <c r="H1388" s="2">
        <v>0</v>
      </c>
      <c r="I1388" s="2" t="s">
        <v>1122</v>
      </c>
      <c r="J1388" s="2" t="s">
        <v>26</v>
      </c>
    </row>
    <row r="1389" spans="1:10" x14ac:dyDescent="0.3">
      <c r="A1389" s="2" t="s">
        <v>257</v>
      </c>
      <c r="B1389" s="2" t="s">
        <v>258</v>
      </c>
      <c r="C1389" s="2">
        <v>33070</v>
      </c>
      <c r="D1389" s="2">
        <v>43715</v>
      </c>
      <c r="E1389" s="3">
        <v>46146</v>
      </c>
      <c r="F1389" s="3">
        <v>46329</v>
      </c>
      <c r="G1389" s="4">
        <v>3535.38</v>
      </c>
      <c r="H1389" s="2">
        <v>0</v>
      </c>
      <c r="I1389" s="2" t="s">
        <v>1089</v>
      </c>
      <c r="J1389" s="2" t="s">
        <v>260</v>
      </c>
    </row>
    <row r="1390" spans="1:10" x14ac:dyDescent="0.3">
      <c r="A1390" s="2" t="s">
        <v>360</v>
      </c>
      <c r="B1390" s="2" t="s">
        <v>361</v>
      </c>
      <c r="C1390" s="2">
        <v>33074</v>
      </c>
      <c r="D1390" s="2">
        <v>43719</v>
      </c>
      <c r="E1390" s="3">
        <v>46147</v>
      </c>
      <c r="F1390" s="3">
        <v>46329</v>
      </c>
      <c r="G1390" s="2">
        <v>505.8</v>
      </c>
      <c r="H1390" s="2">
        <v>0</v>
      </c>
      <c r="I1390" s="2" t="s">
        <v>1092</v>
      </c>
      <c r="J1390" s="2" t="s">
        <v>92</v>
      </c>
    </row>
    <row r="1391" spans="1:10" x14ac:dyDescent="0.3">
      <c r="A1391" s="2" t="s">
        <v>740</v>
      </c>
      <c r="B1391" s="2" t="s">
        <v>727</v>
      </c>
      <c r="C1391" s="2">
        <v>33092</v>
      </c>
      <c r="D1391" s="2">
        <v>43738</v>
      </c>
      <c r="E1391" s="3">
        <v>46149</v>
      </c>
      <c r="F1391" s="3">
        <v>46329</v>
      </c>
      <c r="G1391" s="4">
        <v>4000</v>
      </c>
      <c r="H1391" s="2">
        <v>0</v>
      </c>
      <c r="I1391" s="2" t="s">
        <v>1108</v>
      </c>
      <c r="J1391" s="2" t="s">
        <v>394</v>
      </c>
    </row>
    <row r="1392" spans="1:10" x14ac:dyDescent="0.3">
      <c r="A1392" s="2" t="s">
        <v>729</v>
      </c>
      <c r="B1392" s="2" t="s">
        <v>727</v>
      </c>
      <c r="C1392" s="2">
        <v>33094</v>
      </c>
      <c r="D1392" s="2">
        <v>43740</v>
      </c>
      <c r="E1392" s="3">
        <v>46149</v>
      </c>
      <c r="F1392" s="3">
        <v>46329</v>
      </c>
      <c r="G1392" s="4">
        <v>57520.12</v>
      </c>
      <c r="H1392" s="2">
        <v>0</v>
      </c>
      <c r="I1392" s="2" t="s">
        <v>1110</v>
      </c>
      <c r="J1392" s="2" t="s">
        <v>394</v>
      </c>
    </row>
    <row r="1393" spans="1:10" x14ac:dyDescent="0.3">
      <c r="A1393" s="2" t="s">
        <v>440</v>
      </c>
      <c r="B1393" s="2" t="s">
        <v>441</v>
      </c>
      <c r="C1393" s="2">
        <v>33120</v>
      </c>
      <c r="D1393" s="2">
        <v>43765</v>
      </c>
      <c r="E1393" s="3">
        <v>46150</v>
      </c>
      <c r="F1393" s="3">
        <v>46330</v>
      </c>
      <c r="G1393" s="4">
        <v>4666.72</v>
      </c>
      <c r="H1393" s="2">
        <v>0</v>
      </c>
      <c r="I1393" s="2" t="s">
        <v>1127</v>
      </c>
      <c r="J1393" s="2" t="s">
        <v>417</v>
      </c>
    </row>
    <row r="1394" spans="1:10" x14ac:dyDescent="0.3">
      <c r="A1394" s="2" t="s">
        <v>440</v>
      </c>
      <c r="B1394" s="2" t="s">
        <v>441</v>
      </c>
      <c r="C1394" s="2">
        <v>33121</v>
      </c>
      <c r="D1394" s="2">
        <v>43766</v>
      </c>
      <c r="E1394" s="3">
        <v>46150</v>
      </c>
      <c r="F1394" s="3">
        <v>46330</v>
      </c>
      <c r="G1394" s="4">
        <v>16387.04</v>
      </c>
      <c r="H1394" s="2">
        <v>0</v>
      </c>
      <c r="I1394" s="2" t="s">
        <v>1128</v>
      </c>
      <c r="J1394" s="2" t="s">
        <v>417</v>
      </c>
    </row>
    <row r="1395" spans="1:10" x14ac:dyDescent="0.3">
      <c r="A1395" s="2" t="s">
        <v>440</v>
      </c>
      <c r="B1395" s="2" t="s">
        <v>441</v>
      </c>
      <c r="C1395" s="2">
        <v>33122</v>
      </c>
      <c r="D1395" s="2">
        <v>43767</v>
      </c>
      <c r="E1395" s="3">
        <v>46150</v>
      </c>
      <c r="F1395" s="3">
        <v>46330</v>
      </c>
      <c r="G1395" s="4">
        <v>15772.16</v>
      </c>
      <c r="H1395" s="2">
        <v>0</v>
      </c>
      <c r="I1395" s="2" t="s">
        <v>1129</v>
      </c>
      <c r="J1395" s="2" t="s">
        <v>417</v>
      </c>
    </row>
    <row r="1396" spans="1:10" x14ac:dyDescent="0.3">
      <c r="A1396" s="2" t="s">
        <v>357</v>
      </c>
      <c r="B1396" s="2" t="s">
        <v>358</v>
      </c>
      <c r="C1396" s="2">
        <v>33147</v>
      </c>
      <c r="D1396" s="2">
        <v>43790</v>
      </c>
      <c r="E1396" s="3">
        <v>46154</v>
      </c>
      <c r="F1396" s="3">
        <v>46335</v>
      </c>
      <c r="G1396" s="4">
        <v>79976.160000000003</v>
      </c>
      <c r="H1396" s="2">
        <v>0</v>
      </c>
      <c r="I1396" s="2" t="s">
        <v>1145</v>
      </c>
      <c r="J1396" s="2" t="s">
        <v>260</v>
      </c>
    </row>
    <row r="1397" spans="1:10" x14ac:dyDescent="0.3">
      <c r="A1397" s="2" t="s">
        <v>360</v>
      </c>
      <c r="B1397" s="2" t="s">
        <v>361</v>
      </c>
      <c r="C1397" s="2">
        <v>33173</v>
      </c>
      <c r="D1397" s="2">
        <v>43816</v>
      </c>
      <c r="E1397" s="3">
        <v>46157</v>
      </c>
      <c r="F1397" s="3">
        <v>46337</v>
      </c>
      <c r="G1397" s="4">
        <v>6768.2</v>
      </c>
      <c r="H1397" s="2">
        <v>0</v>
      </c>
      <c r="I1397" s="2" t="s">
        <v>1161</v>
      </c>
      <c r="J1397" s="2" t="s">
        <v>92</v>
      </c>
    </row>
    <row r="1398" spans="1:10" x14ac:dyDescent="0.3">
      <c r="A1398" s="2" t="s">
        <v>315</v>
      </c>
      <c r="B1398" s="2" t="s">
        <v>316</v>
      </c>
      <c r="C1398" s="2">
        <v>32966</v>
      </c>
      <c r="D1398" s="2">
        <v>43617</v>
      </c>
      <c r="E1398" s="3">
        <v>46129</v>
      </c>
      <c r="F1398" s="3">
        <v>46339</v>
      </c>
      <c r="G1398" s="4">
        <v>4192.8</v>
      </c>
      <c r="H1398" s="2">
        <v>0</v>
      </c>
      <c r="I1398" s="2" t="s">
        <v>1027</v>
      </c>
      <c r="J1398" s="2" t="s">
        <v>318</v>
      </c>
    </row>
    <row r="1399" spans="1:10" x14ac:dyDescent="0.3">
      <c r="A1399" s="2" t="s">
        <v>315</v>
      </c>
      <c r="B1399" s="2" t="s">
        <v>316</v>
      </c>
      <c r="C1399" s="2">
        <v>32967</v>
      </c>
      <c r="D1399" s="2">
        <v>43618</v>
      </c>
      <c r="E1399" s="3">
        <v>46129</v>
      </c>
      <c r="F1399" s="3">
        <v>46339</v>
      </c>
      <c r="G1399" s="4">
        <v>10482</v>
      </c>
      <c r="H1399" s="2">
        <v>0</v>
      </c>
      <c r="I1399" s="2" t="s">
        <v>1028</v>
      </c>
      <c r="J1399" s="2" t="s">
        <v>318</v>
      </c>
    </row>
    <row r="1400" spans="1:10" x14ac:dyDescent="0.3">
      <c r="A1400" s="2" t="s">
        <v>557</v>
      </c>
      <c r="B1400" s="2" t="s">
        <v>558</v>
      </c>
      <c r="C1400" s="2">
        <v>33177</v>
      </c>
      <c r="D1400" s="2">
        <v>43824</v>
      </c>
      <c r="E1400" s="3">
        <v>46160</v>
      </c>
      <c r="F1400" s="3">
        <v>46342</v>
      </c>
      <c r="G1400" s="4">
        <v>8666.68</v>
      </c>
      <c r="H1400" s="2">
        <v>0</v>
      </c>
      <c r="I1400" s="2" t="s">
        <v>1164</v>
      </c>
      <c r="J1400" s="2" t="s">
        <v>19</v>
      </c>
    </row>
    <row r="1401" spans="1:10" x14ac:dyDescent="0.3">
      <c r="A1401" s="2" t="s">
        <v>469</v>
      </c>
      <c r="B1401" s="2" t="s">
        <v>470</v>
      </c>
      <c r="C1401" s="2">
        <v>33198</v>
      </c>
      <c r="D1401" s="2">
        <v>43845</v>
      </c>
      <c r="E1401" s="3">
        <v>46163</v>
      </c>
      <c r="F1401" s="3">
        <v>46342</v>
      </c>
      <c r="G1401" s="4">
        <v>18690</v>
      </c>
      <c r="H1401" s="2">
        <v>0</v>
      </c>
      <c r="I1401" s="2" t="s">
        <v>1183</v>
      </c>
      <c r="J1401" s="2" t="s">
        <v>394</v>
      </c>
    </row>
    <row r="1402" spans="1:10" x14ac:dyDescent="0.3">
      <c r="A1402" s="2" t="s">
        <v>1041</v>
      </c>
      <c r="B1402" s="2" t="s">
        <v>1042</v>
      </c>
      <c r="C1402" s="2">
        <v>33206</v>
      </c>
      <c r="D1402" s="2">
        <v>43853</v>
      </c>
      <c r="E1402" s="3">
        <v>46163</v>
      </c>
      <c r="F1402" s="3">
        <v>46343</v>
      </c>
      <c r="G1402" s="4">
        <v>6705.02</v>
      </c>
      <c r="H1402" s="2">
        <v>0</v>
      </c>
      <c r="I1402" s="2" t="s">
        <v>1188</v>
      </c>
      <c r="J1402" s="2" t="s">
        <v>238</v>
      </c>
    </row>
    <row r="1403" spans="1:10" x14ac:dyDescent="0.3">
      <c r="A1403" s="2" t="s">
        <v>409</v>
      </c>
      <c r="B1403" s="2" t="s">
        <v>410</v>
      </c>
      <c r="C1403" s="2">
        <v>33225</v>
      </c>
      <c r="D1403" s="2">
        <v>43872</v>
      </c>
      <c r="E1403" s="3">
        <v>46167</v>
      </c>
      <c r="F1403" s="3">
        <v>46349</v>
      </c>
      <c r="G1403" s="4">
        <v>16920</v>
      </c>
      <c r="H1403" s="2">
        <v>0</v>
      </c>
      <c r="I1403" s="2" t="s">
        <v>1202</v>
      </c>
      <c r="J1403" s="2" t="s">
        <v>412</v>
      </c>
    </row>
    <row r="1404" spans="1:10" x14ac:dyDescent="0.3">
      <c r="A1404" s="2" t="s">
        <v>729</v>
      </c>
      <c r="B1404" s="2" t="s">
        <v>727</v>
      </c>
      <c r="C1404" s="2">
        <v>33246</v>
      </c>
      <c r="D1404" s="2">
        <v>43895</v>
      </c>
      <c r="E1404" s="3">
        <v>46169</v>
      </c>
      <c r="F1404" s="3">
        <v>46349</v>
      </c>
      <c r="G1404" s="4">
        <v>1635</v>
      </c>
      <c r="H1404" s="2">
        <v>0</v>
      </c>
      <c r="I1404" s="2" t="s">
        <v>1222</v>
      </c>
      <c r="J1404" s="2" t="s">
        <v>394</v>
      </c>
    </row>
    <row r="1405" spans="1:10" x14ac:dyDescent="0.3">
      <c r="A1405" s="2" t="s">
        <v>729</v>
      </c>
      <c r="B1405" s="2" t="s">
        <v>727</v>
      </c>
      <c r="C1405" s="2">
        <v>33248</v>
      </c>
      <c r="D1405" s="2">
        <v>43897</v>
      </c>
      <c r="E1405" s="3">
        <v>46169</v>
      </c>
      <c r="F1405" s="3">
        <v>46349</v>
      </c>
      <c r="G1405" s="4">
        <v>58365</v>
      </c>
      <c r="H1405" s="2">
        <v>0</v>
      </c>
      <c r="I1405" s="2" t="s">
        <v>1224</v>
      </c>
      <c r="J1405" s="2" t="s">
        <v>394</v>
      </c>
    </row>
    <row r="1406" spans="1:10" x14ac:dyDescent="0.3">
      <c r="A1406" s="2" t="s">
        <v>726</v>
      </c>
      <c r="B1406" s="2" t="s">
        <v>727</v>
      </c>
      <c r="C1406" s="2">
        <v>33251</v>
      </c>
      <c r="D1406" s="2">
        <v>43900</v>
      </c>
      <c r="E1406" s="3">
        <v>46169</v>
      </c>
      <c r="F1406" s="3">
        <v>46349</v>
      </c>
      <c r="G1406" s="4">
        <v>11673</v>
      </c>
      <c r="H1406" s="2">
        <v>0</v>
      </c>
      <c r="I1406" s="2" t="s">
        <v>1227</v>
      </c>
      <c r="J1406" s="2" t="s">
        <v>394</v>
      </c>
    </row>
    <row r="1407" spans="1:10" x14ac:dyDescent="0.3">
      <c r="A1407" s="2" t="s">
        <v>271</v>
      </c>
      <c r="B1407" s="2" t="s">
        <v>272</v>
      </c>
      <c r="C1407" s="2">
        <v>33035</v>
      </c>
      <c r="D1407" s="2">
        <v>43686</v>
      </c>
      <c r="E1407" s="3">
        <v>46140</v>
      </c>
      <c r="F1407" s="3">
        <v>46350</v>
      </c>
      <c r="G1407" s="4">
        <v>20250</v>
      </c>
      <c r="H1407" s="2">
        <v>0</v>
      </c>
      <c r="I1407" s="2" t="s">
        <v>1071</v>
      </c>
      <c r="J1407" s="2" t="s">
        <v>238</v>
      </c>
    </row>
    <row r="1408" spans="1:10" x14ac:dyDescent="0.3">
      <c r="A1408" s="2" t="s">
        <v>357</v>
      </c>
      <c r="B1408" s="2" t="s">
        <v>358</v>
      </c>
      <c r="C1408" s="2">
        <v>33259</v>
      </c>
      <c r="D1408" s="2">
        <v>43908</v>
      </c>
      <c r="E1408" s="3">
        <v>46170</v>
      </c>
      <c r="F1408" s="3">
        <v>46350</v>
      </c>
      <c r="G1408" s="4">
        <v>3650.68</v>
      </c>
      <c r="H1408" s="2">
        <v>0</v>
      </c>
      <c r="I1408" s="2" t="s">
        <v>1236</v>
      </c>
      <c r="J1408" s="2" t="s">
        <v>260</v>
      </c>
    </row>
    <row r="1409" spans="1:10" x14ac:dyDescent="0.3">
      <c r="A1409" s="2" t="s">
        <v>831</v>
      </c>
      <c r="B1409" s="2" t="s">
        <v>832</v>
      </c>
      <c r="C1409" s="2">
        <v>33267</v>
      </c>
      <c r="D1409" s="2">
        <v>43915</v>
      </c>
      <c r="E1409" s="3">
        <v>46170</v>
      </c>
      <c r="F1409" s="3">
        <v>46350</v>
      </c>
      <c r="G1409" s="4">
        <v>85204.800000000003</v>
      </c>
      <c r="H1409" s="2">
        <v>0</v>
      </c>
      <c r="I1409" s="2" t="s">
        <v>1240</v>
      </c>
      <c r="J1409" s="2" t="s">
        <v>394</v>
      </c>
    </row>
    <row r="1410" spans="1:10" x14ac:dyDescent="0.3">
      <c r="A1410" s="2" t="s">
        <v>396</v>
      </c>
      <c r="B1410" s="2" t="s">
        <v>392</v>
      </c>
      <c r="C1410" s="2">
        <v>33269</v>
      </c>
      <c r="D1410" s="2">
        <v>43917</v>
      </c>
      <c r="E1410" s="3">
        <v>46170</v>
      </c>
      <c r="F1410" s="3">
        <v>46350</v>
      </c>
      <c r="G1410" s="4">
        <v>11925.4</v>
      </c>
      <c r="H1410" s="2">
        <v>0</v>
      </c>
      <c r="I1410" s="2" t="s">
        <v>1242</v>
      </c>
      <c r="J1410" s="2" t="s">
        <v>394</v>
      </c>
    </row>
    <row r="1411" spans="1:10" x14ac:dyDescent="0.3">
      <c r="A1411" s="2" t="s">
        <v>436</v>
      </c>
      <c r="B1411" s="2" t="s">
        <v>316</v>
      </c>
      <c r="C1411" s="2">
        <v>31735</v>
      </c>
      <c r="D1411" s="2">
        <v>42306</v>
      </c>
      <c r="E1411" s="3">
        <v>46007</v>
      </c>
      <c r="F1411" s="3">
        <v>46356</v>
      </c>
      <c r="G1411" s="4">
        <v>252480</v>
      </c>
      <c r="H1411" s="2">
        <v>0</v>
      </c>
      <c r="I1411" s="2" t="s">
        <v>437</v>
      </c>
      <c r="J1411" s="2" t="s">
        <v>318</v>
      </c>
    </row>
    <row r="1412" spans="1:10" x14ac:dyDescent="0.3">
      <c r="A1412" s="2" t="s">
        <v>376</v>
      </c>
      <c r="B1412" s="2" t="s">
        <v>316</v>
      </c>
      <c r="C1412" s="2">
        <v>31803</v>
      </c>
      <c r="D1412" s="2">
        <v>42375</v>
      </c>
      <c r="E1412" s="3">
        <v>46010</v>
      </c>
      <c r="F1412" s="3">
        <v>46356</v>
      </c>
      <c r="G1412" s="4">
        <v>163950</v>
      </c>
      <c r="H1412" s="2">
        <v>0</v>
      </c>
      <c r="I1412" s="2" t="s">
        <v>461</v>
      </c>
      <c r="J1412" s="2" t="s">
        <v>318</v>
      </c>
    </row>
    <row r="1413" spans="1:10" x14ac:dyDescent="0.3">
      <c r="A1413" s="2" t="s">
        <v>462</v>
      </c>
      <c r="B1413" s="2" t="s">
        <v>316</v>
      </c>
      <c r="C1413" s="2">
        <v>31804</v>
      </c>
      <c r="D1413" s="2">
        <v>42376</v>
      </c>
      <c r="E1413" s="3">
        <v>46010</v>
      </c>
      <c r="F1413" s="3">
        <v>46356</v>
      </c>
      <c r="G1413" s="4">
        <v>183430</v>
      </c>
      <c r="H1413" s="2">
        <v>0</v>
      </c>
      <c r="I1413" s="2" t="s">
        <v>463</v>
      </c>
      <c r="J1413" s="2" t="s">
        <v>318</v>
      </c>
    </row>
    <row r="1414" spans="1:10" x14ac:dyDescent="0.3">
      <c r="A1414" s="2" t="s">
        <v>464</v>
      </c>
      <c r="B1414" s="2" t="s">
        <v>316</v>
      </c>
      <c r="C1414" s="2">
        <v>31805</v>
      </c>
      <c r="D1414" s="2">
        <v>42377</v>
      </c>
      <c r="E1414" s="3">
        <v>46010</v>
      </c>
      <c r="F1414" s="3">
        <v>46356</v>
      </c>
      <c r="G1414" s="4">
        <v>58000</v>
      </c>
      <c r="H1414" s="2">
        <v>0</v>
      </c>
      <c r="I1414" s="2" t="s">
        <v>465</v>
      </c>
      <c r="J1414" s="2" t="s">
        <v>318</v>
      </c>
    </row>
    <row r="1415" spans="1:10" x14ac:dyDescent="0.3">
      <c r="A1415" s="2" t="s">
        <v>464</v>
      </c>
      <c r="B1415" s="2" t="s">
        <v>316</v>
      </c>
      <c r="C1415" s="2">
        <v>31830</v>
      </c>
      <c r="D1415" s="2">
        <v>42413</v>
      </c>
      <c r="E1415" s="3">
        <v>46021</v>
      </c>
      <c r="F1415" s="3">
        <v>46356</v>
      </c>
      <c r="G1415" s="4">
        <v>225420</v>
      </c>
      <c r="H1415" s="2">
        <v>0</v>
      </c>
      <c r="I1415" s="2" t="s">
        <v>477</v>
      </c>
      <c r="J1415" s="2" t="s">
        <v>318</v>
      </c>
    </row>
    <row r="1416" spans="1:10" x14ac:dyDescent="0.3">
      <c r="A1416" s="2" t="s">
        <v>376</v>
      </c>
      <c r="B1416" s="2" t="s">
        <v>316</v>
      </c>
      <c r="C1416" s="2">
        <v>32182</v>
      </c>
      <c r="D1416" s="2">
        <v>42805</v>
      </c>
      <c r="E1416" s="3">
        <v>46052</v>
      </c>
      <c r="F1416" s="3">
        <v>46356</v>
      </c>
      <c r="G1416" s="4">
        <v>34460</v>
      </c>
      <c r="H1416" s="2">
        <v>0</v>
      </c>
      <c r="I1416" s="2" t="s">
        <v>587</v>
      </c>
      <c r="J1416" s="2" t="s">
        <v>318</v>
      </c>
    </row>
    <row r="1417" spans="1:10" x14ac:dyDescent="0.3">
      <c r="A1417" s="2" t="s">
        <v>759</v>
      </c>
      <c r="B1417" s="2" t="s">
        <v>760</v>
      </c>
      <c r="C1417" s="2">
        <v>32499</v>
      </c>
      <c r="D1417" s="2">
        <v>43165</v>
      </c>
      <c r="E1417" s="3">
        <v>46084</v>
      </c>
      <c r="F1417" s="3">
        <v>46356</v>
      </c>
      <c r="G1417" s="4">
        <v>81118.75</v>
      </c>
      <c r="H1417" s="2">
        <v>0</v>
      </c>
      <c r="I1417" s="2" t="s">
        <v>761</v>
      </c>
      <c r="J1417" s="2" t="s">
        <v>238</v>
      </c>
    </row>
    <row r="1418" spans="1:10" x14ac:dyDescent="0.3">
      <c r="A1418" s="2" t="s">
        <v>100</v>
      </c>
      <c r="B1418" s="2" t="s">
        <v>90</v>
      </c>
      <c r="C1418" s="2">
        <v>33217</v>
      </c>
      <c r="D1418" s="2">
        <v>43863</v>
      </c>
      <c r="E1418" s="3">
        <v>46164</v>
      </c>
      <c r="F1418" s="3">
        <v>46356</v>
      </c>
      <c r="G1418" s="4">
        <v>54600</v>
      </c>
      <c r="H1418" s="2">
        <v>0</v>
      </c>
      <c r="I1418" s="2" t="s">
        <v>1195</v>
      </c>
      <c r="J1418" s="2" t="s">
        <v>97</v>
      </c>
    </row>
    <row r="1419" spans="1:10" x14ac:dyDescent="0.3">
      <c r="A1419" s="2" t="s">
        <v>336</v>
      </c>
      <c r="B1419" s="2" t="s">
        <v>337</v>
      </c>
      <c r="C1419" s="2">
        <v>32575</v>
      </c>
      <c r="D1419" s="2">
        <v>43249</v>
      </c>
      <c r="E1419" s="3">
        <v>46094</v>
      </c>
      <c r="F1419" s="3">
        <v>46364</v>
      </c>
      <c r="G1419" s="4">
        <v>82000</v>
      </c>
      <c r="H1419" s="2">
        <v>0</v>
      </c>
      <c r="I1419" s="2" t="s">
        <v>503</v>
      </c>
      <c r="J1419" s="2" t="s">
        <v>339</v>
      </c>
    </row>
    <row r="1420" spans="1:10" x14ac:dyDescent="0.3">
      <c r="A1420" s="2" t="s">
        <v>51</v>
      </c>
      <c r="B1420" s="2" t="s">
        <v>52</v>
      </c>
      <c r="C1420" s="2">
        <v>32997</v>
      </c>
      <c r="D1420" s="2">
        <v>43646</v>
      </c>
      <c r="E1420" s="3">
        <v>46135</v>
      </c>
      <c r="F1420" s="3">
        <v>46371</v>
      </c>
      <c r="G1420" s="4">
        <v>216120</v>
      </c>
      <c r="H1420" s="2">
        <v>0</v>
      </c>
      <c r="I1420" s="2" t="s">
        <v>1045</v>
      </c>
      <c r="J1420" s="2" t="s">
        <v>54</v>
      </c>
    </row>
    <row r="1421" spans="1:10" x14ac:dyDescent="0.3">
      <c r="A1421" s="2" t="s">
        <v>315</v>
      </c>
      <c r="B1421" s="2" t="s">
        <v>316</v>
      </c>
      <c r="C1421" s="2">
        <v>33196</v>
      </c>
      <c r="D1421" s="2">
        <v>43843</v>
      </c>
      <c r="E1421" s="3">
        <v>46163</v>
      </c>
      <c r="F1421" s="3">
        <v>46373</v>
      </c>
      <c r="G1421" s="4">
        <v>185800</v>
      </c>
      <c r="H1421" s="2">
        <v>0</v>
      </c>
      <c r="I1421" s="2" t="s">
        <v>1181</v>
      </c>
      <c r="J1421" s="2" t="s">
        <v>318</v>
      </c>
    </row>
    <row r="1422" spans="1:10" x14ac:dyDescent="0.3">
      <c r="A1422" s="2" t="s">
        <v>239</v>
      </c>
      <c r="B1422" s="2" t="s">
        <v>240</v>
      </c>
      <c r="C1422" s="2">
        <v>33024</v>
      </c>
      <c r="D1422" s="2">
        <v>43673</v>
      </c>
      <c r="E1422" s="3">
        <v>46139</v>
      </c>
      <c r="F1422" s="3">
        <v>46379</v>
      </c>
      <c r="G1422" s="4">
        <v>79200</v>
      </c>
      <c r="H1422" s="2">
        <v>0</v>
      </c>
      <c r="I1422" s="2" t="s">
        <v>1067</v>
      </c>
      <c r="J1422" s="2" t="s">
        <v>238</v>
      </c>
    </row>
    <row r="1423" spans="1:10" x14ac:dyDescent="0.3">
      <c r="A1423" s="2" t="s">
        <v>336</v>
      </c>
      <c r="B1423" s="2" t="s">
        <v>337</v>
      </c>
      <c r="C1423" s="2">
        <v>32917</v>
      </c>
      <c r="D1423" s="2">
        <v>43572</v>
      </c>
      <c r="E1423" s="3">
        <v>46125</v>
      </c>
      <c r="F1423" s="3">
        <v>46395</v>
      </c>
      <c r="G1423" s="4">
        <v>14500</v>
      </c>
      <c r="H1423" s="2">
        <v>0</v>
      </c>
      <c r="I1423" s="2" t="s">
        <v>990</v>
      </c>
      <c r="J1423" s="2" t="s">
        <v>339</v>
      </c>
    </row>
  </sheetData>
  <autoFilter ref="A1:J1423" xr:uid="{4AF6E9A9-D555-4DDF-A9AB-399BCD68DC74}">
    <sortState xmlns:xlrd2="http://schemas.microsoft.com/office/spreadsheetml/2017/richdata2" ref="A2:J1423">
      <sortCondition ref="F1:F1423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811EC8-8137-4901-9F36-026D938B714C}">
  <sheetPr>
    <tabColor theme="5" tint="0.59999389629810485"/>
  </sheetPr>
  <dimension ref="A1:J84"/>
  <sheetViews>
    <sheetView showGridLines="0" workbookViewId="0">
      <selection activeCell="D14" sqref="D14"/>
    </sheetView>
  </sheetViews>
  <sheetFormatPr defaultRowHeight="14.4" x14ac:dyDescent="0.3"/>
  <cols>
    <col min="1" max="1" width="10.109375" bestFit="1" customWidth="1"/>
    <col min="2" max="2" width="54.6640625" bestFit="1" customWidth="1"/>
    <col min="3" max="3" width="9.88671875" bestFit="1" customWidth="1"/>
    <col min="4" max="4" width="7" bestFit="1" customWidth="1"/>
    <col min="5" max="5" width="10.44140625" bestFit="1" customWidth="1"/>
    <col min="6" max="6" width="11.44140625" bestFit="1" customWidth="1"/>
    <col min="7" max="7" width="10.109375" bestFit="1" customWidth="1"/>
    <col min="8" max="8" width="11.109375" bestFit="1" customWidth="1"/>
    <col min="9" max="9" width="30.33203125" bestFit="1" customWidth="1"/>
    <col min="10" max="10" width="19.109375" bestFit="1" customWidth="1"/>
  </cols>
  <sheetData>
    <row r="1" spans="1:10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3">
      <c r="A2" s="2" t="s">
        <v>16</v>
      </c>
      <c r="B2" s="2" t="s">
        <v>17</v>
      </c>
      <c r="C2" s="2">
        <v>28424</v>
      </c>
      <c r="D2" s="2">
        <v>38418</v>
      </c>
      <c r="E2" s="3">
        <v>45671</v>
      </c>
      <c r="F2" s="3">
        <v>45791</v>
      </c>
      <c r="G2" s="4">
        <v>37386.9</v>
      </c>
      <c r="H2" s="2">
        <v>379</v>
      </c>
      <c r="I2" s="2" t="s">
        <v>35</v>
      </c>
      <c r="J2" s="2" t="s">
        <v>19</v>
      </c>
    </row>
    <row r="3" spans="1:10" x14ac:dyDescent="0.3">
      <c r="A3" s="2" t="s">
        <v>16</v>
      </c>
      <c r="B3" s="2" t="s">
        <v>17</v>
      </c>
      <c r="C3" s="2">
        <v>28425</v>
      </c>
      <c r="D3" s="2">
        <v>38419</v>
      </c>
      <c r="E3" s="3">
        <v>45671</v>
      </c>
      <c r="F3" s="3">
        <v>45791</v>
      </c>
      <c r="G3" s="4">
        <v>20055.04</v>
      </c>
      <c r="H3" s="2">
        <v>379</v>
      </c>
      <c r="I3" s="2" t="s">
        <v>36</v>
      </c>
      <c r="J3" s="2" t="s">
        <v>19</v>
      </c>
    </row>
    <row r="4" spans="1:10" x14ac:dyDescent="0.3">
      <c r="A4" s="2" t="s">
        <v>16</v>
      </c>
      <c r="B4" s="2" t="s">
        <v>17</v>
      </c>
      <c r="C4" s="2">
        <v>28452</v>
      </c>
      <c r="D4" s="2">
        <v>38449</v>
      </c>
      <c r="E4" s="3">
        <v>45672</v>
      </c>
      <c r="F4" s="3">
        <v>45792</v>
      </c>
      <c r="G4" s="4">
        <v>5732.02</v>
      </c>
      <c r="H4" s="2">
        <v>378</v>
      </c>
      <c r="I4" s="2" t="s">
        <v>37</v>
      </c>
      <c r="J4" s="2" t="s">
        <v>19</v>
      </c>
    </row>
    <row r="5" spans="1:10" x14ac:dyDescent="0.3">
      <c r="A5" s="2" t="s">
        <v>16</v>
      </c>
      <c r="B5" s="2" t="s">
        <v>17</v>
      </c>
      <c r="C5" s="2">
        <v>27488</v>
      </c>
      <c r="D5" s="2">
        <v>37254</v>
      </c>
      <c r="E5" s="3">
        <v>45588</v>
      </c>
      <c r="F5" s="3">
        <v>45798</v>
      </c>
      <c r="G5" s="4">
        <v>1620.34</v>
      </c>
      <c r="H5" s="2">
        <v>372</v>
      </c>
      <c r="I5" s="2" t="s">
        <v>21</v>
      </c>
      <c r="J5" s="2" t="s">
        <v>19</v>
      </c>
    </row>
    <row r="6" spans="1:10" x14ac:dyDescent="0.3">
      <c r="A6" s="2" t="s">
        <v>16</v>
      </c>
      <c r="B6" s="2" t="s">
        <v>17</v>
      </c>
      <c r="C6" s="2">
        <v>27492</v>
      </c>
      <c r="D6" s="2">
        <v>37257</v>
      </c>
      <c r="E6" s="3">
        <v>45588</v>
      </c>
      <c r="F6" s="3">
        <v>45798</v>
      </c>
      <c r="G6" s="2">
        <v>952.5</v>
      </c>
      <c r="H6" s="2">
        <v>372</v>
      </c>
      <c r="I6" s="2" t="s">
        <v>22</v>
      </c>
      <c r="J6" s="2" t="s">
        <v>19</v>
      </c>
    </row>
    <row r="7" spans="1:10" x14ac:dyDescent="0.3">
      <c r="A7" s="2" t="s">
        <v>23</v>
      </c>
      <c r="B7" s="2" t="s">
        <v>24</v>
      </c>
      <c r="C7" s="2">
        <v>27505</v>
      </c>
      <c r="D7" s="2">
        <v>37271</v>
      </c>
      <c r="E7" s="3">
        <v>45589</v>
      </c>
      <c r="F7" s="3">
        <v>45807</v>
      </c>
      <c r="G7" s="4">
        <v>30277.200000000001</v>
      </c>
      <c r="H7" s="2">
        <v>363</v>
      </c>
      <c r="I7" s="2" t="s">
        <v>25</v>
      </c>
      <c r="J7" s="2" t="s">
        <v>26</v>
      </c>
    </row>
    <row r="8" spans="1:10" x14ac:dyDescent="0.3">
      <c r="A8" s="2" t="s">
        <v>23</v>
      </c>
      <c r="B8" s="2" t="s">
        <v>24</v>
      </c>
      <c r="C8" s="2">
        <v>27583</v>
      </c>
      <c r="D8" s="2">
        <v>37349</v>
      </c>
      <c r="E8" s="3">
        <v>45594</v>
      </c>
      <c r="F8" s="3">
        <v>45807</v>
      </c>
      <c r="G8" s="4">
        <v>285376</v>
      </c>
      <c r="H8" s="2">
        <v>363</v>
      </c>
      <c r="I8" s="2" t="s">
        <v>27</v>
      </c>
      <c r="J8" s="2" t="s">
        <v>26</v>
      </c>
    </row>
    <row r="9" spans="1:10" x14ac:dyDescent="0.3">
      <c r="A9" s="2" t="s">
        <v>23</v>
      </c>
      <c r="B9" s="2" t="s">
        <v>24</v>
      </c>
      <c r="C9" s="2">
        <v>27635</v>
      </c>
      <c r="D9" s="2">
        <v>37408</v>
      </c>
      <c r="E9" s="3">
        <v>45596</v>
      </c>
      <c r="F9" s="3">
        <v>45807</v>
      </c>
      <c r="G9" s="4">
        <v>204624</v>
      </c>
      <c r="H9" s="2">
        <v>363</v>
      </c>
      <c r="I9" s="2" t="s">
        <v>28</v>
      </c>
      <c r="J9" s="2" t="s">
        <v>26</v>
      </c>
    </row>
    <row r="10" spans="1:10" x14ac:dyDescent="0.3">
      <c r="A10" s="2" t="s">
        <v>16</v>
      </c>
      <c r="B10" s="2" t="s">
        <v>17</v>
      </c>
      <c r="C10" s="2">
        <v>27260</v>
      </c>
      <c r="D10" s="2">
        <v>36967</v>
      </c>
      <c r="E10" s="3">
        <v>45568</v>
      </c>
      <c r="F10" s="3">
        <v>45810</v>
      </c>
      <c r="G10" s="2">
        <v>493.9</v>
      </c>
      <c r="H10" s="2">
        <v>360</v>
      </c>
      <c r="I10" s="2" t="s">
        <v>18</v>
      </c>
      <c r="J10" s="2" t="s">
        <v>19</v>
      </c>
    </row>
    <row r="11" spans="1:10" x14ac:dyDescent="0.3">
      <c r="A11" s="2" t="s">
        <v>16</v>
      </c>
      <c r="B11" s="2" t="s">
        <v>17</v>
      </c>
      <c r="C11" s="2">
        <v>28073</v>
      </c>
      <c r="D11" s="2">
        <v>37995</v>
      </c>
      <c r="E11" s="3">
        <v>45638</v>
      </c>
      <c r="F11" s="3">
        <v>45818</v>
      </c>
      <c r="G11" s="4">
        <v>20579</v>
      </c>
      <c r="H11" s="2">
        <v>352</v>
      </c>
      <c r="I11" s="2" t="s">
        <v>32</v>
      </c>
      <c r="J11" s="2" t="s">
        <v>19</v>
      </c>
    </row>
    <row r="12" spans="1:10" x14ac:dyDescent="0.3">
      <c r="A12" s="2" t="s">
        <v>16</v>
      </c>
      <c r="B12" s="2" t="s">
        <v>17</v>
      </c>
      <c r="C12" s="2">
        <v>28074</v>
      </c>
      <c r="D12" s="2">
        <v>37996</v>
      </c>
      <c r="E12" s="3">
        <v>45638</v>
      </c>
      <c r="F12" s="3">
        <v>45818</v>
      </c>
      <c r="G12" s="4">
        <v>2800</v>
      </c>
      <c r="H12" s="2">
        <v>352</v>
      </c>
      <c r="I12" s="2" t="s">
        <v>33</v>
      </c>
      <c r="J12" s="2" t="s">
        <v>19</v>
      </c>
    </row>
    <row r="13" spans="1:10" x14ac:dyDescent="0.3">
      <c r="A13" s="2" t="s">
        <v>16</v>
      </c>
      <c r="B13" s="2" t="s">
        <v>17</v>
      </c>
      <c r="C13" s="2">
        <v>28076</v>
      </c>
      <c r="D13" s="2">
        <v>37998</v>
      </c>
      <c r="E13" s="3">
        <v>45638</v>
      </c>
      <c r="F13" s="3">
        <v>45818</v>
      </c>
      <c r="G13" s="4">
        <v>3240.67</v>
      </c>
      <c r="H13" s="2">
        <v>352</v>
      </c>
      <c r="I13" s="2" t="s">
        <v>34</v>
      </c>
      <c r="J13" s="2" t="s">
        <v>19</v>
      </c>
    </row>
    <row r="14" spans="1:10" x14ac:dyDescent="0.3">
      <c r="A14" s="2" t="s">
        <v>16</v>
      </c>
      <c r="B14" s="2" t="s">
        <v>17</v>
      </c>
      <c r="C14" s="2">
        <v>27384</v>
      </c>
      <c r="D14" s="2">
        <v>37110</v>
      </c>
      <c r="E14" s="3">
        <v>45579</v>
      </c>
      <c r="F14" s="3">
        <v>45819</v>
      </c>
      <c r="G14" s="4">
        <v>35515.339999999997</v>
      </c>
      <c r="H14" s="2">
        <v>351</v>
      </c>
      <c r="I14" s="2" t="s">
        <v>20</v>
      </c>
      <c r="J14" s="2" t="s">
        <v>19</v>
      </c>
    </row>
    <row r="15" spans="1:10" x14ac:dyDescent="0.3">
      <c r="A15" s="2" t="s">
        <v>16</v>
      </c>
      <c r="B15" s="2" t="s">
        <v>17</v>
      </c>
      <c r="C15" s="2">
        <v>27488</v>
      </c>
      <c r="D15" s="2">
        <v>37254</v>
      </c>
      <c r="E15" s="3">
        <v>45588</v>
      </c>
      <c r="F15" s="3">
        <v>45828</v>
      </c>
      <c r="G15" s="4">
        <v>1620.34</v>
      </c>
      <c r="H15" s="2">
        <v>342</v>
      </c>
      <c r="I15" s="2" t="s">
        <v>21</v>
      </c>
      <c r="J15" s="2" t="s">
        <v>19</v>
      </c>
    </row>
    <row r="16" spans="1:10" x14ac:dyDescent="0.3">
      <c r="A16" s="2" t="s">
        <v>16</v>
      </c>
      <c r="B16" s="2" t="s">
        <v>17</v>
      </c>
      <c r="C16" s="2">
        <v>27492</v>
      </c>
      <c r="D16" s="2">
        <v>37257</v>
      </c>
      <c r="E16" s="3">
        <v>45588</v>
      </c>
      <c r="F16" s="3">
        <v>45828</v>
      </c>
      <c r="G16" s="2">
        <v>952.5</v>
      </c>
      <c r="H16" s="2">
        <v>342</v>
      </c>
      <c r="I16" s="2" t="s">
        <v>22</v>
      </c>
      <c r="J16" s="2" t="s">
        <v>19</v>
      </c>
    </row>
    <row r="17" spans="1:10" x14ac:dyDescent="0.3">
      <c r="A17" s="2" t="s">
        <v>16</v>
      </c>
      <c r="B17" s="2" t="s">
        <v>17</v>
      </c>
      <c r="C17" s="2">
        <v>27260</v>
      </c>
      <c r="D17" s="2">
        <v>36967</v>
      </c>
      <c r="E17" s="3">
        <v>45568</v>
      </c>
      <c r="F17" s="3">
        <v>45838</v>
      </c>
      <c r="G17" s="2">
        <v>493.9</v>
      </c>
      <c r="H17" s="2">
        <v>332</v>
      </c>
      <c r="I17" s="2" t="s">
        <v>18</v>
      </c>
      <c r="J17" s="2" t="s">
        <v>19</v>
      </c>
    </row>
    <row r="18" spans="1:10" x14ac:dyDescent="0.3">
      <c r="A18" s="2" t="s">
        <v>16</v>
      </c>
      <c r="B18" s="2" t="s">
        <v>17</v>
      </c>
      <c r="C18" s="2">
        <v>28073</v>
      </c>
      <c r="D18" s="2">
        <v>37995</v>
      </c>
      <c r="E18" s="3">
        <v>45638</v>
      </c>
      <c r="F18" s="3">
        <v>45848</v>
      </c>
      <c r="G18" s="4">
        <v>20579</v>
      </c>
      <c r="H18" s="2">
        <v>322</v>
      </c>
      <c r="I18" s="2" t="s">
        <v>32</v>
      </c>
      <c r="J18" s="2" t="s">
        <v>19</v>
      </c>
    </row>
    <row r="19" spans="1:10" x14ac:dyDescent="0.3">
      <c r="A19" s="2" t="s">
        <v>16</v>
      </c>
      <c r="B19" s="2" t="s">
        <v>17</v>
      </c>
      <c r="C19" s="2">
        <v>28074</v>
      </c>
      <c r="D19" s="2">
        <v>37996</v>
      </c>
      <c r="E19" s="3">
        <v>45638</v>
      </c>
      <c r="F19" s="3">
        <v>45848</v>
      </c>
      <c r="G19" s="4">
        <v>2800</v>
      </c>
      <c r="H19" s="2">
        <v>322</v>
      </c>
      <c r="I19" s="2" t="s">
        <v>33</v>
      </c>
      <c r="J19" s="2" t="s">
        <v>19</v>
      </c>
    </row>
    <row r="20" spans="1:10" x14ac:dyDescent="0.3">
      <c r="A20" s="2" t="s">
        <v>16</v>
      </c>
      <c r="B20" s="2" t="s">
        <v>17</v>
      </c>
      <c r="C20" s="2">
        <v>28076</v>
      </c>
      <c r="D20" s="2">
        <v>37998</v>
      </c>
      <c r="E20" s="3">
        <v>45638</v>
      </c>
      <c r="F20" s="3">
        <v>45848</v>
      </c>
      <c r="G20" s="4">
        <v>3240.67</v>
      </c>
      <c r="H20" s="2">
        <v>322</v>
      </c>
      <c r="I20" s="2" t="s">
        <v>34</v>
      </c>
      <c r="J20" s="2" t="s">
        <v>19</v>
      </c>
    </row>
    <row r="21" spans="1:10" x14ac:dyDescent="0.3">
      <c r="A21" s="2" t="s">
        <v>16</v>
      </c>
      <c r="B21" s="2" t="s">
        <v>17</v>
      </c>
      <c r="C21" s="2">
        <v>27384</v>
      </c>
      <c r="D21" s="2">
        <v>37110</v>
      </c>
      <c r="E21" s="3">
        <v>45579</v>
      </c>
      <c r="F21" s="3">
        <v>45849</v>
      </c>
      <c r="G21" s="4">
        <v>35514.9</v>
      </c>
      <c r="H21" s="2">
        <v>321</v>
      </c>
      <c r="I21" s="2" t="s">
        <v>20</v>
      </c>
      <c r="J21" s="2" t="s">
        <v>19</v>
      </c>
    </row>
    <row r="22" spans="1:10" x14ac:dyDescent="0.3">
      <c r="A22" s="2" t="s">
        <v>16</v>
      </c>
      <c r="B22" s="2" t="s">
        <v>17</v>
      </c>
      <c r="C22" s="2">
        <v>27488</v>
      </c>
      <c r="D22" s="2">
        <v>37254</v>
      </c>
      <c r="E22" s="3">
        <v>45588</v>
      </c>
      <c r="F22" s="3">
        <v>45859</v>
      </c>
      <c r="G22" s="4">
        <v>1620.3</v>
      </c>
      <c r="H22" s="2">
        <v>311</v>
      </c>
      <c r="I22" s="2" t="s">
        <v>21</v>
      </c>
      <c r="J22" s="2" t="s">
        <v>19</v>
      </c>
    </row>
    <row r="23" spans="1:10" x14ac:dyDescent="0.3">
      <c r="A23" s="2" t="s">
        <v>16</v>
      </c>
      <c r="B23" s="2" t="s">
        <v>17</v>
      </c>
      <c r="C23" s="2">
        <v>27492</v>
      </c>
      <c r="D23" s="2">
        <v>37257</v>
      </c>
      <c r="E23" s="3">
        <v>45588</v>
      </c>
      <c r="F23" s="3">
        <v>45859</v>
      </c>
      <c r="G23" s="2">
        <v>952.5</v>
      </c>
      <c r="H23" s="2">
        <v>311</v>
      </c>
      <c r="I23" s="2" t="s">
        <v>22</v>
      </c>
      <c r="J23" s="2" t="s">
        <v>19</v>
      </c>
    </row>
    <row r="24" spans="1:10" x14ac:dyDescent="0.3">
      <c r="A24" s="2" t="s">
        <v>16</v>
      </c>
      <c r="B24" s="2" t="s">
        <v>17</v>
      </c>
      <c r="C24" s="2">
        <v>28586</v>
      </c>
      <c r="D24" s="2">
        <v>38610</v>
      </c>
      <c r="E24" s="3">
        <v>45680</v>
      </c>
      <c r="F24" s="3">
        <v>45860</v>
      </c>
      <c r="G24" s="4">
        <v>5838.65</v>
      </c>
      <c r="H24" s="2">
        <v>310</v>
      </c>
      <c r="I24" s="2" t="s">
        <v>38</v>
      </c>
      <c r="J24" s="2" t="s">
        <v>19</v>
      </c>
    </row>
    <row r="25" spans="1:10" x14ac:dyDescent="0.3">
      <c r="A25" s="2" t="s">
        <v>16</v>
      </c>
      <c r="B25" s="2" t="s">
        <v>17</v>
      </c>
      <c r="C25" s="2">
        <v>27942</v>
      </c>
      <c r="D25" s="2">
        <v>37810</v>
      </c>
      <c r="E25" s="3">
        <v>45625</v>
      </c>
      <c r="F25" s="3">
        <v>45866</v>
      </c>
      <c r="G25" s="4">
        <v>5211</v>
      </c>
      <c r="H25" s="2">
        <v>304</v>
      </c>
      <c r="I25" s="2" t="s">
        <v>29</v>
      </c>
      <c r="J25" s="2" t="s">
        <v>19</v>
      </c>
    </row>
    <row r="26" spans="1:10" x14ac:dyDescent="0.3">
      <c r="A26" s="2" t="s">
        <v>16</v>
      </c>
      <c r="B26" s="2" t="s">
        <v>17</v>
      </c>
      <c r="C26" s="2">
        <v>28073</v>
      </c>
      <c r="D26" s="2">
        <v>37995</v>
      </c>
      <c r="E26" s="3">
        <v>45638</v>
      </c>
      <c r="F26" s="3">
        <v>45880</v>
      </c>
      <c r="G26" s="4">
        <v>20579</v>
      </c>
      <c r="H26" s="2">
        <v>290</v>
      </c>
      <c r="I26" s="2" t="s">
        <v>32</v>
      </c>
      <c r="J26" s="2" t="s">
        <v>19</v>
      </c>
    </row>
    <row r="27" spans="1:10" x14ac:dyDescent="0.3">
      <c r="A27" s="2" t="s">
        <v>16</v>
      </c>
      <c r="B27" s="2" t="s">
        <v>17</v>
      </c>
      <c r="C27" s="2">
        <v>28074</v>
      </c>
      <c r="D27" s="2">
        <v>37996</v>
      </c>
      <c r="E27" s="3">
        <v>45638</v>
      </c>
      <c r="F27" s="3">
        <v>45880</v>
      </c>
      <c r="G27" s="4">
        <v>2800</v>
      </c>
      <c r="H27" s="2">
        <v>290</v>
      </c>
      <c r="I27" s="2" t="s">
        <v>33</v>
      </c>
      <c r="J27" s="2" t="s">
        <v>19</v>
      </c>
    </row>
    <row r="28" spans="1:10" x14ac:dyDescent="0.3">
      <c r="A28" s="2" t="s">
        <v>16</v>
      </c>
      <c r="B28" s="2" t="s">
        <v>17</v>
      </c>
      <c r="C28" s="2">
        <v>28076</v>
      </c>
      <c r="D28" s="2">
        <v>37998</v>
      </c>
      <c r="E28" s="3">
        <v>45638</v>
      </c>
      <c r="F28" s="3">
        <v>45880</v>
      </c>
      <c r="G28" s="4">
        <v>3240.67</v>
      </c>
      <c r="H28" s="2">
        <v>290</v>
      </c>
      <c r="I28" s="2" t="s">
        <v>34</v>
      </c>
      <c r="J28" s="2" t="s">
        <v>19</v>
      </c>
    </row>
    <row r="29" spans="1:10" x14ac:dyDescent="0.3">
      <c r="A29" s="2" t="s">
        <v>16</v>
      </c>
      <c r="B29" s="2" t="s">
        <v>17</v>
      </c>
      <c r="C29" s="2">
        <v>28586</v>
      </c>
      <c r="D29" s="2">
        <v>38610</v>
      </c>
      <c r="E29" s="3">
        <v>45680</v>
      </c>
      <c r="F29" s="3">
        <v>45890</v>
      </c>
      <c r="G29" s="4">
        <v>5838.65</v>
      </c>
      <c r="H29" s="2">
        <v>280</v>
      </c>
      <c r="I29" s="2" t="s">
        <v>38</v>
      </c>
      <c r="J29" s="2" t="s">
        <v>19</v>
      </c>
    </row>
    <row r="30" spans="1:10" x14ac:dyDescent="0.3">
      <c r="A30" s="2" t="s">
        <v>16</v>
      </c>
      <c r="B30" s="2" t="s">
        <v>17</v>
      </c>
      <c r="C30" s="2">
        <v>27944</v>
      </c>
      <c r="D30" s="2">
        <v>37812</v>
      </c>
      <c r="E30" s="3">
        <v>45625</v>
      </c>
      <c r="F30" s="3">
        <v>45895</v>
      </c>
      <c r="G30" s="4">
        <v>113024.7</v>
      </c>
      <c r="H30" s="2">
        <v>275</v>
      </c>
      <c r="I30" s="2" t="s">
        <v>30</v>
      </c>
      <c r="J30" s="2" t="s">
        <v>19</v>
      </c>
    </row>
    <row r="31" spans="1:10" x14ac:dyDescent="0.3">
      <c r="A31" s="2" t="s">
        <v>16</v>
      </c>
      <c r="B31" s="2" t="s">
        <v>17</v>
      </c>
      <c r="C31" s="2">
        <v>28071</v>
      </c>
      <c r="D31" s="2">
        <v>37993</v>
      </c>
      <c r="E31" s="3">
        <v>45638</v>
      </c>
      <c r="F31" s="3">
        <v>45908</v>
      </c>
      <c r="G31" s="4">
        <v>10932</v>
      </c>
      <c r="H31" s="2">
        <v>262</v>
      </c>
      <c r="I31" s="2" t="s">
        <v>31</v>
      </c>
      <c r="J31" s="2" t="s">
        <v>19</v>
      </c>
    </row>
    <row r="32" spans="1:10" x14ac:dyDescent="0.3">
      <c r="A32" s="2" t="s">
        <v>16</v>
      </c>
      <c r="B32" s="2" t="s">
        <v>17</v>
      </c>
      <c r="C32" s="2">
        <v>28073</v>
      </c>
      <c r="D32" s="2">
        <v>37995</v>
      </c>
      <c r="E32" s="3">
        <v>45638</v>
      </c>
      <c r="F32" s="3">
        <v>45908</v>
      </c>
      <c r="G32" s="4">
        <v>20579</v>
      </c>
      <c r="H32" s="2">
        <v>262</v>
      </c>
      <c r="I32" s="2" t="s">
        <v>32</v>
      </c>
      <c r="J32" s="2" t="s">
        <v>19</v>
      </c>
    </row>
    <row r="33" spans="1:10" x14ac:dyDescent="0.3">
      <c r="A33" s="2" t="s">
        <v>16</v>
      </c>
      <c r="B33" s="2" t="s">
        <v>17</v>
      </c>
      <c r="C33" s="2">
        <v>28074</v>
      </c>
      <c r="D33" s="2">
        <v>37996</v>
      </c>
      <c r="E33" s="3">
        <v>45638</v>
      </c>
      <c r="F33" s="3">
        <v>45908</v>
      </c>
      <c r="G33" s="4">
        <v>2800</v>
      </c>
      <c r="H33" s="2">
        <v>262</v>
      </c>
      <c r="I33" s="2" t="s">
        <v>33</v>
      </c>
      <c r="J33" s="2" t="s">
        <v>19</v>
      </c>
    </row>
    <row r="34" spans="1:10" x14ac:dyDescent="0.3">
      <c r="A34" s="2" t="s">
        <v>16</v>
      </c>
      <c r="B34" s="2" t="s">
        <v>17</v>
      </c>
      <c r="C34" s="2">
        <v>28076</v>
      </c>
      <c r="D34" s="2">
        <v>37998</v>
      </c>
      <c r="E34" s="3">
        <v>45638</v>
      </c>
      <c r="F34" s="3">
        <v>45908</v>
      </c>
      <c r="G34" s="4">
        <v>3240.65</v>
      </c>
      <c r="H34" s="2">
        <v>262</v>
      </c>
      <c r="I34" s="2" t="s">
        <v>34</v>
      </c>
      <c r="J34" s="2" t="s">
        <v>19</v>
      </c>
    </row>
    <row r="35" spans="1:10" x14ac:dyDescent="0.3">
      <c r="A35" s="2" t="s">
        <v>16</v>
      </c>
      <c r="B35" s="2" t="s">
        <v>17</v>
      </c>
      <c r="C35" s="2">
        <v>28586</v>
      </c>
      <c r="D35" s="2">
        <v>38610</v>
      </c>
      <c r="E35" s="3">
        <v>45680</v>
      </c>
      <c r="F35" s="3">
        <v>45922</v>
      </c>
      <c r="G35" s="4">
        <v>5838.65</v>
      </c>
      <c r="H35" s="2">
        <v>248</v>
      </c>
      <c r="I35" s="2" t="s">
        <v>38</v>
      </c>
      <c r="J35" s="2" t="s">
        <v>19</v>
      </c>
    </row>
    <row r="36" spans="1:10" x14ac:dyDescent="0.3">
      <c r="A36" s="2" t="s">
        <v>39</v>
      </c>
      <c r="B36" s="2" t="s">
        <v>40</v>
      </c>
      <c r="C36" s="2">
        <v>28587</v>
      </c>
      <c r="D36" s="2">
        <v>38612</v>
      </c>
      <c r="E36" s="3">
        <v>45680</v>
      </c>
      <c r="F36" s="3">
        <v>45930</v>
      </c>
      <c r="G36" s="4">
        <v>603134.04</v>
      </c>
      <c r="H36" s="2">
        <v>240</v>
      </c>
      <c r="I36" s="2" t="s">
        <v>41</v>
      </c>
      <c r="J36" s="2" t="s">
        <v>42</v>
      </c>
    </row>
    <row r="37" spans="1:10" x14ac:dyDescent="0.3">
      <c r="A37" s="2" t="s">
        <v>39</v>
      </c>
      <c r="B37" s="2" t="s">
        <v>40</v>
      </c>
      <c r="C37" s="2">
        <v>28857</v>
      </c>
      <c r="D37" s="2">
        <v>38948</v>
      </c>
      <c r="E37" s="3">
        <v>45699</v>
      </c>
      <c r="F37" s="3">
        <v>45930</v>
      </c>
      <c r="G37" s="4">
        <v>93118.57</v>
      </c>
      <c r="H37" s="2">
        <v>240</v>
      </c>
      <c r="I37" s="2" t="s">
        <v>41</v>
      </c>
      <c r="J37" s="2" t="s">
        <v>42</v>
      </c>
    </row>
    <row r="38" spans="1:10" x14ac:dyDescent="0.3">
      <c r="A38" s="2" t="s">
        <v>39</v>
      </c>
      <c r="B38" s="2" t="s">
        <v>40</v>
      </c>
      <c r="C38" s="2">
        <v>28964</v>
      </c>
      <c r="D38" s="2">
        <v>39085</v>
      </c>
      <c r="E38" s="3">
        <v>45707</v>
      </c>
      <c r="F38" s="3">
        <v>45930</v>
      </c>
      <c r="G38" s="4">
        <v>134366</v>
      </c>
      <c r="H38" s="2">
        <v>240</v>
      </c>
      <c r="I38" s="2" t="s">
        <v>41</v>
      </c>
      <c r="J38" s="2" t="s">
        <v>42</v>
      </c>
    </row>
    <row r="39" spans="1:10" x14ac:dyDescent="0.3">
      <c r="A39" s="2" t="s">
        <v>43</v>
      </c>
      <c r="B39" s="2" t="s">
        <v>44</v>
      </c>
      <c r="C39" s="2">
        <v>29425</v>
      </c>
      <c r="D39" s="2">
        <v>39646</v>
      </c>
      <c r="E39" s="3">
        <v>45769</v>
      </c>
      <c r="F39" s="3">
        <v>45930</v>
      </c>
      <c r="G39" s="4">
        <v>36252.69</v>
      </c>
      <c r="H39" s="2">
        <v>240</v>
      </c>
      <c r="I39" s="2" t="s">
        <v>45</v>
      </c>
      <c r="J39" s="2" t="s">
        <v>46</v>
      </c>
    </row>
    <row r="40" spans="1:10" x14ac:dyDescent="0.3">
      <c r="A40" s="2" t="s">
        <v>16</v>
      </c>
      <c r="B40" s="2" t="s">
        <v>17</v>
      </c>
      <c r="C40" s="2">
        <v>28586</v>
      </c>
      <c r="D40" s="2">
        <v>38610</v>
      </c>
      <c r="E40" s="3">
        <v>45680</v>
      </c>
      <c r="F40" s="3">
        <v>45950</v>
      </c>
      <c r="G40" s="4">
        <v>5838.65</v>
      </c>
      <c r="H40" s="2">
        <v>220</v>
      </c>
      <c r="I40" s="2" t="s">
        <v>38</v>
      </c>
      <c r="J40" s="2" t="s">
        <v>19</v>
      </c>
    </row>
    <row r="41" spans="1:10" x14ac:dyDescent="0.3">
      <c r="A41" s="2" t="s">
        <v>43</v>
      </c>
      <c r="B41" s="2" t="s">
        <v>44</v>
      </c>
      <c r="C41" s="2">
        <v>29596</v>
      </c>
      <c r="D41" s="2">
        <v>39846</v>
      </c>
      <c r="E41" s="3">
        <v>45791</v>
      </c>
      <c r="F41" s="3">
        <v>45960</v>
      </c>
      <c r="G41" s="4">
        <v>20800</v>
      </c>
      <c r="H41" s="2">
        <v>210</v>
      </c>
      <c r="I41" s="2" t="s">
        <v>45</v>
      </c>
      <c r="J41" s="2" t="s">
        <v>46</v>
      </c>
    </row>
    <row r="42" spans="1:10" x14ac:dyDescent="0.3">
      <c r="A42" s="2" t="s">
        <v>43</v>
      </c>
      <c r="B42" s="2" t="s">
        <v>44</v>
      </c>
      <c r="C42" s="2">
        <v>29625</v>
      </c>
      <c r="D42" s="2">
        <v>39877</v>
      </c>
      <c r="E42" s="3">
        <v>45796</v>
      </c>
      <c r="F42" s="3">
        <v>45960</v>
      </c>
      <c r="G42" s="4">
        <v>107100</v>
      </c>
      <c r="H42" s="2">
        <v>210</v>
      </c>
      <c r="I42" s="2" t="s">
        <v>45</v>
      </c>
      <c r="J42" s="2" t="s">
        <v>46</v>
      </c>
    </row>
    <row r="43" spans="1:10" x14ac:dyDescent="0.3">
      <c r="A43" s="2" t="s">
        <v>43</v>
      </c>
      <c r="B43" s="2" t="s">
        <v>44</v>
      </c>
      <c r="C43" s="2">
        <v>29753</v>
      </c>
      <c r="D43" s="2">
        <v>40028</v>
      </c>
      <c r="E43" s="3">
        <v>45817</v>
      </c>
      <c r="F43" s="3">
        <v>45960</v>
      </c>
      <c r="G43" s="4">
        <v>13550</v>
      </c>
      <c r="H43" s="2">
        <v>210</v>
      </c>
      <c r="I43" s="2" t="s">
        <v>45</v>
      </c>
      <c r="J43" s="2" t="s">
        <v>46</v>
      </c>
    </row>
    <row r="44" spans="1:10" x14ac:dyDescent="0.3">
      <c r="A44" s="2" t="s">
        <v>43</v>
      </c>
      <c r="B44" s="2" t="s">
        <v>44</v>
      </c>
      <c r="C44" s="2">
        <v>29754</v>
      </c>
      <c r="D44" s="2">
        <v>40029</v>
      </c>
      <c r="E44" s="3">
        <v>45817</v>
      </c>
      <c r="F44" s="3">
        <v>45960</v>
      </c>
      <c r="G44" s="4">
        <v>76500</v>
      </c>
      <c r="H44" s="2">
        <v>210</v>
      </c>
      <c r="I44" s="2" t="s">
        <v>45</v>
      </c>
      <c r="J44" s="2" t="s">
        <v>46</v>
      </c>
    </row>
    <row r="45" spans="1:10" x14ac:dyDescent="0.3">
      <c r="A45" s="2" t="s">
        <v>159</v>
      </c>
      <c r="B45" s="2" t="s">
        <v>160</v>
      </c>
      <c r="C45" s="2">
        <v>30633</v>
      </c>
      <c r="D45" s="2">
        <v>41061</v>
      </c>
      <c r="E45" s="3">
        <v>45917</v>
      </c>
      <c r="F45" s="3">
        <v>46007</v>
      </c>
      <c r="G45" s="4">
        <v>26756.06</v>
      </c>
      <c r="H45" s="2">
        <v>163</v>
      </c>
      <c r="I45" s="2" t="s">
        <v>161</v>
      </c>
      <c r="J45" s="2" t="s">
        <v>162</v>
      </c>
    </row>
    <row r="46" spans="1:10" x14ac:dyDescent="0.3">
      <c r="A46" s="2" t="s">
        <v>43</v>
      </c>
      <c r="B46" s="2" t="s">
        <v>44</v>
      </c>
      <c r="C46" s="2">
        <v>29977</v>
      </c>
      <c r="D46" s="2">
        <v>40302</v>
      </c>
      <c r="E46" s="3">
        <v>45855</v>
      </c>
      <c r="F46" s="3">
        <v>46010</v>
      </c>
      <c r="G46" s="4">
        <v>56862</v>
      </c>
      <c r="H46" s="2">
        <v>160</v>
      </c>
      <c r="I46" s="2" t="s">
        <v>45</v>
      </c>
      <c r="J46" s="2" t="s">
        <v>46</v>
      </c>
    </row>
    <row r="47" spans="1:10" x14ac:dyDescent="0.3">
      <c r="A47" s="2" t="s">
        <v>159</v>
      </c>
      <c r="B47" s="2" t="s">
        <v>160</v>
      </c>
      <c r="C47" s="2">
        <v>30712</v>
      </c>
      <c r="D47" s="2">
        <v>41148</v>
      </c>
      <c r="E47" s="3">
        <v>45922</v>
      </c>
      <c r="F47" s="3">
        <v>46013</v>
      </c>
      <c r="G47" s="4">
        <v>11985</v>
      </c>
      <c r="H47" s="2">
        <v>157</v>
      </c>
      <c r="I47" s="2" t="s">
        <v>184</v>
      </c>
      <c r="J47" s="2" t="s">
        <v>162</v>
      </c>
    </row>
    <row r="48" spans="1:10" x14ac:dyDescent="0.3">
      <c r="A48" s="2" t="s">
        <v>159</v>
      </c>
      <c r="B48" s="2" t="s">
        <v>160</v>
      </c>
      <c r="C48" s="2">
        <v>30713</v>
      </c>
      <c r="D48" s="2">
        <v>41149</v>
      </c>
      <c r="E48" s="3">
        <v>45922</v>
      </c>
      <c r="F48" s="3">
        <v>46013</v>
      </c>
      <c r="G48" s="4">
        <v>5137.25</v>
      </c>
      <c r="H48" s="2">
        <v>157</v>
      </c>
      <c r="I48" s="2" t="s">
        <v>185</v>
      </c>
      <c r="J48" s="2" t="s">
        <v>162</v>
      </c>
    </row>
    <row r="49" spans="1:10" x14ac:dyDescent="0.3">
      <c r="A49" s="2" t="s">
        <v>159</v>
      </c>
      <c r="B49" s="2" t="s">
        <v>160</v>
      </c>
      <c r="C49" s="2">
        <v>30633</v>
      </c>
      <c r="D49" s="2">
        <v>41061</v>
      </c>
      <c r="E49" s="3">
        <v>45917</v>
      </c>
      <c r="F49" s="3">
        <v>46037</v>
      </c>
      <c r="G49" s="4">
        <v>30528.06</v>
      </c>
      <c r="H49" s="2">
        <v>133</v>
      </c>
      <c r="I49" s="2" t="s">
        <v>161</v>
      </c>
      <c r="J49" s="2" t="s">
        <v>162</v>
      </c>
    </row>
    <row r="50" spans="1:10" x14ac:dyDescent="0.3">
      <c r="A50" s="2" t="s">
        <v>84</v>
      </c>
      <c r="B50" s="2" t="s">
        <v>85</v>
      </c>
      <c r="C50" s="2">
        <v>30363</v>
      </c>
      <c r="D50" s="2">
        <v>40736</v>
      </c>
      <c r="E50" s="3">
        <v>45896</v>
      </c>
      <c r="F50" s="3">
        <v>46111</v>
      </c>
      <c r="G50" s="4">
        <v>254051.08</v>
      </c>
      <c r="H50" s="2">
        <v>59</v>
      </c>
      <c r="I50" s="2" t="s">
        <v>86</v>
      </c>
      <c r="J50" s="2" t="s">
        <v>66</v>
      </c>
    </row>
    <row r="51" spans="1:10" x14ac:dyDescent="0.3">
      <c r="A51" s="2" t="s">
        <v>84</v>
      </c>
      <c r="B51" s="2" t="s">
        <v>85</v>
      </c>
      <c r="C51" s="2">
        <v>30582</v>
      </c>
      <c r="D51" s="2">
        <v>41001</v>
      </c>
      <c r="E51" s="3">
        <v>45915</v>
      </c>
      <c r="F51" s="3">
        <v>46111</v>
      </c>
      <c r="G51" s="4">
        <v>200349.48</v>
      </c>
      <c r="H51" s="2">
        <v>59</v>
      </c>
      <c r="I51" s="2" t="s">
        <v>148</v>
      </c>
      <c r="J51" s="2" t="s">
        <v>66</v>
      </c>
    </row>
    <row r="52" spans="1:10" x14ac:dyDescent="0.3">
      <c r="A52" s="2" t="s">
        <v>244</v>
      </c>
      <c r="B52" s="2" t="s">
        <v>245</v>
      </c>
      <c r="C52" s="2">
        <v>30903</v>
      </c>
      <c r="D52" s="2">
        <v>41385</v>
      </c>
      <c r="E52" s="3">
        <v>45937</v>
      </c>
      <c r="F52" s="3">
        <v>46111</v>
      </c>
      <c r="G52" s="4">
        <v>225666.8</v>
      </c>
      <c r="H52" s="2">
        <v>59</v>
      </c>
      <c r="I52" s="2" t="s">
        <v>248</v>
      </c>
      <c r="J52" s="2" t="s">
        <v>66</v>
      </c>
    </row>
    <row r="53" spans="1:10" x14ac:dyDescent="0.3">
      <c r="A53" s="2" t="s">
        <v>244</v>
      </c>
      <c r="B53" s="2" t="s">
        <v>245</v>
      </c>
      <c r="C53" s="2">
        <v>30910</v>
      </c>
      <c r="D53" s="2">
        <v>41393</v>
      </c>
      <c r="E53" s="3">
        <v>45937</v>
      </c>
      <c r="F53" s="3">
        <v>46111</v>
      </c>
      <c r="G53" s="4">
        <v>16616</v>
      </c>
      <c r="H53" s="2">
        <v>59</v>
      </c>
      <c r="I53" s="2" t="s">
        <v>252</v>
      </c>
      <c r="J53" s="2" t="s">
        <v>66</v>
      </c>
    </row>
    <row r="54" spans="1:10" x14ac:dyDescent="0.3">
      <c r="A54" s="2" t="s">
        <v>84</v>
      </c>
      <c r="B54" s="2" t="s">
        <v>85</v>
      </c>
      <c r="C54" s="2">
        <v>30912</v>
      </c>
      <c r="D54" s="2">
        <v>41396</v>
      </c>
      <c r="E54" s="3">
        <v>45938</v>
      </c>
      <c r="F54" s="3">
        <v>46111</v>
      </c>
      <c r="G54" s="4">
        <v>370557.35</v>
      </c>
      <c r="H54" s="2">
        <v>59</v>
      </c>
      <c r="I54" s="2" t="s">
        <v>253</v>
      </c>
      <c r="J54" s="2" t="s">
        <v>66</v>
      </c>
    </row>
    <row r="55" spans="1:10" x14ac:dyDescent="0.3">
      <c r="A55" s="2" t="s">
        <v>84</v>
      </c>
      <c r="B55" s="2" t="s">
        <v>85</v>
      </c>
      <c r="C55" s="2">
        <v>30942</v>
      </c>
      <c r="D55" s="2">
        <v>41435</v>
      </c>
      <c r="E55" s="3">
        <v>45943</v>
      </c>
      <c r="F55" s="3">
        <v>46111</v>
      </c>
      <c r="G55" s="4">
        <v>115903</v>
      </c>
      <c r="H55" s="2">
        <v>59</v>
      </c>
      <c r="I55" s="2" t="s">
        <v>262</v>
      </c>
      <c r="J55" s="2" t="s">
        <v>66</v>
      </c>
    </row>
    <row r="56" spans="1:10" x14ac:dyDescent="0.3">
      <c r="A56" s="2" t="s">
        <v>84</v>
      </c>
      <c r="B56" s="2" t="s">
        <v>85</v>
      </c>
      <c r="C56" s="2">
        <v>30944</v>
      </c>
      <c r="D56" s="2">
        <v>41436</v>
      </c>
      <c r="E56" s="3">
        <v>45943</v>
      </c>
      <c r="F56" s="3">
        <v>46111</v>
      </c>
      <c r="G56" s="4">
        <v>564461.30000000005</v>
      </c>
      <c r="H56" s="2">
        <v>59</v>
      </c>
      <c r="I56" s="2" t="s">
        <v>263</v>
      </c>
      <c r="J56" s="2" t="s">
        <v>66</v>
      </c>
    </row>
    <row r="57" spans="1:10" x14ac:dyDescent="0.3">
      <c r="A57" s="2" t="s">
        <v>84</v>
      </c>
      <c r="B57" s="2" t="s">
        <v>85</v>
      </c>
      <c r="C57" s="2">
        <v>30965</v>
      </c>
      <c r="D57" s="2">
        <v>41460</v>
      </c>
      <c r="E57" s="3">
        <v>45944</v>
      </c>
      <c r="F57" s="3">
        <v>46111</v>
      </c>
      <c r="G57" s="4">
        <v>25589.1</v>
      </c>
      <c r="H57" s="2">
        <v>59</v>
      </c>
      <c r="I57" s="2" t="s">
        <v>265</v>
      </c>
      <c r="J57" s="2" t="s">
        <v>66</v>
      </c>
    </row>
    <row r="58" spans="1:10" x14ac:dyDescent="0.3">
      <c r="A58" s="2" t="s">
        <v>84</v>
      </c>
      <c r="B58" s="2" t="s">
        <v>85</v>
      </c>
      <c r="C58" s="2">
        <v>31345</v>
      </c>
      <c r="D58" s="2">
        <v>41888</v>
      </c>
      <c r="E58" s="3">
        <v>45974</v>
      </c>
      <c r="F58" s="3">
        <v>46111</v>
      </c>
      <c r="G58" s="4">
        <v>151414.79999999999</v>
      </c>
      <c r="H58" s="2">
        <v>59</v>
      </c>
      <c r="I58" s="2" t="s">
        <v>327</v>
      </c>
      <c r="J58" s="2" t="s">
        <v>66</v>
      </c>
    </row>
    <row r="59" spans="1:10" x14ac:dyDescent="0.3">
      <c r="A59" s="2" t="s">
        <v>43</v>
      </c>
      <c r="B59" s="2" t="s">
        <v>44</v>
      </c>
      <c r="C59" s="2">
        <v>30162</v>
      </c>
      <c r="D59" s="2">
        <v>40504</v>
      </c>
      <c r="E59" s="3">
        <v>45874</v>
      </c>
      <c r="F59" s="3">
        <v>46142</v>
      </c>
      <c r="G59" s="4">
        <v>286465</v>
      </c>
      <c r="H59" s="2">
        <v>28</v>
      </c>
      <c r="I59" s="2" t="s">
        <v>58</v>
      </c>
      <c r="J59" s="2" t="s">
        <v>46</v>
      </c>
    </row>
    <row r="60" spans="1:10" x14ac:dyDescent="0.3">
      <c r="A60" s="2" t="s">
        <v>63</v>
      </c>
      <c r="B60" s="2" t="s">
        <v>64</v>
      </c>
      <c r="C60" s="2">
        <v>30278</v>
      </c>
      <c r="D60" s="2">
        <v>40641</v>
      </c>
      <c r="E60" s="3">
        <v>45888</v>
      </c>
      <c r="F60" s="3">
        <v>46142</v>
      </c>
      <c r="G60" s="4">
        <v>102040</v>
      </c>
      <c r="H60" s="2">
        <v>28</v>
      </c>
      <c r="I60" s="2" t="s">
        <v>65</v>
      </c>
      <c r="J60" s="2" t="s">
        <v>66</v>
      </c>
    </row>
    <row r="61" spans="1:10" x14ac:dyDescent="0.3">
      <c r="A61" s="2" t="s">
        <v>63</v>
      </c>
      <c r="B61" s="2" t="s">
        <v>64</v>
      </c>
      <c r="C61" s="2">
        <v>30285</v>
      </c>
      <c r="D61" s="2">
        <v>40653</v>
      </c>
      <c r="E61" s="3">
        <v>45890</v>
      </c>
      <c r="F61" s="3">
        <v>46142</v>
      </c>
      <c r="G61" s="4">
        <v>173000</v>
      </c>
      <c r="H61" s="2">
        <v>28</v>
      </c>
      <c r="I61" s="2" t="s">
        <v>67</v>
      </c>
      <c r="J61" s="2" t="s">
        <v>66</v>
      </c>
    </row>
    <row r="62" spans="1:10" x14ac:dyDescent="0.3">
      <c r="A62" s="2" t="s">
        <v>71</v>
      </c>
      <c r="B62" s="2" t="s">
        <v>72</v>
      </c>
      <c r="C62" s="2">
        <v>30341</v>
      </c>
      <c r="D62" s="2">
        <v>40710</v>
      </c>
      <c r="E62" s="3">
        <v>45895</v>
      </c>
      <c r="F62" s="3">
        <v>46142</v>
      </c>
      <c r="G62" s="4">
        <v>181560</v>
      </c>
      <c r="H62" s="2">
        <v>28</v>
      </c>
      <c r="I62" s="2" t="s">
        <v>73</v>
      </c>
      <c r="J62" s="2" t="s">
        <v>66</v>
      </c>
    </row>
    <row r="63" spans="1:10" x14ac:dyDescent="0.3">
      <c r="A63" s="2" t="s">
        <v>63</v>
      </c>
      <c r="B63" s="2" t="s">
        <v>64</v>
      </c>
      <c r="C63" s="2">
        <v>30342</v>
      </c>
      <c r="D63" s="2">
        <v>40711</v>
      </c>
      <c r="E63" s="3">
        <v>45895</v>
      </c>
      <c r="F63" s="3">
        <v>46142</v>
      </c>
      <c r="G63" s="4">
        <v>480285</v>
      </c>
      <c r="H63" s="2">
        <v>28</v>
      </c>
      <c r="I63" s="2" t="s">
        <v>74</v>
      </c>
      <c r="J63" s="2" t="s">
        <v>66</v>
      </c>
    </row>
    <row r="64" spans="1:10" x14ac:dyDescent="0.3">
      <c r="A64" s="2" t="s">
        <v>63</v>
      </c>
      <c r="B64" s="2" t="s">
        <v>64</v>
      </c>
      <c r="C64" s="2">
        <v>30343</v>
      </c>
      <c r="D64" s="2">
        <v>40712</v>
      </c>
      <c r="E64" s="3">
        <v>45895</v>
      </c>
      <c r="F64" s="3">
        <v>46142</v>
      </c>
      <c r="G64" s="4">
        <v>58000</v>
      </c>
      <c r="H64" s="2">
        <v>28</v>
      </c>
      <c r="I64" s="2" t="s">
        <v>75</v>
      </c>
      <c r="J64" s="2" t="s">
        <v>66</v>
      </c>
    </row>
    <row r="65" spans="1:10" x14ac:dyDescent="0.3">
      <c r="A65" s="2" t="s">
        <v>71</v>
      </c>
      <c r="B65" s="2" t="s">
        <v>72</v>
      </c>
      <c r="C65" s="2">
        <v>30344</v>
      </c>
      <c r="D65" s="2">
        <v>40713</v>
      </c>
      <c r="E65" s="3">
        <v>45895</v>
      </c>
      <c r="F65" s="3">
        <v>46142</v>
      </c>
      <c r="G65" s="4">
        <v>14500</v>
      </c>
      <c r="H65" s="2">
        <v>28</v>
      </c>
      <c r="I65" s="2" t="s">
        <v>76</v>
      </c>
      <c r="J65" s="2" t="s">
        <v>66</v>
      </c>
    </row>
    <row r="66" spans="1:10" x14ac:dyDescent="0.3">
      <c r="A66" s="2" t="s">
        <v>118</v>
      </c>
      <c r="B66" s="2" t="s">
        <v>119</v>
      </c>
      <c r="C66" s="2">
        <v>30475</v>
      </c>
      <c r="D66" s="2">
        <v>40887</v>
      </c>
      <c r="E66" s="3">
        <v>45908</v>
      </c>
      <c r="F66" s="3">
        <v>46142</v>
      </c>
      <c r="G66" s="4">
        <v>484628.8</v>
      </c>
      <c r="H66" s="2">
        <v>28</v>
      </c>
      <c r="I66" s="2" t="s">
        <v>120</v>
      </c>
      <c r="J66" s="2" t="s">
        <v>46</v>
      </c>
    </row>
    <row r="67" spans="1:10" x14ac:dyDescent="0.3">
      <c r="A67" s="2" t="s">
        <v>118</v>
      </c>
      <c r="B67" s="2" t="s">
        <v>119</v>
      </c>
      <c r="C67" s="2">
        <v>30543</v>
      </c>
      <c r="D67" s="2">
        <v>40956</v>
      </c>
      <c r="E67" s="3">
        <v>45911</v>
      </c>
      <c r="F67" s="3">
        <v>46142</v>
      </c>
      <c r="G67" s="4">
        <v>30750</v>
      </c>
      <c r="H67" s="2">
        <v>28</v>
      </c>
      <c r="I67" s="2" t="s">
        <v>126</v>
      </c>
      <c r="J67" s="2" t="s">
        <v>46</v>
      </c>
    </row>
    <row r="68" spans="1:10" x14ac:dyDescent="0.3">
      <c r="A68" s="2" t="s">
        <v>118</v>
      </c>
      <c r="B68" s="2" t="s">
        <v>119</v>
      </c>
      <c r="C68" s="2">
        <v>30544</v>
      </c>
      <c r="D68" s="2">
        <v>40957</v>
      </c>
      <c r="E68" s="3">
        <v>45911</v>
      </c>
      <c r="F68" s="3">
        <v>46142</v>
      </c>
      <c r="G68" s="4">
        <v>33000</v>
      </c>
      <c r="H68" s="2">
        <v>28</v>
      </c>
      <c r="I68" s="2" t="s">
        <v>127</v>
      </c>
      <c r="J68" s="2" t="s">
        <v>46</v>
      </c>
    </row>
    <row r="69" spans="1:10" x14ac:dyDescent="0.3">
      <c r="A69" s="2" t="s">
        <v>179</v>
      </c>
      <c r="B69" s="2" t="s">
        <v>180</v>
      </c>
      <c r="C69" s="2">
        <v>30669</v>
      </c>
      <c r="D69" s="2">
        <v>41101</v>
      </c>
      <c r="E69" s="3">
        <v>45918</v>
      </c>
      <c r="F69" s="3">
        <v>46142</v>
      </c>
      <c r="G69" s="4">
        <v>33000</v>
      </c>
      <c r="H69" s="2">
        <v>28</v>
      </c>
      <c r="I69" s="2" t="s">
        <v>181</v>
      </c>
      <c r="J69" s="2" t="s">
        <v>42</v>
      </c>
    </row>
    <row r="70" spans="1:10" x14ac:dyDescent="0.3">
      <c r="A70" s="2" t="s">
        <v>39</v>
      </c>
      <c r="B70" s="2" t="s">
        <v>40</v>
      </c>
      <c r="C70" s="2">
        <v>30842</v>
      </c>
      <c r="D70" s="2">
        <v>41302</v>
      </c>
      <c r="E70" s="3">
        <v>45930</v>
      </c>
      <c r="F70" s="3">
        <v>46142</v>
      </c>
      <c r="G70" s="4">
        <v>172260</v>
      </c>
      <c r="H70" s="2">
        <v>28</v>
      </c>
      <c r="I70" s="2" t="s">
        <v>225</v>
      </c>
      <c r="J70" s="2" t="s">
        <v>42</v>
      </c>
    </row>
    <row r="71" spans="1:10" x14ac:dyDescent="0.3">
      <c r="A71" s="2" t="s">
        <v>244</v>
      </c>
      <c r="B71" s="2" t="s">
        <v>245</v>
      </c>
      <c r="C71" s="2">
        <v>30902</v>
      </c>
      <c r="D71" s="2">
        <v>41384</v>
      </c>
      <c r="E71" s="3">
        <v>45937</v>
      </c>
      <c r="F71" s="3">
        <v>46142</v>
      </c>
      <c r="G71" s="4">
        <v>460192.4</v>
      </c>
      <c r="H71" s="2">
        <v>28</v>
      </c>
      <c r="I71" s="2" t="s">
        <v>247</v>
      </c>
      <c r="J71" s="2" t="s">
        <v>66</v>
      </c>
    </row>
    <row r="72" spans="1:10" x14ac:dyDescent="0.3">
      <c r="A72" s="2" t="s">
        <v>244</v>
      </c>
      <c r="B72" s="2" t="s">
        <v>245</v>
      </c>
      <c r="C72" s="2">
        <v>30955</v>
      </c>
      <c r="D72" s="2">
        <v>41452</v>
      </c>
      <c r="E72" s="3">
        <v>45943</v>
      </c>
      <c r="F72" s="3">
        <v>46142</v>
      </c>
      <c r="G72" s="4">
        <v>47776.2</v>
      </c>
      <c r="H72" s="2">
        <v>28</v>
      </c>
      <c r="I72" s="2" t="s">
        <v>264</v>
      </c>
      <c r="J72" s="2" t="s">
        <v>66</v>
      </c>
    </row>
    <row r="73" spans="1:10" x14ac:dyDescent="0.3">
      <c r="A73" s="2" t="s">
        <v>39</v>
      </c>
      <c r="B73" s="2" t="s">
        <v>40</v>
      </c>
      <c r="C73" s="2">
        <v>31215</v>
      </c>
      <c r="D73" s="2">
        <v>41732</v>
      </c>
      <c r="E73" s="3">
        <v>45961</v>
      </c>
      <c r="F73" s="3">
        <v>46142</v>
      </c>
      <c r="G73" s="4">
        <v>199144</v>
      </c>
      <c r="H73" s="2">
        <v>28</v>
      </c>
      <c r="I73" s="2" t="s">
        <v>308</v>
      </c>
      <c r="J73" s="2" t="s">
        <v>42</v>
      </c>
    </row>
    <row r="74" spans="1:10" x14ac:dyDescent="0.3">
      <c r="A74" s="2" t="s">
        <v>39</v>
      </c>
      <c r="B74" s="2" t="s">
        <v>40</v>
      </c>
      <c r="C74" s="2">
        <v>31216</v>
      </c>
      <c r="D74" s="2">
        <v>41733</v>
      </c>
      <c r="E74" s="3">
        <v>45961</v>
      </c>
      <c r="F74" s="3">
        <v>46142</v>
      </c>
      <c r="G74" s="4">
        <v>14300</v>
      </c>
      <c r="H74" s="2">
        <v>28</v>
      </c>
      <c r="I74" s="2" t="s">
        <v>309</v>
      </c>
      <c r="J74" s="2" t="s">
        <v>42</v>
      </c>
    </row>
    <row r="75" spans="1:10" x14ac:dyDescent="0.3">
      <c r="A75" s="2" t="s">
        <v>179</v>
      </c>
      <c r="B75" s="2" t="s">
        <v>180</v>
      </c>
      <c r="C75" s="2">
        <v>31404</v>
      </c>
      <c r="D75" s="2">
        <v>41951</v>
      </c>
      <c r="E75" s="3">
        <v>45979</v>
      </c>
      <c r="F75" s="3">
        <v>46142</v>
      </c>
      <c r="G75" s="4">
        <v>90730</v>
      </c>
      <c r="H75" s="2">
        <v>28</v>
      </c>
      <c r="I75" s="2" t="s">
        <v>335</v>
      </c>
      <c r="J75" s="2" t="s">
        <v>42</v>
      </c>
    </row>
    <row r="76" spans="1:10" x14ac:dyDescent="0.3">
      <c r="A76" s="2" t="s">
        <v>179</v>
      </c>
      <c r="B76" s="2" t="s">
        <v>180</v>
      </c>
      <c r="C76" s="2">
        <v>31616</v>
      </c>
      <c r="D76" s="2">
        <v>42178</v>
      </c>
      <c r="E76" s="3">
        <v>46000</v>
      </c>
      <c r="F76" s="3">
        <v>46142</v>
      </c>
      <c r="G76" s="4">
        <v>171444</v>
      </c>
      <c r="H76" s="2">
        <v>28</v>
      </c>
      <c r="I76" s="2" t="s">
        <v>401</v>
      </c>
      <c r="J76" s="2" t="s">
        <v>42</v>
      </c>
    </row>
    <row r="77" spans="1:10" x14ac:dyDescent="0.3">
      <c r="A77" s="2" t="s">
        <v>179</v>
      </c>
      <c r="B77" s="2" t="s">
        <v>180</v>
      </c>
      <c r="C77" s="2">
        <v>31844</v>
      </c>
      <c r="D77" s="2">
        <v>42429</v>
      </c>
      <c r="E77" s="3">
        <v>46027</v>
      </c>
      <c r="F77" s="3">
        <v>46142</v>
      </c>
      <c r="G77" s="4">
        <v>27667.5</v>
      </c>
      <c r="H77" s="2">
        <v>28</v>
      </c>
      <c r="I77" s="2" t="s">
        <v>401</v>
      </c>
      <c r="J77" s="2" t="s">
        <v>42</v>
      </c>
    </row>
    <row r="78" spans="1:10" x14ac:dyDescent="0.3">
      <c r="A78" s="2" t="s">
        <v>114</v>
      </c>
      <c r="B78" s="2" t="s">
        <v>115</v>
      </c>
      <c r="C78" s="2">
        <v>30453</v>
      </c>
      <c r="D78" s="2">
        <v>40866</v>
      </c>
      <c r="E78" s="3">
        <v>45908</v>
      </c>
      <c r="F78" s="3">
        <v>46153</v>
      </c>
      <c r="G78" s="4">
        <v>174253.19</v>
      </c>
      <c r="H78" s="2">
        <v>17</v>
      </c>
      <c r="I78" s="2" t="s">
        <v>116</v>
      </c>
      <c r="J78" s="2" t="s">
        <v>117</v>
      </c>
    </row>
    <row r="79" spans="1:10" x14ac:dyDescent="0.3">
      <c r="A79" s="2" t="s">
        <v>114</v>
      </c>
      <c r="B79" s="2" t="s">
        <v>115</v>
      </c>
      <c r="C79" s="2">
        <v>30696</v>
      </c>
      <c r="D79" s="2">
        <v>41131</v>
      </c>
      <c r="E79" s="3">
        <v>45919</v>
      </c>
      <c r="F79" s="3">
        <v>46153</v>
      </c>
      <c r="G79" s="4">
        <v>101510</v>
      </c>
      <c r="H79" s="2">
        <v>17</v>
      </c>
      <c r="I79" s="2" t="s">
        <v>182</v>
      </c>
      <c r="J79" s="2" t="s">
        <v>117</v>
      </c>
    </row>
    <row r="80" spans="1:10" x14ac:dyDescent="0.3">
      <c r="A80" s="2" t="s">
        <v>114</v>
      </c>
      <c r="B80" s="2" t="s">
        <v>115</v>
      </c>
      <c r="C80" s="2">
        <v>30697</v>
      </c>
      <c r="D80" s="2">
        <v>41132</v>
      </c>
      <c r="E80" s="3">
        <v>45919</v>
      </c>
      <c r="F80" s="3">
        <v>46153</v>
      </c>
      <c r="G80" s="4">
        <v>4997.21</v>
      </c>
      <c r="H80" s="2">
        <v>17</v>
      </c>
      <c r="I80" s="2" t="s">
        <v>183</v>
      </c>
      <c r="J80" s="2" t="s">
        <v>117</v>
      </c>
    </row>
    <row r="81" spans="1:10" x14ac:dyDescent="0.3">
      <c r="A81" s="2" t="s">
        <v>114</v>
      </c>
      <c r="B81" s="2" t="s">
        <v>115</v>
      </c>
      <c r="C81" s="2">
        <v>31508</v>
      </c>
      <c r="D81" s="2">
        <v>42054</v>
      </c>
      <c r="E81" s="3">
        <v>45989</v>
      </c>
      <c r="F81" s="3">
        <v>46153</v>
      </c>
      <c r="G81" s="4">
        <v>64998</v>
      </c>
      <c r="H81" s="2">
        <v>17</v>
      </c>
      <c r="I81" s="2" t="s">
        <v>356</v>
      </c>
      <c r="J81" s="2" t="s">
        <v>117</v>
      </c>
    </row>
    <row r="82" spans="1:10" x14ac:dyDescent="0.3">
      <c r="A82" s="2" t="s">
        <v>662</v>
      </c>
      <c r="B82" s="2" t="s">
        <v>44</v>
      </c>
      <c r="C82" s="2">
        <v>32293</v>
      </c>
      <c r="D82" s="2">
        <v>42927</v>
      </c>
      <c r="E82" s="3">
        <v>46066</v>
      </c>
      <c r="F82" s="3">
        <v>46156</v>
      </c>
      <c r="G82" s="4">
        <v>137474.23999999999</v>
      </c>
      <c r="H82" s="2">
        <v>14</v>
      </c>
      <c r="I82" s="2" t="s">
        <v>663</v>
      </c>
      <c r="J82" s="2" t="s">
        <v>46</v>
      </c>
    </row>
    <row r="83" spans="1:10" x14ac:dyDescent="0.3">
      <c r="A83" s="2" t="s">
        <v>114</v>
      </c>
      <c r="B83" s="2" t="s">
        <v>115</v>
      </c>
      <c r="C83" s="2">
        <v>31634</v>
      </c>
      <c r="D83" s="2">
        <v>42198</v>
      </c>
      <c r="E83" s="3">
        <v>46001</v>
      </c>
      <c r="F83" s="3">
        <v>46157</v>
      </c>
      <c r="G83" s="4">
        <v>23062.5</v>
      </c>
      <c r="H83" s="2">
        <v>13</v>
      </c>
      <c r="I83" s="2" t="s">
        <v>408</v>
      </c>
      <c r="J83" s="2" t="s">
        <v>117</v>
      </c>
    </row>
    <row r="84" spans="1:10" x14ac:dyDescent="0.3">
      <c r="A84" s="2" t="s">
        <v>857</v>
      </c>
      <c r="B84" s="2" t="s">
        <v>858</v>
      </c>
      <c r="C84" s="2">
        <v>32701</v>
      </c>
      <c r="D84" s="2">
        <v>43355</v>
      </c>
      <c r="E84" s="3">
        <v>46101</v>
      </c>
      <c r="F84" s="3">
        <v>46161</v>
      </c>
      <c r="G84" s="4">
        <v>3460.54</v>
      </c>
      <c r="H84" s="2">
        <v>9</v>
      </c>
      <c r="I84" s="2" t="s">
        <v>859</v>
      </c>
      <c r="J84" s="2" t="s">
        <v>260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6B334-409B-4BAB-99D9-D4F3AE57152A}">
  <sheetPr>
    <tabColor theme="7" tint="0.59999389629810485"/>
  </sheetPr>
  <dimension ref="A3:G19"/>
  <sheetViews>
    <sheetView showGridLines="0" tabSelected="1" zoomScale="80" zoomScaleNormal="80" workbookViewId="0">
      <selection activeCell="B23" sqref="B23"/>
    </sheetView>
  </sheetViews>
  <sheetFormatPr defaultRowHeight="14.4" x14ac:dyDescent="0.3"/>
  <cols>
    <col min="1" max="1" width="54.6640625" bestFit="1" customWidth="1"/>
    <col min="2" max="2" width="17.88671875" bestFit="1" customWidth="1"/>
    <col min="3" max="3" width="18.6640625" style="7" bestFit="1" customWidth="1"/>
    <col min="4" max="4" width="20.88671875" customWidth="1"/>
    <col min="5" max="5" width="116.5546875" style="19" customWidth="1"/>
    <col min="6" max="6" width="34.44140625" customWidth="1"/>
    <col min="7" max="7" width="30.88671875" customWidth="1"/>
  </cols>
  <sheetData>
    <row r="3" spans="1:7" x14ac:dyDescent="0.3">
      <c r="A3" s="14" t="s">
        <v>1253</v>
      </c>
      <c r="B3" s="15" t="s">
        <v>1245</v>
      </c>
      <c r="C3" s="16" t="s">
        <v>1252</v>
      </c>
      <c r="D3" s="6" t="s">
        <v>1246</v>
      </c>
      <c r="E3" s="6" t="s">
        <v>1247</v>
      </c>
      <c r="F3" s="6" t="s">
        <v>1248</v>
      </c>
      <c r="G3" s="6" t="s">
        <v>1249</v>
      </c>
    </row>
    <row r="4" spans="1:7" ht="72" x14ac:dyDescent="0.3">
      <c r="A4" s="17" t="s">
        <v>17</v>
      </c>
      <c r="B4" s="18">
        <v>401911.44000000006</v>
      </c>
      <c r="C4" s="16">
        <v>379</v>
      </c>
      <c r="D4" s="15" t="str">
        <f>IFERROR(VLOOKUP($A4,'[1]ANALISE DE INADIMPLENCIA'!$A$4:$G$18,4,FALSE),"-")</f>
        <v>GABRIEL BORGES</v>
      </c>
      <c r="E4" s="15" t="str">
        <f>IFERROR(VLOOKUP($A4,'[1]ANALISE DE INADIMPLENCIA'!$A$4:$G$18,5,FALSE),"-")</f>
        <v>COBERTURA DO SEGURO É DE 150 MIL, O PRAZO PARA PAGAMENTO DO SINISTRO É 27/05/2026, ESTA PENDENTE A VALIDAÇAO DOS PROTESTOS PELA SEGURADORA. O VALOR A RECEBER DO SINISTRO DE 27 MIL. O SALDO EM ABERTO APÓS RECEBIMENTO DO SINISTRO É DE 374 MIL. TEMOS ENDOSSOS EM EXECUÇÃO JUDICIAL SOMANDO 407 MIL. PARA QUITAÇAO TOTAL DO CR, O DESCONTO MÁXIMO SOBRE O VALOR DAS DUPLICATAS EM EXECUÇAO PRECISA SER DE 8%. ESTAMOS EM CONTATO COM OS DEVEDORES DAS DUPLICATAS PARA TENTATIVA DE ACORDO EXTRAJUDICIAL</v>
      </c>
      <c r="F4" s="15" t="str">
        <f>IFERROR(VLOOKUP($A4,'[1]ANALISE DE INADIMPLENCIA'!$A$4:$G$18,6,FALSE),"-")</f>
        <v>-</v>
      </c>
      <c r="G4" s="15" t="str">
        <f>IFERROR(VLOOKUP($A4,'[1]ANALISE DE INADIMPLENCIA'!$A$4:$G$18,7,FALSE),"-")</f>
        <v>ACOMPANHAR APROVAÇAO DO SINISTRO E AS EXECUÇOES JUDICIAIS DAS DUPLICATAS</v>
      </c>
    </row>
    <row r="5" spans="1:7" ht="43.2" x14ac:dyDescent="0.3">
      <c r="A5" s="17" t="s">
        <v>180</v>
      </c>
      <c r="B5" s="18">
        <v>322841.5</v>
      </c>
      <c r="C5" s="16">
        <v>28</v>
      </c>
      <c r="D5" s="15" t="str">
        <f>IFERROR(VLOOKUP($A5,'[1]ANALISE DE INADIMPLENCIA'!$A$4:$G$18,4,FALSE),"-")</f>
        <v>JOAO BRIZUENA</v>
      </c>
      <c r="E5" s="15" t="str">
        <f>IFERROR(VLOOKUP($A5,'[1]ANALISE DE INADIMPLENCIA'!$A$4:$G$18,5,FALSE),"-")</f>
        <v>ESTAVA EM NEGOCIAÇAO A VENDA DE UMA CAMINHONETE, MAS A VENDA NÃO OCORREU, PONTENCIAIS COMPRADORES NÃO TINHAM COMO PAGAR A VISTA. DA DIVIDA DE 30/04 (616 MIL), FOI PAGO 293 MIL. CLIENTE NÃO SE COMPROMETEU COM DATAS E OU VALORES DE PAGAMENTO.</v>
      </c>
      <c r="F5" s="15" t="str">
        <f>IFERROR(VLOOKUP($A5,'[1]ANALISE DE INADIMPLENCIA'!$A$4:$G$18,6,FALSE),"-")</f>
        <v>-</v>
      </c>
      <c r="G5" s="15" t="str">
        <f>IFERROR(VLOOKUP($A5,'[1]ANALISE DE INADIMPLENCIA'!$A$4:$G$18,7,FALSE),"-")</f>
        <v>ACOMPANHAR A COBRANÇA JUNTO AO CLIENTE</v>
      </c>
    </row>
    <row r="6" spans="1:7" ht="28.8" x14ac:dyDescent="0.3">
      <c r="A6" s="17" t="s">
        <v>119</v>
      </c>
      <c r="B6" s="18">
        <v>548378.80000000005</v>
      </c>
      <c r="C6" s="16">
        <v>28</v>
      </c>
      <c r="D6" s="15" t="str">
        <f>IFERROR(VLOOKUP($A6,'[1]ANALISE DE INADIMPLENCIA'!$A$4:$G$18,4,FALSE),"-")</f>
        <v>CARLOS BERNARDES</v>
      </c>
      <c r="E6" s="15" t="str">
        <f>IFERROR(VLOOKUP($A6,'[1]ANALISE DE INADIMPLENCIA'!$A$4:$G$18,5,FALSE),"-")</f>
        <v>AGUARDAR ATÉ O DIA 28/05 ATUALIZAÇOES SOBRE A SITUAÇAO FINANCEIRA DA AHL/SOLOTEK. VALOR NEGATIVADO 2,3 M BRL, SENDO 1,94 DE BANCOS E 400K DE FORNECEDORES.</v>
      </c>
      <c r="F6" s="15" t="str">
        <f>IFERROR(VLOOKUP($A6,'[1]ANALISE DE INADIMPLENCIA'!$A$4:$G$18,6,FALSE),"-")</f>
        <v>-</v>
      </c>
      <c r="G6" s="15" t="str">
        <f>IFERROR(VLOOKUP($A6,'[1]ANALISE DE INADIMPLENCIA'!$A$4:$G$18,7,FALSE),"-")</f>
        <v>ACOMPANHAR A COBRANÇA JUNTO AO CLIENTE</v>
      </c>
    </row>
    <row r="7" spans="1:7" ht="43.2" x14ac:dyDescent="0.3">
      <c r="A7" s="17" t="s">
        <v>245</v>
      </c>
      <c r="B7" s="18">
        <v>750251.39999999991</v>
      </c>
      <c r="C7" s="16">
        <v>59</v>
      </c>
      <c r="D7" s="15" t="str">
        <f>IFERROR(VLOOKUP($A7,'[1]ANALISE DE INADIMPLENCIA'!$A$4:$G$18,4,FALSE),"-")</f>
        <v>ANDREI RIEGER</v>
      </c>
      <c r="E7" s="15" t="str">
        <f>IFERROR(VLOOKUP($A7,'[1]ANALISE DE INADIMPLENCIA'!$A$4:$G$18,5,FALSE),"-")</f>
        <v>INFORMAÇAO QUE CLIENTE ENTROU COM PEDIDO DE RECUPERAÇÃO JUDICIAL, AINDA NÃO ESTÁ PUBLICO O PROCESSO. OPTAMOS POR SEGUIR COM A EXECUÇAO EXTRAJUDICIAL EM CARTÓRIO DA GARANTIA DE ALIENAÇAO FIDUCIÁRIA, NO MOMENTO O PROCESSO ESTÁ NA ANALISE DOS DOCUMENTOS PELO CARTÓRIO, NÃO HÁ PRAZO INFORMADO PARA FINALIZAR A ANALISE.</v>
      </c>
      <c r="F7" s="15" t="str">
        <f>IFERROR(VLOOKUP($A7,'[1]ANALISE DE INADIMPLENCIA'!$A$4:$G$18,6,FALSE),"-")</f>
        <v>-</v>
      </c>
      <c r="G7" s="15" t="str">
        <f>IFERROR(VLOOKUP($A7,'[1]ANALISE DE INADIMPLENCIA'!$A$4:$G$18,7,FALSE),"-")</f>
        <v>-</v>
      </c>
    </row>
    <row r="8" spans="1:7" ht="43.2" x14ac:dyDescent="0.3">
      <c r="A8" s="17" t="s">
        <v>160</v>
      </c>
      <c r="B8" s="18">
        <v>74406.37</v>
      </c>
      <c r="C8" s="16">
        <v>163</v>
      </c>
      <c r="D8" s="15" t="str">
        <f>IFERROR(VLOOKUP($A8,'[1]ANALISE DE INADIMPLENCIA'!$A$4:$G$18,4,FALSE),"-")</f>
        <v>LEOMAR MULLER</v>
      </c>
      <c r="E8" s="15" t="str">
        <f>IFERROR(VLOOKUP($A8,'[1]ANALISE DE INADIMPLENCIA'!$A$4:$G$18,5,FALSE),"-")</f>
        <v>CLIENTE COM 100% DE COBERTURA DE SEGURO DE CRÉDITO, PRAZO PARA CONFIGURAÇAO DO SINISTRO 28/07/2026, O VALOR A SER INDENIZADO É DE 90% (66 MIL). CLIENTE TEM DEMANDA DE COMPRA DE BASACOTE MINI 6M, MAS NÃO TEMOS EM ESTOQUE PARA PRONTA ENTREGA, PREVISAO DE CHEGADA PARA FINAL DE JUNHO. ULTIMO PAGAMENTO 14/05 NO VALOR DE 26 MIL</v>
      </c>
      <c r="F8" s="15" t="str">
        <f>IFERROR(VLOOKUP($A8,'[1]ANALISE DE INADIMPLENCIA'!$A$4:$G$18,6,FALSE),"-")</f>
        <v>-</v>
      </c>
      <c r="G8" s="15" t="str">
        <f>IFERROR(VLOOKUP($A8,'[1]ANALISE DE INADIMPLENCIA'!$A$4:$G$18,7,FALSE),"-")</f>
        <v>-</v>
      </c>
    </row>
    <row r="9" spans="1:7" ht="57.6" x14ac:dyDescent="0.3">
      <c r="A9" s="17" t="s">
        <v>85</v>
      </c>
      <c r="B9" s="18">
        <v>1682326.11</v>
      </c>
      <c r="C9" s="16">
        <v>59</v>
      </c>
      <c r="D9" s="15" t="str">
        <f>IFERROR(VLOOKUP($A9,'[1]ANALISE DE INADIMPLENCIA'!$A$4:$G$18,4,FALSE),"-")</f>
        <v>ANDREI RIEGER</v>
      </c>
      <c r="E9" s="15" t="str">
        <f>IFERROR(VLOOKUP($A9,'[1]ANALISE DE INADIMPLENCIA'!$A$4:$G$18,5,FALSE),"-")</f>
        <v>CONFISSÃO DE DÍVIDA ASSINADA, NOTIFICAÇAO DA EXPECTATIVA DO SINISTRO EFETUADA EM 28.05.2026 , PRAZO PARA CONFIGURAÇAO DO SINISTRO 210 DIAS (24/12/2026)</v>
      </c>
      <c r="F9" s="15" t="str">
        <f>IFERROR(VLOOKUP($A9,'[1]ANALISE DE INADIMPLENCIA'!$A$4:$G$18,6,FALSE),"-")</f>
        <v>25% DO VALOR PARA 10/04 (PAGO), 25% DO VALOR PARA 11/05 E O RESTANTE PARCELADO EM 3X PARA 10/06, 10/07 e 10/08</v>
      </c>
      <c r="G9" s="15" t="str">
        <f>IFERROR(VLOOKUP($A9,'[1]ANALISE DE INADIMPLENCIA'!$A$4:$G$18,7,FALSE),"-")</f>
        <v>AGUARDANDO PAGAMENTO</v>
      </c>
    </row>
    <row r="10" spans="1:7" ht="28.8" x14ac:dyDescent="0.3">
      <c r="A10" s="17" t="s">
        <v>72</v>
      </c>
      <c r="B10" s="18">
        <v>196060</v>
      </c>
      <c r="C10" s="16">
        <v>28</v>
      </c>
      <c r="D10" s="15" t="str">
        <f>IFERROR(VLOOKUP($A10,'[1]ANALISE DE INADIMPLENCIA'!$A$4:$G$18,4,FALSE),"-")</f>
        <v>ANDREI RIEGER</v>
      </c>
      <c r="E10" s="15" t="str">
        <f>IFERROR(VLOOKUP($A10,'[1]ANALISE DE INADIMPLENCIA'!$A$4:$G$18,5,FALSE),"-")</f>
        <v>AGUARDANDO ASSINATURA DE CONFISSÃO DE DÍVIDA, PAGAMENTO SOLICITADO PARA 25/05/2026, NÃO HAVENDO PAGAMENTO, NEGATIVAR O VALOR EM ABERTO</v>
      </c>
      <c r="F10" s="15" t="str">
        <f>IFERROR(VLOOKUP($A10,'[1]ANALISE DE INADIMPLENCIA'!$A$4:$G$18,6,FALSE),"-")</f>
        <v>-</v>
      </c>
      <c r="G10" s="15" t="str">
        <f>IFERROR(VLOOKUP($A10,'[1]ANALISE DE INADIMPLENCIA'!$A$4:$G$18,7,FALSE),"-")</f>
        <v>-</v>
      </c>
    </row>
    <row r="11" spans="1:7" x14ac:dyDescent="0.3">
      <c r="A11" s="17" t="s">
        <v>24</v>
      </c>
      <c r="B11" s="18">
        <v>520277.2</v>
      </c>
      <c r="C11" s="16">
        <v>363</v>
      </c>
      <c r="D11" s="15" t="str">
        <f>IFERROR(VLOOKUP($A11,'[1]ANALISE DE INADIMPLENCIA'!$A$4:$G$18,4,FALSE),"-")</f>
        <v>CESAR CAIXETA</v>
      </c>
      <c r="E11" s="15" t="str">
        <f>IFERROR(VLOOKUP($A11,'[1]ANALISE DE INADIMPLENCIA'!$A$4:$G$18,5,FALSE),"-")</f>
        <v>CONFISSÃO DE DÍVIDA ASSINADA, ESTÁ COM 2,4 M BRL NEGATIVADOS.</v>
      </c>
      <c r="F11" s="15" t="str">
        <f>IFERROR(VLOOKUP($A11,'[1]ANALISE DE INADIMPLENCIA'!$A$4:$G$18,6,FALSE),"-")</f>
        <v>PAGAMENTO EM 30/06/2026</v>
      </c>
      <c r="G11" s="15" t="str">
        <f>IFERROR(VLOOKUP($A11,'[1]ANALISE DE INADIMPLENCIA'!$A$4:$G$18,7,FALSE),"-")</f>
        <v>AGUARDANDO PAGAMENTO</v>
      </c>
    </row>
    <row r="12" spans="1:7" ht="28.8" x14ac:dyDescent="0.3">
      <c r="A12" s="17" t="s">
        <v>64</v>
      </c>
      <c r="B12" s="18">
        <v>813325</v>
      </c>
      <c r="C12" s="16">
        <v>28</v>
      </c>
      <c r="D12" s="15" t="str">
        <f>IFERROR(VLOOKUP($A12,'[1]ANALISE DE INADIMPLENCIA'!$A$4:$G$18,4,FALSE),"-")</f>
        <v>ANDREI RIEGER</v>
      </c>
      <c r="E12" s="15" t="str">
        <f>IFERROR(VLOOKUP($A12,'[1]ANALISE DE INADIMPLENCIA'!$A$4:$G$18,5,FALSE),"-")</f>
        <v>AGUARDANDO ASSINATURA DE CONFISSÃO DE DÍVIDA, PAGAMENTO SOLICITADO PARA 25/05/2026, NÃO HAVENDO PAGAMENTO, NEGATIVAR O VALOR EM ABERTO</v>
      </c>
      <c r="F12" s="15" t="str">
        <f>IFERROR(VLOOKUP($A12,'[1]ANALISE DE INADIMPLENCIA'!$A$4:$G$18,6,FALSE),"-")</f>
        <v>-</v>
      </c>
      <c r="G12" s="15" t="str">
        <f>IFERROR(VLOOKUP($A12,'[1]ANALISE DE INADIMPLENCIA'!$A$4:$G$18,7,FALSE),"-")</f>
        <v>-</v>
      </c>
    </row>
    <row r="13" spans="1:7" ht="28.8" x14ac:dyDescent="0.3">
      <c r="A13" s="17" t="s">
        <v>115</v>
      </c>
      <c r="B13" s="18">
        <v>368820.9</v>
      </c>
      <c r="C13" s="16">
        <v>17</v>
      </c>
      <c r="D13" s="15" t="str">
        <f>IFERROR(VLOOKUP($A13,'[1]ANALISE DE INADIMPLENCIA'!$A$4:$G$18,4,FALSE),"-")</f>
        <v>MARYANNA SILVEIRA</v>
      </c>
      <c r="E13" s="15" t="str">
        <f>IFERROR(VLOOKUP($A13,'[1]ANALISE DE INADIMPLENCIA'!$A$4:$G$18,5,FALSE),"-")</f>
        <v>DO VALOR VENCIDO, O CLIENTE JÁ FEZ UM PAGAMENTO NO DIA 13/05 DE 108 MIL. REPASSOU UMA PROPOSTA DE PAGAMENTO EM 2X, SENDO A PRIMEIRA PARA 25/06 E A SEGUNDA PARA 27/07.</v>
      </c>
      <c r="F13" s="15" t="str">
        <f>IFERROR(VLOOKUP($A13,'[1]ANALISE DE INADIMPLENCIA'!$A$4:$G$18,6,FALSE),"-")</f>
        <v>-</v>
      </c>
      <c r="G13" s="15" t="str">
        <f>IFERROR(VLOOKUP($A13,'[1]ANALISE DE INADIMPLENCIA'!$A$4:$G$18,7,FALSE),"-")</f>
        <v>-</v>
      </c>
    </row>
    <row r="14" spans="1:7" x14ac:dyDescent="0.3">
      <c r="A14" s="17" t="s">
        <v>40</v>
      </c>
      <c r="B14" s="18">
        <v>1216322.6100000001</v>
      </c>
      <c r="C14" s="16">
        <v>240</v>
      </c>
      <c r="D14" s="15" t="str">
        <f>IFERROR(VLOOKUP($A14,'[1]ANALISE DE INADIMPLENCIA'!$A$4:$G$18,4,FALSE),"-")</f>
        <v>JOAO BRIZUENA</v>
      </c>
      <c r="E14" s="15" t="str">
        <f>IFERROR(VLOOKUP($A14,'[1]ANALISE DE INADIMPLENCIA'!$A$4:$G$18,5,FALSE),"-")</f>
        <v>AGUARDAR ATÉ FINAL DE MAIO NOVA POSIÇÃO DO CLIENTE SOBRE PAGAMENTOS, CONFORME ULTIMA REUNIÃO EFETUADA</v>
      </c>
      <c r="F14" s="15" t="str">
        <f>IFERROR(VLOOKUP($A14,'[1]ANALISE DE INADIMPLENCIA'!$A$4:$G$18,6,FALSE),"-")</f>
        <v>-</v>
      </c>
      <c r="G14" s="15" t="str">
        <f>IFERROR(VLOOKUP($A14,'[1]ANALISE DE INADIMPLENCIA'!$A$4:$G$18,7,FALSE),"-")</f>
        <v>AGUARDANDO REUNIÃO</v>
      </c>
    </row>
    <row r="15" spans="1:7" ht="86.4" x14ac:dyDescent="0.3">
      <c r="A15" s="17" t="s">
        <v>44</v>
      </c>
      <c r="B15" s="18">
        <v>735003.92999999993</v>
      </c>
      <c r="C15" s="16">
        <v>240</v>
      </c>
      <c r="D15" s="15" t="str">
        <f>IFERROR(VLOOKUP($A15,'[1]ANALISE DE INADIMPLENCIA'!$A$4:$G$18,4,FALSE),"-")</f>
        <v>CARLOS BERNARDES</v>
      </c>
      <c r="E15" s="15" t="str">
        <f>IFERROR(VLOOKUP($A15,'[1]ANALISE DE INADIMPLENCIA'!$A$4:$G$18,5,FALSE),"-")</f>
        <v>CONFISSÃO DE DÍVIDA ASSINADA. PRAZO PARA PAGAMENTO DO SINISTRO 27/06/2026. O SINISTRO SERÁ PAGO SE HOUVER DESCUMPRIMENTO DA CONFISSÃO DE DÍVIDA. CONFISSÃO DE DÍVIDA ESTÁ SENDO PAGA EM DIA, ULTIMO PAGAMENTO NO DIA 15/05 NO VALOR DE 30 MIL E PROXIMO VENCIMENTO DA CONFISSÃO PARA 30/08. AGUARDAR ATÉ O DIA 28/05 ATUALIZAÇOES SOBRE A SITUAÇAO FINANCEIRA DA AHL/SOLOTEK E DOS VALORES NAO RENEGOCIADOS DE 30/04 (286 MIL) REFERENTE A VENDA DE PRODUTOS . 137 K DE PAGAMENTO DE INDUSTRIALIZAÇAO DE UREIA EM ABERTO QUE VENCEU DIA 14/05 (11 DIAS), AGUARDANDO PAGAMENTO. NEGATIVAÇOES SOMAM 7,4 M BRL, SENDO 2,3 M BRL DA BASF e 5,1 M BRL DE BANCOS</v>
      </c>
      <c r="F15" s="15" t="str">
        <f>IFERROR(VLOOKUP($A15,'[1]ANALISE DE INADIMPLENCIA'!$A$4:$G$18,6,FALSE),"-")</f>
        <v>CONFISSÃO DE DÍVIDA ASSINADA COM PAGAMENTOS NAS SEGUINTES DATAS: 28/03 (PAGO), 30/04,  15/05, 30/08, 20/09, 30/09 e 30/10.</v>
      </c>
      <c r="G15" s="15" t="str">
        <f>IFERROR(VLOOKUP($A15,'[1]ANALISE DE INADIMPLENCIA'!$A$4:$G$18,7,FALSE),"-")</f>
        <v>AGUARDANDO PAGAMENTOS</v>
      </c>
    </row>
    <row r="16" spans="1:7" x14ac:dyDescent="0.3">
      <c r="A16" s="17" t="s">
        <v>858</v>
      </c>
      <c r="B16" s="18">
        <v>3460.54</v>
      </c>
      <c r="C16" s="16">
        <v>9</v>
      </c>
      <c r="D16" s="15" t="str">
        <f>IFERROR(VLOOKUP($A16,'[1]ANALISE DE INADIMPLENCIA'!$A$4:$G$18,4,FALSE),"-")</f>
        <v>JOAO GARCIA</v>
      </c>
      <c r="E16" s="15" t="str">
        <f>IFERROR(VLOOKUP($A16,'[1]ANALISE DE INADIMPLENCIA'!$A$4:$G$18,5,FALSE),"-")</f>
        <v>NEGOCIADO PARA PAGAMENTO NO DIA 29/05</v>
      </c>
      <c r="F16" s="15" t="str">
        <f>IFERROR(VLOOKUP($A16,'[1]ANALISE DE INADIMPLENCIA'!$A$4:$G$18,6,FALSE),"-")</f>
        <v>-</v>
      </c>
      <c r="G16" s="15" t="str">
        <f>IFERROR(VLOOKUP($A16,'[1]ANALISE DE INADIMPLENCIA'!$A$4:$G$18,7,FALSE),"-")</f>
        <v>-</v>
      </c>
    </row>
    <row r="17" spans="1:3" x14ac:dyDescent="0.3">
      <c r="A17" s="11" t="s">
        <v>1244</v>
      </c>
      <c r="B17" s="12">
        <v>7633385.8000000017</v>
      </c>
      <c r="C17" s="13">
        <v>379</v>
      </c>
    </row>
    <row r="18" spans="1:3" x14ac:dyDescent="0.3">
      <c r="A18" s="8" t="s">
        <v>1250</v>
      </c>
      <c r="B18" s="9">
        <f>SUM('TOTAL EM ABERTO'!G2:G1423)</f>
        <v>92225311.220000044</v>
      </c>
    </row>
    <row r="19" spans="1:3" x14ac:dyDescent="0.3">
      <c r="A19" s="8" t="s">
        <v>1251</v>
      </c>
      <c r="B19" s="10">
        <f>GETPIVOTDATA("Soma de Valor R$",$A$3)/B18</f>
        <v>8.2768880896382596E-2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TOTAL EM ABERTO</vt:lpstr>
      <vt:lpstr>TOTAL INADIMPLENCIA</vt:lpstr>
      <vt:lpstr>ANALISE DE INADIMPLENCIA</vt:lpstr>
    </vt:vector>
  </TitlesOfParts>
  <Company>COMPO EXPERT GmbH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Oliveira</dc:creator>
  <cp:lastModifiedBy>Carolina Oliveira</cp:lastModifiedBy>
  <dcterms:created xsi:type="dcterms:W3CDTF">2026-05-29T11:54:10Z</dcterms:created>
  <dcterms:modified xsi:type="dcterms:W3CDTF">2026-09-01T19:33:48Z</dcterms:modified>
</cp:coreProperties>
</file>