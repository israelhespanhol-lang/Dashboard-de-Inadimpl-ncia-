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BRIL/"/>
    </mc:Choice>
  </mc:AlternateContent>
  <xr:revisionPtr revIDLastSave="97" documentId="8_{7ED78D49-33EF-4DE2-9433-72EB9EE75817}" xr6:coauthVersionLast="47" xr6:coauthVersionMax="47" xr10:uidLastSave="{5F33C9BC-D246-4BE2-8866-CCB755EEECB8}"/>
  <bookViews>
    <workbookView xWindow="-110" yWindow="-110" windowWidth="19420" windowHeight="11620" activeTab="1" xr2:uid="{58973AAC-CA6A-4752-B7C4-A813A1C36B99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ABERTO'!$A$1:$K$2070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F9" i="3"/>
  <c r="F10" i="3"/>
  <c r="F11" i="3"/>
  <c r="F12" i="3"/>
  <c r="F13" i="3"/>
  <c r="F14" i="3"/>
  <c r="F15" i="3"/>
  <c r="F16" i="3"/>
  <c r="F17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4" i="3"/>
  <c r="F5" i="3"/>
  <c r="F6" i="3"/>
  <c r="F7" i="3"/>
  <c r="F8" i="3"/>
  <c r="F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4" i="3"/>
  <c r="B21" i="3"/>
</calcChain>
</file>

<file path=xl/sharedStrings.xml><?xml version="1.0" encoding="utf-8"?>
<sst xmlns="http://schemas.openxmlformats.org/spreadsheetml/2006/main" count="10810" uniqueCount="1736">
  <si>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</si>
  <si>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</si>
  <si>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</si>
  <si>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</si>
  <si>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</si>
  <si>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</si>
  <si>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</si>
  <si>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</si>
  <si>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</si>
  <si>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</si>
  <si>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</si>
  <si>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CL09123</t>
  </si>
  <si>
    <t>MOGIANA NEGOCIOS AGROPECUARIO LTDA</t>
  </si>
  <si>
    <t>NOTA FISCAL Nº 34078</t>
  </si>
  <si>
    <t>GABRIEL BORGES</t>
  </si>
  <si>
    <t>BRASIL_COB</t>
  </si>
  <si>
    <t>CL09447</t>
  </si>
  <si>
    <t>COOPERATIVA MISTA AGROPECUARIA DO VALE DO ARAGUAIA</t>
  </si>
  <si>
    <t>ANDREI RIEGER</t>
  </si>
  <si>
    <t>CL09510</t>
  </si>
  <si>
    <t>SILVANA LOPES DOMINGUES MARSON LTDA</t>
  </si>
  <si>
    <t>NOTA FISCAL Nº 36403</t>
  </si>
  <si>
    <t>LEANDRO ALENCAR</t>
  </si>
  <si>
    <t>CL08531</t>
  </si>
  <si>
    <t>AHL DISTRIBUIDORA S/A</t>
  </si>
  <si>
    <t>NOTA FISCAL Nº 36708</t>
  </si>
  <si>
    <t>TALIANE DA SILVA</t>
  </si>
  <si>
    <t>CL09687</t>
  </si>
  <si>
    <t>CARLOS STEFANELLO</t>
  </si>
  <si>
    <t>NOTA FISCAL Nº 36732</t>
  </si>
  <si>
    <t>MARYANNA SILVEIRA</t>
  </si>
  <si>
    <t>CL08689</t>
  </si>
  <si>
    <t>CLAUDIANA DE ALMEIDA RODRIGUES IMPORTACAO E EXPORTACAO DE FERTILIZANTES LTDA</t>
  </si>
  <si>
    <t>NOTA FISCAL Nº 37147</t>
  </si>
  <si>
    <t>ERICK DE OLIVEIRA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</si>
  <si>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</si>
  <si>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</si>
  <si>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</si>
  <si>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</si>
  <si>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</si>
  <si>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</si>
  <si>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</si>
  <si>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CL08571</t>
  </si>
  <si>
    <t>VITAGRICOLA LTDA</t>
  </si>
  <si>
    <t>LUCAS FERREIRA</t>
  </si>
  <si>
    <t>CL09391</t>
  </si>
  <si>
    <t>VALE AGRO INOVACOES AGRICOLAS LTDA</t>
  </si>
  <si>
    <t>NOTA FISCAL Nº 37586</t>
  </si>
  <si>
    <t>FERNANDO GONCALVES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</si>
  <si>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</si>
  <si>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</si>
  <si>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</si>
  <si>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</si>
  <si>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</si>
  <si>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</si>
  <si>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CL09276</t>
  </si>
  <si>
    <t>APOIO DISTRIBUIDORA AGRICOLA LTDA</t>
  </si>
  <si>
    <t>NOTA FISCAL Nº 38120</t>
  </si>
  <si>
    <t>LAIANE RIOS</t>
  </si>
  <si>
    <t>NOTA FISCAL Nº 38149</t>
  </si>
  <si>
    <t>CL09027</t>
  </si>
  <si>
    <t>NOTA FISCAL Nº 38189</t>
  </si>
  <si>
    <t>CL09461</t>
  </si>
  <si>
    <t>JOAO BATISTA CAMPOS</t>
  </si>
  <si>
    <t>NOTA FISCAL Nº 36779</t>
  </si>
  <si>
    <t>CL08802</t>
  </si>
  <si>
    <t>MILTON LONDE DA SILVA</t>
  </si>
  <si>
    <t>NOTA FISCAL Nº 37193</t>
  </si>
  <si>
    <t>CL08834</t>
  </si>
  <si>
    <t>AGRO ALTA COMERCIO DE INSUMOS AGRICOLAS LTDA</t>
  </si>
  <si>
    <t>NOTA FISCAL Nº 37254</t>
  </si>
  <si>
    <t>CL09657</t>
  </si>
  <si>
    <t>ADAIR CARAFINI</t>
  </si>
  <si>
    <t>NOTA FISCAL Nº 37352</t>
  </si>
  <si>
    <t>CL08555</t>
  </si>
  <si>
    <t>RURAL ROSARIO LTDA</t>
  </si>
  <si>
    <t>NOTA FISCAL Nº 37790</t>
  </si>
  <si>
    <t>CESAR CAIXETA</t>
  </si>
  <si>
    <t>CL08789</t>
  </si>
  <si>
    <t>AGUETONI AGRICOLA LTDA</t>
  </si>
  <si>
    <t>NOTA FISCAL Nº 38089</t>
  </si>
  <si>
    <t>NOTA FISCAL Nº 38130</t>
  </si>
  <si>
    <t>CL09415</t>
  </si>
  <si>
    <t>LUCAS SOUZA RIBEIRO</t>
  </si>
  <si>
    <t>NOTA FISCAL Nº 38182</t>
  </si>
  <si>
    <t>CL08660</t>
  </si>
  <si>
    <t>4JA COMERCIAL AGRICOLAS LTDA</t>
  </si>
  <si>
    <t>NOTA FISCAL Nº 38184</t>
  </si>
  <si>
    <t>CL09720</t>
  </si>
  <si>
    <t>RODRIGUES &amp; FERNANDES LTDA ME</t>
  </si>
  <si>
    <t>NOTA FISCAL Nº 38283</t>
  </si>
  <si>
    <t>FRANCISCO PACHECO</t>
  </si>
  <si>
    <t>CL09154</t>
  </si>
  <si>
    <t>PACK INDUSTRIA E COMERCIO DE PRODUTOS AGROPECUARIOS LTDA</t>
  </si>
  <si>
    <t>NOTA FISCAL Nº 38383</t>
  </si>
  <si>
    <t>-Nenhum vendedor-</t>
  </si>
  <si>
    <t>CL09092</t>
  </si>
  <si>
    <t>DOURADO E VIANA LTDA</t>
  </si>
  <si>
    <t>NOTA FISCAL Nº 38387</t>
  </si>
  <si>
    <t>LUCAS REIS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</si>
  <si>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</si>
  <si>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</si>
  <si>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</si>
  <si>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</si>
  <si>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</si>
  <si>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</si>
  <si>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</si>
  <si>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CARLOS BERNARDES</t>
  </si>
  <si>
    <t>CL08552</t>
  </si>
  <si>
    <t>RAFAEL CIALFI ABBONDANZA REPRESENTACOES LTDA</t>
  </si>
  <si>
    <t>Notas Fiscais de Saída - CL08552</t>
  </si>
  <si>
    <t>NATHALIA NAURE</t>
  </si>
  <si>
    <t>CL08007</t>
  </si>
  <si>
    <t>CONTINENTAL AGRONEGOCIOS EIRELI ME</t>
  </si>
  <si>
    <t>NOTA FISCAL Nº 30862</t>
  </si>
  <si>
    <t>CLAYRTON DA SILVA</t>
  </si>
  <si>
    <t>CL09466</t>
  </si>
  <si>
    <t>A.M. GALLO COMERCIO E REPRESENTACAO DE RACAO LTDA</t>
  </si>
  <si>
    <t>NOTA FISCAL Nº 35180</t>
  </si>
  <si>
    <t>CL08746</t>
  </si>
  <si>
    <t>LUIZ FERNANDO GNOATTO CIVIDINI</t>
  </si>
  <si>
    <t>NOTA FISCAL Nº 36120</t>
  </si>
  <si>
    <t>JOSE DO AMARAL</t>
  </si>
  <si>
    <t>CL09653</t>
  </si>
  <si>
    <t>LUIS CARLOS GRANEMANN</t>
  </si>
  <si>
    <t>NOTA FISCAL Nº 36388</t>
  </si>
  <si>
    <t>CL09840</t>
  </si>
  <si>
    <t>LAURI ROBERTO AGOSTINI</t>
  </si>
  <si>
    <t>NOTA FISCAL Nº 36964</t>
  </si>
  <si>
    <t>CL09258</t>
  </si>
  <si>
    <t>ROCHA AGRONEGOCIO LTDA</t>
  </si>
  <si>
    <t>NOTA FISCAL Nº 37012</t>
  </si>
  <si>
    <t>NOTA FISCAL Nº 37047</t>
  </si>
  <si>
    <t>CL09122</t>
  </si>
  <si>
    <t>SINERGIA AGRONEGOCIOS LTDA</t>
  </si>
  <si>
    <t>NOTA FISCAL Nº 37396</t>
  </si>
  <si>
    <t>CL09547</t>
  </si>
  <si>
    <t>DERMEVAL RODRIGUES DA CUNHA JUNIOR</t>
  </si>
  <si>
    <t>NOTA FISCAL Nº 37398</t>
  </si>
  <si>
    <t>CL09030</t>
  </si>
  <si>
    <t>9A AGRONEGOCIOS COMERCIO E REPRESENTACAO LTDA</t>
  </si>
  <si>
    <t>NOTA FISCAL Nº 37695</t>
  </si>
  <si>
    <t>CL09920</t>
  </si>
  <si>
    <t>BRASCAMPO PRODUTOS AGROPECUARIOS LTDA</t>
  </si>
  <si>
    <t>CL09416</t>
  </si>
  <si>
    <t>GEISIANE GISELE DE SOUZA</t>
  </si>
  <si>
    <t>NOTA FISCAL Nº 37764</t>
  </si>
  <si>
    <t>NOTA FISCAL Nº 37973</t>
  </si>
  <si>
    <t>NOTA FISCAL Nº 38276</t>
  </si>
  <si>
    <t>CL08735</t>
  </si>
  <si>
    <t>ALIANCA PRODUTOS AGROPECUARIOS LTDA</t>
  </si>
  <si>
    <t>NOTA FISCAL Nº 38319</t>
  </si>
  <si>
    <t>LEOMAR MULLER</t>
  </si>
  <si>
    <t>CL08753</t>
  </si>
  <si>
    <t>TERRA VERDE COMERCIO E REPRESENTACAO DE PRODUTOS AGRICOLAS LTDA</t>
  </si>
  <si>
    <t>NOTA FISCAL Nº 38388</t>
  </si>
  <si>
    <t>NOTA FISCAL Nº 38396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</si>
  <si>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</si>
  <si>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</si>
  <si>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</si>
  <si>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</si>
  <si>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</si>
  <si>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</si>
  <si>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CL08821</t>
  </si>
  <si>
    <t>PRODUFERTIL COMERCIO DE PRODUTOS AGRICOLAS LTDA</t>
  </si>
  <si>
    <t>NOTA FISCAL Nº 38743</t>
  </si>
  <si>
    <t>CL09034</t>
  </si>
  <si>
    <t>COMERCIAL MACHADO AGRICOLA LTDA</t>
  </si>
  <si>
    <t>Notas Fiscais de Saída - CL09034</t>
  </si>
  <si>
    <t>CL10044</t>
  </si>
  <si>
    <t>RODRIGUES AGROCOMERCIAL LTDA ME</t>
  </si>
  <si>
    <t>Notas Fiscais de Saída - CL10044</t>
  </si>
  <si>
    <t>NOTA FISCAL Nº 33222</t>
  </si>
  <si>
    <t>NOTA FISCAL Nº 35341</t>
  </si>
  <si>
    <t>CL06154</t>
  </si>
  <si>
    <t>APOIO RURAL AGROPECUARIA LTDA</t>
  </si>
  <si>
    <t>NOTA FISCAL Nº 35961</t>
  </si>
  <si>
    <t>CL09775</t>
  </si>
  <si>
    <t>CARLOS ALBERTO MOMOLI DA SILVA</t>
  </si>
  <si>
    <t>NOTA FISCAL Nº 36162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</si>
  <si>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</si>
  <si>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</si>
  <si>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</si>
  <si>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</si>
  <si>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</si>
  <si>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</si>
  <si>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</si>
  <si>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</si>
  <si>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CL09686</t>
  </si>
  <si>
    <t>BRUNO RUBIN STEFANELLO</t>
  </si>
  <si>
    <t>NOTA FISCAL Nº 36948</t>
  </si>
  <si>
    <t>CL08650</t>
  </si>
  <si>
    <t>CALLEGARI &amp; GOI LTDA ME</t>
  </si>
  <si>
    <t>NOTA FISCAL Nº 37155</t>
  </si>
  <si>
    <t>ALEXSANDER CAMPAGNOLO</t>
  </si>
  <si>
    <t>CL09632</t>
  </si>
  <si>
    <t>BRUNO O DE PAULA LIMITADA</t>
  </si>
  <si>
    <t>NOTA FISCAL Nº 37182</t>
  </si>
  <si>
    <t>NOTA FISCAL Nº 37293</t>
  </si>
  <si>
    <t>NOTA FISCAL Nº 37325</t>
  </si>
  <si>
    <t>CL06115</t>
  </si>
  <si>
    <t>NOTA FISCAL Nº 37549</t>
  </si>
  <si>
    <t>NOTA FISCAL Nº 37677</t>
  </si>
  <si>
    <t>CL09516</t>
  </si>
  <si>
    <t>NOTA FISCAL Nº 37913</t>
  </si>
  <si>
    <t>CL06114</t>
  </si>
  <si>
    <t>NOTA FISCAL Nº 38022</t>
  </si>
  <si>
    <t>NOTA FISCAL Nº 38445</t>
  </si>
  <si>
    <t>Notas Fiscais de Saída - CL09276</t>
  </si>
  <si>
    <t>CL09633</t>
  </si>
  <si>
    <t>PEDRO DA LUZ DINIZ</t>
  </si>
  <si>
    <t>Notas Fiscais de Saída - CL09633</t>
  </si>
  <si>
    <t>CL08828</t>
  </si>
  <si>
    <t>EVOLUCAO AGRICOLA LTDA</t>
  </si>
  <si>
    <t>Notas Fiscais de Saída - CL08828</t>
  </si>
  <si>
    <t>CL06371</t>
  </si>
  <si>
    <t>LUIZ ANISIO BORTOLUZZI E OUTROS</t>
  </si>
  <si>
    <t>NOTA FISCAL Nº 38903</t>
  </si>
  <si>
    <t>CL09738</t>
  </si>
  <si>
    <t>MERCOAGRO COMERCIO DE DEFENSIVOS AGRICOLAS LTDA</t>
  </si>
  <si>
    <t>Notas Fiscais de Saída - CL09738</t>
  </si>
  <si>
    <t>CL09845</t>
  </si>
  <si>
    <t>PHELIPE LEAO MARTINS VILELA</t>
  </si>
  <si>
    <t>Notas Fiscais de Saída - CL09845</t>
  </si>
  <si>
    <t>CL02802</t>
  </si>
  <si>
    <t>SOLAGRI MAQUINAS E PRODUTOS AGRICOLAS LTDA</t>
  </si>
  <si>
    <t>Notas Fiscais de Saída - CL02802</t>
  </si>
  <si>
    <t>CL08334</t>
  </si>
  <si>
    <t>GARANTIA AGRONEGOCIOS LTDA</t>
  </si>
  <si>
    <t>NOTA FISCAL Nº 35949</t>
  </si>
  <si>
    <t>CL09435</t>
  </si>
  <si>
    <t>AGROOESTE COMERCIO E REPRESENTACAO LTDA</t>
  </si>
  <si>
    <t>NOTA FISCAL Nº 36090</t>
  </si>
  <si>
    <t>CL08781</t>
  </si>
  <si>
    <t>RIO PRATUDAO AGROPECUARIA LTDA</t>
  </si>
  <si>
    <t>NOTA FISCAL Nº 36897</t>
  </si>
  <si>
    <t>CL01448</t>
  </si>
  <si>
    <t>SUPORTE COMERCIO DE PRODUTOS AGRICOLAS EIRELI</t>
  </si>
  <si>
    <t>NOTA FISCAL Nº 36970</t>
  </si>
  <si>
    <t>NOTA FISCAL Nº 37201</t>
  </si>
  <si>
    <t>NOTA FISCAL Nº 37318</t>
  </si>
  <si>
    <t>NOTA FISCAL Nº 38057</t>
  </si>
  <si>
    <t>CL08869</t>
  </si>
  <si>
    <t>MERCADO AGRICOLA LTDA</t>
  </si>
  <si>
    <t>NOTA FISCAL Nº 38101</t>
  </si>
  <si>
    <t>CL08982</t>
  </si>
  <si>
    <t>INOVAGRI COMERCIO DE PRODUTOS AGRICOLAS LTDA</t>
  </si>
  <si>
    <t>NOTA FISCAL Nº 38152</t>
  </si>
  <si>
    <t>NOTA FISCAL Nº 38202</t>
  </si>
  <si>
    <t>CL09880</t>
  </si>
  <si>
    <t>NOTA FISCAL Nº 38216</t>
  </si>
  <si>
    <t>NOTA FISCAL Nº 38432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</si>
  <si>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</si>
  <si>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</si>
  <si>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</si>
  <si>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</si>
  <si>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</si>
  <si>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</si>
  <si>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</si>
  <si>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</si>
  <si>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</si>
  <si>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</si>
  <si>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</si>
  <si>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</si>
  <si>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NOTA FISCAL Nº 38838</t>
  </si>
  <si>
    <t>CL08562</t>
  </si>
  <si>
    <t>AGROPECUARIA VERDE MINAS LTDA</t>
  </si>
  <si>
    <t>Notas Fiscais de Saída - CL08562</t>
  </si>
  <si>
    <t>CL09581</t>
  </si>
  <si>
    <t>RENATO ALMEIDA DE CARVALHO</t>
  </si>
  <si>
    <t>Notas Fiscais de Saída - CL09581</t>
  </si>
  <si>
    <t>Notas Fiscais de Saída - CL08689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</si>
  <si>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</si>
  <si>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</si>
  <si>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</si>
  <si>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</si>
  <si>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</si>
  <si>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</si>
  <si>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</si>
  <si>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</si>
  <si>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</si>
  <si>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CL01010</t>
  </si>
  <si>
    <t>DECIO LUIZ CASSOL CIA LTDA</t>
  </si>
  <si>
    <t>NOTA FISCAL Nº 37473</t>
  </si>
  <si>
    <t>NOTA FISCAL Nº 37578</t>
  </si>
  <si>
    <t>CL08833</t>
  </si>
  <si>
    <t>YUCA COMERCIO AGROPECUARIO LTDA</t>
  </si>
  <si>
    <t>Notas Fiscais de Saída - CL08833</t>
  </si>
  <si>
    <t>CL07667</t>
  </si>
  <si>
    <t>AGROFITO LTDA</t>
  </si>
  <si>
    <t>NOTA FISCAL Nº 37668</t>
  </si>
  <si>
    <t>NOTA FISCAL Nº 37994</t>
  </si>
  <si>
    <t>NOTA FISCAL Nº 38056</t>
  </si>
  <si>
    <t>NOTA FISCAL Nº 38088</t>
  </si>
  <si>
    <t>NOTA FISCAL Nº 38166</t>
  </si>
  <si>
    <t>CL08511</t>
  </si>
  <si>
    <t>NOTA FISCAL Nº 38210</t>
  </si>
  <si>
    <t>CL09575</t>
  </si>
  <si>
    <t>GILVAN CARRIJO VILELA</t>
  </si>
  <si>
    <t>NOTA FISCAL Nº 38229</t>
  </si>
  <si>
    <t>NOTA FISCAL Nº 34642</t>
  </si>
  <si>
    <t>NOTA FISCAL Nº 36172</t>
  </si>
  <si>
    <t>NOTA FISCAL Nº 36247</t>
  </si>
  <si>
    <t>CL09462</t>
  </si>
  <si>
    <t>MARCO ANTONIO OLIVEIRA CAMPOS</t>
  </si>
  <si>
    <t>NOTA FISCAL Nº 36462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</si>
  <si>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</si>
  <si>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</si>
  <si>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</si>
  <si>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</si>
  <si>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</si>
  <si>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</si>
  <si>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</si>
  <si>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NOTA FISCAL Nº 36996</t>
  </si>
  <si>
    <t>NOTA FISCAL Nº 37000</t>
  </si>
  <si>
    <t>NOTA FISCAL Nº 37110</t>
  </si>
  <si>
    <t>NOTA FISCAL Nº 37333</t>
  </si>
  <si>
    <t>CL06116</t>
  </si>
  <si>
    <t>NOTA FISCAL Nº 37852</t>
  </si>
  <si>
    <t>NOTA FISCAL Nº 33225</t>
  </si>
  <si>
    <t>NOTA FISCAL Nº 35545</t>
  </si>
  <si>
    <t>NOTA FISCAL Nº 36112</t>
  </si>
  <si>
    <t>CL08630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</si>
  <si>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</si>
  <si>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</si>
  <si>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</si>
  <si>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</si>
  <si>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</si>
  <si>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</si>
  <si>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</si>
  <si>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</si>
  <si>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</si>
  <si>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</si>
  <si>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</si>
  <si>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</si>
  <si>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</si>
  <si>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</si>
  <si>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</si>
  <si>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NOTA FISCAL Nº 37776</t>
  </si>
  <si>
    <t>NOTA FISCAL Nº 37783</t>
  </si>
  <si>
    <t>NOTA FISCAL Nº 37808</t>
  </si>
  <si>
    <t>NOTA FISCAL Nº 37910</t>
  </si>
  <si>
    <t>NOTA FISCAL Nº 37998</t>
  </si>
  <si>
    <t>NOTA FISCAL Nº 29860</t>
  </si>
  <si>
    <t>NOTA FISCAL Nº 29996</t>
  </si>
  <si>
    <t>NOTA FISCAL Nº 36711</t>
  </si>
  <si>
    <t>NOTA FISCAL Nº 36908</t>
  </si>
  <si>
    <t>NOTA FISCAL Nº 36957</t>
  </si>
  <si>
    <t>NOTA FISCAL Nº 36975</t>
  </si>
  <si>
    <t>CL09324</t>
  </si>
  <si>
    <t>AGRO PIRAPORA COMERCIO E REPRESENTACAO LTDA</t>
  </si>
  <si>
    <t>NOTA FISCAL Nº 37017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</si>
  <si>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</si>
  <si>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</si>
  <si>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</si>
  <si>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</si>
  <si>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</si>
  <si>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</si>
  <si>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37806</t>
  </si>
  <si>
    <t>NOTA FISCAL Nº 38054</t>
  </si>
  <si>
    <t>CL03733</t>
  </si>
  <si>
    <t>NOTA FISCAL Nº 38126</t>
  </si>
  <si>
    <t>CL09173</t>
  </si>
  <si>
    <t>MANEJO INSUMOS AGRICOLAS LTDA</t>
  </si>
  <si>
    <t>NOTA FISCAL Nº 38185</t>
  </si>
  <si>
    <t>NOTA FISCAL Nº 38321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</si>
  <si>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</si>
  <si>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</si>
  <si>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</si>
  <si>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</si>
  <si>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</si>
  <si>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</si>
  <si>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</si>
  <si>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</si>
  <si>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CL01252</t>
  </si>
  <si>
    <t>NOTA FISCAL Nº 36898</t>
  </si>
  <si>
    <t>CL09846</t>
  </si>
  <si>
    <t>LIRIO PEDRO RIGON</t>
  </si>
  <si>
    <t>NOTA FISCAL Nº 37507</t>
  </si>
  <si>
    <t>NOTA FISCAL Nº 37920</t>
  </si>
  <si>
    <t>NOTA FISCAL Nº 37951</t>
  </si>
  <si>
    <t>NOTA FISCAL Nº 37997</t>
  </si>
  <si>
    <t>CL09237</t>
  </si>
  <si>
    <t>NOVATEC AGRO COMERCIAL LTDA</t>
  </si>
  <si>
    <t>NOTA FISCAL Nº 38007</t>
  </si>
  <si>
    <t>NOTA FISCAL Nº 38033</t>
  </si>
  <si>
    <t>NOTA FISCAL Nº 38302</t>
  </si>
  <si>
    <t>NOTA FISCAL Nº 38337</t>
  </si>
  <si>
    <t>Notas Fiscais de Saída - CL08753</t>
  </si>
  <si>
    <t>Notas Fiscais de Saída - CL09030</t>
  </si>
  <si>
    <t>NOTA FISCAL Nº 33212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</si>
  <si>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</si>
  <si>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</si>
  <si>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</si>
  <si>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</si>
  <si>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</si>
  <si>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</si>
  <si>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CL01217</t>
  </si>
  <si>
    <t>FITOVET LTDA</t>
  </si>
  <si>
    <t>NOTA FISCAL Nº 36744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</si>
  <si>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</si>
  <si>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</si>
  <si>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</si>
  <si>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</si>
  <si>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</si>
  <si>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</si>
  <si>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</si>
  <si>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</si>
  <si>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</si>
  <si>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</si>
  <si>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</si>
  <si>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CL01398</t>
  </si>
  <si>
    <t>RAZERA AGRICOLA LTDA</t>
  </si>
  <si>
    <t>NOTA FISCAL Nº 37719</t>
  </si>
  <si>
    <t>CL08661</t>
  </si>
  <si>
    <t>RIO CEDRO COMERCIO E REPRESENTACOES LTDA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</si>
  <si>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</si>
  <si>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</si>
  <si>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</si>
  <si>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</si>
  <si>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</si>
  <si>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</si>
  <si>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</si>
  <si>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</si>
  <si>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</si>
  <si>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</si>
  <si>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</si>
  <si>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38610</t>
  </si>
  <si>
    <t>NOTA FISCAL Nº 30703</t>
  </si>
  <si>
    <t>NOTA FISCAL Nº 34609</t>
  </si>
  <si>
    <t>CL09562</t>
  </si>
  <si>
    <t>AELTON SOUSA RESENDE</t>
  </si>
  <si>
    <t>NOTA FISCAL Nº 36420</t>
  </si>
  <si>
    <t>NOTA FISCAL Nº 36461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</si>
  <si>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</si>
  <si>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</si>
  <si>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</si>
  <si>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</si>
  <si>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</si>
  <si>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</si>
  <si>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</si>
  <si>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</si>
  <si>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CL09160</t>
  </si>
  <si>
    <t>TERRASEMENTES COMERCIO E REPRESENTACAO LTDA</t>
  </si>
  <si>
    <t>NOTA FISCAL Nº 37988</t>
  </si>
  <si>
    <t>NOTA FISCAL Nº 38217</t>
  </si>
  <si>
    <t>NOTA FISCAL Nº 38311</t>
  </si>
  <si>
    <t>NOTA FISCAL Nº 38351</t>
  </si>
  <si>
    <t>Notas Fiscais de Saída - CL09653</t>
  </si>
  <si>
    <t>NOTA FISCAL Nº 38625</t>
  </si>
  <si>
    <t>Notas Fiscais de Saída - CL01398</t>
  </si>
  <si>
    <t>CL09364</t>
  </si>
  <si>
    <t>Notas Fiscais de Saída - CL09364</t>
  </si>
  <si>
    <t>CL01711</t>
  </si>
  <si>
    <t>SAGRA INSUMOS AGROPECUARIOS LTDA</t>
  </si>
  <si>
    <t>NOTA FISCAL Nº 35955</t>
  </si>
  <si>
    <t>CL08949</t>
  </si>
  <si>
    <t>DIEGO BORDIN</t>
  </si>
  <si>
    <t>NOTA FISCAL Nº 36467</t>
  </si>
  <si>
    <t>CL09474</t>
  </si>
  <si>
    <t>SIRLEI DE CARVALHO REZENDE</t>
  </si>
  <si>
    <t>Notas Fiscais de Saída - CL09474</t>
  </si>
  <si>
    <t>CL09858</t>
  </si>
  <si>
    <t>ANGELICA CARAFINI BORGES</t>
  </si>
  <si>
    <t>NOTA FISCAL Nº 36858</t>
  </si>
  <si>
    <t>NOTA FISCAL Nº 36876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</si>
  <si>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</si>
  <si>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</si>
  <si>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</si>
  <si>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</si>
  <si>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</si>
  <si>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</si>
  <si>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</si>
  <si>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</si>
  <si>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CL09028</t>
  </si>
  <si>
    <t>AGROPECUARIA C &amp; S LTDA</t>
  </si>
  <si>
    <t>Notas Fiscais de Saída - CL09028</t>
  </si>
  <si>
    <t>NOTA FISCAL Nº 38107</t>
  </si>
  <si>
    <t>CL09373</t>
  </si>
  <si>
    <t>COOPERATIVA DOS FRUTICULTORES DO PLANALTO NORTE CATARINENSE</t>
  </si>
  <si>
    <t>Notas Fiscais de Saída - CL09373</t>
  </si>
  <si>
    <t>NOTA FISCAL Nº 38341</t>
  </si>
  <si>
    <t>CL09665</t>
  </si>
  <si>
    <t>LUIZ CARAFINI</t>
  </si>
  <si>
    <t>NOTA FISCAL Nº 38402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</si>
  <si>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</si>
  <si>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</si>
  <si>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</si>
  <si>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</si>
  <si>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</si>
  <si>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</si>
  <si>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CL09691</t>
  </si>
  <si>
    <t>AGRICOLA FAMOSA SA</t>
  </si>
  <si>
    <t>Notas Fiscais de Saída - CL09691</t>
  </si>
  <si>
    <t>NOTA FISCAL Nº 38009</t>
  </si>
  <si>
    <t>NOTA FISCAL Nº 38031</t>
  </si>
  <si>
    <t>CL09795</t>
  </si>
  <si>
    <t>NOTA FISCAL Nº 38322</t>
  </si>
  <si>
    <t>CL09696</t>
  </si>
  <si>
    <t>JOSE ROBERTO DA SILVA</t>
  </si>
  <si>
    <t>NOTA FISCAL Nº 38343</t>
  </si>
  <si>
    <t>NOTA FISCAL Nº 38418</t>
  </si>
  <si>
    <t>NOTA FISCAL Nº 33215</t>
  </si>
  <si>
    <t>NOTA FISCAL Nº 34305</t>
  </si>
  <si>
    <t>CL09142</t>
  </si>
  <si>
    <t>JEAN CARLOS BERNARDI</t>
  </si>
  <si>
    <t>NOTA FISCAL Nº 36117</t>
  </si>
  <si>
    <t>NOTA FISCAL Nº 36391</t>
  </si>
  <si>
    <t>NOTA FISCAL Nº 36446</t>
  </si>
  <si>
    <t>NOTA FISCAL Nº 36539</t>
  </si>
  <si>
    <t>NOTA FISCAL Nº 36958</t>
  </si>
  <si>
    <t>NOTA FISCAL Nº 36978</t>
  </si>
  <si>
    <t>NOTA FISCAL Nº 37469</t>
  </si>
  <si>
    <t>Notas Fiscais de Saída - CL06115</t>
  </si>
  <si>
    <t>NOTA FISCAL Nº 37734</t>
  </si>
  <si>
    <t>NOTA FISCAL Nº 37824</t>
  </si>
  <si>
    <t>NOTA FISCAL Nº 37995</t>
  </si>
  <si>
    <t>Notas Fiscais de Saída - CL09123</t>
  </si>
  <si>
    <t>NOTA FISCAL Nº 36116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</si>
  <si>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</si>
  <si>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</si>
  <si>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</si>
  <si>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</si>
  <si>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</si>
  <si>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37316</t>
  </si>
  <si>
    <t>NOTA FISCAL Nº 37411</t>
  </si>
  <si>
    <t>NOTA FISCAL Nº 37534</t>
  </si>
  <si>
    <t>NOTA FISCAL Nº 37768</t>
  </si>
  <si>
    <t>CL09701</t>
  </si>
  <si>
    <t>SAFRA FORTE PRODUTOS AGRICOLAS LTDA</t>
  </si>
  <si>
    <t>NOTA FISCAL Nº 37804</t>
  </si>
  <si>
    <t>NOTA FISCAL Nº 37992</t>
  </si>
  <si>
    <t>NOTA FISCAL Nº 38128</t>
  </si>
  <si>
    <t>CL01102</t>
  </si>
  <si>
    <t>NOTA FISCAL Nº 38208</t>
  </si>
  <si>
    <t>NOTA FISCAL Nº 38163</t>
  </si>
  <si>
    <t>NOTA FISCAL Nº 34276</t>
  </si>
  <si>
    <t>NOTA FISCAL Nº 34651</t>
  </si>
  <si>
    <t>CL09590</t>
  </si>
  <si>
    <t>ANTONIO CARLOS RIBEIRO</t>
  </si>
  <si>
    <t>NOTA FISCAL Nº 35520</t>
  </si>
  <si>
    <t>CL09379</t>
  </si>
  <si>
    <t>RIO DO PEIXE COMERCIO E REPRESENTACOES LTDA</t>
  </si>
  <si>
    <t>NOTA FISCAL Nº 35964</t>
  </si>
  <si>
    <t>NOTA FISCAL Nº 36737</t>
  </si>
  <si>
    <t>NOTA FISCAL Nº 36818</t>
  </si>
  <si>
    <t>NOTA FISCAL Nº 36987</t>
  </si>
  <si>
    <t>NOTA FISCAL Nº 37029</t>
  </si>
  <si>
    <t>NOTA FISCAL Nº 37043</t>
  </si>
  <si>
    <t>NOTA FISCAL Nº 37596</t>
  </si>
  <si>
    <t>CL08113</t>
  </si>
  <si>
    <t>Notas Fiscais de Saída - CL08113</t>
  </si>
  <si>
    <t>NOTA FISCAL Nº 38023</t>
  </si>
  <si>
    <t>VENAGRO LINHARES LTDA ME</t>
  </si>
  <si>
    <t>CL09436</t>
  </si>
  <si>
    <t>NOTA FISCAL Nº 38154</t>
  </si>
  <si>
    <t>NOTA FISCAL Nº 38246</t>
  </si>
  <si>
    <t>NOTA FISCAL Nº 38313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</si>
  <si>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</si>
  <si>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</si>
  <si>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</si>
  <si>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</si>
  <si>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</si>
  <si>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</si>
  <si>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</si>
  <si>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CL09473</t>
  </si>
  <si>
    <t>LEONARDO CARVALHO REZENDE</t>
  </si>
  <si>
    <t>NOTA FISCAL Nº 38457</t>
  </si>
  <si>
    <t>NOTA FISCAL Nº 38505</t>
  </si>
  <si>
    <t>NOTA FISCAL Nº 35250</t>
  </si>
  <si>
    <t>NOTA FISCAL Nº 36374</t>
  </si>
  <si>
    <t>NOTA FISCAL Nº 36679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</si>
  <si>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</si>
  <si>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</si>
  <si>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</si>
  <si>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</si>
  <si>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</si>
  <si>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</si>
  <si>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</si>
  <si>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</si>
  <si>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</si>
  <si>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</si>
  <si>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</si>
  <si>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38058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</si>
  <si>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</si>
  <si>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</si>
  <si>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</si>
  <si>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</si>
  <si>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</si>
  <si>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</si>
  <si>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</si>
  <si>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CL09495</t>
  </si>
  <si>
    <t>AGRO FORTTE HF LTDA</t>
  </si>
  <si>
    <t>Notas Fiscais de Saída - CL09495</t>
  </si>
  <si>
    <t>CL09356</t>
  </si>
  <si>
    <t>AGROPECUARIA SAO GABRIEL LTDA</t>
  </si>
  <si>
    <t>Notas Fiscais de Saída - CL09356</t>
  </si>
  <si>
    <t>CL08556</t>
  </si>
  <si>
    <t>SERRA SEED COMERCIO DE PRODUTOS AGRICOLAS LTDA</t>
  </si>
  <si>
    <t>Notas Fiscais de Saída - CL08556</t>
  </si>
  <si>
    <t>NOTA FISCAL Nº 38741</t>
  </si>
  <si>
    <t>NOTA FISCAL Nº 30701</t>
  </si>
  <si>
    <t>NOTA FISCAL Nº 36257</t>
  </si>
  <si>
    <t>CL08870</t>
  </si>
  <si>
    <t>LEONARDO SANFELICE EITELWEIN</t>
  </si>
  <si>
    <t>NOTA FISCAL Nº 36329</t>
  </si>
  <si>
    <t>CL08574</t>
  </si>
  <si>
    <t>SOLOVITA COM E REP DE PRODUTOS AGROPECUARIOS LTDA</t>
  </si>
  <si>
    <t>NOTA FISCAL Nº 36574</t>
  </si>
  <si>
    <t>Notas Fiscais de Saída - CL09447</t>
  </si>
  <si>
    <t>NOTA FISCAL Nº 37815</t>
  </si>
  <si>
    <t>NOTA FISCAL Nº 38003</t>
  </si>
  <si>
    <t>NOTA FISCAL Nº 38067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</si>
  <si>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</si>
  <si>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</si>
  <si>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</si>
  <si>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</si>
  <si>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</si>
  <si>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</si>
  <si>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NOTA FISCAL Nº 30890</t>
  </si>
  <si>
    <t>NOTA FISCAL Nº 36351</t>
  </si>
  <si>
    <t>NOTA FISCAL Nº 37072</t>
  </si>
  <si>
    <t>CL01192</t>
  </si>
  <si>
    <t>COASUL COOPERATIVA AGROINDUSTRIAL</t>
  </si>
  <si>
    <t>NOTA FISCAL Nº 37212</t>
  </si>
  <si>
    <t>NOTA FISCAL Nº 37332</t>
  </si>
  <si>
    <t>NOTA FISCAL Nº 37446</t>
  </si>
  <si>
    <t>NOTA FISCAL Nº 37497</t>
  </si>
  <si>
    <t>NOTA FISCAL Nº 37789</t>
  </si>
  <si>
    <t>NOTA FISCAL Nº 37881</t>
  </si>
  <si>
    <t>NOTA FISCAL Nº 37940</t>
  </si>
  <si>
    <t>NOTA FISCAL Nº 38032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</si>
  <si>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</si>
  <si>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</si>
  <si>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</si>
  <si>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</si>
  <si>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</si>
  <si>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</si>
  <si>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</si>
  <si>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</si>
  <si>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NOTA FISCAL Nº 34383</t>
  </si>
  <si>
    <t>NOTA FISCAL Nº 35546</t>
  </si>
  <si>
    <t>CL09405</t>
  </si>
  <si>
    <t>ORGANOMINERAL ABSOLUTO KSP LTDA</t>
  </si>
  <si>
    <t>NOTA FISCAL Nº 36415</t>
  </si>
  <si>
    <t>CL09566</t>
  </si>
  <si>
    <t>FONTAINE RIBEIRO IRINEU</t>
  </si>
  <si>
    <t>NOTA FISCAL Nº 36521</t>
  </si>
  <si>
    <t>NOTA FISCAL Nº 36677</t>
  </si>
  <si>
    <t>NOTA FISCAL Nº 36749</t>
  </si>
  <si>
    <t>NOTA FISCAL Nº 36922</t>
  </si>
  <si>
    <t>NOTA FISCAL Nº 37406</t>
  </si>
  <si>
    <t>NOTA FISCAL Nº 37492</t>
  </si>
  <si>
    <t>NOTA FISCAL Nº 37651</t>
  </si>
  <si>
    <t>CL09221</t>
  </si>
  <si>
    <t>MARCOS RUELA DA SILVA CIA LTDA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</si>
  <si>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</si>
  <si>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</si>
  <si>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</si>
  <si>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</si>
  <si>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</si>
  <si>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</si>
  <si>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</si>
  <si>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</si>
  <si>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CL09787</t>
  </si>
  <si>
    <t>AGRONEXA AGRICOLA LTDA EPP</t>
  </si>
  <si>
    <t>NOTA FISCAL Nº 38772</t>
  </si>
  <si>
    <t>CL08832</t>
  </si>
  <si>
    <t>SOLOTEK INDUSTRIA DE ADUBOS E FERTILIZANTES S/A</t>
  </si>
  <si>
    <t>NOTA FISCAL Nº 38915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</si>
  <si>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</si>
  <si>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</si>
  <si>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</si>
  <si>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</si>
  <si>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</si>
  <si>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</si>
  <si>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</si>
  <si>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CL09810</t>
  </si>
  <si>
    <t>NOTA FISCAL Nº 37448</t>
  </si>
  <si>
    <t>Notas Fiscais de Saída - CL06114</t>
  </si>
  <si>
    <t>NOTA FISCAL Nº 37691</t>
  </si>
  <si>
    <t>NOTA FISCAL Nº 37924</t>
  </si>
  <si>
    <t>NOTA FISCAL Nº 38164</t>
  </si>
  <si>
    <t>NOTA FISCAL Nº 38257</t>
  </si>
  <si>
    <t>NOTA FISCAL Nº 38364</t>
  </si>
  <si>
    <t>NOTA FISCAL Nº 38435</t>
  </si>
  <si>
    <t>NOTA FISCAL Nº 38437</t>
  </si>
  <si>
    <t>NOTA FISCAL Nº 38493</t>
  </si>
  <si>
    <t>NOTA FISCAL Nº 30774</t>
  </si>
  <si>
    <t>CL08666</t>
  </si>
  <si>
    <t>NOTA FISCAL Nº 35976</t>
  </si>
  <si>
    <t>NOTA FISCAL Nº 36278</t>
  </si>
  <si>
    <t>NOTA FISCAL Nº 36428</t>
  </si>
  <si>
    <t>NOTA FISCAL Nº 36795</t>
  </si>
  <si>
    <t>NOTA FISCAL Nº 36971</t>
  </si>
  <si>
    <t>NOTA FISCAL Nº 36973</t>
  </si>
  <si>
    <t>NOTA FISCAL Nº 37183</t>
  </si>
  <si>
    <t>NOTA FISCAL Nº 37435</t>
  </si>
  <si>
    <t>NOTA FISCAL Nº 37444</t>
  </si>
  <si>
    <t>NOTA FISCAL Nº 37530</t>
  </si>
  <si>
    <t>NOTA FISCAL Nº 37564</t>
  </si>
  <si>
    <t>NOTA FISCAL Nº 37795</t>
  </si>
  <si>
    <t>NOTA FISCAL Nº 37887</t>
  </si>
  <si>
    <t>NOTA FISCAL Nº 38099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</si>
  <si>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</si>
  <si>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</si>
  <si>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</si>
  <si>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</si>
  <si>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</si>
  <si>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Notas Fiscais de Saída - CL09409</t>
  </si>
  <si>
    <t>NOTA FISCAL Nº 33209</t>
  </si>
  <si>
    <t>CL01008</t>
  </si>
  <si>
    <t>NOTA FISCAL Nº 36255</t>
  </si>
  <si>
    <t>CL08757</t>
  </si>
  <si>
    <t>NOTA FISCAL Nº 36262</t>
  </si>
  <si>
    <t>NOTA FISCAL Nº 36308</t>
  </si>
  <si>
    <t>NOTA FISCAL Nº 36363</t>
  </si>
  <si>
    <t>NOTA FISCAL Nº 36520</t>
  </si>
  <si>
    <t>NOTA FISCAL Nº 37013</t>
  </si>
  <si>
    <t>NOTA FISCAL Nº 37079</t>
  </si>
  <si>
    <t>NOTA FISCAL Nº 37257</t>
  </si>
  <si>
    <t>NOTA FISCAL Nº 37330</t>
  </si>
  <si>
    <t>CL09202</t>
  </si>
  <si>
    <t>TERRA BRASIL COMERCIO E REPRESENTACOES LTDA</t>
  </si>
  <si>
    <t>NOTA FISCAL Nº 37360</t>
  </si>
  <si>
    <t>CL08748</t>
  </si>
  <si>
    <t>PLANT QUALITY INSUMOS AGRICOLAS LTDA</t>
  </si>
  <si>
    <t>Notas Fiscais de Saída - CL08748</t>
  </si>
  <si>
    <t>NOTA FISCAL Nº 37434</t>
  </si>
  <si>
    <t>NOTA FISCAL Nº 37563</t>
  </si>
  <si>
    <t>NOTA FISCAL Nº 37598</t>
  </si>
  <si>
    <t>NOTA FISCAL Nº 37765</t>
  </si>
  <si>
    <t>NOTA FISCAL Nº 37785</t>
  </si>
  <si>
    <t>NOTA FISCAL Nº 37792</t>
  </si>
  <si>
    <t>CL09675</t>
  </si>
  <si>
    <t>AIRTO MACHADO BARBOSA</t>
  </si>
  <si>
    <t>NOTA FISCAL Nº 38572</t>
  </si>
  <si>
    <t>Notas Fiscais de Saída - CL08821</t>
  </si>
  <si>
    <t>Notas Fiscais de Saída - CL09548</t>
  </si>
  <si>
    <t>NOTA FISCAL Nº 38949</t>
  </si>
  <si>
    <t>NOTA FISCAL Nº 38974</t>
  </si>
  <si>
    <t>NOTA FISCAL Nº 36718</t>
  </si>
  <si>
    <t>CL08767</t>
  </si>
  <si>
    <t>FM AGRICOLA VICOSA LTDA</t>
  </si>
  <si>
    <t>NOTA FISCAL Nº 36954</t>
  </si>
  <si>
    <t>NOTA FISCAL Nº 37058</t>
  </si>
  <si>
    <t>NOTA FISCAL Nº 37150</t>
  </si>
  <si>
    <t>NOTA FISCAL Nº 37209</t>
  </si>
  <si>
    <t>NOTA FISCAL Nº 37367</t>
  </si>
  <si>
    <t>Notas Fiscais de Saída - CL08767</t>
  </si>
  <si>
    <t>NOTA FISCAL Nº 37633</t>
  </si>
  <si>
    <t>NOTA FISCAL Nº 37950</t>
  </si>
  <si>
    <t>NOTA FISCAL Nº 38024</t>
  </si>
  <si>
    <t>NOTA FISCAL Nº 38350</t>
  </si>
  <si>
    <t>NOTA FISCAL Nº 38486</t>
  </si>
  <si>
    <t>CL09442</t>
  </si>
  <si>
    <t>ALY GRAEBIN OLIVEIRA</t>
  </si>
  <si>
    <t>Notas Fiscais de Saída - CL09442</t>
  </si>
  <si>
    <t>NOTA FISCAL Nº 38773</t>
  </si>
  <si>
    <t>CL09619</t>
  </si>
  <si>
    <t>SOLOVIVO CONSULTORIA E REPRESENTACAO AGRONOMICA LTDA</t>
  </si>
  <si>
    <t>Notas Fiscais de Saída - CL09619</t>
  </si>
  <si>
    <t>Notas Fiscais de Saída - CL09787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</si>
  <si>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</si>
  <si>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</si>
  <si>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</si>
  <si>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</si>
  <si>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</si>
  <si>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</si>
  <si>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NOTA FISCAL Nº 39156</t>
  </si>
  <si>
    <t>CL10031</t>
  </si>
  <si>
    <t>C&amp;R DISTRIBUIDORA</t>
  </si>
  <si>
    <t>Notas Fiscais de Saída - CL10031</t>
  </si>
  <si>
    <t>NOTA FISCAL Nº 39051</t>
  </si>
  <si>
    <t>Notas Fiscais de Saída - CL09864</t>
  </si>
  <si>
    <t>NOTA FISCAL Nº 38470</t>
  </si>
  <si>
    <t>CL09848</t>
  </si>
  <si>
    <t>DANIELLE FERNANDA SCHULZE</t>
  </si>
  <si>
    <t>NOTA FISCAL Nº 38592</t>
  </si>
  <si>
    <t>NOTA FISCAL Nº 30891</t>
  </si>
  <si>
    <t>NOTA FISCAL Nº 36279</t>
  </si>
  <si>
    <t>NOTA FISCAL Nº 36678</t>
  </si>
  <si>
    <t>NOTA FISCAL Nº 36742</t>
  </si>
  <si>
    <t>NOTA FISCAL Nº 36889</t>
  </si>
  <si>
    <t>NOTA FISCAL Nº 37167</t>
  </si>
  <si>
    <t>NOTA FISCAL Nº 37234</t>
  </si>
  <si>
    <t>NOTA FISCAL Nº 37265</t>
  </si>
  <si>
    <t>NOTA FISCAL Nº 37427</t>
  </si>
  <si>
    <t>NOTA FISCAL Nº 37610</t>
  </si>
  <si>
    <t>NOTA FISCAL Nº 37685</t>
  </si>
  <si>
    <t>NOTA FISCAL Nº 37817</t>
  </si>
  <si>
    <t>CL06113</t>
  </si>
  <si>
    <t>NOTA FISCAL Nº 38093</t>
  </si>
  <si>
    <t>NOTA FISCAL Nº 38411</t>
  </si>
  <si>
    <t>Notas Fiscais de Saída - CL09862</t>
  </si>
  <si>
    <t>CL09511</t>
  </si>
  <si>
    <t>LUCAS PARIS RUELA</t>
  </si>
  <si>
    <t>NOTA FISCAL Nº 38783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</si>
  <si>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</si>
  <si>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</si>
  <si>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</si>
  <si>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</si>
  <si>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</si>
  <si>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36479</t>
  </si>
  <si>
    <t>NOTA FISCAL Nº 36632</t>
  </si>
  <si>
    <t>NOTA FISCAL Nº 36710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</si>
  <si>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</si>
  <si>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</si>
  <si>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</si>
  <si>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</si>
  <si>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</si>
  <si>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</si>
  <si>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</si>
  <si>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</si>
  <si>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</si>
  <si>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CL08029</t>
  </si>
  <si>
    <t>Notas Fiscais de Saída - CL08029</t>
  </si>
  <si>
    <t>NOTA FISCAL Nº 34361</t>
  </si>
  <si>
    <t>NOTA FISCAL Nº 35273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</si>
  <si>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</si>
  <si>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</si>
  <si>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</si>
  <si>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</si>
  <si>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</si>
  <si>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</si>
  <si>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37416</t>
  </si>
  <si>
    <t>NOTA FISCAL Nº 37597</t>
  </si>
  <si>
    <t>NOTA FISCAL Nº 37873</t>
  </si>
  <si>
    <t>NOTA FISCAL Nº 38409</t>
  </si>
  <si>
    <t>NOTA FISCAL Nº 38426</t>
  </si>
  <si>
    <t>NOTA FISCAL Nº 38466</t>
  </si>
  <si>
    <t>Notas Fiscais de Saída - CL08660</t>
  </si>
  <si>
    <t>CL09191</t>
  </si>
  <si>
    <t>VERA INES FRAPORTI</t>
  </si>
  <si>
    <t>NOTA FISCAL Nº 36121</t>
  </si>
  <si>
    <t>NOTA FISCAL Nº 36340</t>
  </si>
  <si>
    <t>NOTA FISCAL Nº 36389</t>
  </si>
  <si>
    <t>NOTA FISCAL Nº 36647</t>
  </si>
  <si>
    <t>NOTA FISCAL Nº 36756</t>
  </si>
  <si>
    <t>NOTA FISCAL Nº 36775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</si>
  <si>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</si>
  <si>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</si>
  <si>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</si>
  <si>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</si>
  <si>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</si>
  <si>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</si>
  <si>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</si>
  <si>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</si>
  <si>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</si>
  <si>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</si>
  <si>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</si>
  <si>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</si>
  <si>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38424</t>
  </si>
  <si>
    <t>Notas Fiscais de Saída - CL09915</t>
  </si>
  <si>
    <t>NOTA FISCAL Nº 35966</t>
  </si>
  <si>
    <t>NOTA FISCAL Nº 36543</t>
  </si>
  <si>
    <t>NOTA FISCAL Nº 36878</t>
  </si>
  <si>
    <t>NOTA FISCAL Nº 37023</t>
  </si>
  <si>
    <t>NOTA FISCAL Nº 37587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</si>
  <si>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</si>
  <si>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</si>
  <si>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</si>
  <si>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</si>
  <si>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</si>
  <si>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38400</t>
  </si>
  <si>
    <t>NOTA FISCAL Nº 35046</t>
  </si>
  <si>
    <t>CL09570</t>
  </si>
  <si>
    <t>TATIANA RESENDE SOUZA SILVA</t>
  </si>
  <si>
    <t>NOTA FISCAL Nº 36356</t>
  </si>
  <si>
    <t>NOTA FISCAL Nº 36476</t>
  </si>
  <si>
    <t>NOTA FISCAL Nº 36989</t>
  </si>
  <si>
    <t>NOTA FISCAL Nº 37199</t>
  </si>
  <si>
    <t>NOTA FISCAL Nº 37505</t>
  </si>
  <si>
    <t>NOTA FISCAL Nº 37686</t>
  </si>
  <si>
    <t>NOTA FISCAL Nº 37816</t>
  </si>
  <si>
    <t>NOTA FISCAL Nº 38085</t>
  </si>
  <si>
    <t>NOTA FISCAL Nº 38151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</si>
  <si>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</si>
  <si>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</si>
  <si>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</si>
  <si>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</si>
  <si>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</si>
  <si>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38511</t>
  </si>
  <si>
    <t>CL09656</t>
  </si>
  <si>
    <t>MARCO AURELIO SCARIOT BARBOSA</t>
  </si>
  <si>
    <t>NOTA FISCAL Nº 38571</t>
  </si>
  <si>
    <t>Notas Fiscais de Saída - CL08757</t>
  </si>
  <si>
    <t>NOTA FISCAL Nº 38751</t>
  </si>
  <si>
    <t>NOTA FISCAL Nº 38160</t>
  </si>
  <si>
    <t>NOTA FISCAL Nº 38477</t>
  </si>
  <si>
    <t>CL09149</t>
  </si>
  <si>
    <t>TRANCOSO GOLFE LTDA</t>
  </si>
  <si>
    <t>Notas Fiscais de Saída - CL09149</t>
  </si>
  <si>
    <t>NOTA FISCAL Nº 38800</t>
  </si>
  <si>
    <t>Notas Fiscais de Saída - CL09810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</si>
  <si>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</si>
  <si>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</si>
  <si>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</si>
  <si>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</si>
  <si>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</si>
  <si>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</si>
  <si>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</si>
  <si>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</si>
  <si>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</si>
  <si>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38232</t>
  </si>
  <si>
    <t>NOTA FISCAL Nº 38506</t>
  </si>
  <si>
    <t>NOTA FISCAL Nº 38931</t>
  </si>
  <si>
    <t>Notas Fiscais de Saída - CL09516</t>
  </si>
  <si>
    <t>CL09475</t>
  </si>
  <si>
    <t>R AGRO NEGOCIOS AGRICOLAS LTDA</t>
  </si>
  <si>
    <t>Notas Fiscais de Saída - CL09475</t>
  </si>
  <si>
    <t>Notas Fiscais de Saída - CL01192</t>
  </si>
  <si>
    <t>NOTA FISCAL Nº 36087</t>
  </si>
  <si>
    <t>CL09577</t>
  </si>
  <si>
    <t>MONICA SOUZA REZENDE PEDRIEL</t>
  </si>
  <si>
    <t>NOTA FISCAL Nº 36526</t>
  </si>
  <si>
    <t>NOTA FISCAL Nº 36967</t>
  </si>
  <si>
    <t>NOTA FISCAL Nº 37025</t>
  </si>
  <si>
    <t>NOTA FISCAL Nº 37326</t>
  </si>
  <si>
    <t>NOTA FISCAL Nº 37456</t>
  </si>
  <si>
    <t>NOTA FISCAL Nº 37490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</si>
  <si>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</si>
  <si>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</si>
  <si>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</si>
  <si>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</si>
  <si>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</si>
  <si>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</si>
  <si>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</si>
  <si>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</si>
  <si>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38799</t>
  </si>
  <si>
    <t>NOTA FISCAL Nº 38914</t>
  </si>
  <si>
    <t>CL09403</t>
  </si>
  <si>
    <t>TECNOPLANTA FLORESTAL LTDA</t>
  </si>
  <si>
    <t>Notas Fiscais de Saída - CL09403</t>
  </si>
  <si>
    <t>NOTA FISCAL Nº 34120</t>
  </si>
  <si>
    <t>NOTA FISCAL Nº 34643</t>
  </si>
  <si>
    <t>NOTA FISCAL Nº 36159</t>
  </si>
  <si>
    <t>CL08079</t>
  </si>
  <si>
    <t>NOTA FISCAL Nº 36246</t>
  </si>
  <si>
    <t>NOTA FISCAL Nº 36304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</si>
  <si>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</si>
  <si>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</si>
  <si>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</si>
  <si>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</si>
  <si>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</si>
  <si>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</si>
  <si>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CL09895</t>
  </si>
  <si>
    <t>DUOFERT INSUMOS AGRICOLAS LTDA EPP</t>
  </si>
  <si>
    <t>NOTA FISCAL Nº 38390</t>
  </si>
  <si>
    <t>GUSTAVO MORAES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</si>
  <si>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</si>
  <si>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</si>
  <si>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</si>
  <si>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</si>
  <si>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</si>
  <si>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</si>
  <si>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</si>
  <si>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Notas Fiscais de Saída - CL09311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</si>
  <si>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</si>
  <si>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</si>
  <si>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</si>
  <si>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</si>
  <si>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</si>
  <si>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</si>
  <si>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</si>
  <si>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</si>
  <si>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</si>
  <si>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</si>
  <si>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</si>
  <si>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</si>
  <si>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</si>
  <si>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</si>
  <si>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</si>
  <si>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</si>
  <si>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</si>
  <si>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38562</t>
  </si>
  <si>
    <t>NOTA FISCAL Nº 38621</t>
  </si>
  <si>
    <t>CL09676</t>
  </si>
  <si>
    <t>ADRIANO RAMBO ME</t>
  </si>
  <si>
    <t>Notas Fiscais de Saída - CL09676</t>
  </si>
  <si>
    <t>Notas Fiscais de Saída - CL08869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</si>
  <si>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</si>
  <si>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</si>
  <si>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</si>
  <si>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</si>
  <si>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</si>
  <si>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</si>
  <si>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</si>
  <si>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37544</t>
  </si>
  <si>
    <t>CL08901</t>
  </si>
  <si>
    <t>TIBAGI REPRESENTACOES COMERCIAIS LTDA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</si>
  <si>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</si>
  <si>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</si>
  <si>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</si>
  <si>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</si>
  <si>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</si>
  <si>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</si>
  <si>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</si>
  <si>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</si>
  <si>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</si>
  <si>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</si>
  <si>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</si>
  <si>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</si>
  <si>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CL09173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</si>
  <si>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</si>
  <si>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</si>
  <si>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</si>
  <si>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</si>
  <si>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</si>
  <si>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</si>
  <si>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</si>
  <si>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37491</t>
  </si>
  <si>
    <t>NOTA FISCAL Nº 37779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</si>
  <si>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</si>
  <si>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</si>
  <si>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</si>
  <si>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</si>
  <si>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</si>
  <si>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</si>
  <si>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38371</t>
  </si>
  <si>
    <t>NOTA FISCAL Nº 38461</t>
  </si>
  <si>
    <t>NOTA FISCAL Nº 38534</t>
  </si>
  <si>
    <t>Notas Fiscais de Saída - CL08193</t>
  </si>
  <si>
    <t>CL08807</t>
  </si>
  <si>
    <t>ECOSOLUCAO AGROCIENCIAS E SOLUCOES AMBIENTAIS LTDA</t>
  </si>
  <si>
    <t>NOTA FISCAL Nº 39042</t>
  </si>
  <si>
    <t>CL09622</t>
  </si>
  <si>
    <t>HUGO ANIBAL DE ABREU</t>
  </si>
  <si>
    <t>Notas Fiscais de Saída - CL09622</t>
  </si>
  <si>
    <t>CL07663</t>
  </si>
  <si>
    <t>TERRA SOLUCOES AGRICOLAS LTDA</t>
  </si>
  <si>
    <t>Notas Fiscais de Saída - CL07663</t>
  </si>
  <si>
    <t>NOTA FISCAL Nº 36258</t>
  </si>
  <si>
    <t>NOTA FISCAL Nº 36259</t>
  </si>
  <si>
    <t>NOTA FISCAL Nº 36422</t>
  </si>
  <si>
    <t>NOTA FISCAL Nº 36525</t>
  </si>
  <si>
    <t>NOTA FISCAL Nº 36753</t>
  </si>
  <si>
    <t>NOTA FISCAL Nº 36885</t>
  </si>
  <si>
    <t>NOTA FISCAL Nº 37455</t>
  </si>
  <si>
    <t>NOTA FISCAL Nº 37986</t>
  </si>
  <si>
    <t>NOTA FISCAL Nº 38061</t>
  </si>
  <si>
    <t>NOTA FISCAL Nº 38175</t>
  </si>
  <si>
    <t>NOTA FISCAL Nº 38196</t>
  </si>
  <si>
    <t>NOTA FISCAL Nº 38331</t>
  </si>
  <si>
    <t>CL08227</t>
  </si>
  <si>
    <t>B&amp;R BRASIL IMPORT E COM DE FERR FERT E UTIL LTDA</t>
  </si>
  <si>
    <t>NOTA FISCAL Nº 38483</t>
  </si>
  <si>
    <t>Notas Fiscais de Saída - CL09795</t>
  </si>
  <si>
    <t>NOTA FISCAL Nº 38824</t>
  </si>
  <si>
    <t>NOTA FISCAL Nº 38825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</si>
  <si>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</si>
  <si>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</si>
  <si>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</si>
  <si>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</si>
  <si>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</si>
  <si>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</si>
  <si>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</si>
  <si>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</si>
  <si>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</si>
  <si>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</si>
  <si>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</si>
  <si>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</si>
  <si>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</si>
  <si>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</si>
  <si>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</si>
  <si>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</si>
  <si>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</si>
  <si>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</si>
  <si>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CL09836</t>
  </si>
  <si>
    <t>OSVINE PABST SCHULZE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</si>
  <si>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</si>
  <si>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</si>
  <si>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</si>
  <si>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</si>
  <si>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</si>
  <si>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</si>
  <si>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</si>
  <si>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</si>
  <si>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</si>
  <si>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</si>
  <si>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NOTA FISCAL Nº 34358</t>
  </si>
  <si>
    <t>NOTA FISCAL Nº 35600</t>
  </si>
  <si>
    <t>CL09580</t>
  </si>
  <si>
    <t>ROMILDO REZENDE OLIVEIRA</t>
  </si>
  <si>
    <t>NOTA FISCAL Nº 36355</t>
  </si>
  <si>
    <t>NOTA FISCAL Nº 36387</t>
  </si>
  <si>
    <t>NOTA FISCAL Nº 36594</t>
  </si>
  <si>
    <t>NOTA FISCAL Nº 36631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</si>
  <si>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</si>
  <si>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</si>
  <si>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</si>
  <si>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</si>
  <si>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</si>
  <si>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</si>
  <si>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37349</t>
  </si>
  <si>
    <t>NOTA FISCAL Nº 37399</t>
  </si>
  <si>
    <t>Notas Fiscais de Saída - CL09580</t>
  </si>
  <si>
    <t>NOTA FISCAL Nº 35975</t>
  </si>
  <si>
    <t>NOTA FISCAL Nº 36119</t>
  </si>
  <si>
    <t>NOTA FISCAL Nº 36253</t>
  </si>
  <si>
    <t>NOTA FISCAL Nº 36439</t>
  </si>
  <si>
    <t>NOTA FISCAL Nº 36480</t>
  </si>
  <si>
    <t>NOTA FISCAL Nº 36794</t>
  </si>
  <si>
    <t>NOTA FISCAL Nº 37223</t>
  </si>
  <si>
    <t>NOTA FISCAL Nº 37436</t>
  </si>
  <si>
    <t>NOTA FISCAL Nº 37541</t>
  </si>
  <si>
    <t>NOTA FISCAL Nº 37793</t>
  </si>
  <si>
    <t>NOTA FISCAL Nº 38070</t>
  </si>
  <si>
    <t>NOTA FISCAL Nº 38091</t>
  </si>
  <si>
    <t>NOTA FISCAL Nº 38310</t>
  </si>
  <si>
    <t>NOTA FISCAL Nº 38375</t>
  </si>
  <si>
    <t>Notas Fiscais de Saída - CL09656</t>
  </si>
  <si>
    <t>CL01253</t>
  </si>
  <si>
    <t>Notas Fiscais de Saída - CL01253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</si>
  <si>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</si>
  <si>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</si>
  <si>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</si>
  <si>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</si>
  <si>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</si>
  <si>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</si>
  <si>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</si>
  <si>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</si>
  <si>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</si>
  <si>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</si>
  <si>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</si>
  <si>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</si>
  <si>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Notas Fiscais de Saída - CL08982</t>
  </si>
  <si>
    <t>Notas Fiscais de Saída - CL01010</t>
  </si>
  <si>
    <t>NOTA FISCAL Nº 38330</t>
  </si>
  <si>
    <t>NOTA FISCAL Nº 39206</t>
  </si>
  <si>
    <t>NOTA FISCAL Nº 35606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</si>
  <si>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</si>
  <si>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</si>
  <si>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</si>
  <si>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</si>
  <si>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</si>
  <si>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</si>
  <si>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NOTA FISCAL Nº 37977</t>
  </si>
  <si>
    <t>CL09376</t>
  </si>
  <si>
    <t>FARGONI COMÉRCIO E REPRESENTAÇÃO LTDA</t>
  </si>
  <si>
    <t>Notas Fiscais de Saída - CL09376</t>
  </si>
  <si>
    <t>Notas Fiscais de Saída - CL01217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</si>
  <si>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</si>
  <si>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</si>
  <si>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</si>
  <si>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</si>
  <si>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</si>
  <si>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</si>
  <si>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</si>
  <si>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37443</t>
  </si>
  <si>
    <t>NOTA FISCAL Nº 38169</t>
  </si>
  <si>
    <t>CL09103</t>
  </si>
  <si>
    <t>NOTA FISCAL Nº 38191</t>
  </si>
  <si>
    <t>NOTA FISCAL Nº 38336</t>
  </si>
  <si>
    <t>NOTA FISCAL Nº 38405</t>
  </si>
  <si>
    <t>NOTA FISCAL Nº 38522</t>
  </si>
  <si>
    <t>Notas Fiscais de Saída - CL06113</t>
  </si>
  <si>
    <t>Notas Fiscais de Saída - CL09092</t>
  </si>
  <si>
    <t>NOTA FISCAL Nº 38990</t>
  </si>
  <si>
    <t>CL10051</t>
  </si>
  <si>
    <t>OSCAR LUIZ CERVI</t>
  </si>
  <si>
    <t>NOTA FISCAL Nº 39406</t>
  </si>
  <si>
    <t>NOTA FISCAL Nº 38006</t>
  </si>
  <si>
    <t>CL09325</t>
  </si>
  <si>
    <t>AGROBIO PRODUTOS AGROPECUARIOS LTDA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</si>
  <si>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</si>
  <si>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</si>
  <si>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</si>
  <si>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</si>
  <si>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</si>
  <si>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</si>
  <si>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</si>
  <si>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</si>
  <si>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</si>
  <si>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CL09916</t>
  </si>
  <si>
    <t>Notas Fiscais de Saída - CL09122</t>
  </si>
  <si>
    <t>CL09317</t>
  </si>
  <si>
    <t>CLUBE DO CAMPO COMERCIO E REPRESENTACAO AGRICOLA LTDA</t>
  </si>
  <si>
    <t>Notas Fiscais de Saída - CL09317</t>
  </si>
  <si>
    <t>CL10046</t>
  </si>
  <si>
    <t>EDSON PERUZZOLO</t>
  </si>
  <si>
    <t>NOTA FISCAL Nº 39046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</si>
  <si>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</si>
  <si>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</si>
  <si>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</si>
  <si>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</si>
  <si>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</si>
  <si>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</si>
  <si>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</si>
  <si>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</si>
  <si>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</si>
  <si>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</si>
  <si>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</si>
  <si>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CL09918</t>
  </si>
  <si>
    <t>THIAGO FERRER ARANAO</t>
  </si>
  <si>
    <t>NOTA FISCAL Nº 37423</t>
  </si>
  <si>
    <t>NOTA FISCAL Nº 37613</t>
  </si>
  <si>
    <t>NOTA FISCAL Nº 37729</t>
  </si>
  <si>
    <t>NOTA FISCAL Nº 38097</t>
  </si>
  <si>
    <t>NOTA FISCAL Nº 38354</t>
  </si>
  <si>
    <t>NOTA FISCAL Nº 38374</t>
  </si>
  <si>
    <t>NOTA FISCAL Nº 38500</t>
  </si>
  <si>
    <t>NOTA FISCAL Nº 34123</t>
  </si>
  <si>
    <t>NOTA FISCAL Nº 34326</t>
  </si>
  <si>
    <t>NOTA FISCAL Nº 36086</t>
  </si>
  <si>
    <t>NOTA FISCAL Nº 36107</t>
  </si>
  <si>
    <t>NOTA FISCAL Nº 36312</t>
  </si>
  <si>
    <t>NOTA FISCAL Nº 36313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</si>
  <si>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</si>
  <si>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</si>
  <si>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</si>
  <si>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</si>
  <si>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</si>
  <si>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</si>
  <si>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37181</t>
  </si>
  <si>
    <t>NOTA FISCAL Nº 37678</t>
  </si>
  <si>
    <t>NOTA FISCAL Nº 37831</t>
  </si>
  <si>
    <t>NOTA FISCAL Nº 37874</t>
  </si>
  <si>
    <t>NOTA FISCAL Nº 38021</t>
  </si>
  <si>
    <t>NOTA FISCAL Nº 38253</t>
  </si>
  <si>
    <t>NOTA FISCAL Nº 34042</t>
  </si>
  <si>
    <t>NOTA FISCAL Nº 34365</t>
  </si>
  <si>
    <t>NOTA FISCAL Nº 35599</t>
  </si>
  <si>
    <t>NOTA FISCAL Nº 36593</t>
  </si>
  <si>
    <t>Notas Fiscais de Saída - CL09473</t>
  </si>
  <si>
    <t>NOTA FISCAL Nº 36700</t>
  </si>
  <si>
    <t>NOTA FISCAL Nº 37304</t>
  </si>
  <si>
    <t>NOTA FISCAL Nº 37339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</si>
  <si>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</si>
  <si>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</si>
  <si>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</si>
  <si>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</si>
  <si>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</si>
  <si>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</si>
  <si>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NOTA FISCAL Nº 38523</t>
  </si>
  <si>
    <t>NOTA FISCAL Nº 34106</t>
  </si>
  <si>
    <t>Notas Fiscais de Saída - CL09761</t>
  </si>
  <si>
    <t>NOTA FISCAL Nº 36273</t>
  </si>
  <si>
    <t>NOTA FISCAL Nº 36792</t>
  </si>
  <si>
    <t>NOTA FISCAL Nº 36814</t>
  </si>
  <si>
    <t>NOTA FISCAL Nº 37046</t>
  </si>
  <si>
    <t>NOTA FISCAL Nº 37202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</si>
  <si>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</si>
  <si>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</si>
  <si>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</si>
  <si>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</si>
  <si>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</si>
  <si>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</si>
  <si>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38273</t>
  </si>
  <si>
    <t>NOTA FISCAL Nº 38333</t>
  </si>
  <si>
    <t>CL09527</t>
  </si>
  <si>
    <t>BC AGRO COMERCIO LTDA</t>
  </si>
  <si>
    <t>NOTA FISCAL Nº 38353</t>
  </si>
  <si>
    <t>NOTA FISCAL Nº 38519</t>
  </si>
  <si>
    <t>NOTA FISCAL Nº 38866</t>
  </si>
  <si>
    <t>NOTA FISCAL Nº 38904</t>
  </si>
  <si>
    <t>NOTA FISCAL Nº 36545</t>
  </si>
  <si>
    <t>NOTA FISCAL Nº 36716</t>
  </si>
  <si>
    <t>NOTA FISCAL Nº 37011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</si>
  <si>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</si>
  <si>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</si>
  <si>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</si>
  <si>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</si>
  <si>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</si>
  <si>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</si>
  <si>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</si>
  <si>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</si>
  <si>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</si>
  <si>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NOTA FISCAL Nº 38786</t>
  </si>
  <si>
    <t>Notas Fiscais de Saída - CL09685</t>
  </si>
  <si>
    <t>NOTA FISCAL Nº 38956</t>
  </si>
  <si>
    <t>CL08542</t>
  </si>
  <si>
    <t>Notas Fiscais de Saída - CL08542</t>
  </si>
  <si>
    <t>CL09224</t>
  </si>
  <si>
    <t>AGRO COMERCIAL AGROMANIA LTDA</t>
  </si>
  <si>
    <t>Notas Fiscais de Saída - CL09224</t>
  </si>
  <si>
    <t>NOTA FISCAL Nº 36564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</si>
  <si>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</si>
  <si>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</si>
  <si>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</si>
  <si>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</si>
  <si>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</si>
  <si>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</si>
  <si>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</si>
  <si>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</si>
  <si>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</si>
  <si>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</si>
  <si>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</si>
  <si>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</si>
  <si>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</si>
  <si>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</si>
  <si>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</si>
  <si>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</si>
  <si>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</si>
  <si>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</si>
  <si>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</si>
  <si>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NOTA FISCAL Nº 33216</t>
  </si>
  <si>
    <t>NOTA FISCAL Nº 36707</t>
  </si>
  <si>
    <t>NOTA FISCAL Nº 37241</t>
  </si>
  <si>
    <t>NOTA FISCAL Nº 37247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</si>
  <si>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</si>
  <si>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</si>
  <si>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</si>
  <si>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</si>
  <si>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</si>
  <si>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</si>
  <si>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</si>
  <si>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</si>
  <si>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</si>
  <si>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</si>
  <si>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 FISCAL Nº 38634</t>
  </si>
  <si>
    <t>CL10035</t>
  </si>
  <si>
    <t>ROBSON CARAFFINI</t>
  </si>
  <si>
    <t>Notas Fiscais de Saída - CL10035</t>
  </si>
  <si>
    <t>NOTA FISCAL Nº 38784</t>
  </si>
  <si>
    <t>NOTA FISCAL Nº 39348</t>
  </si>
  <si>
    <t>CL09837</t>
  </si>
  <si>
    <t>ALEXANDRE SCHULZE</t>
  </si>
  <si>
    <t>NOTA FISCAL Nº 38567</t>
  </si>
  <si>
    <t>Notas Fiscais de Saída - CL09701</t>
  </si>
  <si>
    <t>NOTA FISCAL Nº 32887</t>
  </si>
  <si>
    <t>NOTA FISCAL Nº 33213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</si>
  <si>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</si>
  <si>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</si>
  <si>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</si>
  <si>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</si>
  <si>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</si>
  <si>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</si>
  <si>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</si>
  <si>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</si>
  <si>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</si>
  <si>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</si>
  <si>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</si>
  <si>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</si>
  <si>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</si>
  <si>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CL10039</t>
  </si>
  <si>
    <t>WARLEY MORAES GARCIA</t>
  </si>
  <si>
    <t>Notas Fiscais de Saída - CL10039</t>
  </si>
  <si>
    <t>NOTA FISCAL Nº 39057</t>
  </si>
  <si>
    <t>NOTA FISCAL Nº 39227</t>
  </si>
  <si>
    <t>NOTA FISCAL Nº 38865</t>
  </si>
  <si>
    <t>Notas Fiscais de Saída - CL09258</t>
  </si>
  <si>
    <t>CL09119</t>
  </si>
  <si>
    <t>SWARAJ Plant Nutrition Pvt Ltd.</t>
  </si>
  <si>
    <t>NOTA FISCAL Nº 39320</t>
  </si>
  <si>
    <t>NOTA FISCAL Nº 33224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</si>
  <si>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</si>
  <si>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</si>
  <si>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</si>
  <si>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</si>
  <si>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</si>
  <si>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</si>
  <si>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</si>
  <si>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</si>
  <si>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</si>
  <si>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CL08740</t>
  </si>
  <si>
    <t>GEORGES BALECH JUNIOR</t>
  </si>
  <si>
    <t>Notas Fiscais de Saída - CL08740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</si>
  <si>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</si>
  <si>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</si>
  <si>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</si>
  <si>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</si>
  <si>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</si>
  <si>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CL09880</t>
  </si>
  <si>
    <t>NOTA FISCAL Nº 39223</t>
  </si>
  <si>
    <t>CL09643</t>
  </si>
  <si>
    <t>MARCOS VINICIUS TEROL</t>
  </si>
  <si>
    <t>NOTA FISCAL Nº 39381</t>
  </si>
  <si>
    <t>NOTA FISCAL Nº 39428</t>
  </si>
  <si>
    <t>NOTA FISCAL Nº 33228</t>
  </si>
  <si>
    <t>NOTA FISCAL Nº 34902</t>
  </si>
  <si>
    <t>NOTA FISCAL Nº 36222</t>
  </si>
  <si>
    <t>NOTA FISCAL Nº 36263</t>
  </si>
  <si>
    <t>CL06159</t>
  </si>
  <si>
    <t>Notas Fiscais de Saída - CL06159</t>
  </si>
  <si>
    <t>Notas Fiscais de Saída - CL09654</t>
  </si>
  <si>
    <t>Notas Fiscais de Saída - CL08735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</si>
  <si>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</si>
  <si>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</si>
  <si>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</si>
  <si>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</si>
  <si>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</si>
  <si>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</si>
  <si>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</si>
  <si>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</si>
  <si>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</si>
  <si>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</si>
  <si>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</si>
  <si>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</si>
  <si>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</si>
  <si>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</si>
  <si>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</si>
  <si>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</si>
  <si>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</si>
  <si>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</si>
  <si>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</si>
  <si>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</si>
  <si>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</si>
  <si>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</si>
  <si>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CL10045</t>
  </si>
  <si>
    <t>COOPERATIVA DE AGRONEGOCIOS DE SAO GABRIEL DO OESTE MS</t>
  </si>
  <si>
    <t>Notas Fiscais de Saída - CL10045</t>
  </si>
  <si>
    <t>NOTA FISCAL Nº 39207</t>
  </si>
  <si>
    <t>Notas Fiscais de Saída - CL08079</t>
  </si>
  <si>
    <t>NOTA FISCAL Nº 36950</t>
  </si>
  <si>
    <t>NOTA FISCAL Nº 36952</t>
  </si>
  <si>
    <t>NOTA FISCAL Nº 36993</t>
  </si>
  <si>
    <t>NOTA FISCAL Nº 37246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</si>
  <si>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</si>
  <si>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</si>
  <si>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</si>
  <si>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</si>
  <si>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</si>
  <si>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</si>
  <si>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</si>
  <si>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</si>
  <si>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</si>
  <si>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Notas Fiscais de Saída - CL09895</t>
  </si>
  <si>
    <t>Notas Fiscais de Saída - CL06154</t>
  </si>
  <si>
    <t>NOTA FISCAL Nº 39401</t>
  </si>
  <si>
    <t>Notas Fiscais de Saída - CL09264</t>
  </si>
  <si>
    <t>CL09571</t>
  </si>
  <si>
    <t>JAIRO FLAVIO DE CARVALHO</t>
  </si>
  <si>
    <t>Notas Fiscais de Saída - CL09571</t>
  </si>
  <si>
    <t>Notas Fiscais de Saída - CL09547</t>
  </si>
  <si>
    <t>NOTA FISCAL Nº 38176</t>
  </si>
  <si>
    <t>CL09494</t>
  </si>
  <si>
    <t>NOTA FISCAL Nº 38214</t>
  </si>
  <si>
    <t>NOTA FISCAL Nº 38284</t>
  </si>
  <si>
    <t>NOTA FISCAL Nº 38441</t>
  </si>
  <si>
    <t>CL02936</t>
  </si>
  <si>
    <t>COOPERATIVA AGRICOLA SUL BRASIL DE MARILIA</t>
  </si>
  <si>
    <t>Notas Fiscais de Saída - CL02936</t>
  </si>
  <si>
    <t>CL09734</t>
  </si>
  <si>
    <t>TWS ASSESSORIA EM COMERCIO EXTERIOR E DESPACHO ADUANEIRO LTDA</t>
  </si>
  <si>
    <t>Notas Fiscais de Saída - CL09391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</si>
  <si>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</si>
  <si>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</si>
  <si>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</si>
  <si>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</si>
  <si>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</si>
  <si>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37567</t>
  </si>
  <si>
    <t>Notas Fiscais de Saída - CL06116</t>
  </si>
  <si>
    <t>NOTA FISCAL Nº 38096</t>
  </si>
  <si>
    <t>NOTA FISCAL Nº 38115</t>
  </si>
  <si>
    <t>NOTA FISCAL Nº 38119</t>
  </si>
  <si>
    <t>NOTA FISCAL Nº 38135</t>
  </si>
  <si>
    <t>NOTA FISCAL Nº 38137</t>
  </si>
  <si>
    <t>NOTA FISCAL Nº 38155</t>
  </si>
  <si>
    <t>NOTA FISCAL Nº 38373</t>
  </si>
  <si>
    <t>NOTA FISCAL Nº 38427</t>
  </si>
  <si>
    <t>NOTA FISCAL Nº 39209</t>
  </si>
  <si>
    <t>NOTA FISCAL Nº 37687</t>
  </si>
  <si>
    <t>NOTA FISCAL Nº 37801</t>
  </si>
  <si>
    <t>NOTA FISCAL Nº 37952</t>
  </si>
  <si>
    <t>NOTA FISCAL Nº 38150</t>
  </si>
  <si>
    <t>NOTA FISCAL Nº 38797</t>
  </si>
  <si>
    <t>NOTA FISCAL Nº 38927</t>
  </si>
  <si>
    <t>Notas Fiscais de Saída - CL08913</t>
  </si>
  <si>
    <t>NOTA FISCAL Nº 39322</t>
  </si>
  <si>
    <t>NOTA FISCAL Nº 38282</t>
  </si>
  <si>
    <t>NOTA FISCAL Nº 38575</t>
  </si>
  <si>
    <t>NOTA FISCAL Nº 38593</t>
  </si>
  <si>
    <t>NOTA FISCAL Nº 38967</t>
  </si>
  <si>
    <t>Notas Fiscais de Saída - CL09775</t>
  </si>
  <si>
    <t>NOTA FISCAL Nº 39422</t>
  </si>
  <si>
    <t>NOTA FISCAL Nº 38256</t>
  </si>
  <si>
    <t>NOTA FISCAL Nº 38443</t>
  </si>
  <si>
    <t>NOTA FISCAL Nº 38447</t>
  </si>
  <si>
    <t>CL09753</t>
  </si>
  <si>
    <t>Notas Fiscais de Saída - CL09753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</si>
  <si>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</si>
  <si>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</si>
  <si>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</si>
  <si>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</si>
  <si>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</si>
  <si>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</si>
  <si>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</si>
  <si>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</si>
  <si>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</si>
  <si>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</si>
  <si>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</si>
  <si>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</si>
  <si>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 FISCAL Nº 38757</t>
  </si>
  <si>
    <t>NOTA FISCAL Nº 34362</t>
  </si>
  <si>
    <t>NOTA FISCAL Nº 36068</t>
  </si>
  <si>
    <t>NOTA FISCAL Nº 36359</t>
  </si>
  <si>
    <t>NOTA FISCAL Nº 37417</t>
  </si>
  <si>
    <t>NOTA FISCAL Nº 39277</t>
  </si>
  <si>
    <t>CL09450</t>
  </si>
  <si>
    <t>METALURGICA E VIVEIRO DACKO</t>
  </si>
  <si>
    <t>NOTA FISCAL Nº 39459</t>
  </si>
  <si>
    <t>NOTA FISCAL Nº 38781</t>
  </si>
  <si>
    <t>NOTA FISCAL Nº 38958</t>
  </si>
  <si>
    <t>NOTA FISCAL Nº 39297</t>
  </si>
  <si>
    <t>NOTA FISCAL Nº 39317</t>
  </si>
  <si>
    <t>NOTA FISCAL Nº 34489</t>
  </si>
  <si>
    <t>NOTA FISCAL Nº 35757</t>
  </si>
  <si>
    <t>NOTA FISCAL Nº 36959</t>
  </si>
  <si>
    <t>Notas Fiscais de Saída - CL08511</t>
  </si>
  <si>
    <t>NOTA FISCAL Nº 29968</t>
  </si>
  <si>
    <t>NOTA FISCAL Nº 34079</t>
  </si>
  <si>
    <t>NOTA FISCAL Nº 34148</t>
  </si>
  <si>
    <t>NOTA FISCAL Nº 36592</t>
  </si>
  <si>
    <t>NOTA FISCAL Nº 37030</t>
  </si>
  <si>
    <t>CL09854</t>
  </si>
  <si>
    <t>MATHEUS VIEIRA CAMILLO</t>
  </si>
  <si>
    <t>NOTA FISCAL Nº 37184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</si>
  <si>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</si>
  <si>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</si>
  <si>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</si>
  <si>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</si>
  <si>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</si>
  <si>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</si>
  <si>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</si>
  <si>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</si>
  <si>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</si>
  <si>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</si>
  <si>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39321</t>
  </si>
  <si>
    <t>NOTA FISCAL Nº 38902</t>
  </si>
  <si>
    <t>Notas Fiscais de Saída - CL09494</t>
  </si>
  <si>
    <t>NOTA FISCAL Nº 39395</t>
  </si>
  <si>
    <t>Notas Fiscais de Saída - CL09461</t>
  </si>
  <si>
    <t>CL09617</t>
  </si>
  <si>
    <t>HORTAVIVA COMERCIO DE SEMENTES E INSUMOS AGRICOLAS LTDA EPP</t>
  </si>
  <si>
    <t>Notas Fiscais de Saída - CL09617</t>
  </si>
  <si>
    <t>NOTA FISCAL Nº 38785</t>
  </si>
  <si>
    <t>Notas Fiscais de Saída - CL09920</t>
  </si>
  <si>
    <t>Notas Fiscais de Saída - CL08870</t>
  </si>
  <si>
    <t>Notas Fiscais de Saída - CL09563</t>
  </si>
  <si>
    <t>CL09327</t>
  </si>
  <si>
    <t>RONAK TRADING CO.</t>
  </si>
  <si>
    <t>NOTA FISCAL Nº 39330</t>
  </si>
  <si>
    <t>Notas Fiscais de Saída - CL09325</t>
  </si>
  <si>
    <t>NOTA FISCAL Nº 33210</t>
  </si>
  <si>
    <t>NOTA FISCAL Nº 36122</t>
  </si>
  <si>
    <t>NOTA FISCAL Nº 36386</t>
  </si>
  <si>
    <t>NOTA FISCAL Nº 37329</t>
  </si>
  <si>
    <t>NOTA FISCAL Nº 37616</t>
  </si>
  <si>
    <t>NOTA FISCAL Nº 37978</t>
  </si>
  <si>
    <t>NOTA FISCAL Nº 38069</t>
  </si>
  <si>
    <t>Notas Fiscais de Saída - CL08630</t>
  </si>
  <si>
    <t>NOTA FISCAL Nº 39235</t>
  </si>
  <si>
    <t>Valor a reembolsar TWS - 0250/24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</si>
  <si>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</si>
  <si>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</si>
  <si>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</si>
  <si>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</si>
  <si>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</si>
  <si>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</si>
  <si>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37571</t>
  </si>
  <si>
    <t>NOTA FISCAL Nº 37755</t>
  </si>
  <si>
    <t>NOTA FISCAL Nº 38252</t>
  </si>
  <si>
    <t>NOTA FISCAL Nº 38334</t>
  </si>
  <si>
    <t>NOTA FISCAL Nº 39294</t>
  </si>
  <si>
    <t>CL09341</t>
  </si>
  <si>
    <t>PAULO CESAR DE ALMEIDA</t>
  </si>
  <si>
    <t>Notas Fiscais de Saída - CL09341</t>
  </si>
  <si>
    <t>Notas Fiscais de Saída - CL09527</t>
  </si>
  <si>
    <t>Notas Fiscais de Saída - CL08531</t>
  </si>
  <si>
    <t>CL09642</t>
  </si>
  <si>
    <t>ALDECIR JOSE TEROL</t>
  </si>
  <si>
    <t>NOTA FISCAL Nº 39178</t>
  </si>
  <si>
    <t>NOTA FISCAL Nº 39233</t>
  </si>
  <si>
    <t>NOTA FISCAL Nº 39298</t>
  </si>
  <si>
    <t>NOTA FISCAL Nº 39278</t>
  </si>
  <si>
    <t>NOTA FISCAL Nº 39296</t>
  </si>
  <si>
    <t>NOTA FISCAL Nº 39157</t>
  </si>
  <si>
    <t>Notas Fiscais de Saída - CL08746</t>
  </si>
  <si>
    <t>NOTA FISCAL Nº 38573</t>
  </si>
  <si>
    <t>NOTA FISCAL Nº 38591</t>
  </si>
  <si>
    <t>NOTA FISCAL Nº 38892</t>
  </si>
  <si>
    <t>NOTA FISCAL Nº 39150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</si>
  <si>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</si>
  <si>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</si>
  <si>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</si>
  <si>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</si>
  <si>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</si>
  <si>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</si>
  <si>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</si>
  <si>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Notas Fiscais de Saída - CL09221</t>
  </si>
  <si>
    <t>NOTA FISCAL Nº 38362</t>
  </si>
  <si>
    <t>NOTA FISCAL Nº 38380</t>
  </si>
  <si>
    <t>NOTA FISCAL Nº 38471</t>
  </si>
  <si>
    <t>NOTA FISCAL Nº 38487</t>
  </si>
  <si>
    <t>Notas Fiscais de Saída - CL09103</t>
  </si>
  <si>
    <t>Notas Fiscais de Saída - CL09575</t>
  </si>
  <si>
    <t>Notas Fiscais de Saída - CL09836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</si>
  <si>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</si>
  <si>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</si>
  <si>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</si>
  <si>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</si>
  <si>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</si>
  <si>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</si>
  <si>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</si>
  <si>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</si>
  <si>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NOTA FISCAL Nº 39129</t>
  </si>
  <si>
    <t>NOTA FISCAL Nº 39219</t>
  </si>
  <si>
    <t>Notas Fiscais de Saída - CL09379</t>
  </si>
  <si>
    <t>NOTA FISCAL Nº 30775</t>
  </si>
  <si>
    <t>NOTA FISCAL Nº 35769</t>
  </si>
  <si>
    <t>NOTA FISCAL Nº 36537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</si>
  <si>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</si>
  <si>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</si>
  <si>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</si>
  <si>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</si>
  <si>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</si>
  <si>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</si>
  <si>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</si>
  <si>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</si>
  <si>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NOTA FISCAL Nº 39338</t>
  </si>
  <si>
    <t>CL09663</t>
  </si>
  <si>
    <t>PEDRO JOSE DE SOUZA COMPARIN</t>
  </si>
  <si>
    <t>NOTA FISCAL Nº 38526</t>
  </si>
  <si>
    <t>NOTA FISCAL Nº 38614</t>
  </si>
  <si>
    <t>Notas Fiscais de Saída - CL08227</t>
  </si>
  <si>
    <t>Notas Fiscais de Saída - CL09416</t>
  </si>
  <si>
    <t>NOTA FISCAL Nº 39054</t>
  </si>
  <si>
    <t>CL09670</t>
  </si>
  <si>
    <t>ARMAZEM DUNORTE LTDA</t>
  </si>
  <si>
    <t>Notas Fiscais de Saída - CL09670</t>
  </si>
  <si>
    <t>NOTA FISCAL Nº 38839</t>
  </si>
  <si>
    <t>NOTA FISCAL Nº 39293</t>
  </si>
  <si>
    <t>Valor a reembolsar TWS - 0711/24</t>
  </si>
  <si>
    <t>NOTA FISCAL Nº 38924</t>
  </si>
  <si>
    <t>NOTA FISCAL Nº 38966</t>
  </si>
  <si>
    <t>NOTA FISCAL Nº 39229</t>
  </si>
  <si>
    <t>NOTA FISCAL Nº 39423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</si>
  <si>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</si>
  <si>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</si>
  <si>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</si>
  <si>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</si>
  <si>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</si>
  <si>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</si>
  <si>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</si>
  <si>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37965</t>
  </si>
  <si>
    <t>NOTA FISCAL Nº 38277</t>
  </si>
  <si>
    <t>NOTA FISCAL Nº 38304</t>
  </si>
  <si>
    <t>NOTA FISCAL Nº 38368</t>
  </si>
  <si>
    <t>NOTA FISCAL Nº 38771</t>
  </si>
  <si>
    <t>NOTA FISCAL Nº 39273</t>
  </si>
  <si>
    <t>NOTA FISCAL Nº 38133</t>
  </si>
  <si>
    <t>NOTA FISCAL Nº 38215</t>
  </si>
  <si>
    <t>NOTA FISCAL Nº 38360</t>
  </si>
  <si>
    <t>NOTA FISCAL Nº 38430</t>
  </si>
  <si>
    <t>NOTA FISCAL Nº 38458</t>
  </si>
  <si>
    <t>NOTA FISCAL Nº 38484</t>
  </si>
  <si>
    <t>NOTA FISCAL Nº 38495</t>
  </si>
  <si>
    <t>NOTA FISCAL Nº 38742</t>
  </si>
  <si>
    <t>NOTA FISCAL Nº 38912</t>
  </si>
  <si>
    <t>NOTA FISCAL Nº 39023</t>
  </si>
  <si>
    <t>NOTA FISCAL Nº 39236</t>
  </si>
  <si>
    <t>NOTA FISCAL Nº 39451</t>
  </si>
  <si>
    <t>NOTA FISCAL Nº 39276</t>
  </si>
  <si>
    <t>CL09682</t>
  </si>
  <si>
    <t>PERICLES TEIXEIRA COSTA</t>
  </si>
  <si>
    <t>Notas Fiscais de Saída - CL09682</t>
  </si>
  <si>
    <t>Notas Fiscais de Saída - CL09436</t>
  </si>
  <si>
    <t>NOTA FISCAL Nº 38464</t>
  </si>
  <si>
    <t>NOTA FISCAL Nº 38497</t>
  </si>
  <si>
    <t>NOTA FISCAL Nº 38615</t>
  </si>
  <si>
    <t>NOTA FISCAL Nº 39043</t>
  </si>
  <si>
    <t>NOTA FISCAL Nº 39237</t>
  </si>
  <si>
    <t>CL09692</t>
  </si>
  <si>
    <t>NOTA FISCAL Nº 39295</t>
  </si>
  <si>
    <t>NOTA FISCAL Nº 39394</t>
  </si>
  <si>
    <t>NOTA FISCAL Nº 34415</t>
  </si>
  <si>
    <t>NOTA FISCAL Nº 35770</t>
  </si>
  <si>
    <t>CL09833</t>
  </si>
  <si>
    <t>KASSIO VIEIRA DE CARVALHO</t>
  </si>
  <si>
    <t>NOTA FISCAL Nº 36648</t>
  </si>
  <si>
    <t>NOTA FISCAL Nº 36879</t>
  </si>
  <si>
    <t>NOTA FISCAL Nº 38025</t>
  </si>
  <si>
    <t>NOTA FISCAL Nº 38131</t>
  </si>
  <si>
    <t>NOTA FISCAL Nº 38433</t>
  </si>
  <si>
    <t>NOTA FISCAL Nº 38710</t>
  </si>
  <si>
    <t>NOTA FISCAL Nº 38913</t>
  </si>
  <si>
    <t>NOTA FISCAL Nº 39047</t>
  </si>
  <si>
    <t>NOTA FISCAL Nº 39056</t>
  </si>
  <si>
    <t>NOTA FISCAL Nº 39210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</si>
  <si>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</si>
  <si>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</si>
  <si>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</si>
  <si>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</si>
  <si>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</si>
  <si>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</si>
  <si>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</si>
  <si>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</si>
  <si>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</si>
  <si>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</si>
  <si>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</si>
  <si>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</si>
  <si>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NOTA FISCAL Nº 38911</t>
  </si>
  <si>
    <t>NOTA FISCAL Nº 38971</t>
  </si>
  <si>
    <t>Notas Fiscais de Saída - CL09027</t>
  </si>
  <si>
    <t>NOTA FISCAL Nº 39226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</si>
  <si>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</si>
  <si>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</si>
  <si>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</si>
  <si>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</si>
  <si>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</si>
  <si>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</si>
  <si>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</si>
  <si>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CLIENTES</t>
  </si>
  <si>
    <t>Total em aberto</t>
  </si>
  <si>
    <t>Taxa de inadimplencia</t>
  </si>
  <si>
    <t>Notas Fiscais de Saída - CL09382</t>
  </si>
  <si>
    <t>CL09512</t>
  </si>
  <si>
    <t>LR COMERCIO DE PRODUTOS AGRICOLAS LTDA</t>
  </si>
  <si>
    <t>Notas Fiscais de Saída - CL09512</t>
  </si>
  <si>
    <t>CL09898</t>
  </si>
  <si>
    <t>ROSA MARIA MARTINS VITRAL</t>
  </si>
  <si>
    <t>Notas Fiscais de Saída - CL09898</t>
  </si>
  <si>
    <t>CL09348</t>
  </si>
  <si>
    <t>WILSON HARUO UYENO</t>
  </si>
  <si>
    <t>Notas Fiscais de Saída - CL09348</t>
  </si>
  <si>
    <t>CL08602</t>
  </si>
  <si>
    <t>COVRE &amp; CIA LTDA</t>
  </si>
  <si>
    <t>Notas Fiscais de Saída - CL08602</t>
  </si>
  <si>
    <t>CL08612</t>
  </si>
  <si>
    <t>MOYSES ALVINO COVRE E OUTROS</t>
  </si>
  <si>
    <t>Notas Fiscais de Saída - CL08612</t>
  </si>
  <si>
    <t>CL08905</t>
  </si>
  <si>
    <t>S T IRAJA AGRICOLA LTDA</t>
  </si>
  <si>
    <t>Notas Fiscais de Saída - CL08905</t>
  </si>
  <si>
    <t>Notas Fiscais de Saída - CL09237</t>
  </si>
  <si>
    <t>CL01685</t>
  </si>
  <si>
    <t>Notas Fiscais de Saída - CL01685</t>
  </si>
  <si>
    <t>NOTA FISCAL Nº 39500</t>
  </si>
  <si>
    <t>NOTA FISCAL Nº 39502</t>
  </si>
  <si>
    <t>NOTA FISCAL Nº 39499</t>
  </si>
  <si>
    <t>NOTA FISCAL Nº 39501</t>
  </si>
  <si>
    <t>NOTA FISCAL Nº 39507</t>
  </si>
  <si>
    <t>CONFISSÃO DE DÍVIDA ASSINADA</t>
  </si>
  <si>
    <t>PAGAMENTO NO DIA 22/04/2025</t>
  </si>
  <si>
    <t>AGUARDANDO PAGAMENTO.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</si>
</sst>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44" fontId="0" fillId="0" borderId="0" xfId="1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0" fillId="0" borderId="2" xfId="0" pivotButton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wrapText="1"/>
    </xf>
    <xf numFmtId="44" fontId="0" fillId="0" borderId="2" xfId="0" applyNumberFormat="1" applyBorder="1" applyAlignment="1">
      <alignment wrapText="1"/>
    </xf>
    <xf numFmtId="0" fontId="0" fillId="0" borderId="2" xfId="0" applyBorder="1"/>
    <xf numFmtId="10" fontId="0" fillId="0" borderId="2" xfId="2" applyNumberFormat="1" applyFont="1" applyBorder="1"/>
    <xf numFmtId="44" fontId="0" fillId="0" borderId="0" xfId="1" applyFont="1" applyFill="1"/>
    <xf numFmtId="44" fontId="0" fillId="0" borderId="2" xfId="0" applyNumberFormat="1" applyBorder="1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44" fontId="0" fillId="0" borderId="1" xfId="1" applyFont="1" applyFill="1" applyBorder="1"/>
    <xf numFmtId="0" fontId="0" fillId="0" borderId="3" xfId="0" applyBorder="1" applyAlignment="1">
      <alignment wrapText="1"/>
    </xf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4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diagonalUp="0" diagonalDown="0">
        <left/>
        <right/>
        <top/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BRIL/CONTROLE%20DE%20INADIMPLENCIA%2002042025.xlsx" TargetMode="External"/><Relationship Id="rId1" Type="http://schemas.openxmlformats.org/officeDocument/2006/relationships/externalLinkPath" Target="CONTROLE%20DE%20INADIMPLENCIA%200204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CIA"/>
    </sheetNames>
    <sheetDataSet>
      <sheetData sheetId="0" refreshError="1"/>
      <sheetData sheetId="1" refreshError="1"/>
      <sheetData sheetId="2">
        <row r="4">
          <cell r="A4" t="str">
            <v>A.M. GALLO COMERCIO E REPRESENTACAO DE RACAO LTDA</v>
          </cell>
          <cell r="B4">
            <v>182520</v>
          </cell>
          <cell r="C4">
            <v>32</v>
          </cell>
          <cell r="D4" t="str">
            <v>LEANDRO ALENCAR</v>
          </cell>
          <cell r="E4" t="str">
            <v>CLIENTE EM RECUPERAÇAO JUDICIAL, AGUARDANDO SAIR A APROVAÇÃO DA RECUPERAÇÃO JUDICIAL, ESTÁ PENDENTE ENTRAR EM CONTATO COM OS DEVEDORES DAS DUPLICATAS ENDOSSADAS QUE TIVEREM DUVIDAS SOBRE O PAGAMENTO,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</row>
        <row r="5">
          <cell r="A5" t="str">
            <v>ADRIANA DA SILVA RUBIN</v>
          </cell>
          <cell r="B5">
            <v>39600</v>
          </cell>
          <cell r="C5">
            <v>2</v>
          </cell>
          <cell r="D5" t="str">
            <v>MARYANNA SILVEIRA</v>
          </cell>
          <cell r="E5" t="str">
            <v>-</v>
          </cell>
          <cell r="F5" t="str">
            <v>-</v>
          </cell>
        </row>
        <row r="6">
          <cell r="A6" t="str">
            <v>AGRO ALTA COMERCIO DE INSUMOS AGRICOLAS LTDA</v>
          </cell>
          <cell r="B6">
            <v>214562.84999999998</v>
          </cell>
          <cell r="C6">
            <v>20</v>
          </cell>
          <cell r="D6" t="str">
            <v>GABRIEL BORGES</v>
          </cell>
          <cell r="E6" t="str">
            <v>SOLICITADO AO JURÍDICO CONFISSÃO DE DÍVIDA PRORROGANDO OS PAGAMENTOS EM ABERTO COM A METADE PARA PAGAMENTO EM 15 DIAS E A OUTRA METADE PARA 3O DIAS, O PRIMEIRO PAGAMENTO É PARA DIA 17/03. NOVAS VENDAS NESTE PERÍODO SOMENTE A VISTA.</v>
          </cell>
          <cell r="F6" t="str">
            <v>-</v>
          </cell>
        </row>
        <row r="7">
          <cell r="A7" t="str">
            <v>ANTONIO CARLOS RIBEIRO</v>
          </cell>
          <cell r="B7">
            <v>200630</v>
          </cell>
          <cell r="C7">
            <v>123</v>
          </cell>
          <cell r="D7" t="str">
            <v>CESAR CAIXETA</v>
          </cell>
          <cell r="E7" t="str">
            <v>CONFISSÃO DE DÍVIDA ASSINADA, COM FILHO E ESPOSA COMO FIADORES DA RENEGOCIAÇÃO</v>
          </cell>
          <cell r="F7" t="str">
            <v>PAGAMENTO EM 6 PARCELAS: 02/12 (PAGA), 06/01/2025 (PAGA), 03/02/2025 (PAGO), 03/03/2025 (PAGO), 03/04/2025 e 02/05/2025</v>
          </cell>
        </row>
        <row r="8">
          <cell r="A8" t="str">
            <v>BRUNO RUBIN STEFANELLO</v>
          </cell>
          <cell r="B8">
            <v>178200</v>
          </cell>
          <cell r="C8">
            <v>2</v>
          </cell>
          <cell r="D8" t="str">
            <v>MARYANNA SILVEIRA</v>
          </cell>
          <cell r="E8" t="str">
            <v>-</v>
          </cell>
          <cell r="F8" t="str">
            <v>-</v>
          </cell>
        </row>
        <row r="9">
          <cell r="A9" t="str">
            <v>CARLOS STEFANELLO</v>
          </cell>
          <cell r="B9">
            <v>69300</v>
          </cell>
          <cell r="C9">
            <v>2</v>
          </cell>
          <cell r="D9" t="str">
            <v>MARYANNA SILVEIRA</v>
          </cell>
          <cell r="E9" t="str">
            <v>-</v>
          </cell>
          <cell r="F9" t="str">
            <v>-</v>
          </cell>
        </row>
        <row r="10">
          <cell r="A10" t="str">
            <v>CELSO YASUEI MIYAYACIKI</v>
          </cell>
          <cell r="B10">
            <v>52990</v>
          </cell>
          <cell r="C10">
            <v>25</v>
          </cell>
          <cell r="D10" t="str">
            <v>NATHALIA NAURE</v>
          </cell>
          <cell r="E10" t="str">
            <v>AGUARDANDO LIBERAÇAO DO CRÉDITO DE ICMS</v>
          </cell>
          <cell r="F10" t="str">
            <v>-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672</v>
          </cell>
          <cell r="D11" t="str">
            <v>CLAYRTON DA SILVA</v>
          </cell>
          <cell r="E11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11" t="str">
            <v>-</v>
          </cell>
        </row>
        <row r="12">
          <cell r="A12" t="str">
            <v>FM AGRICOLA VICOSA LTDA</v>
          </cell>
          <cell r="B12">
            <v>7021.67</v>
          </cell>
          <cell r="C12">
            <v>1</v>
          </cell>
          <cell r="D12" t="str">
            <v>LUCAS FERREIRA</v>
          </cell>
          <cell r="E12" t="str">
            <v>-</v>
          </cell>
          <cell r="F12" t="str">
            <v>-</v>
          </cell>
        </row>
        <row r="13">
          <cell r="A13" t="str">
            <v>LEONARDO SANFELICE EITELWEIN</v>
          </cell>
          <cell r="B13">
            <v>64190</v>
          </cell>
          <cell r="C13">
            <v>1</v>
          </cell>
          <cell r="D13" t="str">
            <v>CARLOS BERNARDES</v>
          </cell>
          <cell r="E13" t="str">
            <v>-</v>
          </cell>
          <cell r="F13" t="str">
            <v>-</v>
          </cell>
        </row>
        <row r="14">
          <cell r="A14" t="str">
            <v>MAURO BORDIN</v>
          </cell>
          <cell r="B14">
            <v>6300</v>
          </cell>
          <cell r="C14">
            <v>1</v>
          </cell>
          <cell r="D14" t="str">
            <v>JOSE DO AMARAL</v>
          </cell>
          <cell r="E14" t="str">
            <v>-</v>
          </cell>
          <cell r="F14" t="str">
            <v>-</v>
          </cell>
        </row>
        <row r="15">
          <cell r="A15" t="str">
            <v>MINAS FERTIL PRODUTOS AGRICOLA LTDA</v>
          </cell>
          <cell r="B15">
            <v>36573.599999999999</v>
          </cell>
          <cell r="C15">
            <v>12</v>
          </cell>
          <cell r="D15" t="str">
            <v>MATHEUS MACEDO</v>
          </cell>
          <cell r="E15" t="str">
    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    </cell>
          <cell r="F15" t="str">
            <v>-</v>
          </cell>
          <cell r="G15" t="str">
            <v>-</v>
          </cell>
        </row>
        <row r="16">
          <cell r="A16" t="str">
            <v>MOGIANA NEGOCIOS AGROPECUARIO LTDA</v>
          </cell>
          <cell r="B16">
            <v>4539888.6500000004</v>
          </cell>
          <cell r="C16">
            <v>346</v>
          </cell>
          <cell r="D16" t="str">
            <v>GABRIEL BORGES</v>
          </cell>
          <cell r="E16" t="str">
            <v>ENCAMINHADO PARA EXECUÇÃO JUDICIAL AS DUPLICATAS DO KASSIO E OS VEÍCULOS EM GARANTIA DA MOGIANA. ESTÁ EM NEGOCIAÇÃO AS MÁQUINAS, PENDENTE DE ASSINATURA.</v>
          </cell>
          <cell r="F16" t="str">
            <v>-</v>
          </cell>
          <cell r="G16" t="str">
            <v>NEGOCIAR AS MÁQUINAS E AGUARDAR PAGAMENTO NA SEGUNDA PARCELA PARA FORMALIZAR O ACORDO</v>
          </cell>
        </row>
        <row r="17">
          <cell r="A17" t="str">
            <v>ORGANOMINERAL ABSOLUTO KSP LTDA</v>
          </cell>
          <cell r="B17">
            <v>32381.23</v>
          </cell>
          <cell r="C17">
            <v>99</v>
          </cell>
          <cell r="D17" t="str">
            <v>ALEXSANDER CAMPAGNOLO</v>
          </cell>
          <cell r="E17" t="str">
            <v>CLIENTE NEGATIVADO, CNPJ E FIADORES, FICOU DISPONÍVEL A NEGATIVAÇAO NO DIA 21/01/2025. GARANTIA CARTA DE FIANÇA (130 MIL) E 120 MIL DE SEGURO EULER HERMES, SEGURO ACIONADO EM 07/02. ULTIMO PAGAMENTO DE 25 MIL EM 18/03/2025.</v>
          </cell>
          <cell r="F17" t="str">
            <v>-</v>
          </cell>
          <cell r="G17" t="str">
            <v>ENVIAR DOCUMENTAÇÃO PARA A SEGURADORA</v>
          </cell>
        </row>
        <row r="18">
          <cell r="A18" t="str">
            <v>PRODUFERTIL COMERCIO DE PRODUTOS AGRICOLAS LTDA</v>
          </cell>
          <cell r="B18">
            <v>2464871.87</v>
          </cell>
          <cell r="C18">
            <v>214</v>
          </cell>
          <cell r="D18" t="str">
            <v>CARLOS BERNARDES</v>
          </cell>
          <cell r="E18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8" t="str">
            <v>-</v>
          </cell>
          <cell r="G18" t="str">
            <v>AGUARDANDO PAGAMENTO.</v>
          </cell>
        </row>
        <row r="19">
          <cell r="A19" t="str">
            <v>SERGIO EITELWEIN</v>
          </cell>
          <cell r="B19">
            <v>126715</v>
          </cell>
          <cell r="C19">
            <v>1</v>
          </cell>
          <cell r="D19" t="str">
            <v>CARLOS BERNARDES</v>
          </cell>
          <cell r="E19" t="str">
            <v>-</v>
          </cell>
          <cell r="F19">
            <v>0</v>
          </cell>
          <cell r="G19">
            <v>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750.383151041664" createdVersion="8" refreshedVersion="8" minRefreshableVersion="3" recordCount="95" xr:uid="{3FB5482D-E1DC-4912-86B7-8AF85B876972}">
  <cacheSource type="worksheet">
    <worksheetSource name="Tabela2"/>
  </cacheSource>
  <cacheFields count="14">
    <cacheField name="Codigo PN" numFmtId="0">
      <sharedItems/>
    </cacheField>
    <cacheField name="Razao Social" numFmtId="0">
      <sharedItems count="15">
        <s v="CONTINENTAL AGRONEGOCIOS EIRELI ME"/>
        <s v="MOGIANA NEGOCIOS AGROPECUARIO LTDA"/>
        <s v="PRODUFERTIL COMERCIO DE PRODUTOS AGRICOLAS LTDA"/>
        <s v="ANTONIO CARLOS RIBEIRO"/>
        <s v="ORGANOMINERAL ABSOLUTO KSP LTDA"/>
        <s v="A.M. GALLO COMERCIO E REPRESENTACAO DE RACAO LTDA"/>
        <s v="CELSO YASUEI MIYAYACIKI"/>
        <s v="AGRO ALTA COMERCIO DE INSUMOS AGRICOLAS LTDA"/>
        <s v="MINAS FERTIL PRODUTOS AGRICOLA LTDA"/>
        <s v="CARLOS STEFANELLO"/>
        <s v="ADRIANA DA SILVA RUBIN"/>
        <s v="BRUNO RUBIN STEFANELLO"/>
        <s v="LEONARDO SANFELICE EITELWEIN"/>
        <s v="SERGIO EITELWEIN"/>
        <s v="FM AGRICOLA VICOSA LTDA"/>
      </sharedItems>
    </cacheField>
    <cacheField name="No.Docto." numFmtId="0">
      <sharedItems containsSemiMixedTypes="0" containsString="0" containsNumber="1" containsInteger="1" minValue="20750" maxValue="28795"/>
    </cacheField>
    <cacheField name="No. NF" numFmtId="0">
      <sharedItems containsSemiMixedTypes="0" containsString="0" containsNumber="1" containsInteger="1" minValue="29860" maxValue="38881"/>
    </cacheField>
    <cacheField name="Emissão" numFmtId="14">
      <sharedItems containsSemiMixedTypes="0" containsNonDate="0" containsDate="1" containsString="0" minDate="2022-10-10T00:00:00" maxDate="2025-02-06T00:00:00"/>
    </cacheField>
    <cacheField name="Vencimento" numFmtId="14">
      <sharedItems containsSemiMixedTypes="0" containsNonDate="0" containsDate="1" containsString="0" minDate="2023-05-30T00:00:00" maxDate="2025-04-02T00:00:00" count="38">
        <d v="2023-05-30T00:00:00"/>
        <d v="2023-08-30T00:00:00"/>
        <d v="2023-09-30T00:00:00"/>
        <d v="2024-04-20T00:00:00"/>
        <d v="2024-04-22T00:00:00"/>
        <d v="2024-05-20T00:00:00"/>
        <d v="2024-06-14T00:00:00"/>
        <d v="2024-06-17T00:00:00"/>
        <d v="2024-06-19T00:00:00"/>
        <d v="2024-06-20T00:00:00"/>
        <d v="2024-07-01T00:00:00"/>
        <d v="2024-07-04T00:00:00"/>
        <d v="2024-07-05T00:00:00"/>
        <d v="2024-08-30T00:00:00"/>
        <d v="2024-09-30T00:00:00"/>
        <d v="2024-10-11T00:00:00"/>
        <d v="2024-10-21T00:00:00"/>
        <d v="2024-10-28T00:00:00"/>
        <d v="2024-10-30T00:00:00"/>
        <d v="2024-11-14T00:00:00"/>
        <d v="2024-11-29T00:00:00"/>
        <d v="2024-12-23T00:00:00"/>
        <d v="2025-01-10T00:00:00"/>
        <d v="2025-01-13T00:00:00"/>
        <d v="2025-01-16T00:00:00"/>
        <d v="2025-01-20T00:00:00"/>
        <d v="2025-02-07T00:00:00"/>
        <d v="2025-02-28T00:00:00"/>
        <d v="2025-03-07T00:00:00"/>
        <d v="2025-03-12T00:00:00"/>
        <d v="2025-03-13T00:00:00"/>
        <d v="2025-03-14T00:00:00"/>
        <d v="2025-03-17T00:00:00"/>
        <d v="2025-03-20T00:00:00"/>
        <d v="2025-03-24T00:00:00"/>
        <d v="2025-03-30T00:00:00"/>
        <d v="2025-03-31T00:00:00"/>
        <d v="2025-04-01T00:00:00"/>
      </sharedItems>
      <fieldGroup par="13"/>
    </cacheField>
    <cacheField name="Valor R$" numFmtId="44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1" maxValue="673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  <cacheField name="Meses (Vencimento)" numFmtId="0" databaseField="0">
      <fieldGroup base="5">
        <rangePr groupBy="months" startDate="2023-05-30T00:00:00" endDate="2025-04-02T00:00:00"/>
        <groupItems count="14">
          <s v="&lt;30/05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04/2025"/>
        </groupItems>
      </fieldGroup>
    </cacheField>
    <cacheField name="Trimestres (Vencimento)" numFmtId="0" databaseField="0">
      <fieldGroup base="5">
        <rangePr groupBy="quarters" startDate="2023-05-30T00:00:00" endDate="2025-04-02T00:00:00"/>
        <groupItems count="6">
          <s v="&lt;30/05/2023"/>
          <s v="Trim1"/>
          <s v="Trim2"/>
          <s v="Trim3"/>
          <s v="Trim4"/>
          <s v="&gt;02/04/2025"/>
        </groupItems>
      </fieldGroup>
    </cacheField>
    <cacheField name="Anos (Vencimento)" numFmtId="0" databaseField="0">
      <fieldGroup base="5">
        <rangePr groupBy="years" startDate="2023-05-30T00:00:00" endDate="2025-04-02T00:00:00"/>
        <groupItems count="5">
          <s v="&lt;30/05/2023"/>
          <s v="2023"/>
          <s v="2024"/>
          <s v="2025"/>
          <s v="&gt;02/04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CL08007"/>
    <x v="0"/>
    <n v="20750"/>
    <n v="29860"/>
    <d v="2022-10-10T00:00:00"/>
    <x v="0"/>
    <n v="296573.94"/>
    <n v="673"/>
    <s v="NOTA FISCAL Nº 29860"/>
    <s v="CLAYRTON DA SILVA"/>
    <s v="BRASIL_COB"/>
  </r>
  <r>
    <s v="CL08007"/>
    <x v="0"/>
    <n v="20867"/>
    <n v="29996"/>
    <d v="2022-10-24T00:00:00"/>
    <x v="0"/>
    <n v="104000"/>
    <n v="673"/>
    <s v="NOTA FISCAL Nº 29996"/>
    <s v="CLAYRTON DA SILVA"/>
    <s v="BRASIL_COB"/>
  </r>
  <r>
    <s v="CL08007"/>
    <x v="0"/>
    <n v="20847"/>
    <n v="29968"/>
    <d v="2022-10-20T00:00:00"/>
    <x v="0"/>
    <n v="67036.320000000007"/>
    <n v="673"/>
    <s v="NOTA FISCAL Nº 29968"/>
    <s v="CLAYRTON DA SILVA"/>
    <s v="BRASIL_COB"/>
  </r>
  <r>
    <s v="CL08007"/>
    <x v="0"/>
    <n v="21739"/>
    <n v="30890"/>
    <d v="2023-02-04T00:00:00"/>
    <x v="1"/>
    <n v="22000"/>
    <n v="581"/>
    <s v="NOTA FISCAL Nº 30890"/>
    <s v="CLAYRTON DA SILVA"/>
    <s v="BRASIL_COB"/>
  </r>
  <r>
    <s v="CL08007"/>
    <x v="0"/>
    <n v="21546"/>
    <n v="30701"/>
    <d v="2023-01-18T00:00:00"/>
    <x v="1"/>
    <n v="15600"/>
    <n v="581"/>
    <s v="NOTA FISCAL Nº 30701"/>
    <s v="CLAYRTON DA SILVA"/>
    <s v="BRASIL_COB"/>
  </r>
  <r>
    <s v="CL08007"/>
    <x v="0"/>
    <n v="21379"/>
    <n v="30540"/>
    <d v="2022-12-26T00:00:00"/>
    <x v="1"/>
    <n v="248695"/>
    <n v="581"/>
    <s v="NOTA FISCAL Nº 30540"/>
    <s v="CLAYRTON DA SILVA"/>
    <s v="BRASIL_COB"/>
  </r>
  <r>
    <s v="CL08007"/>
    <x v="0"/>
    <n v="21617"/>
    <n v="30775"/>
    <d v="2023-01-24T00:00:00"/>
    <x v="1"/>
    <n v="353500"/>
    <n v="581"/>
    <s v="NOTA FISCAL Nº 30775"/>
    <s v="CLAYRTON DA SILVA"/>
    <s v="BRASIL_COB"/>
  </r>
  <r>
    <s v="CL08007"/>
    <x v="0"/>
    <n v="21616"/>
    <n v="30774"/>
    <d v="2023-01-24T00:00:00"/>
    <x v="2"/>
    <n v="335040"/>
    <n v="550"/>
    <s v="NOTA FISCAL Nº 30774"/>
    <s v="CLAYRTON DA SILVA"/>
    <s v="BRASIL_COB"/>
  </r>
  <r>
    <s v="CL08007"/>
    <x v="0"/>
    <n v="21740"/>
    <n v="30891"/>
    <d v="2023-02-04T00:00:00"/>
    <x v="2"/>
    <n v="168960"/>
    <n v="550"/>
    <s v="NOTA FISCAL Nº 30891"/>
    <s v="CLAYRTON DA SILVA"/>
    <s v="BRASIL_COB"/>
  </r>
  <r>
    <s v="CL08007"/>
    <x v="0"/>
    <n v="21707"/>
    <n v="30862"/>
    <d v="2023-02-02T00:00:00"/>
    <x v="2"/>
    <n v="330000"/>
    <n v="550"/>
    <s v="NOTA FISCAL Nº 30862"/>
    <s v="CLAYRTON DA SILVA"/>
    <s v="BRASIL_COB"/>
  </r>
  <r>
    <s v="CL08007"/>
    <x v="0"/>
    <n v="21548"/>
    <n v="30703"/>
    <d v="2023-01-18T00:00:00"/>
    <x v="2"/>
    <n v="270000"/>
    <n v="550"/>
    <s v="NOTA FISCAL Nº 30703"/>
    <s v="CLAYRTON DA SILVA"/>
    <s v="BRASIL_COB"/>
  </r>
  <r>
    <s v="CL08007"/>
    <x v="0"/>
    <n v="21711"/>
    <n v="30866"/>
    <d v="2023-02-02T00:00:00"/>
    <x v="2"/>
    <n v="160000"/>
    <n v="550"/>
    <s v="NOTA FISCAL Nº 30866"/>
    <s v="CLAYRTON DA SILVA"/>
    <s v="BRASIL_COB"/>
  </r>
  <r>
    <s v="CL09123"/>
    <x v="1"/>
    <n v="23868"/>
    <n v="33222"/>
    <d v="2023-10-23T00:00:00"/>
    <x v="3"/>
    <n v="108000"/>
    <n v="347"/>
    <s v="NOTA FISCAL Nº 33222"/>
    <s v="GABRIEL BORGES"/>
    <s v="BRASIL_COB"/>
  </r>
  <r>
    <s v="CL09123"/>
    <x v="1"/>
    <n v="23855"/>
    <n v="33209"/>
    <d v="2023-10-23T00:00:00"/>
    <x v="3"/>
    <n v="45040.65"/>
    <n v="347"/>
    <s v="NOTA FISCAL Nº 33209"/>
    <s v="GABRIEL BORGES"/>
    <s v="BRASIL_COB"/>
  </r>
  <r>
    <s v="CL09123"/>
    <x v="1"/>
    <n v="23861"/>
    <n v="33215"/>
    <d v="2023-10-23T00:00:00"/>
    <x v="3"/>
    <n v="112500"/>
    <n v="347"/>
    <s v="NOTA FISCAL Nº 33215"/>
    <s v="GABRIEL BORGES"/>
    <s v="BRASIL_COB"/>
  </r>
  <r>
    <s v="CL09123"/>
    <x v="1"/>
    <n v="23862"/>
    <n v="33216"/>
    <d v="2023-10-23T00:00:00"/>
    <x v="3"/>
    <n v="27000"/>
    <n v="347"/>
    <s v="NOTA FISCAL Nº 33216"/>
    <s v="GABRIEL BORGES"/>
    <s v="BRASIL_COB"/>
  </r>
  <r>
    <s v="CL09123"/>
    <x v="1"/>
    <n v="23859"/>
    <n v="33213"/>
    <d v="2023-10-23T00:00:00"/>
    <x v="3"/>
    <n v="112500"/>
    <n v="347"/>
    <s v="NOTA FISCAL Nº 33213"/>
    <s v="GABRIEL BORGES"/>
    <s v="BRASIL_COB"/>
  </r>
  <r>
    <s v="CL09123"/>
    <x v="1"/>
    <n v="23856"/>
    <n v="33210"/>
    <d v="2023-10-23T00:00:00"/>
    <x v="3"/>
    <n v="75000"/>
    <n v="347"/>
    <s v="NOTA FISCAL Nº 33210"/>
    <s v="GABRIEL BORGES"/>
    <s v="BRASIL_COB"/>
  </r>
  <r>
    <s v="CL09123"/>
    <x v="1"/>
    <n v="23870"/>
    <n v="33224"/>
    <d v="2023-10-23T00:00:00"/>
    <x v="3"/>
    <n v="56250"/>
    <n v="347"/>
    <s v="NOTA FISCAL Nº 33224"/>
    <s v="GABRIEL BORGES"/>
    <s v="BRASIL_COB"/>
  </r>
  <r>
    <s v="CL09123"/>
    <x v="1"/>
    <n v="23560"/>
    <n v="32888"/>
    <d v="2023-09-25T00:00:00"/>
    <x v="4"/>
    <n v="123872"/>
    <n v="345"/>
    <s v="Notas Fiscais de Saída - CL09123"/>
    <s v="GABRIEL BORGES"/>
    <s v="BRASIL_COB"/>
  </r>
  <r>
    <s v="CL09123"/>
    <x v="1"/>
    <n v="23559"/>
    <n v="32887"/>
    <d v="2023-09-25T00:00:00"/>
    <x v="4"/>
    <n v="39000"/>
    <n v="345"/>
    <s v="NOTA FISCAL Nº 32887"/>
    <s v="GABRIEL BORGES"/>
    <s v="BRASIL_COB"/>
  </r>
  <r>
    <s v="CL09123"/>
    <x v="1"/>
    <n v="23871"/>
    <n v="33225"/>
    <d v="2023-10-23T00:00:00"/>
    <x v="5"/>
    <n v="41413"/>
    <n v="317"/>
    <s v="NOTA FISCAL Nº 33225"/>
    <s v="GABRIEL BORGES"/>
    <s v="BRASIL_COB"/>
  </r>
  <r>
    <s v="CL09123"/>
    <x v="1"/>
    <n v="23858"/>
    <n v="33212"/>
    <d v="2023-10-23T00:00:00"/>
    <x v="5"/>
    <n v="22375"/>
    <n v="317"/>
    <s v="NOTA FISCAL Nº 33212"/>
    <s v="GABRIEL BORGES"/>
    <s v="BRASIL_COB"/>
  </r>
  <r>
    <s v="CL09123"/>
    <x v="1"/>
    <n v="23874"/>
    <n v="33228"/>
    <d v="2023-10-23T00:00:00"/>
    <x v="5"/>
    <n v="37930"/>
    <n v="317"/>
    <s v="NOTA FISCAL Nº 33228"/>
    <s v="GABRIEL BORGES"/>
    <s v="BRASIL_COB"/>
  </r>
  <r>
    <s v="CL09123"/>
    <x v="1"/>
    <n v="24608"/>
    <n v="34078"/>
    <d v="2024-01-16T00:00:00"/>
    <x v="6"/>
    <n v="216000"/>
    <n v="292"/>
    <s v="NOTA FISCAL Nº 34078"/>
    <s v="GABRIEL BORGES"/>
    <s v="BRASIL_COB"/>
  </r>
  <r>
    <s v="CL09123"/>
    <x v="1"/>
    <n v="24613"/>
    <n v="34082"/>
    <d v="2024-01-16T00:00:00"/>
    <x v="6"/>
    <n v="126000"/>
    <n v="292"/>
    <s v="Notas Fiscais de Saída - CL09123"/>
    <s v="GABRIEL BORGES"/>
    <s v="BRASIL_COB"/>
  </r>
  <r>
    <s v="CL09123"/>
    <x v="1"/>
    <n v="24612"/>
    <n v="34081"/>
    <d v="2024-01-16T00:00:00"/>
    <x v="6"/>
    <n v="243000"/>
    <n v="292"/>
    <s v="NOTA FISCAL Nº 34081"/>
    <s v="GABRIEL BORGES"/>
    <s v="BRASIL_COB"/>
  </r>
  <r>
    <s v="CL09123"/>
    <x v="1"/>
    <n v="24609"/>
    <n v="34079"/>
    <d v="2024-01-16T00:00:00"/>
    <x v="6"/>
    <n v="84000"/>
    <n v="292"/>
    <s v="NOTA FISCAL Nº 34079"/>
    <s v="GABRIEL BORGES"/>
    <s v="BRASIL_COB"/>
  </r>
  <r>
    <s v="CL09123"/>
    <x v="1"/>
    <n v="24635"/>
    <n v="34106"/>
    <d v="2024-01-18T00:00:00"/>
    <x v="7"/>
    <n v="251400"/>
    <n v="289"/>
    <s v="NOTA FISCAL Nº 34106"/>
    <s v="GABRIEL BORGES"/>
    <s v="BRASIL_COB"/>
  </r>
  <r>
    <s v="CL09123"/>
    <x v="1"/>
    <n v="24649"/>
    <n v="34120"/>
    <d v="2024-01-18T00:00:00"/>
    <x v="7"/>
    <n v="250560"/>
    <n v="289"/>
    <s v="NOTA FISCAL Nº 34120"/>
    <s v="GABRIEL BORGES"/>
    <s v="BRASIL_COB"/>
  </r>
  <r>
    <s v="CL09123"/>
    <x v="1"/>
    <n v="23871"/>
    <n v="33225"/>
    <d v="2023-10-23T00:00:00"/>
    <x v="8"/>
    <n v="41413"/>
    <n v="287"/>
    <s v="NOTA FISCAL Nº 33225"/>
    <s v="GABRIEL BORGES"/>
    <s v="BRASIL_COB"/>
  </r>
  <r>
    <s v="CL09123"/>
    <x v="1"/>
    <n v="23858"/>
    <n v="33212"/>
    <d v="2023-10-23T00:00:00"/>
    <x v="8"/>
    <n v="22375"/>
    <n v="287"/>
    <s v="NOTA FISCAL Nº 33212"/>
    <s v="GABRIEL BORGES"/>
    <s v="BRASIL_COB"/>
  </r>
  <r>
    <s v="CL09123"/>
    <x v="1"/>
    <n v="23874"/>
    <n v="33228"/>
    <d v="2023-10-23T00:00:00"/>
    <x v="8"/>
    <n v="38180"/>
    <n v="287"/>
    <s v="NOTA FISCAL Nº 33228"/>
    <s v="GABRIEL BORGES"/>
    <s v="BRASIL_COB"/>
  </r>
  <r>
    <s v="CL09123"/>
    <x v="1"/>
    <n v="24673"/>
    <n v="34148"/>
    <d v="2024-01-22T00:00:00"/>
    <x v="9"/>
    <n v="198720"/>
    <n v="286"/>
    <s v="NOTA FISCAL Nº 34148"/>
    <s v="GABRIEL BORGES"/>
    <s v="BRASIL_COB"/>
  </r>
  <r>
    <s v="CL09123"/>
    <x v="1"/>
    <n v="24868"/>
    <n v="34358"/>
    <d v="2024-02-01T00:00:00"/>
    <x v="10"/>
    <n v="57900"/>
    <n v="275"/>
    <s v="NOTA FISCAL Nº 34358"/>
    <s v="GABRIEL BORGES"/>
    <s v="BRASIL_COB"/>
  </r>
  <r>
    <s v="CL09123"/>
    <x v="1"/>
    <n v="24876"/>
    <n v="34365"/>
    <d v="2024-02-02T00:00:00"/>
    <x v="10"/>
    <n v="310000"/>
    <n v="275"/>
    <s v="NOTA FISCAL Nº 34365"/>
    <s v="GABRIEL BORGES"/>
    <s v="BRASIL_COB"/>
  </r>
  <r>
    <s v="CL09123"/>
    <x v="1"/>
    <n v="24867"/>
    <n v="34357"/>
    <d v="2024-02-01T00:00:00"/>
    <x v="10"/>
    <n v="222000"/>
    <n v="275"/>
    <s v="NOTA FISCAL Nº 34357"/>
    <s v="GABRIEL BORGES"/>
    <s v="BRASIL_COB"/>
  </r>
  <r>
    <s v="CL09123"/>
    <x v="1"/>
    <n v="24871"/>
    <n v="34361"/>
    <d v="2024-02-01T00:00:00"/>
    <x v="10"/>
    <n v="87000"/>
    <n v="275"/>
    <s v="NOTA FISCAL Nº 34361"/>
    <s v="GABRIEL BORGES"/>
    <s v="BRASIL_COB"/>
  </r>
  <r>
    <s v="CL09123"/>
    <x v="1"/>
    <n v="24872"/>
    <n v="34362"/>
    <d v="2024-02-01T00:00:00"/>
    <x v="10"/>
    <n v="42000"/>
    <n v="275"/>
    <s v="NOTA FISCAL Nº 34362"/>
    <s v="GABRIEL BORGES"/>
    <s v="BRASIL_COB"/>
  </r>
  <r>
    <s v="CL09123"/>
    <x v="1"/>
    <n v="24892"/>
    <n v="34383"/>
    <d v="2024-02-05T00:00:00"/>
    <x v="11"/>
    <n v="240000"/>
    <n v="272"/>
    <s v="NOTA FISCAL Nº 34383"/>
    <s v="GABRIEL BORGES"/>
    <s v="BRASIL_COB"/>
  </r>
  <r>
    <s v="CL09123"/>
    <x v="1"/>
    <n v="24925"/>
    <n v="34416"/>
    <d v="2024-02-06T00:00:00"/>
    <x v="12"/>
    <n v="106600"/>
    <n v="271"/>
    <s v="NOTA FISCAL Nº 34416"/>
    <s v="GABRIEL BORGES"/>
    <s v="BRASIL_COB"/>
  </r>
  <r>
    <s v="CL09123"/>
    <x v="1"/>
    <n v="24924"/>
    <n v="34415"/>
    <d v="2024-02-06T00:00:00"/>
    <x v="12"/>
    <n v="34600"/>
    <n v="271"/>
    <s v="NOTA FISCAL Nº 34415"/>
    <s v="GABRIEL BORGES"/>
    <s v="BRASIL_COB"/>
  </r>
  <r>
    <s v="CL08821"/>
    <x v="2"/>
    <n v="24652"/>
    <n v="34123"/>
    <d v="2024-01-19T00:00:00"/>
    <x v="13"/>
    <n v="92064.07"/>
    <n v="215"/>
    <s v="NOTA FISCAL Nº 34123"/>
    <s v="CARLOS BERNARDES"/>
    <s v="BRASIL_COB"/>
  </r>
  <r>
    <s v="CL08821"/>
    <x v="2"/>
    <n v="24576"/>
    <n v="34042"/>
    <d v="2024-01-11T00:00:00"/>
    <x v="13"/>
    <n v="184300"/>
    <n v="215"/>
    <s v="NOTA FISCAL Nº 34042"/>
    <s v="CARLOS BERNARDES"/>
    <s v="BRASIL_COB"/>
  </r>
  <r>
    <s v="CL08821"/>
    <x v="2"/>
    <n v="24789"/>
    <n v="34276"/>
    <d v="2024-01-30T00:00:00"/>
    <x v="13"/>
    <n v="158360"/>
    <n v="215"/>
    <s v="NOTA FISCAL Nº 34276"/>
    <s v="CARLOS BERNARDES"/>
    <s v="BRASIL_COB"/>
  </r>
  <r>
    <s v="CL08821"/>
    <x v="2"/>
    <n v="25154"/>
    <n v="34651"/>
    <d v="2024-02-23T00:00:00"/>
    <x v="13"/>
    <n v="67890"/>
    <n v="215"/>
    <s v="NOTA FISCAL Nº 34651"/>
    <s v="CARLOS BERNARDES"/>
    <s v="BRASIL_COB"/>
  </r>
  <r>
    <s v="CL08821"/>
    <x v="2"/>
    <n v="25149"/>
    <n v="34643"/>
    <d v="2024-02-22T00:00:00"/>
    <x v="13"/>
    <n v="95046"/>
    <n v="215"/>
    <s v="NOTA FISCAL Nº 34643"/>
    <s v="CARLOS BERNARDES"/>
    <s v="BRASIL_COB"/>
  </r>
  <r>
    <s v="CL08821"/>
    <x v="2"/>
    <n v="25148"/>
    <n v="34642"/>
    <d v="2024-02-22T00:00:00"/>
    <x v="13"/>
    <n v="68480"/>
    <n v="215"/>
    <s v="NOTA FISCAL Nº 34642"/>
    <s v="CARLOS BERNARDES"/>
    <s v="BRASIL_COB"/>
  </r>
  <r>
    <s v="CL08821"/>
    <x v="2"/>
    <n v="24998"/>
    <n v="34489"/>
    <d v="2024-02-10T00:00:00"/>
    <x v="13"/>
    <n v="162640"/>
    <n v="215"/>
    <s v="NOTA FISCAL Nº 34489"/>
    <s v="CARLOS BERNARDES"/>
    <s v="BRASIL_COB"/>
  </r>
  <r>
    <s v="CL08821"/>
    <x v="2"/>
    <n v="24837"/>
    <n v="34326"/>
    <d v="2024-01-31T00:00:00"/>
    <x v="14"/>
    <n v="477510"/>
    <n v="184"/>
    <s v="NOTA FISCAL Nº 34326"/>
    <s v="CARLOS BERNARDES"/>
    <s v="BRASIL_COB"/>
  </r>
  <r>
    <s v="CL08821"/>
    <x v="2"/>
    <n v="24812"/>
    <n v="34305"/>
    <d v="2024-01-30T00:00:00"/>
    <x v="14"/>
    <n v="459600"/>
    <n v="184"/>
    <s v="NOTA FISCAL Nº 34305"/>
    <s v="CARLOS BERNARDES"/>
    <s v="BRASIL_COB"/>
  </r>
  <r>
    <s v="CL08821"/>
    <x v="2"/>
    <n v="24844"/>
    <n v="34333"/>
    <d v="2024-01-31T00:00:00"/>
    <x v="14"/>
    <n v="40636.800000000003"/>
    <n v="184"/>
    <s v="Notas Fiscais de Saída - CL08821"/>
    <s v="CARLOS BERNARDES"/>
    <s v="BRASIL_COB"/>
  </r>
  <r>
    <s v="CL08821"/>
    <x v="2"/>
    <n v="25117"/>
    <n v="34609"/>
    <d v="2024-02-21T00:00:00"/>
    <x v="14"/>
    <n v="519840"/>
    <n v="184"/>
    <s v="NOTA FISCAL Nº 34609"/>
    <s v="CARLOS BERNARDES"/>
    <s v="BRASIL_COB"/>
  </r>
  <r>
    <s v="CL08821"/>
    <x v="2"/>
    <n v="25123"/>
    <n v="34613"/>
    <d v="2024-02-21T00:00:00"/>
    <x v="14"/>
    <n v="31775"/>
    <n v="184"/>
    <s v="NOTA FISCAL Nº 34613"/>
    <s v="CARLOS BERNARDES"/>
    <s v="BRASIL_COB"/>
  </r>
  <r>
    <s v="CL09123"/>
    <x v="1"/>
    <n v="25687"/>
    <n v="35250"/>
    <d v="2024-05-14T00:00:00"/>
    <x v="15"/>
    <n v="124620"/>
    <n v="173"/>
    <s v="NOTA FISCAL Nº 35250"/>
    <s v="GABRIEL BORGES"/>
    <s v="BRASIL_COB"/>
  </r>
  <r>
    <s v="CL09123"/>
    <x v="1"/>
    <n v="25737"/>
    <n v="35299"/>
    <d v="2024-05-23T00:00:00"/>
    <x v="16"/>
    <n v="124900"/>
    <n v="163"/>
    <s v="NOTA FISCAL Nº 35299"/>
    <s v="GABRIEL BORGES"/>
    <s v="BRASIL_COB"/>
  </r>
  <r>
    <s v="CL09123"/>
    <x v="1"/>
    <n v="25774"/>
    <n v="35339"/>
    <d v="2024-05-29T00:00:00"/>
    <x v="17"/>
    <n v="126750"/>
    <n v="156"/>
    <s v="NOTA FISCAL Nº 35339"/>
    <s v="GABRIEL BORGES"/>
    <s v="BRASIL_COB"/>
  </r>
  <r>
    <s v="CL08821"/>
    <x v="2"/>
    <n v="25775"/>
    <n v="35341"/>
    <d v="2024-05-29T00:00:00"/>
    <x v="18"/>
    <n v="106730"/>
    <n v="154"/>
    <s v="NOTA FISCAL Nº 35341"/>
    <s v="CARLOS BERNARDES"/>
    <s v="BRASIL_COB"/>
  </r>
  <r>
    <s v="CL09123"/>
    <x v="1"/>
    <n v="25900"/>
    <n v="35479"/>
    <d v="2024-06-17T00:00:00"/>
    <x v="19"/>
    <n v="129750"/>
    <n v="139"/>
    <s v="NOTA FISCAL Nº 35479"/>
    <s v="GABRIEL BORGES"/>
    <s v="BRASIL_COB"/>
  </r>
  <r>
    <s v="CL09590"/>
    <x v="3"/>
    <n v="25939"/>
    <n v="35520"/>
    <d v="2024-06-20T00:00:00"/>
    <x v="20"/>
    <n v="125588"/>
    <n v="124"/>
    <s v="NOTA FISCAL Nº 35520"/>
    <s v="CESAR CAIXETA"/>
    <s v="BRASIL_COB"/>
  </r>
  <r>
    <s v="CL09590"/>
    <x v="3"/>
    <n v="25940"/>
    <n v="35521"/>
    <d v="2024-06-20T00:00:00"/>
    <x v="20"/>
    <n v="75042"/>
    <n v="124"/>
    <s v="NOTA FISCAL Nº 35521"/>
    <s v="CESAR CAIXETA"/>
    <s v="BRASIL_COB"/>
  </r>
  <r>
    <s v="CL09405"/>
    <x v="4"/>
    <n v="27458"/>
    <n v="37223"/>
    <d v="2024-10-22T00:00:00"/>
    <x v="21"/>
    <n v="13087.48"/>
    <n v="100"/>
    <s v="NOTA FISCAL Nº 37223"/>
    <s v="ALEXSANDER CAMPAGNOLO"/>
    <s v="BRASIL_COB"/>
  </r>
  <r>
    <s v="CL09123"/>
    <x v="1"/>
    <n v="26459"/>
    <n v="36086"/>
    <d v="2024-08-13T00:00:00"/>
    <x v="22"/>
    <n v="238000"/>
    <n v="82"/>
    <s v="NOTA FISCAL Nº 36086"/>
    <s v="GABRIEL BORGES"/>
    <s v="BRASIL_COB"/>
  </r>
  <r>
    <s v="CL09123"/>
    <x v="1"/>
    <n v="26460"/>
    <n v="36087"/>
    <d v="2024-08-13T00:00:00"/>
    <x v="22"/>
    <n v="63840"/>
    <n v="82"/>
    <s v="NOTA FISCAL Nº 36087"/>
    <s v="GABRIEL BORGES"/>
    <s v="BRASIL_COB"/>
  </r>
  <r>
    <s v="CL09123"/>
    <x v="1"/>
    <n v="26477"/>
    <n v="36107"/>
    <d v="2024-08-15T00:00:00"/>
    <x v="23"/>
    <n v="23950"/>
    <n v="79"/>
    <s v="NOTA FISCAL Nº 36107"/>
    <s v="GABRIEL BORGES"/>
    <s v="BRASIL_COB"/>
  </r>
  <r>
    <s v="CL09123"/>
    <x v="1"/>
    <n v="26514"/>
    <n v="36151"/>
    <d v="2024-08-19T00:00:00"/>
    <x v="24"/>
    <n v="53500"/>
    <n v="76"/>
    <s v="NOTA FISCAL Nº 36151"/>
    <s v="GABRIEL BORGES"/>
    <s v="BRASIL_COB"/>
  </r>
  <r>
    <s v="CL09405"/>
    <x v="4"/>
    <n v="27458"/>
    <n v="37223"/>
    <d v="2024-10-22T00:00:00"/>
    <x v="25"/>
    <n v="19293.75"/>
    <n v="72"/>
    <s v="NOTA FISCAL Nº 37223"/>
    <s v="ALEXSANDER CAMPAGNOLO"/>
    <s v="BRASIL_COB"/>
  </r>
  <r>
    <s v="CL09123"/>
    <x v="1"/>
    <n v="26780"/>
    <n v="36440"/>
    <d v="2024-09-10T00:00:00"/>
    <x v="26"/>
    <n v="30000"/>
    <n v="54"/>
    <s v="NOTA FISCAL Nº 36440"/>
    <s v="GABRIEL BORGES"/>
    <s v="BRASIL_COB"/>
  </r>
  <r>
    <s v="CL09123"/>
    <x v="1"/>
    <n v="26779"/>
    <n v="36439"/>
    <d v="2024-09-10T00:00:00"/>
    <x v="26"/>
    <n v="250200"/>
    <n v="54"/>
    <s v="NOTA FISCAL Nº 36439"/>
    <s v="GABRIEL BORGES"/>
    <s v="BRASIL_COB"/>
  </r>
  <r>
    <s v="CL09466"/>
    <x v="5"/>
    <n v="27649"/>
    <n v="37427"/>
    <d v="2024-10-31T00:00:00"/>
    <x v="27"/>
    <n v="182520"/>
    <n v="33"/>
    <s v="NOTA FISCAL Nº 37427"/>
    <s v="LEANDRO ALENCAR"/>
    <s v="BRASIL_COB"/>
  </r>
  <r>
    <s v="CL08971"/>
    <x v="6"/>
    <n v="28795"/>
    <n v="38881"/>
    <d v="2025-02-05T00:00:00"/>
    <x v="28"/>
    <n v="52990"/>
    <n v="26"/>
    <s v="Notas Fiscais de Saída - CL08971"/>
    <s v="NATHALIA NAURE"/>
    <m/>
  </r>
  <r>
    <s v="CL08834"/>
    <x v="7"/>
    <n v="28070"/>
    <n v="37992"/>
    <d v="2024-12-12T00:00:00"/>
    <x v="29"/>
    <n v="39199.96"/>
    <n v="21"/>
    <s v="NOTA FISCAL Nº 37992"/>
    <s v="GABRIEL BORGES"/>
    <s v="BRASIL_COB"/>
  </r>
  <r>
    <s v="CL08834"/>
    <x v="7"/>
    <n v="28072"/>
    <n v="37994"/>
    <d v="2024-12-12T00:00:00"/>
    <x v="29"/>
    <n v="10999.99"/>
    <n v="21"/>
    <s v="NOTA FISCAL Nº 37994"/>
    <s v="GABRIEL BORGES"/>
    <s v="BRASIL_COB"/>
  </r>
  <r>
    <s v="CL08834"/>
    <x v="7"/>
    <n v="28075"/>
    <n v="37997"/>
    <d v="2024-12-12T00:00:00"/>
    <x v="29"/>
    <n v="12909.99"/>
    <n v="21"/>
    <s v="NOTA FISCAL Nº 37997"/>
    <s v="GABRIEL BORGES"/>
    <s v="BRASIL_COB"/>
  </r>
  <r>
    <s v="CL08834"/>
    <x v="7"/>
    <n v="27383"/>
    <n v="37109"/>
    <d v="2024-10-14T00:00:00"/>
    <x v="30"/>
    <n v="8812.5"/>
    <n v="20"/>
    <s v="NOTA FISCAL Nº 37109"/>
    <s v="GABRIEL BORGES"/>
    <s v="BRASIL_COB"/>
  </r>
  <r>
    <s v="CL08834"/>
    <x v="7"/>
    <n v="27384"/>
    <n v="37110"/>
    <d v="2024-10-14T00:00:00"/>
    <x v="30"/>
    <n v="35515.339999999997"/>
    <n v="20"/>
    <s v="NOTA FISCAL Nº 37110"/>
    <s v="GABRIEL BORGES"/>
    <s v="BRASIL_COB"/>
  </r>
  <r>
    <s v="CL08834"/>
    <x v="7"/>
    <n v="28389"/>
    <n v="38386"/>
    <d v="2025-01-13T00:00:00"/>
    <x v="31"/>
    <n v="41124.959999999999"/>
    <n v="19"/>
    <s v="NOTA FISCAL Nº 38386"/>
    <s v="GABRIEL BORGES"/>
    <s v="BRASIL_COB"/>
  </r>
  <r>
    <s v="CL08834"/>
    <x v="7"/>
    <n v="28452"/>
    <n v="38449"/>
    <d v="2025-01-15T00:00:00"/>
    <x v="32"/>
    <n v="5731.99"/>
    <n v="16"/>
    <s v="NOTA FISCAL Nº 38449"/>
    <s v="GABRIEL BORGES"/>
    <s v="BRASIL_COB"/>
  </r>
  <r>
    <s v="CL08834"/>
    <x v="7"/>
    <n v="28425"/>
    <n v="38419"/>
    <d v="2025-01-14T00:00:00"/>
    <x v="32"/>
    <n v="20054.98"/>
    <n v="16"/>
    <s v="NOTA FISCAL Nº 38419"/>
    <s v="GABRIEL BORGES"/>
    <s v="BRASIL_COB"/>
  </r>
  <r>
    <s v="CL08834"/>
    <x v="7"/>
    <n v="28198"/>
    <n v="38139"/>
    <d v="2024-12-20T00:00:00"/>
    <x v="33"/>
    <n v="26234.97"/>
    <n v="13"/>
    <s v="NOTA FISCAL Nº 38139"/>
    <s v="GABRIEL BORGES"/>
    <s v="BRASIL_COB"/>
  </r>
  <r>
    <s v="CL09761"/>
    <x v="8"/>
    <n v="26140"/>
    <n v="35748"/>
    <d v="2024-07-15T00:00:00"/>
    <x v="33"/>
    <n v="36573.599999999999"/>
    <n v="13"/>
    <s v="Notas Fiscais de Saída - CL09761"/>
    <s v="MATHEUS MACEDO"/>
    <s v="BRASIL_COB"/>
  </r>
  <r>
    <s v="CL08834"/>
    <x v="7"/>
    <n v="28197"/>
    <n v="38138"/>
    <d v="2024-12-20T00:00:00"/>
    <x v="33"/>
    <n v="3863.93"/>
    <n v="13"/>
    <s v="NOTA FISCAL Nº 38138"/>
    <s v="GABRIEL BORGES"/>
    <s v="BRASIL_COB"/>
  </r>
  <r>
    <s v="CL08834"/>
    <x v="7"/>
    <n v="27488"/>
    <n v="37254"/>
    <d v="2024-10-23T00:00:00"/>
    <x v="34"/>
    <n v="1620.34"/>
    <n v="9"/>
    <s v="NOTA FISCAL Nº 37254"/>
    <s v="GABRIEL BORGES"/>
    <s v="BRASIL_COB"/>
  </r>
  <r>
    <s v="CL08834"/>
    <x v="7"/>
    <n v="27492"/>
    <n v="37257"/>
    <d v="2024-10-23T00:00:00"/>
    <x v="34"/>
    <n v="952.5"/>
    <n v="9"/>
    <s v="NOTA FISCAL Nº 37257"/>
    <s v="GABRIEL BORGES"/>
    <s v="BRASIL_COB"/>
  </r>
  <r>
    <s v="CL09687"/>
    <x v="9"/>
    <n v="27007"/>
    <n v="36700"/>
    <d v="2024-09-23T00:00:00"/>
    <x v="35"/>
    <n v="69300"/>
    <n v="3"/>
    <s v="NOTA FISCAL Nº 36700"/>
    <s v="MARYANNA SILVEIRA"/>
    <s v="BRASIL_COB"/>
  </r>
  <r>
    <s v="CL09689"/>
    <x v="10"/>
    <n v="27003"/>
    <n v="36696"/>
    <d v="2024-09-23T00:00:00"/>
    <x v="35"/>
    <n v="39600"/>
    <n v="3"/>
    <s v="NOTA FISCAL Nº 36696"/>
    <s v="MARYANNA SILVEIRA"/>
    <s v="BRASIL_COB"/>
  </r>
  <r>
    <s v="CL09686"/>
    <x v="11"/>
    <n v="27246"/>
    <n v="36950"/>
    <d v="2024-10-02T00:00:00"/>
    <x v="35"/>
    <n v="59400"/>
    <n v="3"/>
    <s v="NOTA FISCAL Nº 36950"/>
    <s v="MARYANNA SILVEIRA"/>
    <s v="BRASIL_COB"/>
  </r>
  <r>
    <s v="CL09686"/>
    <x v="11"/>
    <n v="27248"/>
    <n v="36952"/>
    <d v="2024-10-02T00:00:00"/>
    <x v="35"/>
    <n v="29700"/>
    <n v="3"/>
    <s v="NOTA FISCAL Nº 36952"/>
    <s v="MARYANNA SILVEIRA"/>
    <s v="BRASIL_COB"/>
  </r>
  <r>
    <s v="CL09686"/>
    <x v="11"/>
    <n v="27247"/>
    <n v="36951"/>
    <d v="2024-10-02T00:00:00"/>
    <x v="35"/>
    <n v="89100"/>
    <n v="3"/>
    <s v="NOTA FISCAL Nº 36951"/>
    <s v="MARYANNA SILVEIRA"/>
    <s v="BRASIL_COB"/>
  </r>
  <r>
    <s v="CL08870"/>
    <x v="12"/>
    <n v="26675"/>
    <n v="36329"/>
    <d v="2024-09-03T00:00:00"/>
    <x v="36"/>
    <n v="49070"/>
    <n v="2"/>
    <s v="NOTA FISCAL Nº 36329"/>
    <s v="CARLOS BERNARDES"/>
    <s v="BRASIL_COB"/>
  </r>
  <r>
    <s v="CL08835"/>
    <x v="13"/>
    <n v="27048"/>
    <n v="36741"/>
    <d v="2024-09-24T00:00:00"/>
    <x v="36"/>
    <n v="126715"/>
    <n v="2"/>
    <s v="NOTA FISCAL Nº 36741"/>
    <s v="CARLOS BERNARDES"/>
    <s v="BRASIL_COB"/>
  </r>
  <r>
    <s v="CL08834"/>
    <x v="7"/>
    <n v="27943"/>
    <n v="37811"/>
    <d v="2024-11-29T00:00:00"/>
    <x v="36"/>
    <n v="7047.5"/>
    <n v="2"/>
    <s v="NOTA FISCAL Nº 37811"/>
    <s v="GABRIEL BORGES"/>
    <s v="BRASIL_COB"/>
  </r>
  <r>
    <s v="CL08767"/>
    <x v="14"/>
    <n v="27674"/>
    <n v="37452"/>
    <d v="2024-10-31T00:00:00"/>
    <x v="36"/>
    <n v="7021.67"/>
    <n v="2"/>
    <s v="Notas Fiscais de Saída - CL08767"/>
    <s v="LUCAS FERREIRA"/>
    <s v="BRASIL_COB"/>
  </r>
  <r>
    <s v="CL08870"/>
    <x v="12"/>
    <n v="27615"/>
    <n v="37387"/>
    <d v="2024-10-30T00:00:00"/>
    <x v="36"/>
    <n v="15120"/>
    <n v="2"/>
    <s v="NOTA FISCAL Nº 37387"/>
    <s v="CARLOS BERNARDES"/>
    <s v="BRASIL_COB"/>
  </r>
  <r>
    <s v="CL08834"/>
    <x v="7"/>
    <n v="27260"/>
    <n v="36967"/>
    <d v="2024-10-03T00:00:00"/>
    <x v="37"/>
    <n v="493.9"/>
    <n v="1"/>
    <s v="NOTA FISCAL Nº 36967"/>
    <s v="GABRIEL BORGES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6E965B-4D4C-4D1D-915D-D476DC818027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3:C19" firstHeaderRow="0" firstDataRow="1" firstDataCol="1"/>
  <pivotFields count="14">
    <pivotField showAll="0"/>
    <pivotField axis="axisRow" showAll="0">
      <items count="16">
        <item x="5"/>
        <item x="10"/>
        <item x="7"/>
        <item x="3"/>
        <item x="11"/>
        <item x="9"/>
        <item x="6"/>
        <item x="0"/>
        <item x="14"/>
        <item x="12"/>
        <item x="8"/>
        <item x="1"/>
        <item x="4"/>
        <item x="2"/>
        <item x="13"/>
        <item t="default"/>
      </items>
    </pivotField>
    <pivotField showAll="0"/>
    <pivotField showAll="0"/>
    <pivotField numFmtId="14" showAll="0"/>
    <pivotField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dataField="1" numFmtId="44"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EF93F-FD27-4219-BE7C-EACD999A5610}" name="Tabela1" displayName="Tabela1" ref="A1:K2070" totalsRowShown="0" headerRowDxfId="39" dataDxfId="38" tableBorderDxfId="37">
  <autoFilter ref="A1:K2070" xr:uid="{617A5504-8FCB-47D0-AEDF-56DA12837148}">
    <filterColumn colId="1">
      <filters>
        <filter val="9A AGRONEGOCIOS COMERCIO E REPRESENTACAO LTDA"/>
      </filters>
    </filterColumn>
  </autoFilter>
  <tableColumns count="11">
    <tableColumn id="1" xr3:uid="{9D4FF3CA-5F69-4401-9D6D-BD16B6098540}" name="Codigo PN" dataDxfId="36"/>
    <tableColumn id="2" xr3:uid="{997639E7-5E84-404C-969A-F4ED57311932}" name="Razao Social" dataDxfId="35"/>
    <tableColumn id="3" xr3:uid="{92057390-110A-4B8A-BD08-7E4543390EFF}" name="No.Docto." dataDxfId="34"/>
    <tableColumn id="4" xr3:uid="{75B71A14-BC63-46EC-A6B6-7C966200159C}" name="No. NF" dataDxfId="33"/>
    <tableColumn id="5" xr3:uid="{D9827256-3459-45B3-95E1-558E14D44D42}" name="Emissão" dataDxfId="32"/>
    <tableColumn id="6" xr3:uid="{844B0CF5-E685-43CD-96B2-5F032EEFF46A}" name="Vencimento" dataDxfId="31"/>
    <tableColumn id="7" xr3:uid="{55286155-8EAF-4849-8D43-75AFB62BFCD9}" name="Valor R$" dataDxfId="30" dataCellStyle="Moeda"/>
    <tableColumn id="8" xr3:uid="{624626CC-6BF9-494B-8CC1-66470F36F6BF}" name="Dias Atraso" dataDxfId="29"/>
    <tableColumn id="9" xr3:uid="{492A20B8-49FD-4FD2-B5D9-DD8FAB4CE545}" name="Observacoes" dataDxfId="28"/>
    <tableColumn id="10" xr3:uid="{6622AEFB-EAA7-4D55-9759-B47F2B9A6E97}" name="Vendedor" dataDxfId="27"/>
    <tableColumn id="11" xr3:uid="{C5F04430-5E59-4735-8033-282FC25E132B}" name="Forma Pagto." dataDxfId="26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24D900-F105-4A58-A5F7-87FC43D3993A}" name="Tabela2" displayName="Tabela2" ref="A1:K96" totalsRowShown="0" headerRowDxfId="25" dataDxfId="24" tableBorderDxfId="23">
  <autoFilter ref="A1:K96" xr:uid="{4424D900-F105-4A58-A5F7-87FC43D3993A}"/>
  <tableColumns count="11">
    <tableColumn id="1" xr3:uid="{6586ECDE-70EB-4BDA-B325-37D361B440C4}" name="Codigo PN" dataDxfId="22"/>
    <tableColumn id="2" xr3:uid="{B98F83DC-F06F-4B1C-B139-B373AB6D9E20}" name="Razao Social" dataDxfId="21"/>
    <tableColumn id="3" xr3:uid="{F887E77A-7480-4197-8302-D5ED2CF0110F}" name="No.Docto." dataDxfId="20"/>
    <tableColumn id="4" xr3:uid="{720D31A2-225F-4595-9BF6-3DD30D94D2CD}" name="No. NF" dataDxfId="19"/>
    <tableColumn id="5" xr3:uid="{995208A0-591A-49B1-9CD8-882F9210CBC3}" name="Emissão" dataDxfId="18"/>
    <tableColumn id="6" xr3:uid="{56B63217-1DD8-4351-8BD9-1CB975466416}" name="Vencimento" dataDxfId="17"/>
    <tableColumn id="7" xr3:uid="{462BC266-F770-4281-A9C7-9110C29B90E6}" name="Valor R$" dataDxfId="16" dataCellStyle="Moeda"/>
    <tableColumn id="8" xr3:uid="{099473CD-2F3F-4E88-B9AE-3ABE3F0D256E}" name="Dias Atraso" dataDxfId="15"/>
    <tableColumn id="9" xr3:uid="{46C034A6-6649-4962-876E-B426258DEEA4}" name="Observacoes" dataDxfId="14"/>
    <tableColumn id="10" xr3:uid="{ACDEB512-7476-473E-A31B-404A8FCD1C1A}" name="Vendedor" dataDxfId="13"/>
    <tableColumn id="11" xr3:uid="{59C51A7A-D4A3-4994-9F6A-EB57146BF5FE}" name="Forma Pagto." dataDxfId="1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5504-8FCB-47D0-AEDF-56DA12837148}">
  <sheetPr>
    <tabColor rgb="FF92D050"/>
  </sheetPr>
  <dimension ref="A1:K2070"/>
  <sheetViews>
    <sheetView showGridLines="0" zoomScale="58" workbookViewId="0">
      <pane ySplit="1" topLeftCell="A343" activePane="bottomLeft" state="frozen"/>
      <selection pane="bottomLeft" sqref="A1:G1981"/>
    </sheetView>
  </sheetViews>
  <sheetFormatPr defaultRowHeight="14.5" x14ac:dyDescent="0.35"/>
  <cols>
    <col min="1" max="1" width="13.54296875" bestFit="1" customWidth="1"/>
    <col min="2" max="2" width="78.6328125" bestFit="1" customWidth="1"/>
    <col min="3" max="3" width="13.26953125" bestFit="1" customWidth="1"/>
    <col min="4" max="4" width="10.26953125" bestFit="1" customWidth="1"/>
    <col min="5" max="5" width="12" bestFit="1" customWidth="1"/>
    <col min="6" max="6" width="15.1796875" bestFit="1" customWidth="1"/>
    <col min="7" max="7" width="14.6328125" bestFit="1" customWidth="1"/>
    <col min="8" max="8" width="14.1796875" bestFit="1" customWidth="1"/>
    <col min="9" max="9" width="29.26953125" bestFit="1" customWidth="1"/>
    <col min="10" max="10" width="25.1796875" bestFit="1" customWidth="1"/>
    <col min="11" max="11" width="15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112</v>
      </c>
      <c r="B2" t="s">
        <v>113</v>
      </c>
      <c r="C2">
        <v>20750</v>
      </c>
      <c r="D2">
        <v>29860</v>
      </c>
      <c r="E2" s="12">
        <v>44844</v>
      </c>
      <c r="F2" s="12">
        <v>45076</v>
      </c>
      <c r="G2" s="1">
        <v>296573.94</v>
      </c>
      <c r="H2">
        <v>673</v>
      </c>
      <c r="I2" t="s">
        <v>343</v>
      </c>
      <c r="J2" t="s">
        <v>115</v>
      </c>
      <c r="K2" t="s">
        <v>15</v>
      </c>
    </row>
    <row r="3" spans="1:11" hidden="1" x14ac:dyDescent="0.35">
      <c r="A3" t="s">
        <v>112</v>
      </c>
      <c r="B3" t="s">
        <v>113</v>
      </c>
      <c r="C3">
        <v>20867</v>
      </c>
      <c r="D3">
        <v>29996</v>
      </c>
      <c r="E3" s="12">
        <v>44858</v>
      </c>
      <c r="F3" s="12">
        <v>45076</v>
      </c>
      <c r="G3" s="10">
        <v>104000</v>
      </c>
      <c r="H3">
        <v>673</v>
      </c>
      <c r="I3" t="s">
        <v>344</v>
      </c>
      <c r="J3" t="s">
        <v>115</v>
      </c>
      <c r="K3" t="s">
        <v>15</v>
      </c>
    </row>
    <row r="4" spans="1:11" hidden="1" x14ac:dyDescent="0.35">
      <c r="A4" t="s">
        <v>112</v>
      </c>
      <c r="B4" t="s">
        <v>113</v>
      </c>
      <c r="C4">
        <v>20847</v>
      </c>
      <c r="D4">
        <v>29968</v>
      </c>
      <c r="E4" s="12">
        <v>44854</v>
      </c>
      <c r="F4" s="12">
        <v>45076</v>
      </c>
      <c r="G4" s="10">
        <v>67036.320000000007</v>
      </c>
      <c r="H4">
        <v>673</v>
      </c>
      <c r="I4" t="s">
        <v>1500</v>
      </c>
      <c r="J4" t="s">
        <v>115</v>
      </c>
      <c r="K4" t="s">
        <v>15</v>
      </c>
    </row>
    <row r="5" spans="1:11" hidden="1" x14ac:dyDescent="0.35">
      <c r="A5" t="s">
        <v>112</v>
      </c>
      <c r="B5" t="s">
        <v>113</v>
      </c>
      <c r="C5">
        <v>21739</v>
      </c>
      <c r="D5">
        <v>30890</v>
      </c>
      <c r="E5" s="12">
        <v>44961</v>
      </c>
      <c r="F5" s="12">
        <v>45168</v>
      </c>
      <c r="G5" s="10">
        <v>22000</v>
      </c>
      <c r="H5">
        <v>581</v>
      </c>
      <c r="I5" t="s">
        <v>619</v>
      </c>
      <c r="J5" t="s">
        <v>115</v>
      </c>
      <c r="K5" t="s">
        <v>15</v>
      </c>
    </row>
    <row r="6" spans="1:11" hidden="1" x14ac:dyDescent="0.35">
      <c r="A6" t="s">
        <v>112</v>
      </c>
      <c r="B6" t="s">
        <v>113</v>
      </c>
      <c r="C6">
        <v>21546</v>
      </c>
      <c r="D6">
        <v>30701</v>
      </c>
      <c r="E6" s="12">
        <v>44944</v>
      </c>
      <c r="F6" s="12">
        <v>45168</v>
      </c>
      <c r="G6" s="10">
        <v>15600</v>
      </c>
      <c r="H6">
        <v>581</v>
      </c>
      <c r="I6" t="s">
        <v>601</v>
      </c>
      <c r="J6" t="s">
        <v>115</v>
      </c>
      <c r="K6" t="s">
        <v>15</v>
      </c>
    </row>
    <row r="7" spans="1:11" hidden="1" x14ac:dyDescent="0.35">
      <c r="A7" t="s">
        <v>112</v>
      </c>
      <c r="B7" t="s">
        <v>113</v>
      </c>
      <c r="C7">
        <v>21379</v>
      </c>
      <c r="D7">
        <v>30540</v>
      </c>
      <c r="E7" s="12">
        <v>44921</v>
      </c>
      <c r="F7" s="12">
        <v>45168</v>
      </c>
      <c r="G7" s="10">
        <v>248695</v>
      </c>
      <c r="H7">
        <v>581</v>
      </c>
      <c r="I7" t="s">
        <v>1182</v>
      </c>
      <c r="J7" t="s">
        <v>115</v>
      </c>
      <c r="K7" t="s">
        <v>15</v>
      </c>
    </row>
    <row r="8" spans="1:11" hidden="1" x14ac:dyDescent="0.35">
      <c r="A8" t="s">
        <v>112</v>
      </c>
      <c r="B8" t="s">
        <v>113</v>
      </c>
      <c r="C8">
        <v>21617</v>
      </c>
      <c r="D8">
        <v>30775</v>
      </c>
      <c r="E8" s="12">
        <v>44950</v>
      </c>
      <c r="F8" s="12">
        <v>45168</v>
      </c>
      <c r="G8" s="10">
        <v>353500</v>
      </c>
      <c r="H8">
        <v>581</v>
      </c>
      <c r="I8" t="s">
        <v>1599</v>
      </c>
      <c r="J8" t="s">
        <v>115</v>
      </c>
      <c r="K8" t="s">
        <v>15</v>
      </c>
    </row>
    <row r="9" spans="1:11" hidden="1" x14ac:dyDescent="0.35">
      <c r="A9" t="s">
        <v>112</v>
      </c>
      <c r="B9" t="s">
        <v>113</v>
      </c>
      <c r="C9">
        <v>21616</v>
      </c>
      <c r="D9">
        <v>30774</v>
      </c>
      <c r="E9" s="12">
        <v>44950</v>
      </c>
      <c r="F9" s="12">
        <v>45199</v>
      </c>
      <c r="G9" s="10">
        <v>335040</v>
      </c>
      <c r="H9">
        <v>550</v>
      </c>
      <c r="I9" t="s">
        <v>688</v>
      </c>
      <c r="J9" t="s">
        <v>115</v>
      </c>
      <c r="K9" t="s">
        <v>15</v>
      </c>
    </row>
    <row r="10" spans="1:11" hidden="1" x14ac:dyDescent="0.35">
      <c r="A10" t="s">
        <v>112</v>
      </c>
      <c r="B10" t="s">
        <v>113</v>
      </c>
      <c r="C10">
        <v>21740</v>
      </c>
      <c r="D10">
        <v>30891</v>
      </c>
      <c r="E10" s="12">
        <v>44961</v>
      </c>
      <c r="F10" s="12">
        <v>45199</v>
      </c>
      <c r="G10" s="10">
        <v>168960</v>
      </c>
      <c r="H10">
        <v>550</v>
      </c>
      <c r="I10" t="s">
        <v>779</v>
      </c>
      <c r="J10" t="s">
        <v>115</v>
      </c>
      <c r="K10" t="s">
        <v>15</v>
      </c>
    </row>
    <row r="11" spans="1:11" hidden="1" x14ac:dyDescent="0.35">
      <c r="A11" t="s">
        <v>112</v>
      </c>
      <c r="B11" t="s">
        <v>113</v>
      </c>
      <c r="C11">
        <v>21707</v>
      </c>
      <c r="D11">
        <v>30862</v>
      </c>
      <c r="E11" s="12">
        <v>44959</v>
      </c>
      <c r="F11" s="12">
        <v>45199</v>
      </c>
      <c r="G11" s="10">
        <v>330000</v>
      </c>
      <c r="H11">
        <v>550</v>
      </c>
      <c r="I11" t="s">
        <v>114</v>
      </c>
      <c r="J11" t="s">
        <v>115</v>
      </c>
      <c r="K11" t="s">
        <v>15</v>
      </c>
    </row>
    <row r="12" spans="1:11" hidden="1" x14ac:dyDescent="0.35">
      <c r="A12" t="s">
        <v>112</v>
      </c>
      <c r="B12" t="s">
        <v>113</v>
      </c>
      <c r="C12">
        <v>21548</v>
      </c>
      <c r="D12">
        <v>30703</v>
      </c>
      <c r="E12" s="12">
        <v>44944</v>
      </c>
      <c r="F12" s="12">
        <v>45199</v>
      </c>
      <c r="G12" s="10">
        <v>270000</v>
      </c>
      <c r="H12">
        <v>550</v>
      </c>
      <c r="I12" t="s">
        <v>428</v>
      </c>
      <c r="J12" t="s">
        <v>115</v>
      </c>
      <c r="K12" t="s">
        <v>15</v>
      </c>
    </row>
    <row r="13" spans="1:11" hidden="1" x14ac:dyDescent="0.35">
      <c r="A13" t="s">
        <v>112</v>
      </c>
      <c r="B13" t="s">
        <v>113</v>
      </c>
      <c r="C13">
        <v>21711</v>
      </c>
      <c r="D13">
        <v>30866</v>
      </c>
      <c r="E13" s="12">
        <v>44959</v>
      </c>
      <c r="F13" s="12">
        <v>45199</v>
      </c>
      <c r="G13" s="10">
        <v>160000</v>
      </c>
      <c r="H13">
        <v>550</v>
      </c>
      <c r="I13" t="s">
        <v>1544</v>
      </c>
      <c r="J13" t="s">
        <v>115</v>
      </c>
      <c r="K13" t="s">
        <v>15</v>
      </c>
    </row>
    <row r="14" spans="1:11" hidden="1" x14ac:dyDescent="0.35">
      <c r="A14" t="s">
        <v>11</v>
      </c>
      <c r="B14" t="s">
        <v>12</v>
      </c>
      <c r="C14">
        <v>23868</v>
      </c>
      <c r="D14">
        <v>33222</v>
      </c>
      <c r="E14" s="12">
        <v>45222</v>
      </c>
      <c r="F14" s="12">
        <v>45402</v>
      </c>
      <c r="G14" s="10">
        <v>108000</v>
      </c>
      <c r="H14">
        <v>347</v>
      </c>
      <c r="I14" t="s">
        <v>172</v>
      </c>
      <c r="J14" t="s">
        <v>14</v>
      </c>
      <c r="K14" t="s">
        <v>15</v>
      </c>
    </row>
    <row r="15" spans="1:11" hidden="1" x14ac:dyDescent="0.35">
      <c r="A15" t="s">
        <v>11</v>
      </c>
      <c r="B15" t="s">
        <v>12</v>
      </c>
      <c r="C15">
        <v>23855</v>
      </c>
      <c r="D15">
        <v>33209</v>
      </c>
      <c r="E15" s="12">
        <v>45222</v>
      </c>
      <c r="F15" s="12">
        <v>45402</v>
      </c>
      <c r="G15" s="10">
        <v>45040.65</v>
      </c>
      <c r="H15">
        <v>347</v>
      </c>
      <c r="I15" t="s">
        <v>710</v>
      </c>
      <c r="J15" t="s">
        <v>14</v>
      </c>
      <c r="K15" t="s">
        <v>15</v>
      </c>
    </row>
    <row r="16" spans="1:11" hidden="1" x14ac:dyDescent="0.35">
      <c r="A16" t="s">
        <v>11</v>
      </c>
      <c r="B16" t="s">
        <v>12</v>
      </c>
      <c r="C16">
        <v>23861</v>
      </c>
      <c r="D16">
        <v>33215</v>
      </c>
      <c r="E16" s="12">
        <v>45222</v>
      </c>
      <c r="F16" s="12">
        <v>45402</v>
      </c>
      <c r="G16" s="10">
        <v>112500</v>
      </c>
      <c r="H16">
        <v>347</v>
      </c>
      <c r="I16" t="s">
        <v>502</v>
      </c>
      <c r="J16" t="s">
        <v>14</v>
      </c>
      <c r="K16" t="s">
        <v>15</v>
      </c>
    </row>
    <row r="17" spans="1:11" hidden="1" x14ac:dyDescent="0.35">
      <c r="A17" t="s">
        <v>11</v>
      </c>
      <c r="B17" t="s">
        <v>12</v>
      </c>
      <c r="C17">
        <v>23862</v>
      </c>
      <c r="D17">
        <v>33216</v>
      </c>
      <c r="E17" s="12">
        <v>45222</v>
      </c>
      <c r="F17" s="12">
        <v>45402</v>
      </c>
      <c r="G17" s="10">
        <v>27000</v>
      </c>
      <c r="H17">
        <v>347</v>
      </c>
      <c r="I17" t="s">
        <v>1296</v>
      </c>
      <c r="J17" t="s">
        <v>14</v>
      </c>
      <c r="K17" t="s">
        <v>15</v>
      </c>
    </row>
    <row r="18" spans="1:11" hidden="1" x14ac:dyDescent="0.35">
      <c r="A18" t="s">
        <v>11</v>
      </c>
      <c r="B18" t="s">
        <v>12</v>
      </c>
      <c r="C18">
        <v>23859</v>
      </c>
      <c r="D18">
        <v>33213</v>
      </c>
      <c r="E18" s="12">
        <v>45222</v>
      </c>
      <c r="F18" s="12">
        <v>45402</v>
      </c>
      <c r="G18" s="10">
        <v>112500</v>
      </c>
      <c r="H18">
        <v>347</v>
      </c>
      <c r="I18" t="s">
        <v>1321</v>
      </c>
      <c r="J18" t="s">
        <v>14</v>
      </c>
      <c r="K18" t="s">
        <v>15</v>
      </c>
    </row>
    <row r="19" spans="1:11" hidden="1" x14ac:dyDescent="0.35">
      <c r="A19" t="s">
        <v>11</v>
      </c>
      <c r="B19" t="s">
        <v>12</v>
      </c>
      <c r="C19">
        <v>23856</v>
      </c>
      <c r="D19">
        <v>33210</v>
      </c>
      <c r="E19" s="12">
        <v>45222</v>
      </c>
      <c r="F19" s="12">
        <v>45402</v>
      </c>
      <c r="G19" s="10">
        <v>75000</v>
      </c>
      <c r="H19">
        <v>347</v>
      </c>
      <c r="I19" t="s">
        <v>1534</v>
      </c>
      <c r="J19" t="s">
        <v>14</v>
      </c>
      <c r="K19" t="s">
        <v>15</v>
      </c>
    </row>
    <row r="20" spans="1:11" hidden="1" x14ac:dyDescent="0.35">
      <c r="A20" t="s">
        <v>11</v>
      </c>
      <c r="B20" t="s">
        <v>12</v>
      </c>
      <c r="C20">
        <v>23870</v>
      </c>
      <c r="D20">
        <v>33224</v>
      </c>
      <c r="E20" s="12">
        <v>45222</v>
      </c>
      <c r="F20" s="12">
        <v>45402</v>
      </c>
      <c r="G20" s="10">
        <v>56250</v>
      </c>
      <c r="H20">
        <v>347</v>
      </c>
      <c r="I20" t="s">
        <v>1345</v>
      </c>
      <c r="J20" t="s">
        <v>14</v>
      </c>
      <c r="K20" t="s">
        <v>15</v>
      </c>
    </row>
    <row r="21" spans="1:11" hidden="1" x14ac:dyDescent="0.35">
      <c r="A21" t="s">
        <v>11</v>
      </c>
      <c r="B21" t="s">
        <v>12</v>
      </c>
      <c r="C21">
        <v>23560</v>
      </c>
      <c r="D21">
        <v>32888</v>
      </c>
      <c r="E21" s="12">
        <v>45194</v>
      </c>
      <c r="F21" s="12">
        <v>45404</v>
      </c>
      <c r="G21" s="10">
        <v>123872</v>
      </c>
      <c r="H21">
        <v>345</v>
      </c>
      <c r="I21" t="s">
        <v>517</v>
      </c>
      <c r="J21" t="s">
        <v>14</v>
      </c>
      <c r="K21" t="s">
        <v>15</v>
      </c>
    </row>
    <row r="22" spans="1:11" hidden="1" x14ac:dyDescent="0.35">
      <c r="A22" t="s">
        <v>11</v>
      </c>
      <c r="B22" t="s">
        <v>12</v>
      </c>
      <c r="C22">
        <v>23559</v>
      </c>
      <c r="D22">
        <v>32887</v>
      </c>
      <c r="E22" s="12">
        <v>45194</v>
      </c>
      <c r="F22" s="12">
        <v>45404</v>
      </c>
      <c r="G22" s="10">
        <v>39000</v>
      </c>
      <c r="H22">
        <v>345</v>
      </c>
      <c r="I22" t="s">
        <v>1320</v>
      </c>
      <c r="J22" t="s">
        <v>14</v>
      </c>
      <c r="K22" t="s">
        <v>15</v>
      </c>
    </row>
    <row r="23" spans="1:11" hidden="1" x14ac:dyDescent="0.35">
      <c r="A23" t="s">
        <v>11</v>
      </c>
      <c r="B23" t="s">
        <v>12</v>
      </c>
      <c r="C23">
        <v>23871</v>
      </c>
      <c r="D23">
        <v>33225</v>
      </c>
      <c r="E23" s="12">
        <v>45222</v>
      </c>
      <c r="F23" s="12">
        <v>45432</v>
      </c>
      <c r="G23" s="10">
        <v>41413</v>
      </c>
      <c r="H23">
        <v>317</v>
      </c>
      <c r="I23" t="s">
        <v>319</v>
      </c>
      <c r="J23" t="s">
        <v>14</v>
      </c>
      <c r="K23" t="s">
        <v>15</v>
      </c>
    </row>
    <row r="24" spans="1:11" hidden="1" x14ac:dyDescent="0.35">
      <c r="A24" t="s">
        <v>11</v>
      </c>
      <c r="B24" t="s">
        <v>12</v>
      </c>
      <c r="C24">
        <v>23858</v>
      </c>
      <c r="D24">
        <v>33212</v>
      </c>
      <c r="E24" s="12">
        <v>45222</v>
      </c>
      <c r="F24" s="12">
        <v>45432</v>
      </c>
      <c r="G24" s="10">
        <v>22375</v>
      </c>
      <c r="H24">
        <v>317</v>
      </c>
      <c r="I24" t="s">
        <v>390</v>
      </c>
      <c r="J24" t="s">
        <v>14</v>
      </c>
      <c r="K24" t="s">
        <v>15</v>
      </c>
    </row>
    <row r="25" spans="1:11" hidden="1" x14ac:dyDescent="0.35">
      <c r="A25" t="s">
        <v>11</v>
      </c>
      <c r="B25" t="s">
        <v>12</v>
      </c>
      <c r="C25">
        <v>23874</v>
      </c>
      <c r="D25">
        <v>33228</v>
      </c>
      <c r="E25" s="12">
        <v>45222</v>
      </c>
      <c r="F25" s="12">
        <v>45432</v>
      </c>
      <c r="G25" s="10">
        <v>37930</v>
      </c>
      <c r="H25">
        <v>317</v>
      </c>
      <c r="I25" t="s">
        <v>1369</v>
      </c>
      <c r="J25" t="s">
        <v>14</v>
      </c>
      <c r="K25" t="s">
        <v>15</v>
      </c>
    </row>
    <row r="26" spans="1:11" hidden="1" x14ac:dyDescent="0.35">
      <c r="A26" t="s">
        <v>11</v>
      </c>
      <c r="B26" t="s">
        <v>12</v>
      </c>
      <c r="C26">
        <v>24608</v>
      </c>
      <c r="D26">
        <v>34078</v>
      </c>
      <c r="E26" s="12">
        <v>45307</v>
      </c>
      <c r="F26" s="12">
        <v>45457</v>
      </c>
      <c r="G26" s="10">
        <v>216000</v>
      </c>
      <c r="H26">
        <v>292</v>
      </c>
      <c r="I26" t="s">
        <v>13</v>
      </c>
      <c r="J26" t="s">
        <v>14</v>
      </c>
      <c r="K26" t="s">
        <v>15</v>
      </c>
    </row>
    <row r="27" spans="1:11" hidden="1" x14ac:dyDescent="0.35">
      <c r="A27" t="s">
        <v>11</v>
      </c>
      <c r="B27" t="s">
        <v>12</v>
      </c>
      <c r="C27">
        <v>24613</v>
      </c>
      <c r="D27">
        <v>34082</v>
      </c>
      <c r="E27" s="12">
        <v>45307</v>
      </c>
      <c r="F27" s="12">
        <v>45457</v>
      </c>
      <c r="G27" s="10">
        <v>126000</v>
      </c>
      <c r="H27">
        <v>292</v>
      </c>
      <c r="I27" t="s">
        <v>517</v>
      </c>
      <c r="J27" t="s">
        <v>14</v>
      </c>
      <c r="K27" t="s">
        <v>15</v>
      </c>
    </row>
    <row r="28" spans="1:11" hidden="1" x14ac:dyDescent="0.35">
      <c r="A28" t="s">
        <v>11</v>
      </c>
      <c r="B28" t="s">
        <v>12</v>
      </c>
      <c r="C28">
        <v>24612</v>
      </c>
      <c r="D28">
        <v>34081</v>
      </c>
      <c r="E28" s="12">
        <v>45307</v>
      </c>
      <c r="F28" s="12">
        <v>45457</v>
      </c>
      <c r="G28" s="10">
        <v>243000</v>
      </c>
      <c r="H28">
        <v>292</v>
      </c>
      <c r="I28" t="s">
        <v>1114</v>
      </c>
      <c r="J28" t="s">
        <v>14</v>
      </c>
      <c r="K28" t="s">
        <v>15</v>
      </c>
    </row>
    <row r="29" spans="1:11" hidden="1" x14ac:dyDescent="0.35">
      <c r="A29" t="s">
        <v>11</v>
      </c>
      <c r="B29" t="s">
        <v>12</v>
      </c>
      <c r="C29">
        <v>24609</v>
      </c>
      <c r="D29">
        <v>34079</v>
      </c>
      <c r="E29" s="12">
        <v>45307</v>
      </c>
      <c r="F29" s="12">
        <v>45457</v>
      </c>
      <c r="G29" s="10">
        <v>84000</v>
      </c>
      <c r="H29">
        <v>292</v>
      </c>
      <c r="I29" t="s">
        <v>1501</v>
      </c>
      <c r="J29" t="s">
        <v>14</v>
      </c>
      <c r="K29" t="s">
        <v>15</v>
      </c>
    </row>
    <row r="30" spans="1:11" hidden="1" x14ac:dyDescent="0.35">
      <c r="A30" t="s">
        <v>11</v>
      </c>
      <c r="B30" t="s">
        <v>12</v>
      </c>
      <c r="C30">
        <v>24635</v>
      </c>
      <c r="D30">
        <v>34106</v>
      </c>
      <c r="E30" s="12">
        <v>45309</v>
      </c>
      <c r="F30" s="12">
        <v>45460</v>
      </c>
      <c r="G30" s="10">
        <v>251400</v>
      </c>
      <c r="H30">
        <v>289</v>
      </c>
      <c r="I30" t="s">
        <v>1235</v>
      </c>
      <c r="J30" t="s">
        <v>14</v>
      </c>
      <c r="K30" t="s">
        <v>15</v>
      </c>
    </row>
    <row r="31" spans="1:11" hidden="1" x14ac:dyDescent="0.35">
      <c r="A31" t="s">
        <v>11</v>
      </c>
      <c r="B31" t="s">
        <v>12</v>
      </c>
      <c r="C31">
        <v>24649</v>
      </c>
      <c r="D31">
        <v>34120</v>
      </c>
      <c r="E31" s="12">
        <v>45309</v>
      </c>
      <c r="F31" s="12">
        <v>45460</v>
      </c>
      <c r="G31" s="10">
        <v>250560</v>
      </c>
      <c r="H31">
        <v>289</v>
      </c>
      <c r="I31" t="s">
        <v>934</v>
      </c>
      <c r="J31" t="s">
        <v>14</v>
      </c>
      <c r="K31" t="s">
        <v>15</v>
      </c>
    </row>
    <row r="32" spans="1:11" hidden="1" x14ac:dyDescent="0.35">
      <c r="A32" t="s">
        <v>11</v>
      </c>
      <c r="B32" t="s">
        <v>12</v>
      </c>
      <c r="C32">
        <v>23871</v>
      </c>
      <c r="D32">
        <v>33225</v>
      </c>
      <c r="E32" s="12">
        <v>45222</v>
      </c>
      <c r="F32" s="12">
        <v>45462</v>
      </c>
      <c r="G32" s="10">
        <v>41413</v>
      </c>
      <c r="H32">
        <v>287</v>
      </c>
      <c r="I32" t="s">
        <v>319</v>
      </c>
      <c r="J32" t="s">
        <v>14</v>
      </c>
      <c r="K32" t="s">
        <v>15</v>
      </c>
    </row>
    <row r="33" spans="1:11" hidden="1" x14ac:dyDescent="0.35">
      <c r="A33" t="s">
        <v>11</v>
      </c>
      <c r="B33" t="s">
        <v>12</v>
      </c>
      <c r="C33">
        <v>23858</v>
      </c>
      <c r="D33">
        <v>33212</v>
      </c>
      <c r="E33" s="12">
        <v>45222</v>
      </c>
      <c r="F33" s="12">
        <v>45462</v>
      </c>
      <c r="G33" s="10">
        <v>22375</v>
      </c>
      <c r="H33">
        <v>287</v>
      </c>
      <c r="I33" t="s">
        <v>390</v>
      </c>
      <c r="J33" t="s">
        <v>14</v>
      </c>
      <c r="K33" t="s">
        <v>15</v>
      </c>
    </row>
    <row r="34" spans="1:11" hidden="1" x14ac:dyDescent="0.35">
      <c r="A34" t="s">
        <v>11</v>
      </c>
      <c r="B34" t="s">
        <v>12</v>
      </c>
      <c r="C34">
        <v>23874</v>
      </c>
      <c r="D34">
        <v>33228</v>
      </c>
      <c r="E34" s="12">
        <v>45222</v>
      </c>
      <c r="F34" s="12">
        <v>45462</v>
      </c>
      <c r="G34" s="10">
        <v>38180</v>
      </c>
      <c r="H34">
        <v>287</v>
      </c>
      <c r="I34" t="s">
        <v>1369</v>
      </c>
      <c r="J34" t="s">
        <v>14</v>
      </c>
      <c r="K34" t="s">
        <v>15</v>
      </c>
    </row>
    <row r="35" spans="1:11" hidden="1" x14ac:dyDescent="0.35">
      <c r="A35" t="s">
        <v>11</v>
      </c>
      <c r="B35" t="s">
        <v>12</v>
      </c>
      <c r="C35">
        <v>24673</v>
      </c>
      <c r="D35">
        <v>34148</v>
      </c>
      <c r="E35" s="12">
        <v>45313</v>
      </c>
      <c r="F35" s="12">
        <v>45463</v>
      </c>
      <c r="G35" s="10">
        <v>198720</v>
      </c>
      <c r="H35">
        <v>286</v>
      </c>
      <c r="I35" t="s">
        <v>1502</v>
      </c>
      <c r="J35" t="s">
        <v>14</v>
      </c>
      <c r="K35" t="s">
        <v>15</v>
      </c>
    </row>
    <row r="36" spans="1:11" hidden="1" x14ac:dyDescent="0.35">
      <c r="A36" t="s">
        <v>11</v>
      </c>
      <c r="B36" t="s">
        <v>12</v>
      </c>
      <c r="C36">
        <v>24868</v>
      </c>
      <c r="D36">
        <v>34358</v>
      </c>
      <c r="E36" s="12">
        <v>45323</v>
      </c>
      <c r="F36" s="12">
        <v>45474</v>
      </c>
      <c r="G36" s="10">
        <v>57900</v>
      </c>
      <c r="H36">
        <v>275</v>
      </c>
      <c r="I36" t="s">
        <v>1080</v>
      </c>
      <c r="J36" t="s">
        <v>14</v>
      </c>
      <c r="K36" t="s">
        <v>15</v>
      </c>
    </row>
    <row r="37" spans="1:11" hidden="1" x14ac:dyDescent="0.35">
      <c r="A37" t="s">
        <v>11</v>
      </c>
      <c r="B37" t="s">
        <v>12</v>
      </c>
      <c r="C37">
        <v>24876</v>
      </c>
      <c r="D37">
        <v>34365</v>
      </c>
      <c r="E37" s="12">
        <v>45324</v>
      </c>
      <c r="F37" s="12">
        <v>45474</v>
      </c>
      <c r="G37" s="10">
        <v>310000</v>
      </c>
      <c r="H37">
        <v>275</v>
      </c>
      <c r="I37" t="s">
        <v>1221</v>
      </c>
      <c r="J37" t="s">
        <v>14</v>
      </c>
      <c r="K37" t="s">
        <v>15</v>
      </c>
    </row>
    <row r="38" spans="1:11" hidden="1" x14ac:dyDescent="0.35">
      <c r="A38" t="s">
        <v>11</v>
      </c>
      <c r="B38" t="s">
        <v>12</v>
      </c>
      <c r="C38">
        <v>24867</v>
      </c>
      <c r="D38">
        <v>34357</v>
      </c>
      <c r="E38" s="12">
        <v>45323</v>
      </c>
      <c r="F38" s="12">
        <v>45474</v>
      </c>
      <c r="G38" s="10">
        <v>222000</v>
      </c>
      <c r="H38">
        <v>275</v>
      </c>
      <c r="I38" t="s">
        <v>798</v>
      </c>
      <c r="J38" t="s">
        <v>14</v>
      </c>
      <c r="K38" t="s">
        <v>15</v>
      </c>
    </row>
    <row r="39" spans="1:11" hidden="1" x14ac:dyDescent="0.35">
      <c r="A39" t="s">
        <v>11</v>
      </c>
      <c r="B39" t="s">
        <v>12</v>
      </c>
      <c r="C39">
        <v>24871</v>
      </c>
      <c r="D39">
        <v>34361</v>
      </c>
      <c r="E39" s="12">
        <v>45323</v>
      </c>
      <c r="F39" s="12">
        <v>45474</v>
      </c>
      <c r="G39" s="10">
        <v>87000</v>
      </c>
      <c r="H39">
        <v>275</v>
      </c>
      <c r="I39" t="s">
        <v>817</v>
      </c>
      <c r="J39" t="s">
        <v>14</v>
      </c>
      <c r="K39" t="s">
        <v>15</v>
      </c>
    </row>
    <row r="40" spans="1:11" hidden="1" x14ac:dyDescent="0.35">
      <c r="A40" t="s">
        <v>11</v>
      </c>
      <c r="B40" t="s">
        <v>12</v>
      </c>
      <c r="C40">
        <v>24872</v>
      </c>
      <c r="D40">
        <v>34362</v>
      </c>
      <c r="E40" s="12">
        <v>45323</v>
      </c>
      <c r="F40" s="12">
        <v>45474</v>
      </c>
      <c r="G40" s="10">
        <v>42000</v>
      </c>
      <c r="H40">
        <v>275</v>
      </c>
      <c r="I40" t="s">
        <v>1484</v>
      </c>
      <c r="J40" t="s">
        <v>14</v>
      </c>
      <c r="K40" t="s">
        <v>15</v>
      </c>
    </row>
    <row r="41" spans="1:11" hidden="1" x14ac:dyDescent="0.35">
      <c r="A41" t="s">
        <v>11</v>
      </c>
      <c r="B41" t="s">
        <v>12</v>
      </c>
      <c r="C41">
        <v>24892</v>
      </c>
      <c r="D41">
        <v>34383</v>
      </c>
      <c r="E41" s="12">
        <v>45327</v>
      </c>
      <c r="F41" s="12">
        <v>45477</v>
      </c>
      <c r="G41" s="10">
        <v>240000</v>
      </c>
      <c r="H41">
        <v>272</v>
      </c>
      <c r="I41" t="s">
        <v>640</v>
      </c>
      <c r="J41" t="s">
        <v>14</v>
      </c>
      <c r="K41" t="s">
        <v>15</v>
      </c>
    </row>
    <row r="42" spans="1:11" hidden="1" x14ac:dyDescent="0.35">
      <c r="A42" t="s">
        <v>11</v>
      </c>
      <c r="B42" t="s">
        <v>12</v>
      </c>
      <c r="C42">
        <v>24925</v>
      </c>
      <c r="D42">
        <v>34416</v>
      </c>
      <c r="E42" s="12">
        <v>45328</v>
      </c>
      <c r="F42" s="12">
        <v>45478</v>
      </c>
      <c r="G42" s="10">
        <v>106600</v>
      </c>
      <c r="H42">
        <v>271</v>
      </c>
      <c r="I42" t="s">
        <v>1142</v>
      </c>
      <c r="J42" t="s">
        <v>14</v>
      </c>
      <c r="K42" t="s">
        <v>15</v>
      </c>
    </row>
    <row r="43" spans="1:11" hidden="1" x14ac:dyDescent="0.35">
      <c r="A43" t="s">
        <v>11</v>
      </c>
      <c r="B43" t="s">
        <v>12</v>
      </c>
      <c r="C43">
        <v>24924</v>
      </c>
      <c r="D43">
        <v>34415</v>
      </c>
      <c r="E43" s="12">
        <v>45328</v>
      </c>
      <c r="F43" s="12">
        <v>45478</v>
      </c>
      <c r="G43" s="10">
        <v>34600</v>
      </c>
      <c r="H43">
        <v>271</v>
      </c>
      <c r="I43" t="s">
        <v>1666</v>
      </c>
      <c r="J43" t="s">
        <v>14</v>
      </c>
      <c r="K43" t="s">
        <v>15</v>
      </c>
    </row>
    <row r="44" spans="1:11" hidden="1" x14ac:dyDescent="0.35">
      <c r="A44" t="s">
        <v>163</v>
      </c>
      <c r="B44" t="s">
        <v>164</v>
      </c>
      <c r="C44">
        <v>24652</v>
      </c>
      <c r="D44">
        <v>34123</v>
      </c>
      <c r="E44" s="12">
        <v>45310</v>
      </c>
      <c r="F44" s="12">
        <v>45534</v>
      </c>
      <c r="G44" s="10">
        <v>92064.07</v>
      </c>
      <c r="H44">
        <v>215</v>
      </c>
      <c r="I44" t="s">
        <v>1202</v>
      </c>
      <c r="J44" t="s">
        <v>107</v>
      </c>
      <c r="K44" t="s">
        <v>15</v>
      </c>
    </row>
    <row r="45" spans="1:11" hidden="1" x14ac:dyDescent="0.35">
      <c r="A45" t="s">
        <v>163</v>
      </c>
      <c r="B45" t="s">
        <v>164</v>
      </c>
      <c r="C45">
        <v>24576</v>
      </c>
      <c r="D45">
        <v>34042</v>
      </c>
      <c r="E45" s="12">
        <v>45302</v>
      </c>
      <c r="F45" s="12">
        <v>45534</v>
      </c>
      <c r="G45" s="10">
        <v>184300</v>
      </c>
      <c r="H45">
        <v>215</v>
      </c>
      <c r="I45" t="s">
        <v>1220</v>
      </c>
      <c r="J45" t="s">
        <v>107</v>
      </c>
      <c r="K45" t="s">
        <v>15</v>
      </c>
    </row>
    <row r="46" spans="1:11" hidden="1" x14ac:dyDescent="0.35">
      <c r="A46" t="s">
        <v>163</v>
      </c>
      <c r="B46" t="s">
        <v>164</v>
      </c>
      <c r="C46">
        <v>24789</v>
      </c>
      <c r="D46">
        <v>34276</v>
      </c>
      <c r="E46" s="12">
        <v>45321</v>
      </c>
      <c r="F46" s="12">
        <v>45534</v>
      </c>
      <c r="G46" s="10">
        <v>158360</v>
      </c>
      <c r="H46">
        <v>215</v>
      </c>
      <c r="I46" t="s">
        <v>536</v>
      </c>
      <c r="J46" t="s">
        <v>107</v>
      </c>
      <c r="K46" t="s">
        <v>15</v>
      </c>
    </row>
    <row r="47" spans="1:11" hidden="1" x14ac:dyDescent="0.35">
      <c r="A47" t="s">
        <v>163</v>
      </c>
      <c r="B47" t="s">
        <v>164</v>
      </c>
      <c r="C47">
        <v>25154</v>
      </c>
      <c r="D47">
        <v>34651</v>
      </c>
      <c r="E47" s="12">
        <v>45345</v>
      </c>
      <c r="F47" s="12">
        <v>45534</v>
      </c>
      <c r="G47" s="10">
        <v>67890</v>
      </c>
      <c r="H47">
        <v>215</v>
      </c>
      <c r="I47" t="s">
        <v>537</v>
      </c>
      <c r="J47" t="s">
        <v>107</v>
      </c>
      <c r="K47" t="s">
        <v>15</v>
      </c>
    </row>
    <row r="48" spans="1:11" hidden="1" x14ac:dyDescent="0.35">
      <c r="A48" t="s">
        <v>163</v>
      </c>
      <c r="B48" t="s">
        <v>164</v>
      </c>
      <c r="C48">
        <v>25149</v>
      </c>
      <c r="D48">
        <v>34643</v>
      </c>
      <c r="E48" s="12">
        <v>45344</v>
      </c>
      <c r="F48" s="12">
        <v>45534</v>
      </c>
      <c r="G48" s="10">
        <v>95046</v>
      </c>
      <c r="H48">
        <v>215</v>
      </c>
      <c r="I48" t="s">
        <v>935</v>
      </c>
      <c r="J48" t="s">
        <v>107</v>
      </c>
      <c r="K48" t="s">
        <v>15</v>
      </c>
    </row>
    <row r="49" spans="1:11" hidden="1" x14ac:dyDescent="0.35">
      <c r="A49" t="s">
        <v>163</v>
      </c>
      <c r="B49" t="s">
        <v>164</v>
      </c>
      <c r="C49">
        <v>25148</v>
      </c>
      <c r="D49">
        <v>34642</v>
      </c>
      <c r="E49" s="12">
        <v>45344</v>
      </c>
      <c r="F49" s="12">
        <v>45534</v>
      </c>
      <c r="G49" s="10">
        <v>68480</v>
      </c>
      <c r="H49">
        <v>215</v>
      </c>
      <c r="I49" t="s">
        <v>300</v>
      </c>
      <c r="J49" t="s">
        <v>107</v>
      </c>
      <c r="K49" t="s">
        <v>15</v>
      </c>
    </row>
    <row r="50" spans="1:11" hidden="1" x14ac:dyDescent="0.35">
      <c r="A50" t="s">
        <v>163</v>
      </c>
      <c r="B50" t="s">
        <v>164</v>
      </c>
      <c r="C50">
        <v>24998</v>
      </c>
      <c r="D50">
        <v>34489</v>
      </c>
      <c r="E50" s="12">
        <v>45332</v>
      </c>
      <c r="F50" s="12">
        <v>45534</v>
      </c>
      <c r="G50" s="10">
        <v>162640</v>
      </c>
      <c r="H50">
        <v>215</v>
      </c>
      <c r="I50" t="s">
        <v>1496</v>
      </c>
      <c r="J50" t="s">
        <v>107</v>
      </c>
      <c r="K50" t="s">
        <v>15</v>
      </c>
    </row>
    <row r="51" spans="1:11" hidden="1" x14ac:dyDescent="0.35">
      <c r="A51" t="s">
        <v>163</v>
      </c>
      <c r="B51" t="s">
        <v>164</v>
      </c>
      <c r="C51">
        <v>24837</v>
      </c>
      <c r="D51">
        <v>34326</v>
      </c>
      <c r="E51" s="12">
        <v>45322</v>
      </c>
      <c r="F51" s="12">
        <v>45565</v>
      </c>
      <c r="G51" s="10">
        <v>477510</v>
      </c>
      <c r="H51">
        <v>184</v>
      </c>
      <c r="I51" t="s">
        <v>1203</v>
      </c>
      <c r="J51" t="s">
        <v>107</v>
      </c>
      <c r="K51" t="s">
        <v>15</v>
      </c>
    </row>
    <row r="52" spans="1:11" hidden="1" x14ac:dyDescent="0.35">
      <c r="A52" t="s">
        <v>163</v>
      </c>
      <c r="B52" t="s">
        <v>164</v>
      </c>
      <c r="C52">
        <v>24812</v>
      </c>
      <c r="D52">
        <v>34305</v>
      </c>
      <c r="E52" s="12">
        <v>45321</v>
      </c>
      <c r="F52" s="12">
        <v>45565</v>
      </c>
      <c r="G52" s="10">
        <v>459600</v>
      </c>
      <c r="H52">
        <v>184</v>
      </c>
      <c r="I52" t="s">
        <v>503</v>
      </c>
      <c r="J52" t="s">
        <v>107</v>
      </c>
      <c r="K52" t="s">
        <v>15</v>
      </c>
    </row>
    <row r="53" spans="1:11" hidden="1" x14ac:dyDescent="0.35">
      <c r="A53" t="s">
        <v>163</v>
      </c>
      <c r="B53" t="s">
        <v>164</v>
      </c>
      <c r="C53">
        <v>24844</v>
      </c>
      <c r="D53">
        <v>34333</v>
      </c>
      <c r="E53" s="12">
        <v>45322</v>
      </c>
      <c r="F53" s="12">
        <v>45565</v>
      </c>
      <c r="G53" s="10">
        <v>40636.800000000003</v>
      </c>
      <c r="H53">
        <v>184</v>
      </c>
      <c r="I53" t="s">
        <v>737</v>
      </c>
      <c r="J53" t="s">
        <v>107</v>
      </c>
      <c r="K53" t="s">
        <v>15</v>
      </c>
    </row>
    <row r="54" spans="1:11" hidden="1" x14ac:dyDescent="0.35">
      <c r="A54" t="s">
        <v>163</v>
      </c>
      <c r="B54" t="s">
        <v>164</v>
      </c>
      <c r="C54">
        <v>25117</v>
      </c>
      <c r="D54">
        <v>34609</v>
      </c>
      <c r="E54" s="12">
        <v>45343</v>
      </c>
      <c r="F54" s="12">
        <v>45565</v>
      </c>
      <c r="G54" s="10">
        <v>519840</v>
      </c>
      <c r="H54">
        <v>184</v>
      </c>
      <c r="I54" t="s">
        <v>429</v>
      </c>
      <c r="J54" t="s">
        <v>107</v>
      </c>
      <c r="K54" t="s">
        <v>15</v>
      </c>
    </row>
    <row r="55" spans="1:11" hidden="1" x14ac:dyDescent="0.35">
      <c r="A55" t="s">
        <v>163</v>
      </c>
      <c r="B55" t="s">
        <v>164</v>
      </c>
      <c r="C55">
        <v>25123</v>
      </c>
      <c r="D55">
        <v>34613</v>
      </c>
      <c r="E55" s="12">
        <v>45343</v>
      </c>
      <c r="F55" s="12">
        <v>45565</v>
      </c>
      <c r="G55" s="10">
        <v>31775</v>
      </c>
      <c r="H55">
        <v>184</v>
      </c>
      <c r="I55" t="s">
        <v>1346</v>
      </c>
      <c r="J55" t="s">
        <v>107</v>
      </c>
      <c r="K55" t="s">
        <v>15</v>
      </c>
    </row>
    <row r="56" spans="1:11" hidden="1" x14ac:dyDescent="0.35">
      <c r="A56" t="s">
        <v>11</v>
      </c>
      <c r="B56" t="s">
        <v>12</v>
      </c>
      <c r="C56">
        <v>25687</v>
      </c>
      <c r="D56">
        <v>35250</v>
      </c>
      <c r="E56" s="12">
        <v>45426</v>
      </c>
      <c r="F56" s="12">
        <v>45576</v>
      </c>
      <c r="G56" s="10">
        <v>124620</v>
      </c>
      <c r="H56">
        <v>173</v>
      </c>
      <c r="I56" t="s">
        <v>569</v>
      </c>
      <c r="J56" t="s">
        <v>14</v>
      </c>
      <c r="K56" t="s">
        <v>15</v>
      </c>
    </row>
    <row r="57" spans="1:11" hidden="1" x14ac:dyDescent="0.35">
      <c r="A57" t="s">
        <v>11</v>
      </c>
      <c r="B57" t="s">
        <v>12</v>
      </c>
      <c r="C57">
        <v>25737</v>
      </c>
      <c r="D57">
        <v>35299</v>
      </c>
      <c r="E57" s="12">
        <v>45435</v>
      </c>
      <c r="F57" s="12">
        <v>45586</v>
      </c>
      <c r="G57" s="10">
        <v>124900</v>
      </c>
      <c r="H57">
        <v>163</v>
      </c>
      <c r="I57" t="s">
        <v>799</v>
      </c>
      <c r="J57" t="s">
        <v>14</v>
      </c>
      <c r="K57" t="s">
        <v>15</v>
      </c>
    </row>
    <row r="58" spans="1:11" hidden="1" x14ac:dyDescent="0.35">
      <c r="A58" t="s">
        <v>11</v>
      </c>
      <c r="B58" t="s">
        <v>12</v>
      </c>
      <c r="C58">
        <v>25774</v>
      </c>
      <c r="D58">
        <v>35339</v>
      </c>
      <c r="E58" s="12">
        <v>45441</v>
      </c>
      <c r="F58" s="12">
        <v>45593</v>
      </c>
      <c r="G58" s="10">
        <v>126750</v>
      </c>
      <c r="H58">
        <v>156</v>
      </c>
      <c r="I58" t="s">
        <v>958</v>
      </c>
      <c r="J58" t="s">
        <v>14</v>
      </c>
      <c r="K58" t="s">
        <v>15</v>
      </c>
    </row>
    <row r="59" spans="1:11" hidden="1" x14ac:dyDescent="0.35">
      <c r="A59" t="s">
        <v>163</v>
      </c>
      <c r="B59" t="s">
        <v>164</v>
      </c>
      <c r="C59">
        <v>25775</v>
      </c>
      <c r="D59">
        <v>35341</v>
      </c>
      <c r="E59" s="12">
        <v>45441</v>
      </c>
      <c r="F59" s="12">
        <v>45595</v>
      </c>
      <c r="G59" s="10">
        <v>106730</v>
      </c>
      <c r="H59">
        <v>154</v>
      </c>
      <c r="I59" t="s">
        <v>173</v>
      </c>
      <c r="J59" t="s">
        <v>107</v>
      </c>
      <c r="K59" t="s">
        <v>15</v>
      </c>
    </row>
    <row r="60" spans="1:11" hidden="1" x14ac:dyDescent="0.35">
      <c r="A60" t="s">
        <v>11</v>
      </c>
      <c r="B60" t="s">
        <v>12</v>
      </c>
      <c r="C60">
        <v>25900</v>
      </c>
      <c r="D60">
        <v>35479</v>
      </c>
      <c r="E60" s="12">
        <v>45460</v>
      </c>
      <c r="F60" s="12">
        <v>45610</v>
      </c>
      <c r="G60" s="10">
        <v>129750</v>
      </c>
      <c r="H60">
        <v>139</v>
      </c>
      <c r="I60" t="s">
        <v>1680</v>
      </c>
      <c r="J60" t="s">
        <v>14</v>
      </c>
      <c r="K60" t="s">
        <v>15</v>
      </c>
    </row>
    <row r="61" spans="1:11" hidden="1" x14ac:dyDescent="0.35">
      <c r="A61" t="s">
        <v>538</v>
      </c>
      <c r="B61" t="s">
        <v>539</v>
      </c>
      <c r="C61">
        <v>25939</v>
      </c>
      <c r="D61">
        <v>35520</v>
      </c>
      <c r="E61" s="12">
        <v>45463</v>
      </c>
      <c r="F61" s="12">
        <v>45625</v>
      </c>
      <c r="G61" s="10">
        <v>125588</v>
      </c>
      <c r="H61">
        <v>124</v>
      </c>
      <c r="I61" t="s">
        <v>540</v>
      </c>
      <c r="J61" t="s">
        <v>77</v>
      </c>
      <c r="K61" t="s">
        <v>15</v>
      </c>
    </row>
    <row r="62" spans="1:11" hidden="1" x14ac:dyDescent="0.35">
      <c r="A62" t="s">
        <v>538</v>
      </c>
      <c r="B62" t="s">
        <v>539</v>
      </c>
      <c r="C62">
        <v>25940</v>
      </c>
      <c r="D62">
        <v>35521</v>
      </c>
      <c r="E62" s="12">
        <v>45463</v>
      </c>
      <c r="F62" s="12">
        <v>45625</v>
      </c>
      <c r="G62" s="10">
        <v>75042</v>
      </c>
      <c r="H62">
        <v>124</v>
      </c>
      <c r="I62" t="s">
        <v>1004</v>
      </c>
      <c r="J62" t="s">
        <v>77</v>
      </c>
      <c r="K62" t="s">
        <v>15</v>
      </c>
    </row>
    <row r="63" spans="1:11" hidden="1" x14ac:dyDescent="0.35">
      <c r="A63" t="s">
        <v>642</v>
      </c>
      <c r="B63" t="s">
        <v>643</v>
      </c>
      <c r="C63">
        <v>27458</v>
      </c>
      <c r="D63">
        <v>37223</v>
      </c>
      <c r="E63" s="12">
        <v>45587</v>
      </c>
      <c r="F63" s="12">
        <v>45649</v>
      </c>
      <c r="G63" s="10">
        <v>13087.48</v>
      </c>
      <c r="H63">
        <v>100</v>
      </c>
      <c r="I63" t="s">
        <v>1103</v>
      </c>
      <c r="J63" t="s">
        <v>194</v>
      </c>
      <c r="K63" t="s">
        <v>15</v>
      </c>
    </row>
    <row r="64" spans="1:11" hidden="1" x14ac:dyDescent="0.35">
      <c r="A64" t="s">
        <v>11</v>
      </c>
      <c r="B64" t="s">
        <v>12</v>
      </c>
      <c r="C64">
        <v>26459</v>
      </c>
      <c r="D64">
        <v>36086</v>
      </c>
      <c r="E64" s="12">
        <v>45517</v>
      </c>
      <c r="F64" s="12">
        <v>45667</v>
      </c>
      <c r="G64" s="10">
        <v>238000</v>
      </c>
      <c r="H64">
        <v>82</v>
      </c>
      <c r="I64" t="s">
        <v>1204</v>
      </c>
      <c r="J64" t="s">
        <v>14</v>
      </c>
      <c r="K64" t="s">
        <v>15</v>
      </c>
    </row>
    <row r="65" spans="1:11" hidden="1" x14ac:dyDescent="0.35">
      <c r="A65" t="s">
        <v>11</v>
      </c>
      <c r="B65" t="s">
        <v>12</v>
      </c>
      <c r="C65">
        <v>26460</v>
      </c>
      <c r="D65">
        <v>36087</v>
      </c>
      <c r="E65" s="12">
        <v>45517</v>
      </c>
      <c r="F65" s="12">
        <v>45667</v>
      </c>
      <c r="G65" s="10">
        <v>63840</v>
      </c>
      <c r="H65">
        <v>82</v>
      </c>
      <c r="I65" t="s">
        <v>912</v>
      </c>
      <c r="J65" t="s">
        <v>14</v>
      </c>
      <c r="K65" t="s">
        <v>15</v>
      </c>
    </row>
    <row r="66" spans="1:11" hidden="1" x14ac:dyDescent="0.35">
      <c r="A66" t="s">
        <v>11</v>
      </c>
      <c r="B66" t="s">
        <v>12</v>
      </c>
      <c r="C66">
        <v>26477</v>
      </c>
      <c r="D66">
        <v>36107</v>
      </c>
      <c r="E66" s="12">
        <v>45519</v>
      </c>
      <c r="F66" s="12">
        <v>45670</v>
      </c>
      <c r="G66" s="10">
        <v>23950</v>
      </c>
      <c r="H66">
        <v>79</v>
      </c>
      <c r="I66" t="s">
        <v>1205</v>
      </c>
      <c r="J66" t="s">
        <v>14</v>
      </c>
      <c r="K66" t="s">
        <v>15</v>
      </c>
    </row>
    <row r="67" spans="1:11" hidden="1" x14ac:dyDescent="0.35">
      <c r="A67" t="s">
        <v>11</v>
      </c>
      <c r="B67" t="s">
        <v>12</v>
      </c>
      <c r="C67">
        <v>26514</v>
      </c>
      <c r="D67">
        <v>36151</v>
      </c>
      <c r="E67" s="12">
        <v>45523</v>
      </c>
      <c r="F67" s="12">
        <v>45673</v>
      </c>
      <c r="G67" s="10">
        <v>53500</v>
      </c>
      <c r="H67">
        <v>76</v>
      </c>
      <c r="I67" t="s">
        <v>367</v>
      </c>
      <c r="J67" t="s">
        <v>14</v>
      </c>
      <c r="K67" t="s">
        <v>15</v>
      </c>
    </row>
    <row r="68" spans="1:11" hidden="1" x14ac:dyDescent="0.35">
      <c r="A68" t="s">
        <v>642</v>
      </c>
      <c r="B68" t="s">
        <v>643</v>
      </c>
      <c r="C68">
        <v>27458</v>
      </c>
      <c r="D68">
        <v>37223</v>
      </c>
      <c r="E68" s="12">
        <v>45587</v>
      </c>
      <c r="F68" s="12">
        <v>45677</v>
      </c>
      <c r="G68" s="10">
        <v>19293.75</v>
      </c>
      <c r="H68">
        <v>72</v>
      </c>
      <c r="I68" t="s">
        <v>1103</v>
      </c>
      <c r="J68" t="s">
        <v>194</v>
      </c>
      <c r="K68" t="s">
        <v>15</v>
      </c>
    </row>
    <row r="69" spans="1:11" hidden="1" x14ac:dyDescent="0.35">
      <c r="A69" t="s">
        <v>11</v>
      </c>
      <c r="B69" t="s">
        <v>12</v>
      </c>
      <c r="C69">
        <v>26780</v>
      </c>
      <c r="D69">
        <v>36440</v>
      </c>
      <c r="E69" s="12">
        <v>45545</v>
      </c>
      <c r="F69" s="12">
        <v>45695</v>
      </c>
      <c r="G69" s="10">
        <v>30000</v>
      </c>
      <c r="H69">
        <v>54</v>
      </c>
      <c r="I69" t="s">
        <v>802</v>
      </c>
      <c r="J69" t="s">
        <v>14</v>
      </c>
      <c r="K69" t="s">
        <v>15</v>
      </c>
    </row>
    <row r="70" spans="1:11" hidden="1" x14ac:dyDescent="0.35">
      <c r="A70" t="s">
        <v>11</v>
      </c>
      <c r="B70" t="s">
        <v>12</v>
      </c>
      <c r="C70">
        <v>26779</v>
      </c>
      <c r="D70">
        <v>36439</v>
      </c>
      <c r="E70" s="12">
        <v>45545</v>
      </c>
      <c r="F70" s="12">
        <v>45695</v>
      </c>
      <c r="G70" s="10">
        <v>250200</v>
      </c>
      <c r="H70">
        <v>54</v>
      </c>
      <c r="I70" t="s">
        <v>1100</v>
      </c>
      <c r="J70" t="s">
        <v>14</v>
      </c>
      <c r="K70" t="s">
        <v>15</v>
      </c>
    </row>
    <row r="71" spans="1:11" hidden="1" x14ac:dyDescent="0.35">
      <c r="A71" t="s">
        <v>116</v>
      </c>
      <c r="B71" t="s">
        <v>117</v>
      </c>
      <c r="C71">
        <v>27649</v>
      </c>
      <c r="D71">
        <v>37427</v>
      </c>
      <c r="E71" s="12">
        <v>45596</v>
      </c>
      <c r="F71" s="12">
        <v>45716</v>
      </c>
      <c r="G71" s="10">
        <v>182520</v>
      </c>
      <c r="H71">
        <v>33</v>
      </c>
      <c r="I71" t="s">
        <v>787</v>
      </c>
      <c r="J71" t="s">
        <v>22</v>
      </c>
      <c r="K71" t="s">
        <v>15</v>
      </c>
    </row>
    <row r="72" spans="1:11" hidden="1" x14ac:dyDescent="0.35">
      <c r="A72" t="s">
        <v>485</v>
      </c>
      <c r="B72" t="s">
        <v>486</v>
      </c>
      <c r="C72">
        <v>28795</v>
      </c>
      <c r="D72">
        <v>38881</v>
      </c>
      <c r="E72" s="12">
        <v>45693</v>
      </c>
      <c r="F72" s="12">
        <v>45723</v>
      </c>
      <c r="G72" s="10">
        <v>52990</v>
      </c>
      <c r="H72">
        <v>26</v>
      </c>
      <c r="I72" t="s">
        <v>487</v>
      </c>
      <c r="J72" t="s">
        <v>111</v>
      </c>
    </row>
    <row r="73" spans="1:11" hidden="1" x14ac:dyDescent="0.35">
      <c r="A73" t="s">
        <v>68</v>
      </c>
      <c r="B73" t="s">
        <v>69</v>
      </c>
      <c r="C73">
        <v>28070</v>
      </c>
      <c r="D73">
        <v>37992</v>
      </c>
      <c r="E73" s="12">
        <v>45638</v>
      </c>
      <c r="F73" s="12">
        <v>45728</v>
      </c>
      <c r="G73" s="10">
        <v>39199.96</v>
      </c>
      <c r="H73">
        <v>21</v>
      </c>
      <c r="I73" t="s">
        <v>531</v>
      </c>
      <c r="J73" t="s">
        <v>14</v>
      </c>
      <c r="K73" t="s">
        <v>15</v>
      </c>
    </row>
    <row r="74" spans="1:11" hidden="1" x14ac:dyDescent="0.35">
      <c r="A74" t="s">
        <v>68</v>
      </c>
      <c r="B74" t="s">
        <v>69</v>
      </c>
      <c r="C74">
        <v>28072</v>
      </c>
      <c r="D74">
        <v>37994</v>
      </c>
      <c r="E74" s="12">
        <v>45638</v>
      </c>
      <c r="F74" s="12">
        <v>45728</v>
      </c>
      <c r="G74" s="10">
        <v>10999.99</v>
      </c>
      <c r="H74">
        <v>21</v>
      </c>
      <c r="I74" t="s">
        <v>291</v>
      </c>
      <c r="J74" t="s">
        <v>14</v>
      </c>
      <c r="K74" t="s">
        <v>15</v>
      </c>
    </row>
    <row r="75" spans="1:11" hidden="1" x14ac:dyDescent="0.35">
      <c r="A75" t="s">
        <v>68</v>
      </c>
      <c r="B75" t="s">
        <v>69</v>
      </c>
      <c r="C75">
        <v>28075</v>
      </c>
      <c r="D75">
        <v>37997</v>
      </c>
      <c r="E75" s="12">
        <v>45638</v>
      </c>
      <c r="F75" s="12">
        <v>45728</v>
      </c>
      <c r="G75" s="10">
        <v>12909.99</v>
      </c>
      <c r="H75">
        <v>21</v>
      </c>
      <c r="I75" t="s">
        <v>381</v>
      </c>
      <c r="J75" t="s">
        <v>14</v>
      </c>
      <c r="K75" t="s">
        <v>15</v>
      </c>
    </row>
    <row r="76" spans="1:11" hidden="1" x14ac:dyDescent="0.35">
      <c r="A76" t="s">
        <v>68</v>
      </c>
      <c r="B76" t="s">
        <v>69</v>
      </c>
      <c r="C76">
        <v>27383</v>
      </c>
      <c r="D76">
        <v>37109</v>
      </c>
      <c r="E76" s="12">
        <v>45579</v>
      </c>
      <c r="F76" s="12">
        <v>45729</v>
      </c>
      <c r="G76" s="10">
        <v>8812.5</v>
      </c>
      <c r="H76">
        <v>20</v>
      </c>
      <c r="I76" t="s">
        <v>1091</v>
      </c>
      <c r="J76" t="s">
        <v>14</v>
      </c>
      <c r="K76" t="s">
        <v>15</v>
      </c>
    </row>
    <row r="77" spans="1:11" hidden="1" x14ac:dyDescent="0.35">
      <c r="A77" t="s">
        <v>68</v>
      </c>
      <c r="B77" t="s">
        <v>69</v>
      </c>
      <c r="C77">
        <v>27384</v>
      </c>
      <c r="D77">
        <v>37110</v>
      </c>
      <c r="E77" s="12">
        <v>45579</v>
      </c>
      <c r="F77" s="12">
        <v>45729</v>
      </c>
      <c r="G77" s="10">
        <v>35515.339999999997</v>
      </c>
      <c r="H77">
        <v>20</v>
      </c>
      <c r="I77" t="s">
        <v>315</v>
      </c>
      <c r="J77" t="s">
        <v>14</v>
      </c>
      <c r="K77" t="s">
        <v>15</v>
      </c>
    </row>
    <row r="78" spans="1:11" hidden="1" x14ac:dyDescent="0.35">
      <c r="A78" t="s">
        <v>68</v>
      </c>
      <c r="B78" t="s">
        <v>69</v>
      </c>
      <c r="C78">
        <v>28389</v>
      </c>
      <c r="D78">
        <v>38386</v>
      </c>
      <c r="E78" s="12">
        <v>45670</v>
      </c>
      <c r="F78" s="12">
        <v>45730</v>
      </c>
      <c r="G78" s="10">
        <v>41124.959999999999</v>
      </c>
      <c r="H78">
        <v>19</v>
      </c>
      <c r="I78" t="s">
        <v>636</v>
      </c>
      <c r="J78" t="s">
        <v>14</v>
      </c>
      <c r="K78" t="s">
        <v>15</v>
      </c>
    </row>
    <row r="79" spans="1:11" hidden="1" x14ac:dyDescent="0.35">
      <c r="A79" t="s">
        <v>68</v>
      </c>
      <c r="B79" t="s">
        <v>69</v>
      </c>
      <c r="C79">
        <v>28452</v>
      </c>
      <c r="D79">
        <v>38449</v>
      </c>
      <c r="E79" s="12">
        <v>45672</v>
      </c>
      <c r="F79" s="12">
        <v>45733</v>
      </c>
      <c r="G79" s="10">
        <v>5731.99</v>
      </c>
      <c r="H79">
        <v>16</v>
      </c>
      <c r="I79" t="s">
        <v>810</v>
      </c>
      <c r="J79" t="s">
        <v>14</v>
      </c>
      <c r="K79" t="s">
        <v>15</v>
      </c>
    </row>
    <row r="80" spans="1:11" hidden="1" x14ac:dyDescent="0.35">
      <c r="A80" t="s">
        <v>68</v>
      </c>
      <c r="B80" t="s">
        <v>69</v>
      </c>
      <c r="C80">
        <v>28425</v>
      </c>
      <c r="D80">
        <v>38419</v>
      </c>
      <c r="E80" s="12">
        <v>45671</v>
      </c>
      <c r="F80" s="12">
        <v>45733</v>
      </c>
      <c r="G80" s="10">
        <v>20054.98</v>
      </c>
      <c r="H80">
        <v>16</v>
      </c>
      <c r="I80" t="s">
        <v>950</v>
      </c>
      <c r="J80" t="s">
        <v>14</v>
      </c>
      <c r="K80" t="s">
        <v>15</v>
      </c>
    </row>
    <row r="81" spans="1:11" hidden="1" x14ac:dyDescent="0.35">
      <c r="A81" t="s">
        <v>68</v>
      </c>
      <c r="B81" t="s">
        <v>69</v>
      </c>
      <c r="C81">
        <v>28198</v>
      </c>
      <c r="D81">
        <v>38139</v>
      </c>
      <c r="E81" s="12">
        <v>45646</v>
      </c>
      <c r="F81" s="12">
        <v>45736</v>
      </c>
      <c r="G81" s="10">
        <v>26234.97</v>
      </c>
      <c r="H81">
        <v>13</v>
      </c>
      <c r="I81" t="s">
        <v>613</v>
      </c>
      <c r="J81" t="s">
        <v>14</v>
      </c>
      <c r="K81" t="s">
        <v>15</v>
      </c>
    </row>
    <row r="82" spans="1:11" hidden="1" x14ac:dyDescent="0.35">
      <c r="A82" t="s">
        <v>921</v>
      </c>
      <c r="B82" t="s">
        <v>922</v>
      </c>
      <c r="C82">
        <v>26140</v>
      </c>
      <c r="D82">
        <v>35748</v>
      </c>
      <c r="E82" s="12">
        <v>45488</v>
      </c>
      <c r="F82" s="12">
        <v>45736</v>
      </c>
      <c r="G82" s="10">
        <v>36573.599999999999</v>
      </c>
      <c r="H82">
        <v>13</v>
      </c>
      <c r="I82" t="s">
        <v>1236</v>
      </c>
      <c r="J82" t="s">
        <v>41</v>
      </c>
      <c r="K82" t="s">
        <v>15</v>
      </c>
    </row>
    <row r="83" spans="1:11" hidden="1" x14ac:dyDescent="0.35">
      <c r="A83" t="s">
        <v>68</v>
      </c>
      <c r="B83" t="s">
        <v>69</v>
      </c>
      <c r="C83">
        <v>28197</v>
      </c>
      <c r="D83">
        <v>38138</v>
      </c>
      <c r="E83" s="12">
        <v>45646</v>
      </c>
      <c r="F83" s="12">
        <v>45736</v>
      </c>
      <c r="G83" s="10">
        <v>3863.93</v>
      </c>
      <c r="H83">
        <v>13</v>
      </c>
      <c r="I83" t="s">
        <v>1017</v>
      </c>
      <c r="J83" t="s">
        <v>14</v>
      </c>
      <c r="K83" t="s">
        <v>15</v>
      </c>
    </row>
    <row r="84" spans="1:11" hidden="1" x14ac:dyDescent="0.35">
      <c r="A84" t="s">
        <v>68</v>
      </c>
      <c r="B84" t="s">
        <v>69</v>
      </c>
      <c r="C84">
        <v>27488</v>
      </c>
      <c r="D84">
        <v>37254</v>
      </c>
      <c r="E84" s="12">
        <v>45588</v>
      </c>
      <c r="F84" s="12">
        <v>45740</v>
      </c>
      <c r="G84" s="10">
        <v>1620.34</v>
      </c>
      <c r="H84">
        <v>9</v>
      </c>
      <c r="I84" t="s">
        <v>70</v>
      </c>
      <c r="J84" t="s">
        <v>14</v>
      </c>
      <c r="K84" t="s">
        <v>15</v>
      </c>
    </row>
    <row r="85" spans="1:11" hidden="1" x14ac:dyDescent="0.35">
      <c r="A85" t="s">
        <v>68</v>
      </c>
      <c r="B85" t="s">
        <v>69</v>
      </c>
      <c r="C85">
        <v>27492</v>
      </c>
      <c r="D85">
        <v>37257</v>
      </c>
      <c r="E85" s="12">
        <v>45588</v>
      </c>
      <c r="F85" s="12">
        <v>45740</v>
      </c>
      <c r="G85" s="10">
        <v>952.5</v>
      </c>
      <c r="H85">
        <v>9</v>
      </c>
      <c r="I85" t="s">
        <v>720</v>
      </c>
      <c r="J85" t="s">
        <v>14</v>
      </c>
      <c r="K85" t="s">
        <v>15</v>
      </c>
    </row>
    <row r="86" spans="1:11" hidden="1" x14ac:dyDescent="0.35">
      <c r="A86" t="s">
        <v>27</v>
      </c>
      <c r="B86" t="s">
        <v>28</v>
      </c>
      <c r="C86">
        <v>27007</v>
      </c>
      <c r="D86">
        <v>36700</v>
      </c>
      <c r="E86" s="12">
        <v>45558</v>
      </c>
      <c r="F86" s="12">
        <v>45746</v>
      </c>
      <c r="G86" s="10">
        <v>69300</v>
      </c>
      <c r="H86">
        <v>3</v>
      </c>
      <c r="I86" t="s">
        <v>1225</v>
      </c>
      <c r="J86" t="s">
        <v>30</v>
      </c>
      <c r="K86" t="s">
        <v>15</v>
      </c>
    </row>
    <row r="87" spans="1:11" hidden="1" x14ac:dyDescent="0.35">
      <c r="A87" t="s">
        <v>394</v>
      </c>
      <c r="B87" t="s">
        <v>395</v>
      </c>
      <c r="C87">
        <v>27003</v>
      </c>
      <c r="D87">
        <v>36696</v>
      </c>
      <c r="E87" s="12">
        <v>45558</v>
      </c>
      <c r="F87" s="12">
        <v>45746</v>
      </c>
      <c r="G87" s="10">
        <v>39600</v>
      </c>
      <c r="H87">
        <v>3</v>
      </c>
      <c r="I87" t="s">
        <v>1115</v>
      </c>
      <c r="J87" t="s">
        <v>30</v>
      </c>
      <c r="K87" t="s">
        <v>15</v>
      </c>
    </row>
    <row r="88" spans="1:11" hidden="1" x14ac:dyDescent="0.35">
      <c r="A88" t="s">
        <v>188</v>
      </c>
      <c r="B88" t="s">
        <v>189</v>
      </c>
      <c r="C88">
        <v>27246</v>
      </c>
      <c r="D88">
        <v>36950</v>
      </c>
      <c r="E88" s="12">
        <v>45567</v>
      </c>
      <c r="F88" s="12">
        <v>45746</v>
      </c>
      <c r="G88" s="10">
        <v>59400</v>
      </c>
      <c r="H88">
        <v>3</v>
      </c>
      <c r="I88" t="s">
        <v>1404</v>
      </c>
      <c r="J88" t="s">
        <v>30</v>
      </c>
      <c r="K88" t="s">
        <v>15</v>
      </c>
    </row>
    <row r="89" spans="1:11" hidden="1" x14ac:dyDescent="0.35">
      <c r="A89" t="s">
        <v>188</v>
      </c>
      <c r="B89" t="s">
        <v>189</v>
      </c>
      <c r="C89">
        <v>27248</v>
      </c>
      <c r="D89">
        <v>36952</v>
      </c>
      <c r="E89" s="12">
        <v>45567</v>
      </c>
      <c r="F89" s="12">
        <v>45746</v>
      </c>
      <c r="G89" s="10">
        <v>29700</v>
      </c>
      <c r="H89">
        <v>3</v>
      </c>
      <c r="I89" t="s">
        <v>1405</v>
      </c>
      <c r="J89" t="s">
        <v>30</v>
      </c>
      <c r="K89" t="s">
        <v>15</v>
      </c>
    </row>
    <row r="90" spans="1:11" hidden="1" x14ac:dyDescent="0.35">
      <c r="A90" t="s">
        <v>188</v>
      </c>
      <c r="B90" t="s">
        <v>189</v>
      </c>
      <c r="C90">
        <v>27247</v>
      </c>
      <c r="D90">
        <v>36951</v>
      </c>
      <c r="E90" s="12">
        <v>45567</v>
      </c>
      <c r="F90" s="12">
        <v>45746</v>
      </c>
      <c r="G90" s="10">
        <v>89100</v>
      </c>
      <c r="H90">
        <v>3</v>
      </c>
      <c r="I90" t="s">
        <v>1631</v>
      </c>
      <c r="J90" t="s">
        <v>30</v>
      </c>
      <c r="K90" t="s">
        <v>15</v>
      </c>
    </row>
    <row r="91" spans="1:11" hidden="1" x14ac:dyDescent="0.35">
      <c r="A91" t="s">
        <v>603</v>
      </c>
      <c r="B91" t="s">
        <v>604</v>
      </c>
      <c r="C91">
        <v>26675</v>
      </c>
      <c r="D91">
        <v>36329</v>
      </c>
      <c r="E91" s="12">
        <v>45538</v>
      </c>
      <c r="F91" s="12">
        <v>45747</v>
      </c>
      <c r="G91" s="10">
        <v>49070</v>
      </c>
      <c r="H91">
        <v>2</v>
      </c>
      <c r="I91" t="s">
        <v>605</v>
      </c>
      <c r="J91" t="s">
        <v>107</v>
      </c>
      <c r="K91" t="s">
        <v>15</v>
      </c>
    </row>
    <row r="92" spans="1:11" hidden="1" x14ac:dyDescent="0.35">
      <c r="A92" t="s">
        <v>1053</v>
      </c>
      <c r="B92" t="s">
        <v>1054</v>
      </c>
      <c r="C92">
        <v>27048</v>
      </c>
      <c r="D92">
        <v>36741</v>
      </c>
      <c r="E92" s="12">
        <v>45559</v>
      </c>
      <c r="F92" s="12">
        <v>45747</v>
      </c>
      <c r="G92" s="10">
        <v>126715</v>
      </c>
      <c r="H92">
        <v>2</v>
      </c>
      <c r="I92" t="s">
        <v>1055</v>
      </c>
      <c r="J92" t="s">
        <v>107</v>
      </c>
      <c r="K92" t="s">
        <v>15</v>
      </c>
    </row>
    <row r="93" spans="1:11" hidden="1" x14ac:dyDescent="0.35">
      <c r="A93" t="s">
        <v>68</v>
      </c>
      <c r="B93" t="s">
        <v>69</v>
      </c>
      <c r="C93">
        <v>27943</v>
      </c>
      <c r="D93">
        <v>37811</v>
      </c>
      <c r="E93" s="12">
        <v>45625</v>
      </c>
      <c r="F93" s="12">
        <v>45747</v>
      </c>
      <c r="G93" s="10">
        <v>7047.5</v>
      </c>
      <c r="H93">
        <v>2</v>
      </c>
      <c r="I93" t="s">
        <v>1408</v>
      </c>
      <c r="J93" t="s">
        <v>14</v>
      </c>
      <c r="K93" t="s">
        <v>15</v>
      </c>
    </row>
    <row r="94" spans="1:11" hidden="1" x14ac:dyDescent="0.35">
      <c r="A94" t="s">
        <v>742</v>
      </c>
      <c r="B94" t="s">
        <v>743</v>
      </c>
      <c r="C94">
        <v>27674</v>
      </c>
      <c r="D94">
        <v>37452</v>
      </c>
      <c r="E94" s="12">
        <v>45596</v>
      </c>
      <c r="F94" s="12">
        <v>45747</v>
      </c>
      <c r="G94" s="10">
        <v>7021.67</v>
      </c>
      <c r="H94">
        <v>2</v>
      </c>
      <c r="I94" t="s">
        <v>749</v>
      </c>
      <c r="J94" t="s">
        <v>44</v>
      </c>
      <c r="K94" t="s">
        <v>15</v>
      </c>
    </row>
    <row r="95" spans="1:11" hidden="1" x14ac:dyDescent="0.35">
      <c r="A95" t="s">
        <v>603</v>
      </c>
      <c r="B95" t="s">
        <v>604</v>
      </c>
      <c r="C95">
        <v>27615</v>
      </c>
      <c r="D95">
        <v>37387</v>
      </c>
      <c r="E95" s="12">
        <v>45595</v>
      </c>
      <c r="F95" s="12">
        <v>45747</v>
      </c>
      <c r="G95" s="10">
        <v>15120</v>
      </c>
      <c r="H95">
        <v>2</v>
      </c>
      <c r="I95" t="s">
        <v>1602</v>
      </c>
      <c r="J95" t="s">
        <v>107</v>
      </c>
      <c r="K95" t="s">
        <v>15</v>
      </c>
    </row>
    <row r="96" spans="1:11" hidden="1" x14ac:dyDescent="0.35">
      <c r="A96" t="s">
        <v>68</v>
      </c>
      <c r="B96" t="s">
        <v>69</v>
      </c>
      <c r="C96">
        <v>27260</v>
      </c>
      <c r="D96">
        <v>36967</v>
      </c>
      <c r="E96" s="12">
        <v>45568</v>
      </c>
      <c r="F96" s="12">
        <v>45748</v>
      </c>
      <c r="G96" s="10">
        <v>493.9</v>
      </c>
      <c r="H96">
        <v>1</v>
      </c>
      <c r="I96" t="s">
        <v>916</v>
      </c>
      <c r="J96" t="s">
        <v>14</v>
      </c>
      <c r="K96" t="s">
        <v>15</v>
      </c>
    </row>
    <row r="97" spans="1:11" hidden="1" x14ac:dyDescent="0.35">
      <c r="A97" t="s">
        <v>174</v>
      </c>
      <c r="B97" t="s">
        <v>175</v>
      </c>
      <c r="C97">
        <v>26340</v>
      </c>
      <c r="D97">
        <v>35961</v>
      </c>
      <c r="E97" s="12">
        <v>45510</v>
      </c>
      <c r="F97" s="12">
        <v>45750</v>
      </c>
      <c r="G97" s="10">
        <v>120600</v>
      </c>
      <c r="H97">
        <v>0</v>
      </c>
      <c r="I97" t="s">
        <v>176</v>
      </c>
      <c r="J97" t="s">
        <v>58</v>
      </c>
      <c r="K97" t="s">
        <v>15</v>
      </c>
    </row>
    <row r="98" spans="1:11" hidden="1" x14ac:dyDescent="0.35">
      <c r="A98" t="s">
        <v>174</v>
      </c>
      <c r="B98" t="s">
        <v>175</v>
      </c>
      <c r="C98">
        <v>26345</v>
      </c>
      <c r="D98">
        <v>35966</v>
      </c>
      <c r="E98" s="12">
        <v>45510</v>
      </c>
      <c r="F98" s="12">
        <v>45750</v>
      </c>
      <c r="G98" s="10">
        <v>117600</v>
      </c>
      <c r="H98">
        <v>0</v>
      </c>
      <c r="I98" t="s">
        <v>854</v>
      </c>
      <c r="J98" t="s">
        <v>58</v>
      </c>
      <c r="K98" t="s">
        <v>15</v>
      </c>
    </row>
    <row r="99" spans="1:11" hidden="1" x14ac:dyDescent="0.35">
      <c r="A99" t="s">
        <v>160</v>
      </c>
      <c r="B99" t="s">
        <v>161</v>
      </c>
      <c r="C99">
        <v>27326</v>
      </c>
      <c r="D99">
        <v>37043</v>
      </c>
      <c r="E99" s="12">
        <v>45574</v>
      </c>
      <c r="F99" s="12">
        <v>45750</v>
      </c>
      <c r="G99" s="10">
        <v>152845.25</v>
      </c>
      <c r="H99">
        <v>0</v>
      </c>
      <c r="I99" t="s">
        <v>548</v>
      </c>
      <c r="J99" t="s">
        <v>18</v>
      </c>
      <c r="K99" t="s">
        <v>15</v>
      </c>
    </row>
    <row r="100" spans="1:11" hidden="1" x14ac:dyDescent="0.35">
      <c r="A100" t="s">
        <v>203</v>
      </c>
      <c r="B100" t="s">
        <v>56</v>
      </c>
      <c r="C100">
        <v>28011</v>
      </c>
      <c r="D100">
        <v>37913</v>
      </c>
      <c r="E100" s="12">
        <v>45631</v>
      </c>
      <c r="F100" s="12">
        <v>45751</v>
      </c>
      <c r="G100" s="10">
        <v>128920</v>
      </c>
      <c r="H100">
        <v>0</v>
      </c>
      <c r="I100" t="s">
        <v>204</v>
      </c>
      <c r="J100" t="s">
        <v>58</v>
      </c>
      <c r="K100" t="s">
        <v>15</v>
      </c>
    </row>
    <row r="101" spans="1:11" hidden="1" x14ac:dyDescent="0.35">
      <c r="A101" t="s">
        <v>667</v>
      </c>
      <c r="B101" t="s">
        <v>668</v>
      </c>
      <c r="C101">
        <v>28749</v>
      </c>
      <c r="D101">
        <v>38824</v>
      </c>
      <c r="E101" s="12">
        <v>45691</v>
      </c>
      <c r="F101" s="12">
        <v>45751</v>
      </c>
      <c r="G101" s="10">
        <v>140220</v>
      </c>
      <c r="H101">
        <v>0</v>
      </c>
      <c r="I101" t="s">
        <v>1048</v>
      </c>
      <c r="J101" t="s">
        <v>26</v>
      </c>
      <c r="K101" t="s">
        <v>15</v>
      </c>
    </row>
    <row r="102" spans="1:11" hidden="1" x14ac:dyDescent="0.35">
      <c r="A102" t="s">
        <v>1023</v>
      </c>
      <c r="B102" t="s">
        <v>1024</v>
      </c>
      <c r="C102">
        <v>28750</v>
      </c>
      <c r="D102">
        <v>38825</v>
      </c>
      <c r="E102" s="12">
        <v>45691</v>
      </c>
      <c r="F102" s="12">
        <v>45751</v>
      </c>
      <c r="G102" s="10">
        <v>58644.87</v>
      </c>
      <c r="H102">
        <v>0</v>
      </c>
      <c r="I102" t="s">
        <v>1049</v>
      </c>
      <c r="J102" t="s">
        <v>95</v>
      </c>
      <c r="K102" t="s">
        <v>15</v>
      </c>
    </row>
    <row r="103" spans="1:11" hidden="1" x14ac:dyDescent="0.35">
      <c r="A103" t="s">
        <v>144</v>
      </c>
      <c r="B103" t="s">
        <v>145</v>
      </c>
      <c r="C103">
        <v>28024</v>
      </c>
      <c r="D103">
        <v>37925</v>
      </c>
      <c r="E103" s="12">
        <v>45631</v>
      </c>
      <c r="F103" s="12">
        <v>45751</v>
      </c>
      <c r="G103" s="10">
        <v>4033.33</v>
      </c>
      <c r="H103">
        <v>0</v>
      </c>
      <c r="I103" t="s">
        <v>861</v>
      </c>
      <c r="J103" t="s">
        <v>48</v>
      </c>
      <c r="K103" t="s">
        <v>15</v>
      </c>
    </row>
    <row r="104" spans="1:11" hidden="1" x14ac:dyDescent="0.35">
      <c r="A104" t="s">
        <v>622</v>
      </c>
      <c r="B104" t="s">
        <v>623</v>
      </c>
      <c r="C104">
        <v>29092</v>
      </c>
      <c r="D104">
        <v>39252</v>
      </c>
      <c r="E104" s="12">
        <v>45721</v>
      </c>
      <c r="F104" s="12">
        <v>45751</v>
      </c>
      <c r="G104" s="10">
        <v>77600</v>
      </c>
      <c r="H104">
        <v>0</v>
      </c>
      <c r="I104" t="s">
        <v>911</v>
      </c>
      <c r="J104" t="s">
        <v>122</v>
      </c>
      <c r="K104" t="s">
        <v>15</v>
      </c>
    </row>
    <row r="105" spans="1:11" hidden="1" x14ac:dyDescent="0.35">
      <c r="A105" t="s">
        <v>1273</v>
      </c>
      <c r="B105" t="s">
        <v>1274</v>
      </c>
      <c r="C105">
        <v>29094</v>
      </c>
      <c r="D105">
        <v>39254</v>
      </c>
      <c r="E105" s="12">
        <v>45721</v>
      </c>
      <c r="F105" s="12">
        <v>45751</v>
      </c>
      <c r="G105" s="10">
        <v>16661.38</v>
      </c>
      <c r="H105">
        <v>0</v>
      </c>
      <c r="I105" t="s">
        <v>1275</v>
      </c>
      <c r="J105" t="s">
        <v>152</v>
      </c>
      <c r="K105" t="s">
        <v>15</v>
      </c>
    </row>
    <row r="106" spans="1:11" hidden="1" x14ac:dyDescent="0.35">
      <c r="A106" t="s">
        <v>1523</v>
      </c>
      <c r="B106" t="s">
        <v>1524</v>
      </c>
      <c r="C106">
        <v>29098</v>
      </c>
      <c r="D106">
        <v>39257</v>
      </c>
      <c r="E106" s="12">
        <v>45721</v>
      </c>
      <c r="F106" s="12">
        <v>45751</v>
      </c>
      <c r="G106" s="10">
        <v>7008.79</v>
      </c>
      <c r="H106">
        <v>0</v>
      </c>
      <c r="I106" t="s">
        <v>1525</v>
      </c>
      <c r="J106" t="s">
        <v>312</v>
      </c>
      <c r="K106" t="s">
        <v>15</v>
      </c>
    </row>
    <row r="107" spans="1:11" hidden="1" x14ac:dyDescent="0.35">
      <c r="A107" t="s">
        <v>1433</v>
      </c>
      <c r="B107" t="s">
        <v>1434</v>
      </c>
      <c r="D107">
        <v>273844</v>
      </c>
      <c r="E107" s="12">
        <v>45741</v>
      </c>
      <c r="F107" s="12">
        <v>45752</v>
      </c>
      <c r="G107" s="10">
        <v>124.48</v>
      </c>
      <c r="H107">
        <v>0</v>
      </c>
      <c r="I107" t="s">
        <v>1543</v>
      </c>
      <c r="J107" t="s">
        <v>1380</v>
      </c>
    </row>
    <row r="108" spans="1:11" hidden="1" x14ac:dyDescent="0.35">
      <c r="A108" t="s">
        <v>1023</v>
      </c>
      <c r="B108" t="s">
        <v>1024</v>
      </c>
      <c r="C108">
        <v>28766</v>
      </c>
      <c r="D108">
        <v>38845</v>
      </c>
      <c r="E108" s="12">
        <v>45692</v>
      </c>
      <c r="F108" s="12">
        <v>45752</v>
      </c>
      <c r="G108" s="10">
        <v>105136.5</v>
      </c>
      <c r="H108">
        <v>0</v>
      </c>
      <c r="I108" t="s">
        <v>1579</v>
      </c>
      <c r="J108" t="s">
        <v>95</v>
      </c>
      <c r="K108" t="s">
        <v>15</v>
      </c>
    </row>
    <row r="109" spans="1:11" hidden="1" x14ac:dyDescent="0.35">
      <c r="A109" t="s">
        <v>31</v>
      </c>
      <c r="B109" t="s">
        <v>32</v>
      </c>
      <c r="C109">
        <v>27702</v>
      </c>
      <c r="D109">
        <v>37497</v>
      </c>
      <c r="E109" s="12">
        <v>45602</v>
      </c>
      <c r="F109" s="12">
        <v>45754</v>
      </c>
      <c r="G109" s="10">
        <v>18864.43</v>
      </c>
      <c r="H109">
        <v>0</v>
      </c>
      <c r="I109" t="s">
        <v>627</v>
      </c>
      <c r="J109" t="s">
        <v>34</v>
      </c>
      <c r="K109" t="s">
        <v>15</v>
      </c>
    </row>
    <row r="110" spans="1:11" hidden="1" x14ac:dyDescent="0.35">
      <c r="A110" t="s">
        <v>88</v>
      </c>
      <c r="B110" t="s">
        <v>89</v>
      </c>
      <c r="C110">
        <v>28307</v>
      </c>
      <c r="D110">
        <v>38283</v>
      </c>
      <c r="E110" s="12">
        <v>45663</v>
      </c>
      <c r="F110" s="12">
        <v>45754</v>
      </c>
      <c r="G110" s="10">
        <v>5375.58</v>
      </c>
      <c r="H110">
        <v>0</v>
      </c>
      <c r="I110" t="s">
        <v>90</v>
      </c>
      <c r="J110" t="s">
        <v>91</v>
      </c>
      <c r="K110" t="s">
        <v>15</v>
      </c>
    </row>
    <row r="111" spans="1:11" hidden="1" x14ac:dyDescent="0.35">
      <c r="A111" t="s">
        <v>31</v>
      </c>
      <c r="B111" t="s">
        <v>32</v>
      </c>
      <c r="C111">
        <v>28547</v>
      </c>
      <c r="D111">
        <v>38565</v>
      </c>
      <c r="E111" s="12">
        <v>45678</v>
      </c>
      <c r="F111" s="12">
        <v>45754</v>
      </c>
      <c r="G111" s="10">
        <v>13139.99</v>
      </c>
      <c r="H111">
        <v>0</v>
      </c>
      <c r="I111" t="s">
        <v>271</v>
      </c>
      <c r="J111" t="s">
        <v>34</v>
      </c>
      <c r="K111" t="s">
        <v>15</v>
      </c>
    </row>
    <row r="112" spans="1:11" hidden="1" x14ac:dyDescent="0.35">
      <c r="A112" t="s">
        <v>31</v>
      </c>
      <c r="B112" t="s">
        <v>32</v>
      </c>
      <c r="C112">
        <v>27851</v>
      </c>
      <c r="D112">
        <v>37687</v>
      </c>
      <c r="E112" s="12">
        <v>45618</v>
      </c>
      <c r="F112" s="12">
        <v>45754</v>
      </c>
      <c r="G112" s="10">
        <v>2584.44</v>
      </c>
      <c r="H112">
        <v>0</v>
      </c>
      <c r="I112" t="s">
        <v>1452</v>
      </c>
      <c r="J112" t="s">
        <v>34</v>
      </c>
      <c r="K112" t="s">
        <v>15</v>
      </c>
    </row>
    <row r="113" spans="1:11" hidden="1" x14ac:dyDescent="0.35">
      <c r="A113" t="s">
        <v>1072</v>
      </c>
      <c r="B113" t="s">
        <v>1073</v>
      </c>
      <c r="C113">
        <v>28811</v>
      </c>
      <c r="D113">
        <v>38895</v>
      </c>
      <c r="E113" s="12">
        <v>45694</v>
      </c>
      <c r="F113" s="12">
        <v>45754</v>
      </c>
      <c r="G113" s="10">
        <v>13149</v>
      </c>
      <c r="H113">
        <v>0</v>
      </c>
      <c r="I113" t="s">
        <v>1074</v>
      </c>
      <c r="J113" t="s">
        <v>48</v>
      </c>
      <c r="K113" t="s">
        <v>15</v>
      </c>
    </row>
    <row r="114" spans="1:11" hidden="1" x14ac:dyDescent="0.35">
      <c r="A114" t="s">
        <v>31</v>
      </c>
      <c r="B114" t="s">
        <v>32</v>
      </c>
      <c r="C114">
        <v>27850</v>
      </c>
      <c r="D114">
        <v>37686</v>
      </c>
      <c r="E114" s="12">
        <v>45618</v>
      </c>
      <c r="F114" s="12">
        <v>45754</v>
      </c>
      <c r="G114" s="10">
        <v>3413.33</v>
      </c>
      <c r="H114">
        <v>0</v>
      </c>
      <c r="I114" t="s">
        <v>873</v>
      </c>
      <c r="J114" t="s">
        <v>34</v>
      </c>
      <c r="K114" t="s">
        <v>15</v>
      </c>
    </row>
    <row r="115" spans="1:11" hidden="1" x14ac:dyDescent="0.35">
      <c r="A115" t="s">
        <v>31</v>
      </c>
      <c r="B115" t="s">
        <v>32</v>
      </c>
      <c r="C115">
        <v>28538</v>
      </c>
      <c r="D115">
        <v>38555</v>
      </c>
      <c r="E115" s="12">
        <v>45678</v>
      </c>
      <c r="F115" s="12">
        <v>45754</v>
      </c>
      <c r="G115" s="10">
        <v>1813.33</v>
      </c>
      <c r="H115">
        <v>0</v>
      </c>
      <c r="I115" t="s">
        <v>271</v>
      </c>
      <c r="J115" t="s">
        <v>34</v>
      </c>
      <c r="K115" t="s">
        <v>15</v>
      </c>
    </row>
    <row r="116" spans="1:11" hidden="1" x14ac:dyDescent="0.35">
      <c r="A116" t="s">
        <v>42</v>
      </c>
      <c r="B116" t="s">
        <v>43</v>
      </c>
      <c r="C116">
        <v>27337</v>
      </c>
      <c r="D116">
        <v>37056</v>
      </c>
      <c r="E116" s="12">
        <v>45574</v>
      </c>
      <c r="F116" s="12">
        <v>45754</v>
      </c>
      <c r="G116" s="10">
        <v>6363.87</v>
      </c>
      <c r="H116">
        <v>0</v>
      </c>
      <c r="I116" t="s">
        <v>1282</v>
      </c>
      <c r="J116" t="s">
        <v>44</v>
      </c>
      <c r="K116" t="s">
        <v>15</v>
      </c>
    </row>
    <row r="117" spans="1:11" hidden="1" x14ac:dyDescent="0.35">
      <c r="A117" t="s">
        <v>31</v>
      </c>
      <c r="B117" t="s">
        <v>32</v>
      </c>
      <c r="C117">
        <v>27837</v>
      </c>
      <c r="D117">
        <v>37669</v>
      </c>
      <c r="E117" s="12">
        <v>45617</v>
      </c>
      <c r="F117" s="12">
        <v>45754</v>
      </c>
      <c r="G117" s="10">
        <v>7355.99</v>
      </c>
      <c r="H117">
        <v>0</v>
      </c>
      <c r="I117" t="s">
        <v>1285</v>
      </c>
      <c r="J117" t="s">
        <v>34</v>
      </c>
      <c r="K117" t="s">
        <v>15</v>
      </c>
    </row>
    <row r="118" spans="1:11" hidden="1" x14ac:dyDescent="0.35">
      <c r="A118" t="s">
        <v>205</v>
      </c>
      <c r="B118" t="s">
        <v>56</v>
      </c>
      <c r="C118">
        <v>27703</v>
      </c>
      <c r="D118">
        <v>37498</v>
      </c>
      <c r="E118" s="12">
        <v>45602</v>
      </c>
      <c r="F118" s="12">
        <v>45754</v>
      </c>
      <c r="G118" s="10">
        <v>157900</v>
      </c>
      <c r="H118">
        <v>0</v>
      </c>
      <c r="I118" t="s">
        <v>472</v>
      </c>
      <c r="J118" t="s">
        <v>58</v>
      </c>
      <c r="K118" t="s">
        <v>15</v>
      </c>
    </row>
    <row r="119" spans="1:11" hidden="1" x14ac:dyDescent="0.35">
      <c r="A119" t="s">
        <v>88</v>
      </c>
      <c r="B119" t="s">
        <v>89</v>
      </c>
      <c r="C119">
        <v>28306</v>
      </c>
      <c r="D119">
        <v>38282</v>
      </c>
      <c r="E119" s="12">
        <v>45663</v>
      </c>
      <c r="F119" s="12">
        <v>45754</v>
      </c>
      <c r="G119" s="10">
        <v>4000</v>
      </c>
      <c r="H119">
        <v>0</v>
      </c>
      <c r="I119" t="s">
        <v>1460</v>
      </c>
      <c r="J119" t="s">
        <v>91</v>
      </c>
      <c r="K119" t="s">
        <v>15</v>
      </c>
    </row>
    <row r="120" spans="1:11" hidden="1" x14ac:dyDescent="0.35">
      <c r="A120" t="s">
        <v>55</v>
      </c>
      <c r="B120" t="s">
        <v>56</v>
      </c>
      <c r="C120">
        <v>27340</v>
      </c>
      <c r="D120">
        <v>37060</v>
      </c>
      <c r="E120" s="12">
        <v>45574</v>
      </c>
      <c r="F120" s="12">
        <v>45754</v>
      </c>
      <c r="G120" s="10">
        <v>25728.04</v>
      </c>
      <c r="H120">
        <v>0</v>
      </c>
      <c r="I120" t="s">
        <v>1134</v>
      </c>
      <c r="J120" t="s">
        <v>58</v>
      </c>
      <c r="K120" t="s">
        <v>15</v>
      </c>
    </row>
    <row r="121" spans="1:11" hidden="1" x14ac:dyDescent="0.35">
      <c r="A121" t="s">
        <v>88</v>
      </c>
      <c r="B121" t="s">
        <v>89</v>
      </c>
      <c r="C121">
        <v>28308</v>
      </c>
      <c r="D121">
        <v>38284</v>
      </c>
      <c r="E121" s="12">
        <v>45663</v>
      </c>
      <c r="F121" s="12">
        <v>45754</v>
      </c>
      <c r="G121" s="10">
        <v>2351.6799999999998</v>
      </c>
      <c r="H121">
        <v>0</v>
      </c>
      <c r="I121" t="s">
        <v>1428</v>
      </c>
      <c r="J121" t="s">
        <v>91</v>
      </c>
      <c r="K121" t="s">
        <v>15</v>
      </c>
    </row>
    <row r="122" spans="1:11" hidden="1" x14ac:dyDescent="0.35">
      <c r="A122" t="s">
        <v>1077</v>
      </c>
      <c r="B122" t="s">
        <v>1078</v>
      </c>
      <c r="C122">
        <v>29100</v>
      </c>
      <c r="D122">
        <v>39260</v>
      </c>
      <c r="E122" s="12">
        <v>45722</v>
      </c>
      <c r="F122" s="12">
        <v>45754</v>
      </c>
      <c r="G122" s="10">
        <v>6692.99</v>
      </c>
      <c r="H122">
        <v>0</v>
      </c>
      <c r="I122" t="s">
        <v>1079</v>
      </c>
      <c r="J122" t="s">
        <v>949</v>
      </c>
      <c r="K122" t="s">
        <v>15</v>
      </c>
    </row>
    <row r="123" spans="1:11" hidden="1" x14ac:dyDescent="0.35">
      <c r="A123" t="s">
        <v>642</v>
      </c>
      <c r="B123" t="s">
        <v>643</v>
      </c>
      <c r="C123">
        <v>26753</v>
      </c>
      <c r="D123">
        <v>36415</v>
      </c>
      <c r="E123" s="12">
        <v>45544</v>
      </c>
      <c r="F123" s="12">
        <v>45754</v>
      </c>
      <c r="G123" s="10">
        <v>28652.93</v>
      </c>
      <c r="H123">
        <v>0</v>
      </c>
      <c r="I123" t="s">
        <v>644</v>
      </c>
      <c r="J123" t="s">
        <v>194</v>
      </c>
      <c r="K123" t="s">
        <v>15</v>
      </c>
    </row>
    <row r="124" spans="1:11" hidden="1" x14ac:dyDescent="0.35">
      <c r="A124" t="s">
        <v>42</v>
      </c>
      <c r="B124" t="s">
        <v>43</v>
      </c>
      <c r="C124">
        <v>27698</v>
      </c>
      <c r="D124">
        <v>37492</v>
      </c>
      <c r="E124" s="12">
        <v>45602</v>
      </c>
      <c r="F124" s="12">
        <v>45754</v>
      </c>
      <c r="G124" s="10">
        <v>7350.02</v>
      </c>
      <c r="H124">
        <v>0</v>
      </c>
      <c r="I124" t="s">
        <v>652</v>
      </c>
      <c r="J124" t="s">
        <v>44</v>
      </c>
      <c r="K124" t="s">
        <v>15</v>
      </c>
    </row>
    <row r="125" spans="1:11" hidden="1" x14ac:dyDescent="0.35">
      <c r="A125" t="s">
        <v>42</v>
      </c>
      <c r="B125" t="s">
        <v>43</v>
      </c>
      <c r="C125">
        <v>27697</v>
      </c>
      <c r="D125">
        <v>37491</v>
      </c>
      <c r="E125" s="12">
        <v>45602</v>
      </c>
      <c r="F125" s="12">
        <v>45754</v>
      </c>
      <c r="G125" s="10">
        <v>33600.06</v>
      </c>
      <c r="H125">
        <v>0</v>
      </c>
      <c r="I125" t="s">
        <v>1011</v>
      </c>
      <c r="J125" t="s">
        <v>44</v>
      </c>
      <c r="K125" t="s">
        <v>15</v>
      </c>
    </row>
    <row r="126" spans="1:11" hidden="1" x14ac:dyDescent="0.35">
      <c r="A126" t="s">
        <v>31</v>
      </c>
      <c r="B126" t="s">
        <v>32</v>
      </c>
      <c r="C126">
        <v>27852</v>
      </c>
      <c r="D126">
        <v>37688</v>
      </c>
      <c r="E126" s="12">
        <v>45618</v>
      </c>
      <c r="F126" s="12">
        <v>45754</v>
      </c>
      <c r="G126" s="10">
        <v>1386.67</v>
      </c>
      <c r="H126">
        <v>0</v>
      </c>
      <c r="I126" t="s">
        <v>271</v>
      </c>
      <c r="J126" t="s">
        <v>34</v>
      </c>
      <c r="K126" t="s">
        <v>15</v>
      </c>
    </row>
    <row r="127" spans="1:11" hidden="1" x14ac:dyDescent="0.35">
      <c r="A127" t="s">
        <v>31</v>
      </c>
      <c r="B127" t="s">
        <v>32</v>
      </c>
      <c r="C127">
        <v>27853</v>
      </c>
      <c r="D127">
        <v>37689</v>
      </c>
      <c r="E127" s="12">
        <v>45618</v>
      </c>
      <c r="F127" s="12">
        <v>45754</v>
      </c>
      <c r="G127" s="10">
        <v>1386.67</v>
      </c>
      <c r="H127">
        <v>0</v>
      </c>
      <c r="I127" t="s">
        <v>357</v>
      </c>
      <c r="J127" t="s">
        <v>34</v>
      </c>
      <c r="K127" t="s">
        <v>15</v>
      </c>
    </row>
    <row r="128" spans="1:11" hidden="1" x14ac:dyDescent="0.35">
      <c r="A128" t="s">
        <v>31</v>
      </c>
      <c r="B128" t="s">
        <v>32</v>
      </c>
      <c r="C128">
        <v>28539</v>
      </c>
      <c r="D128">
        <v>38556</v>
      </c>
      <c r="E128" s="12">
        <v>45678</v>
      </c>
      <c r="F128" s="12">
        <v>45754</v>
      </c>
      <c r="G128" s="10">
        <v>3413.33</v>
      </c>
      <c r="H128">
        <v>0</v>
      </c>
      <c r="I128" t="s">
        <v>271</v>
      </c>
      <c r="J128" t="s">
        <v>34</v>
      </c>
      <c r="K128" t="s">
        <v>15</v>
      </c>
    </row>
    <row r="129" spans="1:11" hidden="1" x14ac:dyDescent="0.35">
      <c r="A129" t="s">
        <v>205</v>
      </c>
      <c r="B129" t="s">
        <v>56</v>
      </c>
      <c r="C129">
        <v>27338</v>
      </c>
      <c r="D129">
        <v>37058</v>
      </c>
      <c r="E129" s="12">
        <v>45574</v>
      </c>
      <c r="F129" s="12">
        <v>45754</v>
      </c>
      <c r="G129" s="10">
        <v>25160</v>
      </c>
      <c r="H129">
        <v>0</v>
      </c>
      <c r="I129" t="s">
        <v>745</v>
      </c>
      <c r="J129" t="s">
        <v>58</v>
      </c>
      <c r="K129" t="s">
        <v>15</v>
      </c>
    </row>
    <row r="130" spans="1:11" hidden="1" x14ac:dyDescent="0.35">
      <c r="A130" t="s">
        <v>541</v>
      </c>
      <c r="B130" t="s">
        <v>542</v>
      </c>
      <c r="C130">
        <v>29223</v>
      </c>
      <c r="D130">
        <v>39402</v>
      </c>
      <c r="E130" s="12">
        <v>45736</v>
      </c>
      <c r="F130" s="12">
        <v>45754</v>
      </c>
      <c r="G130" s="10">
        <v>40000</v>
      </c>
      <c r="H130">
        <v>0</v>
      </c>
      <c r="I130" t="s">
        <v>1598</v>
      </c>
      <c r="J130" t="s">
        <v>115</v>
      </c>
      <c r="K130" t="s">
        <v>15</v>
      </c>
    </row>
    <row r="131" spans="1:11" hidden="1" x14ac:dyDescent="0.35">
      <c r="A131" t="s">
        <v>31</v>
      </c>
      <c r="B131" t="s">
        <v>32</v>
      </c>
      <c r="C131">
        <v>27701</v>
      </c>
      <c r="D131">
        <v>37496</v>
      </c>
      <c r="E131" s="12">
        <v>45602</v>
      </c>
      <c r="F131" s="12">
        <v>45754</v>
      </c>
      <c r="G131" s="10">
        <v>34783.699999999997</v>
      </c>
      <c r="H131">
        <v>0</v>
      </c>
      <c r="I131" t="s">
        <v>1604</v>
      </c>
      <c r="J131" t="s">
        <v>34</v>
      </c>
      <c r="K131" t="s">
        <v>15</v>
      </c>
    </row>
    <row r="132" spans="1:11" hidden="1" x14ac:dyDescent="0.35">
      <c r="A132" t="s">
        <v>1433</v>
      </c>
      <c r="B132" t="s">
        <v>1434</v>
      </c>
      <c r="D132">
        <v>273929</v>
      </c>
      <c r="E132" s="12">
        <v>45742</v>
      </c>
      <c r="F132" s="12">
        <v>45754</v>
      </c>
      <c r="G132" s="10">
        <v>21258.39</v>
      </c>
      <c r="H132">
        <v>0</v>
      </c>
      <c r="I132" t="s">
        <v>1623</v>
      </c>
      <c r="J132" t="s">
        <v>1380</v>
      </c>
    </row>
    <row r="133" spans="1:11" hidden="1" x14ac:dyDescent="0.35">
      <c r="A133" t="s">
        <v>45</v>
      </c>
      <c r="B133" t="s">
        <v>46</v>
      </c>
      <c r="C133">
        <v>27351</v>
      </c>
      <c r="D133">
        <v>37072</v>
      </c>
      <c r="E133" s="12">
        <v>45575</v>
      </c>
      <c r="F133" s="12">
        <v>45755</v>
      </c>
      <c r="G133" s="10">
        <v>2016</v>
      </c>
      <c r="H133">
        <v>0</v>
      </c>
      <c r="I133" t="s">
        <v>621</v>
      </c>
      <c r="J133" t="s">
        <v>48</v>
      </c>
      <c r="K133" t="s">
        <v>15</v>
      </c>
    </row>
    <row r="134" spans="1:11" hidden="1" x14ac:dyDescent="0.35">
      <c r="A134" t="s">
        <v>42</v>
      </c>
      <c r="B134" t="s">
        <v>43</v>
      </c>
      <c r="C134">
        <v>28044</v>
      </c>
      <c r="D134">
        <v>37952</v>
      </c>
      <c r="E134" s="12">
        <v>45635</v>
      </c>
      <c r="F134" s="12">
        <v>45755</v>
      </c>
      <c r="G134" s="10">
        <v>31972.5</v>
      </c>
      <c r="H134">
        <v>0</v>
      </c>
      <c r="I134" t="s">
        <v>1454</v>
      </c>
      <c r="J134" t="s">
        <v>44</v>
      </c>
      <c r="K134" t="s">
        <v>15</v>
      </c>
    </row>
    <row r="135" spans="1:11" hidden="1" x14ac:dyDescent="0.35">
      <c r="A135" t="s">
        <v>667</v>
      </c>
      <c r="B135" t="s">
        <v>668</v>
      </c>
      <c r="C135">
        <v>28828</v>
      </c>
      <c r="D135">
        <v>38914</v>
      </c>
      <c r="E135" s="12">
        <v>45695</v>
      </c>
      <c r="F135" s="12">
        <v>45755</v>
      </c>
      <c r="G135" s="10">
        <v>101636.65</v>
      </c>
      <c r="H135">
        <v>0</v>
      </c>
      <c r="I135" t="s">
        <v>930</v>
      </c>
      <c r="J135" t="s">
        <v>26</v>
      </c>
      <c r="K135" t="s">
        <v>15</v>
      </c>
    </row>
    <row r="136" spans="1:11" hidden="1" x14ac:dyDescent="0.35">
      <c r="A136" t="s">
        <v>42</v>
      </c>
      <c r="B136" t="s">
        <v>43</v>
      </c>
      <c r="C136">
        <v>28043</v>
      </c>
      <c r="D136">
        <v>37951</v>
      </c>
      <c r="E136" s="12">
        <v>45635</v>
      </c>
      <c r="F136" s="12">
        <v>45755</v>
      </c>
      <c r="G136" s="10">
        <v>82215</v>
      </c>
      <c r="H136">
        <v>0</v>
      </c>
      <c r="I136" t="s">
        <v>380</v>
      </c>
      <c r="J136" t="s">
        <v>44</v>
      </c>
      <c r="K136" t="s">
        <v>15</v>
      </c>
    </row>
    <row r="137" spans="1:11" hidden="1" x14ac:dyDescent="0.35">
      <c r="A137" t="s">
        <v>42</v>
      </c>
      <c r="B137" t="s">
        <v>43</v>
      </c>
      <c r="C137">
        <v>28042</v>
      </c>
      <c r="D137">
        <v>37950</v>
      </c>
      <c r="E137" s="12">
        <v>45635</v>
      </c>
      <c r="F137" s="12">
        <v>45755</v>
      </c>
      <c r="G137" s="10">
        <v>68512.5</v>
      </c>
      <c r="H137">
        <v>0</v>
      </c>
      <c r="I137" t="s">
        <v>751</v>
      </c>
      <c r="J137" t="s">
        <v>44</v>
      </c>
      <c r="K137" t="s">
        <v>15</v>
      </c>
    </row>
    <row r="138" spans="1:11" hidden="1" x14ac:dyDescent="0.35">
      <c r="A138" t="s">
        <v>667</v>
      </c>
      <c r="B138" t="s">
        <v>668</v>
      </c>
      <c r="C138">
        <v>28829</v>
      </c>
      <c r="D138">
        <v>38915</v>
      </c>
      <c r="E138" s="12">
        <v>45695</v>
      </c>
      <c r="F138" s="12">
        <v>45755</v>
      </c>
      <c r="G138" s="10">
        <v>14022</v>
      </c>
      <c r="H138">
        <v>0</v>
      </c>
      <c r="I138" t="s">
        <v>669</v>
      </c>
      <c r="J138" t="s">
        <v>26</v>
      </c>
      <c r="K138" t="s">
        <v>15</v>
      </c>
    </row>
    <row r="139" spans="1:11" hidden="1" x14ac:dyDescent="0.35">
      <c r="A139" t="s">
        <v>667</v>
      </c>
      <c r="B139" t="s">
        <v>668</v>
      </c>
      <c r="C139">
        <v>28826</v>
      </c>
      <c r="D139">
        <v>38912</v>
      </c>
      <c r="E139" s="12">
        <v>45695</v>
      </c>
      <c r="F139" s="12">
        <v>45755</v>
      </c>
      <c r="G139" s="10">
        <v>168217</v>
      </c>
      <c r="H139">
        <v>0</v>
      </c>
      <c r="I139" t="s">
        <v>1649</v>
      </c>
      <c r="J139" t="s">
        <v>26</v>
      </c>
      <c r="K139" t="s">
        <v>15</v>
      </c>
    </row>
    <row r="140" spans="1:11" hidden="1" x14ac:dyDescent="0.35">
      <c r="A140" t="s">
        <v>667</v>
      </c>
      <c r="B140" t="s">
        <v>668</v>
      </c>
      <c r="C140">
        <v>28827</v>
      </c>
      <c r="D140">
        <v>38913</v>
      </c>
      <c r="E140" s="12">
        <v>45695</v>
      </c>
      <c r="F140" s="12">
        <v>45755</v>
      </c>
      <c r="G140" s="10">
        <v>41196</v>
      </c>
      <c r="H140">
        <v>0</v>
      </c>
      <c r="I140" t="s">
        <v>1676</v>
      </c>
      <c r="J140" t="s">
        <v>26</v>
      </c>
      <c r="K140" t="s">
        <v>15</v>
      </c>
    </row>
    <row r="141" spans="1:11" hidden="1" x14ac:dyDescent="0.35">
      <c r="A141" t="s">
        <v>191</v>
      </c>
      <c r="B141" t="s">
        <v>192</v>
      </c>
      <c r="C141">
        <v>26784</v>
      </c>
      <c r="D141">
        <v>36446</v>
      </c>
      <c r="E141" s="12">
        <v>45546</v>
      </c>
      <c r="F141" s="12">
        <v>45756</v>
      </c>
      <c r="G141" s="10">
        <v>42080</v>
      </c>
      <c r="H141">
        <v>0</v>
      </c>
      <c r="I141" t="s">
        <v>508</v>
      </c>
      <c r="J141" t="s">
        <v>194</v>
      </c>
      <c r="K141" t="s">
        <v>15</v>
      </c>
    </row>
    <row r="142" spans="1:11" hidden="1" x14ac:dyDescent="0.35">
      <c r="A142" t="s">
        <v>478</v>
      </c>
      <c r="B142" t="s">
        <v>479</v>
      </c>
      <c r="C142">
        <v>28337</v>
      </c>
      <c r="D142">
        <v>38320</v>
      </c>
      <c r="E142" s="12">
        <v>45666</v>
      </c>
      <c r="F142" s="12">
        <v>45756</v>
      </c>
      <c r="G142" s="10">
        <v>26000</v>
      </c>
      <c r="H142">
        <v>0</v>
      </c>
      <c r="I142" t="s">
        <v>480</v>
      </c>
      <c r="J142" t="s">
        <v>152</v>
      </c>
      <c r="K142" t="s">
        <v>15</v>
      </c>
    </row>
    <row r="143" spans="1:11" hidden="1" x14ac:dyDescent="0.35">
      <c r="A143" t="s">
        <v>1688</v>
      </c>
      <c r="B143" t="s">
        <v>1689</v>
      </c>
      <c r="C143">
        <v>28340</v>
      </c>
      <c r="D143">
        <v>38324</v>
      </c>
      <c r="E143" s="12">
        <v>45666</v>
      </c>
      <c r="F143" s="12">
        <v>45756</v>
      </c>
      <c r="G143" s="10">
        <v>8016.68</v>
      </c>
      <c r="H143">
        <v>0</v>
      </c>
      <c r="I143" t="s">
        <v>1690</v>
      </c>
      <c r="J143" t="s">
        <v>91</v>
      </c>
      <c r="K143" t="s">
        <v>15</v>
      </c>
    </row>
    <row r="144" spans="1:11" hidden="1" x14ac:dyDescent="0.35">
      <c r="A144" t="s">
        <v>149</v>
      </c>
      <c r="B144" t="s">
        <v>150</v>
      </c>
      <c r="C144">
        <v>28336</v>
      </c>
      <c r="D144">
        <v>38319</v>
      </c>
      <c r="E144" s="12">
        <v>45666</v>
      </c>
      <c r="F144" s="12">
        <v>45756</v>
      </c>
      <c r="G144" s="10">
        <v>37897.64</v>
      </c>
      <c r="H144">
        <v>0</v>
      </c>
      <c r="I144" t="s">
        <v>151</v>
      </c>
      <c r="J144" t="s">
        <v>152</v>
      </c>
    </row>
    <row r="145" spans="1:11" hidden="1" x14ac:dyDescent="0.35">
      <c r="A145" t="s">
        <v>288</v>
      </c>
      <c r="B145" t="s">
        <v>289</v>
      </c>
      <c r="C145">
        <v>28338</v>
      </c>
      <c r="D145">
        <v>38321</v>
      </c>
      <c r="E145" s="12">
        <v>45666</v>
      </c>
      <c r="F145" s="12">
        <v>45756</v>
      </c>
      <c r="G145" s="10">
        <v>38815.599999999999</v>
      </c>
      <c r="H145">
        <v>0</v>
      </c>
      <c r="I145" t="s">
        <v>365</v>
      </c>
      <c r="J145" t="s">
        <v>34</v>
      </c>
      <c r="K145" t="s">
        <v>15</v>
      </c>
    </row>
    <row r="146" spans="1:11" hidden="1" x14ac:dyDescent="0.35">
      <c r="A146" t="s">
        <v>1138</v>
      </c>
      <c r="B146" t="s">
        <v>1139</v>
      </c>
      <c r="C146">
        <v>29129</v>
      </c>
      <c r="D146">
        <v>39292</v>
      </c>
      <c r="E146" s="12">
        <v>45726</v>
      </c>
      <c r="F146" s="12">
        <v>45756</v>
      </c>
      <c r="G146" s="10">
        <v>11752.5</v>
      </c>
      <c r="H146">
        <v>0</v>
      </c>
      <c r="I146" t="s">
        <v>1140</v>
      </c>
      <c r="J146" t="s">
        <v>949</v>
      </c>
      <c r="K146" t="s">
        <v>15</v>
      </c>
    </row>
    <row r="147" spans="1:11" hidden="1" x14ac:dyDescent="0.35">
      <c r="A147" t="s">
        <v>174</v>
      </c>
      <c r="B147" t="s">
        <v>175</v>
      </c>
      <c r="C147">
        <v>28049</v>
      </c>
      <c r="D147">
        <v>37964</v>
      </c>
      <c r="E147" s="12">
        <v>45637</v>
      </c>
      <c r="F147" s="12">
        <v>45757</v>
      </c>
      <c r="G147" s="10">
        <v>108500</v>
      </c>
      <c r="H147">
        <v>0</v>
      </c>
      <c r="I147" t="s">
        <v>862</v>
      </c>
      <c r="J147" t="s">
        <v>58</v>
      </c>
      <c r="K147" t="s">
        <v>15</v>
      </c>
    </row>
    <row r="148" spans="1:11" hidden="1" x14ac:dyDescent="0.35">
      <c r="A148" t="s">
        <v>411</v>
      </c>
      <c r="B148" t="s">
        <v>412</v>
      </c>
      <c r="C148">
        <v>26814</v>
      </c>
      <c r="D148">
        <v>36479</v>
      </c>
      <c r="E148" s="12">
        <v>45547</v>
      </c>
      <c r="F148" s="12">
        <v>45757</v>
      </c>
      <c r="G148" s="10">
        <v>77040</v>
      </c>
      <c r="H148">
        <v>0</v>
      </c>
      <c r="I148" t="s">
        <v>803</v>
      </c>
      <c r="J148" t="s">
        <v>194</v>
      </c>
      <c r="K148" t="s">
        <v>15</v>
      </c>
    </row>
    <row r="149" spans="1:11" hidden="1" x14ac:dyDescent="0.35">
      <c r="A149" t="s">
        <v>42</v>
      </c>
      <c r="B149" t="s">
        <v>43</v>
      </c>
      <c r="C149">
        <v>27743</v>
      </c>
      <c r="D149">
        <v>37547</v>
      </c>
      <c r="E149" s="12">
        <v>45607</v>
      </c>
      <c r="F149" s="12">
        <v>45757</v>
      </c>
      <c r="G149" s="10">
        <v>72433.259999999995</v>
      </c>
      <c r="H149">
        <v>0</v>
      </c>
      <c r="I149" t="s">
        <v>806</v>
      </c>
      <c r="J149" t="s">
        <v>44</v>
      </c>
      <c r="K149" t="s">
        <v>15</v>
      </c>
    </row>
    <row r="150" spans="1:11" hidden="1" x14ac:dyDescent="0.35">
      <c r="A150" t="s">
        <v>1250</v>
      </c>
      <c r="B150" t="s">
        <v>1251</v>
      </c>
      <c r="C150">
        <v>28362</v>
      </c>
      <c r="D150">
        <v>38353</v>
      </c>
      <c r="E150" s="12">
        <v>45667</v>
      </c>
      <c r="F150" s="12">
        <v>45757</v>
      </c>
      <c r="G150" s="10">
        <v>2632.5</v>
      </c>
      <c r="H150">
        <v>0</v>
      </c>
      <c r="I150" t="s">
        <v>1252</v>
      </c>
      <c r="J150" t="s">
        <v>152</v>
      </c>
      <c r="K150" t="s">
        <v>15</v>
      </c>
    </row>
    <row r="151" spans="1:11" hidden="1" x14ac:dyDescent="0.35">
      <c r="A151" t="s">
        <v>174</v>
      </c>
      <c r="B151" t="s">
        <v>175</v>
      </c>
      <c r="C151">
        <v>27741</v>
      </c>
      <c r="D151">
        <v>37544</v>
      </c>
      <c r="E151" s="12">
        <v>45607</v>
      </c>
      <c r="F151" s="12">
        <v>45757</v>
      </c>
      <c r="G151" s="10">
        <v>105280</v>
      </c>
      <c r="H151">
        <v>0</v>
      </c>
      <c r="I151" t="s">
        <v>988</v>
      </c>
      <c r="J151" t="s">
        <v>58</v>
      </c>
      <c r="K151" t="s">
        <v>15</v>
      </c>
    </row>
    <row r="152" spans="1:11" hidden="1" x14ac:dyDescent="0.35">
      <c r="A152" t="s">
        <v>411</v>
      </c>
      <c r="B152" t="s">
        <v>412</v>
      </c>
      <c r="C152">
        <v>26815</v>
      </c>
      <c r="D152">
        <v>36480</v>
      </c>
      <c r="E152" s="12">
        <v>45547</v>
      </c>
      <c r="F152" s="12">
        <v>45757</v>
      </c>
      <c r="G152" s="10">
        <v>80000</v>
      </c>
      <c r="H152">
        <v>0</v>
      </c>
      <c r="I152" t="s">
        <v>1101</v>
      </c>
      <c r="J152" t="s">
        <v>194</v>
      </c>
      <c r="K152" t="s">
        <v>15</v>
      </c>
    </row>
    <row r="153" spans="1:11" hidden="1" x14ac:dyDescent="0.35">
      <c r="A153" t="s">
        <v>205</v>
      </c>
      <c r="B153" t="s">
        <v>56</v>
      </c>
      <c r="C153">
        <v>27740</v>
      </c>
      <c r="D153">
        <v>37541</v>
      </c>
      <c r="E153" s="12">
        <v>45607</v>
      </c>
      <c r="F153" s="12">
        <v>45757</v>
      </c>
      <c r="G153" s="10">
        <v>96000</v>
      </c>
      <c r="H153">
        <v>0</v>
      </c>
      <c r="I153" t="s">
        <v>1105</v>
      </c>
      <c r="J153" t="s">
        <v>58</v>
      </c>
      <c r="K153" t="s">
        <v>15</v>
      </c>
    </row>
    <row r="154" spans="1:11" hidden="1" x14ac:dyDescent="0.35">
      <c r="A154" t="s">
        <v>49</v>
      </c>
      <c r="B154" t="s">
        <v>50</v>
      </c>
      <c r="C154">
        <v>28057</v>
      </c>
      <c r="D154">
        <v>37973</v>
      </c>
      <c r="E154" s="12">
        <v>45637</v>
      </c>
      <c r="F154" s="12">
        <v>45757</v>
      </c>
      <c r="G154" s="10">
        <v>35168.19</v>
      </c>
      <c r="H154">
        <v>0</v>
      </c>
      <c r="I154" t="s">
        <v>147</v>
      </c>
      <c r="J154" t="s">
        <v>44</v>
      </c>
      <c r="K154" t="s">
        <v>15</v>
      </c>
    </row>
    <row r="155" spans="1:11" hidden="1" x14ac:dyDescent="0.35">
      <c r="A155" t="s">
        <v>174</v>
      </c>
      <c r="B155" t="s">
        <v>175</v>
      </c>
      <c r="C155">
        <v>28048</v>
      </c>
      <c r="D155">
        <v>37963</v>
      </c>
      <c r="E155" s="12">
        <v>45637</v>
      </c>
      <c r="F155" s="12">
        <v>45757</v>
      </c>
      <c r="G155" s="10">
        <v>21650</v>
      </c>
      <c r="H155">
        <v>0</v>
      </c>
      <c r="I155" t="s">
        <v>1013</v>
      </c>
      <c r="J155" t="s">
        <v>58</v>
      </c>
      <c r="K155" t="s">
        <v>15</v>
      </c>
    </row>
    <row r="156" spans="1:11" hidden="1" x14ac:dyDescent="0.35">
      <c r="A156" t="s">
        <v>203</v>
      </c>
      <c r="B156" t="s">
        <v>56</v>
      </c>
      <c r="C156">
        <v>28051</v>
      </c>
      <c r="D156">
        <v>37965</v>
      </c>
      <c r="E156" s="12">
        <v>45637</v>
      </c>
      <c r="F156" s="12">
        <v>45757</v>
      </c>
      <c r="G156" s="10">
        <v>154400</v>
      </c>
      <c r="H156">
        <v>0</v>
      </c>
      <c r="I156" t="s">
        <v>1635</v>
      </c>
      <c r="J156" t="s">
        <v>58</v>
      </c>
      <c r="K156" t="s">
        <v>15</v>
      </c>
    </row>
    <row r="157" spans="1:11" hidden="1" x14ac:dyDescent="0.35">
      <c r="A157" t="s">
        <v>203</v>
      </c>
      <c r="B157" t="s">
        <v>56</v>
      </c>
      <c r="C157">
        <v>28047</v>
      </c>
      <c r="D157">
        <v>37962</v>
      </c>
      <c r="E157" s="12">
        <v>45637</v>
      </c>
      <c r="F157" s="12">
        <v>45757</v>
      </c>
      <c r="G157" s="10">
        <v>217000</v>
      </c>
      <c r="H157">
        <v>0</v>
      </c>
      <c r="I157" t="s">
        <v>1397</v>
      </c>
      <c r="J157" t="s">
        <v>58</v>
      </c>
      <c r="K157" t="s">
        <v>15</v>
      </c>
    </row>
    <row r="158" spans="1:11" hidden="1" x14ac:dyDescent="0.35">
      <c r="A158" t="s">
        <v>1668</v>
      </c>
      <c r="B158" t="s">
        <v>1669</v>
      </c>
      <c r="C158">
        <v>26964</v>
      </c>
      <c r="D158">
        <v>36648</v>
      </c>
      <c r="E158" s="12">
        <v>45554</v>
      </c>
      <c r="F158" s="12">
        <v>45757</v>
      </c>
      <c r="G158" s="10">
        <v>100690.6</v>
      </c>
      <c r="H158">
        <v>0</v>
      </c>
      <c r="I158" t="s">
        <v>1670</v>
      </c>
      <c r="J158" t="s">
        <v>18</v>
      </c>
      <c r="K158" t="s">
        <v>15</v>
      </c>
    </row>
    <row r="159" spans="1:11" hidden="1" x14ac:dyDescent="0.35">
      <c r="A159" t="s">
        <v>205</v>
      </c>
      <c r="B159" t="s">
        <v>56</v>
      </c>
      <c r="C159">
        <v>28046</v>
      </c>
      <c r="D159">
        <v>37961</v>
      </c>
      <c r="E159" s="12">
        <v>45637</v>
      </c>
      <c r="F159" s="12">
        <v>45757</v>
      </c>
      <c r="G159" s="10">
        <v>124485</v>
      </c>
      <c r="H159">
        <v>0</v>
      </c>
      <c r="I159" t="s">
        <v>1471</v>
      </c>
      <c r="J159" t="s">
        <v>58</v>
      </c>
      <c r="K159" t="s">
        <v>15</v>
      </c>
    </row>
    <row r="160" spans="1:11" hidden="1" x14ac:dyDescent="0.35">
      <c r="A160" t="s">
        <v>1476</v>
      </c>
      <c r="B160" t="s">
        <v>1477</v>
      </c>
      <c r="C160">
        <v>28395</v>
      </c>
      <c r="D160">
        <v>38392</v>
      </c>
      <c r="E160" s="12">
        <v>45670</v>
      </c>
      <c r="F160" s="12">
        <v>45757</v>
      </c>
      <c r="G160" s="10">
        <v>18044.5</v>
      </c>
      <c r="H160">
        <v>0</v>
      </c>
      <c r="I160" t="s">
        <v>1478</v>
      </c>
      <c r="J160" t="s">
        <v>30</v>
      </c>
      <c r="K160" t="s">
        <v>15</v>
      </c>
    </row>
    <row r="161" spans="1:11" hidden="1" x14ac:dyDescent="0.35">
      <c r="A161" t="s">
        <v>1023</v>
      </c>
      <c r="B161" t="s">
        <v>1024</v>
      </c>
      <c r="C161">
        <v>28370</v>
      </c>
      <c r="D161">
        <v>38362</v>
      </c>
      <c r="E161" s="12">
        <v>45667</v>
      </c>
      <c r="F161" s="12">
        <v>45757</v>
      </c>
      <c r="G161" s="10">
        <v>6349.06</v>
      </c>
      <c r="H161">
        <v>0</v>
      </c>
      <c r="I161" t="s">
        <v>1581</v>
      </c>
      <c r="J161" t="s">
        <v>95</v>
      </c>
      <c r="K161" t="s">
        <v>15</v>
      </c>
    </row>
    <row r="162" spans="1:11" hidden="1" x14ac:dyDescent="0.35">
      <c r="A162" t="s">
        <v>42</v>
      </c>
      <c r="B162" t="s">
        <v>43</v>
      </c>
      <c r="C162">
        <v>27757</v>
      </c>
      <c r="D162">
        <v>37564</v>
      </c>
      <c r="E162" s="12">
        <v>45608</v>
      </c>
      <c r="F162" s="12">
        <v>45758</v>
      </c>
      <c r="G162" s="10">
        <v>650</v>
      </c>
      <c r="H162">
        <v>0</v>
      </c>
      <c r="I162" t="s">
        <v>700</v>
      </c>
      <c r="J162" t="s">
        <v>44</v>
      </c>
      <c r="K162" t="s">
        <v>15</v>
      </c>
    </row>
    <row r="163" spans="1:11" hidden="1" x14ac:dyDescent="0.35">
      <c r="A163" t="s">
        <v>200</v>
      </c>
      <c r="B163" t="s">
        <v>56</v>
      </c>
      <c r="C163">
        <v>27744</v>
      </c>
      <c r="D163">
        <v>37549</v>
      </c>
      <c r="E163" s="12">
        <v>45608</v>
      </c>
      <c r="F163" s="12">
        <v>45758</v>
      </c>
      <c r="G163" s="10">
        <v>15120</v>
      </c>
      <c r="H163">
        <v>0</v>
      </c>
      <c r="I163" t="s">
        <v>201</v>
      </c>
      <c r="J163" t="s">
        <v>44</v>
      </c>
      <c r="K163" t="s">
        <v>15</v>
      </c>
    </row>
    <row r="164" spans="1:11" hidden="1" x14ac:dyDescent="0.35">
      <c r="A164" t="s">
        <v>174</v>
      </c>
      <c r="B164" t="s">
        <v>175</v>
      </c>
      <c r="C164">
        <v>27749</v>
      </c>
      <c r="D164">
        <v>37555</v>
      </c>
      <c r="E164" s="12">
        <v>45608</v>
      </c>
      <c r="F164" s="12">
        <v>45758</v>
      </c>
      <c r="G164" s="10">
        <v>26092.5</v>
      </c>
      <c r="H164">
        <v>0</v>
      </c>
      <c r="I164" t="s">
        <v>845</v>
      </c>
      <c r="J164" t="s">
        <v>58</v>
      </c>
      <c r="K164" t="s">
        <v>15</v>
      </c>
    </row>
    <row r="165" spans="1:11" hidden="1" x14ac:dyDescent="0.35">
      <c r="A165" t="s">
        <v>68</v>
      </c>
      <c r="B165" t="s">
        <v>69</v>
      </c>
      <c r="C165">
        <v>28070</v>
      </c>
      <c r="D165">
        <v>37992</v>
      </c>
      <c r="E165" s="12">
        <v>45638</v>
      </c>
      <c r="F165" s="12">
        <v>45758</v>
      </c>
      <c r="G165" s="10">
        <v>39200.080000000002</v>
      </c>
      <c r="H165">
        <v>0</v>
      </c>
      <c r="I165" t="s">
        <v>531</v>
      </c>
      <c r="J165" t="s">
        <v>14</v>
      </c>
      <c r="K165" t="s">
        <v>15</v>
      </c>
    </row>
    <row r="166" spans="1:11" hidden="1" x14ac:dyDescent="0.35">
      <c r="A166" t="s">
        <v>42</v>
      </c>
      <c r="B166" t="s">
        <v>43</v>
      </c>
      <c r="C166">
        <v>27751</v>
      </c>
      <c r="D166">
        <v>37557</v>
      </c>
      <c r="E166" s="12">
        <v>45608</v>
      </c>
      <c r="F166" s="12">
        <v>45758</v>
      </c>
      <c r="G166" s="10">
        <v>49145.15</v>
      </c>
      <c r="H166">
        <v>0</v>
      </c>
      <c r="I166" t="s">
        <v>336</v>
      </c>
      <c r="J166" t="s">
        <v>44</v>
      </c>
      <c r="K166" t="s">
        <v>15</v>
      </c>
    </row>
    <row r="167" spans="1:11" hidden="1" x14ac:dyDescent="0.35">
      <c r="A167" t="s">
        <v>68</v>
      </c>
      <c r="B167" t="s">
        <v>69</v>
      </c>
      <c r="C167">
        <v>28076</v>
      </c>
      <c r="D167">
        <v>37998</v>
      </c>
      <c r="E167" s="12">
        <v>45638</v>
      </c>
      <c r="F167" s="12">
        <v>45758</v>
      </c>
      <c r="G167" s="10">
        <v>3240.67</v>
      </c>
      <c r="H167">
        <v>0</v>
      </c>
      <c r="I167" t="s">
        <v>342</v>
      </c>
      <c r="J167" t="s">
        <v>14</v>
      </c>
      <c r="K167" t="s">
        <v>15</v>
      </c>
    </row>
    <row r="168" spans="1:11" hidden="1" x14ac:dyDescent="0.35">
      <c r="A168" t="s">
        <v>281</v>
      </c>
      <c r="B168" t="s">
        <v>282</v>
      </c>
      <c r="C168">
        <v>26878</v>
      </c>
      <c r="D168">
        <v>36550</v>
      </c>
      <c r="E168" s="12">
        <v>45548</v>
      </c>
      <c r="F168" s="12">
        <v>45758</v>
      </c>
      <c r="G168" s="10">
        <v>49600</v>
      </c>
      <c r="H168">
        <v>0</v>
      </c>
      <c r="I168" t="s">
        <v>1211</v>
      </c>
      <c r="J168" t="s">
        <v>194</v>
      </c>
      <c r="K168" t="s">
        <v>15</v>
      </c>
    </row>
    <row r="169" spans="1:11" hidden="1" x14ac:dyDescent="0.35">
      <c r="A169" t="s">
        <v>205</v>
      </c>
      <c r="B169" t="s">
        <v>56</v>
      </c>
      <c r="C169">
        <v>27756</v>
      </c>
      <c r="D169">
        <v>37563</v>
      </c>
      <c r="E169" s="12">
        <v>45608</v>
      </c>
      <c r="F169" s="12">
        <v>45758</v>
      </c>
      <c r="G169" s="10">
        <v>3279.5</v>
      </c>
      <c r="H169">
        <v>0</v>
      </c>
      <c r="I169" t="s">
        <v>729</v>
      </c>
      <c r="J169" t="s">
        <v>58</v>
      </c>
      <c r="K169" t="s">
        <v>15</v>
      </c>
    </row>
    <row r="170" spans="1:11" hidden="1" x14ac:dyDescent="0.35">
      <c r="A170" t="s">
        <v>725</v>
      </c>
      <c r="B170" t="s">
        <v>726</v>
      </c>
      <c r="C170">
        <v>28833</v>
      </c>
      <c r="D170">
        <v>38919</v>
      </c>
      <c r="E170" s="12">
        <v>45698</v>
      </c>
      <c r="F170" s="12">
        <v>45758</v>
      </c>
      <c r="G170" s="10">
        <v>12459.99</v>
      </c>
      <c r="H170">
        <v>0</v>
      </c>
      <c r="I170" t="s">
        <v>727</v>
      </c>
      <c r="J170" t="s">
        <v>111</v>
      </c>
      <c r="K170" t="s">
        <v>15</v>
      </c>
    </row>
    <row r="171" spans="1:11" hidden="1" x14ac:dyDescent="0.35">
      <c r="A171" t="s">
        <v>42</v>
      </c>
      <c r="B171" t="s">
        <v>43</v>
      </c>
      <c r="C171">
        <v>27753</v>
      </c>
      <c r="D171">
        <v>37559</v>
      </c>
      <c r="E171" s="12">
        <v>45608</v>
      </c>
      <c r="F171" s="12">
        <v>45758</v>
      </c>
      <c r="G171" s="10">
        <v>9291.66</v>
      </c>
      <c r="H171">
        <v>0</v>
      </c>
      <c r="I171" t="s">
        <v>410</v>
      </c>
      <c r="J171" t="s">
        <v>44</v>
      </c>
      <c r="K171" t="s">
        <v>15</v>
      </c>
    </row>
    <row r="172" spans="1:11" hidden="1" x14ac:dyDescent="0.35">
      <c r="A172" t="s">
        <v>42</v>
      </c>
      <c r="B172" t="s">
        <v>43</v>
      </c>
      <c r="C172">
        <v>27752</v>
      </c>
      <c r="D172">
        <v>37558</v>
      </c>
      <c r="E172" s="12">
        <v>45608</v>
      </c>
      <c r="F172" s="12">
        <v>45758</v>
      </c>
      <c r="G172" s="10">
        <v>1000</v>
      </c>
      <c r="H172">
        <v>0</v>
      </c>
      <c r="I172" t="s">
        <v>901</v>
      </c>
      <c r="J172" t="s">
        <v>44</v>
      </c>
      <c r="K172" t="s">
        <v>15</v>
      </c>
    </row>
    <row r="173" spans="1:11" hidden="1" x14ac:dyDescent="0.35">
      <c r="A173" t="s">
        <v>68</v>
      </c>
      <c r="B173" t="s">
        <v>69</v>
      </c>
      <c r="C173">
        <v>28072</v>
      </c>
      <c r="D173">
        <v>37994</v>
      </c>
      <c r="E173" s="12">
        <v>45638</v>
      </c>
      <c r="F173" s="12">
        <v>45758</v>
      </c>
      <c r="G173" s="10">
        <v>10999.99</v>
      </c>
      <c r="H173">
        <v>0</v>
      </c>
      <c r="I173" t="s">
        <v>291</v>
      </c>
      <c r="J173" t="s">
        <v>14</v>
      </c>
      <c r="K173" t="s">
        <v>15</v>
      </c>
    </row>
    <row r="174" spans="1:11" hidden="1" x14ac:dyDescent="0.35">
      <c r="A174" t="s">
        <v>791</v>
      </c>
      <c r="B174" t="s">
        <v>56</v>
      </c>
      <c r="C174">
        <v>26839</v>
      </c>
      <c r="D174">
        <v>36505</v>
      </c>
      <c r="E174" s="12">
        <v>45548</v>
      </c>
      <c r="F174" s="12">
        <v>45758</v>
      </c>
      <c r="G174" s="10">
        <v>43300</v>
      </c>
      <c r="H174">
        <v>0</v>
      </c>
      <c r="I174" t="s">
        <v>981</v>
      </c>
      <c r="J174" t="s">
        <v>44</v>
      </c>
      <c r="K174" t="s">
        <v>15</v>
      </c>
    </row>
    <row r="175" spans="1:11" hidden="1" x14ac:dyDescent="0.35">
      <c r="A175" t="s">
        <v>1138</v>
      </c>
      <c r="B175" t="s">
        <v>1139</v>
      </c>
      <c r="C175">
        <v>27760</v>
      </c>
      <c r="D175">
        <v>37567</v>
      </c>
      <c r="E175" s="12">
        <v>45608</v>
      </c>
      <c r="F175" s="12">
        <v>45758</v>
      </c>
      <c r="G175" s="10">
        <v>4036.5</v>
      </c>
      <c r="H175">
        <v>0</v>
      </c>
      <c r="I175" t="s">
        <v>1441</v>
      </c>
      <c r="J175" t="s">
        <v>949</v>
      </c>
      <c r="K175" t="s">
        <v>15</v>
      </c>
    </row>
    <row r="176" spans="1:11" hidden="1" x14ac:dyDescent="0.35">
      <c r="A176" t="s">
        <v>68</v>
      </c>
      <c r="B176" t="s">
        <v>69</v>
      </c>
      <c r="C176">
        <v>28075</v>
      </c>
      <c r="D176">
        <v>37997</v>
      </c>
      <c r="E176" s="12">
        <v>45638</v>
      </c>
      <c r="F176" s="12">
        <v>45758</v>
      </c>
      <c r="G176" s="10">
        <v>12910.02</v>
      </c>
      <c r="H176">
        <v>0</v>
      </c>
      <c r="I176" t="s">
        <v>381</v>
      </c>
      <c r="J176" t="s">
        <v>14</v>
      </c>
      <c r="K176" t="s">
        <v>15</v>
      </c>
    </row>
    <row r="177" spans="1:11" hidden="1" x14ac:dyDescent="0.35">
      <c r="A177" t="s">
        <v>1710</v>
      </c>
      <c r="B177" t="s">
        <v>1711</v>
      </c>
      <c r="C177">
        <v>29282</v>
      </c>
      <c r="D177">
        <v>39483</v>
      </c>
      <c r="E177" s="12">
        <v>45748</v>
      </c>
      <c r="F177" s="12">
        <v>45758</v>
      </c>
      <c r="G177" s="10">
        <v>91050</v>
      </c>
      <c r="H177">
        <v>0</v>
      </c>
      <c r="I177" t="s">
        <v>1712</v>
      </c>
      <c r="J177" t="s">
        <v>41</v>
      </c>
      <c r="K177" t="s">
        <v>15</v>
      </c>
    </row>
    <row r="178" spans="1:11" hidden="1" x14ac:dyDescent="0.35">
      <c r="A178" t="s">
        <v>195</v>
      </c>
      <c r="B178" t="s">
        <v>196</v>
      </c>
      <c r="C178">
        <v>28107</v>
      </c>
      <c r="D178">
        <v>38033</v>
      </c>
      <c r="E178" s="12">
        <v>45639</v>
      </c>
      <c r="F178" s="12">
        <v>45759</v>
      </c>
      <c r="G178" s="10">
        <v>23828</v>
      </c>
      <c r="H178">
        <v>0</v>
      </c>
      <c r="I178" t="s">
        <v>385</v>
      </c>
      <c r="J178" t="s">
        <v>22</v>
      </c>
      <c r="K178" t="s">
        <v>15</v>
      </c>
    </row>
    <row r="179" spans="1:11" hidden="1" x14ac:dyDescent="0.35">
      <c r="A179" t="s">
        <v>92</v>
      </c>
      <c r="B179" t="s">
        <v>93</v>
      </c>
      <c r="C179">
        <v>28388</v>
      </c>
      <c r="D179">
        <v>38383</v>
      </c>
      <c r="E179" s="12">
        <v>45670</v>
      </c>
      <c r="F179" s="12">
        <v>45760</v>
      </c>
      <c r="G179" s="10">
        <v>36732.92</v>
      </c>
      <c r="H179">
        <v>0</v>
      </c>
      <c r="I179" t="s">
        <v>94</v>
      </c>
      <c r="J179" t="s">
        <v>95</v>
      </c>
      <c r="K179" t="s">
        <v>15</v>
      </c>
    </row>
    <row r="180" spans="1:11" hidden="1" x14ac:dyDescent="0.35">
      <c r="A180" t="s">
        <v>31</v>
      </c>
      <c r="B180" t="s">
        <v>32</v>
      </c>
      <c r="C180">
        <v>27921</v>
      </c>
      <c r="D180">
        <v>37789</v>
      </c>
      <c r="E180" s="12">
        <v>45625</v>
      </c>
      <c r="F180" s="12">
        <v>45761</v>
      </c>
      <c r="G180" s="10">
        <v>17999.98</v>
      </c>
      <c r="H180">
        <v>0</v>
      </c>
      <c r="I180" t="s">
        <v>628</v>
      </c>
      <c r="J180" t="s">
        <v>34</v>
      </c>
      <c r="K180" t="s">
        <v>15</v>
      </c>
    </row>
    <row r="181" spans="1:11" hidden="1" x14ac:dyDescent="0.35">
      <c r="A181" t="s">
        <v>249</v>
      </c>
      <c r="B181" t="s">
        <v>36</v>
      </c>
      <c r="C181">
        <v>28106</v>
      </c>
      <c r="D181">
        <v>38032</v>
      </c>
      <c r="E181" s="12">
        <v>45639</v>
      </c>
      <c r="F181" s="12">
        <v>45761</v>
      </c>
      <c r="G181" s="10">
        <v>24500</v>
      </c>
      <c r="H181">
        <v>0</v>
      </c>
      <c r="I181" t="s">
        <v>631</v>
      </c>
      <c r="J181" t="s">
        <v>22</v>
      </c>
      <c r="K181" t="s">
        <v>15</v>
      </c>
    </row>
    <row r="182" spans="1:11" hidden="1" x14ac:dyDescent="0.35">
      <c r="A182" t="s">
        <v>68</v>
      </c>
      <c r="B182" t="s">
        <v>69</v>
      </c>
      <c r="C182">
        <v>28389</v>
      </c>
      <c r="D182">
        <v>38386</v>
      </c>
      <c r="E182" s="12">
        <v>45670</v>
      </c>
      <c r="F182" s="12">
        <v>45761</v>
      </c>
      <c r="G182" s="10">
        <v>41124.959999999999</v>
      </c>
      <c r="H182">
        <v>0</v>
      </c>
      <c r="I182" t="s">
        <v>636</v>
      </c>
      <c r="J182" t="s">
        <v>14</v>
      </c>
      <c r="K182" t="s">
        <v>15</v>
      </c>
    </row>
    <row r="183" spans="1:11" hidden="1" x14ac:dyDescent="0.35">
      <c r="A183" t="s">
        <v>725</v>
      </c>
      <c r="B183" t="s">
        <v>726</v>
      </c>
      <c r="C183">
        <v>28860</v>
      </c>
      <c r="D183">
        <v>38953</v>
      </c>
      <c r="E183" s="12">
        <v>45700</v>
      </c>
      <c r="F183" s="12">
        <v>45761</v>
      </c>
      <c r="G183" s="10">
        <v>22801.64</v>
      </c>
      <c r="H183">
        <v>0</v>
      </c>
      <c r="I183" t="s">
        <v>727</v>
      </c>
      <c r="J183" t="s">
        <v>111</v>
      </c>
      <c r="K183" t="s">
        <v>15</v>
      </c>
    </row>
    <row r="184" spans="1:11" hidden="1" x14ac:dyDescent="0.35">
      <c r="A184" t="s">
        <v>667</v>
      </c>
      <c r="B184" t="s">
        <v>668</v>
      </c>
      <c r="C184">
        <v>28887</v>
      </c>
      <c r="D184">
        <v>38990</v>
      </c>
      <c r="E184" s="12">
        <v>45701</v>
      </c>
      <c r="F184" s="12">
        <v>45761</v>
      </c>
      <c r="G184" s="10">
        <v>168217</v>
      </c>
      <c r="H184">
        <v>0</v>
      </c>
      <c r="I184" t="s">
        <v>1158</v>
      </c>
      <c r="J184" t="s">
        <v>26</v>
      </c>
      <c r="K184" t="s">
        <v>15</v>
      </c>
    </row>
    <row r="185" spans="1:11" hidden="1" x14ac:dyDescent="0.35">
      <c r="A185" t="s">
        <v>31</v>
      </c>
      <c r="B185" t="s">
        <v>32</v>
      </c>
      <c r="C185">
        <v>27405</v>
      </c>
      <c r="D185">
        <v>37147</v>
      </c>
      <c r="E185" s="12">
        <v>45581</v>
      </c>
      <c r="F185" s="12">
        <v>45761</v>
      </c>
      <c r="G185" s="10">
        <v>15000.08</v>
      </c>
      <c r="H185">
        <v>0</v>
      </c>
      <c r="I185" t="s">
        <v>33</v>
      </c>
      <c r="J185" t="s">
        <v>34</v>
      </c>
      <c r="K185" t="s">
        <v>15</v>
      </c>
    </row>
    <row r="186" spans="1:11" hidden="1" x14ac:dyDescent="0.35">
      <c r="A186" t="s">
        <v>31</v>
      </c>
      <c r="B186" t="s">
        <v>32</v>
      </c>
      <c r="C186">
        <v>27963</v>
      </c>
      <c r="D186">
        <v>37831</v>
      </c>
      <c r="E186" s="12">
        <v>45626</v>
      </c>
      <c r="F186" s="12">
        <v>45761</v>
      </c>
      <c r="G186" s="10">
        <v>17999.98</v>
      </c>
      <c r="H186">
        <v>0</v>
      </c>
      <c r="I186" t="s">
        <v>1216</v>
      </c>
      <c r="J186" t="s">
        <v>34</v>
      </c>
      <c r="K186" t="s">
        <v>15</v>
      </c>
    </row>
    <row r="187" spans="1:11" hidden="1" x14ac:dyDescent="0.35">
      <c r="A187" t="s">
        <v>205</v>
      </c>
      <c r="B187" t="s">
        <v>56</v>
      </c>
      <c r="C187">
        <v>28096</v>
      </c>
      <c r="D187">
        <v>38021</v>
      </c>
      <c r="E187" s="12">
        <v>45639</v>
      </c>
      <c r="F187" s="12">
        <v>45761</v>
      </c>
      <c r="G187" s="10">
        <v>25090</v>
      </c>
      <c r="H187">
        <v>0</v>
      </c>
      <c r="I187" t="s">
        <v>1218</v>
      </c>
      <c r="J187" t="s">
        <v>58</v>
      </c>
      <c r="K187" t="s">
        <v>15</v>
      </c>
    </row>
    <row r="188" spans="1:11" hidden="1" x14ac:dyDescent="0.35">
      <c r="A188" t="s">
        <v>200</v>
      </c>
      <c r="B188" t="s">
        <v>56</v>
      </c>
      <c r="C188">
        <v>28080</v>
      </c>
      <c r="D188">
        <v>38003</v>
      </c>
      <c r="E188" s="12">
        <v>45639</v>
      </c>
      <c r="F188" s="12">
        <v>45761</v>
      </c>
      <c r="G188" s="10">
        <v>45570</v>
      </c>
      <c r="H188">
        <v>0</v>
      </c>
      <c r="I188" t="s">
        <v>611</v>
      </c>
      <c r="J188" t="s">
        <v>44</v>
      </c>
      <c r="K188" t="s">
        <v>15</v>
      </c>
    </row>
    <row r="189" spans="1:11" hidden="1" x14ac:dyDescent="0.35">
      <c r="A189" t="s">
        <v>725</v>
      </c>
      <c r="B189" t="s">
        <v>726</v>
      </c>
      <c r="C189">
        <v>27781</v>
      </c>
      <c r="D189">
        <v>37598</v>
      </c>
      <c r="E189" s="12">
        <v>45610</v>
      </c>
      <c r="F189" s="12">
        <v>45761</v>
      </c>
      <c r="G189" s="10">
        <v>1000</v>
      </c>
      <c r="H189">
        <v>0</v>
      </c>
      <c r="I189" t="s">
        <v>730</v>
      </c>
      <c r="J189" t="s">
        <v>111</v>
      </c>
      <c r="K189" t="s">
        <v>15</v>
      </c>
    </row>
    <row r="190" spans="1:11" hidden="1" x14ac:dyDescent="0.35">
      <c r="A190" t="s">
        <v>45</v>
      </c>
      <c r="B190" t="s">
        <v>46</v>
      </c>
      <c r="C190">
        <v>27774</v>
      </c>
      <c r="D190">
        <v>37587</v>
      </c>
      <c r="E190" s="12">
        <v>45609</v>
      </c>
      <c r="F190" s="12">
        <v>45761</v>
      </c>
      <c r="G190" s="10">
        <v>1248</v>
      </c>
      <c r="H190">
        <v>0</v>
      </c>
      <c r="I190" t="s">
        <v>858</v>
      </c>
      <c r="J190" t="s">
        <v>48</v>
      </c>
      <c r="K190" t="s">
        <v>15</v>
      </c>
    </row>
    <row r="191" spans="1:11" hidden="1" x14ac:dyDescent="0.35">
      <c r="A191" t="s">
        <v>31</v>
      </c>
      <c r="B191" t="s">
        <v>32</v>
      </c>
      <c r="C191">
        <v>28678</v>
      </c>
      <c r="D191">
        <v>38719</v>
      </c>
      <c r="E191" s="12">
        <v>45685</v>
      </c>
      <c r="F191" s="12">
        <v>45761</v>
      </c>
      <c r="G191" s="10">
        <v>8138.84</v>
      </c>
      <c r="H191">
        <v>0</v>
      </c>
      <c r="I191" t="s">
        <v>271</v>
      </c>
      <c r="J191" t="s">
        <v>34</v>
      </c>
      <c r="K191" t="s">
        <v>15</v>
      </c>
    </row>
    <row r="192" spans="1:11" hidden="1" x14ac:dyDescent="0.35">
      <c r="A192" t="s">
        <v>31</v>
      </c>
      <c r="B192" t="s">
        <v>32</v>
      </c>
      <c r="C192">
        <v>27605</v>
      </c>
      <c r="D192">
        <v>37373</v>
      </c>
      <c r="E192" s="12">
        <v>45594</v>
      </c>
      <c r="F192" s="12">
        <v>45761</v>
      </c>
      <c r="G192" s="10">
        <v>13513.32</v>
      </c>
      <c r="H192">
        <v>0</v>
      </c>
      <c r="I192" t="s">
        <v>1118</v>
      </c>
      <c r="J192" t="s">
        <v>34</v>
      </c>
      <c r="K192" t="s">
        <v>15</v>
      </c>
    </row>
    <row r="193" spans="1:11" hidden="1" x14ac:dyDescent="0.35">
      <c r="A193" t="s">
        <v>205</v>
      </c>
      <c r="B193" t="s">
        <v>56</v>
      </c>
      <c r="C193">
        <v>28098</v>
      </c>
      <c r="D193">
        <v>38023</v>
      </c>
      <c r="E193" s="12">
        <v>45639</v>
      </c>
      <c r="F193" s="12">
        <v>45761</v>
      </c>
      <c r="G193" s="10">
        <v>90535</v>
      </c>
      <c r="H193">
        <v>0</v>
      </c>
      <c r="I193" t="s">
        <v>552</v>
      </c>
      <c r="J193" t="s">
        <v>58</v>
      </c>
      <c r="K193" t="s">
        <v>15</v>
      </c>
    </row>
    <row r="194" spans="1:11" hidden="1" x14ac:dyDescent="0.35">
      <c r="A194" t="s">
        <v>31</v>
      </c>
      <c r="B194" t="s">
        <v>32</v>
      </c>
      <c r="C194">
        <v>27603</v>
      </c>
      <c r="D194">
        <v>37371</v>
      </c>
      <c r="E194" s="12">
        <v>45594</v>
      </c>
      <c r="F194" s="12">
        <v>45761</v>
      </c>
      <c r="G194" s="10">
        <v>1197.78</v>
      </c>
      <c r="H194">
        <v>0</v>
      </c>
      <c r="I194" t="s">
        <v>1284</v>
      </c>
      <c r="J194" t="s">
        <v>34</v>
      </c>
      <c r="K194" t="s">
        <v>15</v>
      </c>
    </row>
    <row r="195" spans="1:11" hidden="1" x14ac:dyDescent="0.35">
      <c r="A195" t="s">
        <v>597</v>
      </c>
      <c r="B195" t="s">
        <v>598</v>
      </c>
      <c r="C195">
        <v>29156</v>
      </c>
      <c r="D195">
        <v>39324</v>
      </c>
      <c r="E195" s="12">
        <v>45729</v>
      </c>
      <c r="F195" s="12">
        <v>45761</v>
      </c>
      <c r="G195" s="10">
        <v>1891.66</v>
      </c>
      <c r="H195">
        <v>0</v>
      </c>
      <c r="I195" t="s">
        <v>599</v>
      </c>
      <c r="J195" t="s">
        <v>194</v>
      </c>
      <c r="K195" t="s">
        <v>15</v>
      </c>
    </row>
    <row r="196" spans="1:11" hidden="1" x14ac:dyDescent="0.35">
      <c r="A196" t="s">
        <v>144</v>
      </c>
      <c r="B196" t="s">
        <v>145</v>
      </c>
      <c r="C196">
        <v>27897</v>
      </c>
      <c r="D196">
        <v>37763</v>
      </c>
      <c r="E196" s="12">
        <v>45625</v>
      </c>
      <c r="F196" s="12">
        <v>45761</v>
      </c>
      <c r="G196" s="10">
        <v>13375.45</v>
      </c>
      <c r="H196">
        <v>0</v>
      </c>
      <c r="I196" t="s">
        <v>1242</v>
      </c>
      <c r="J196" t="s">
        <v>48</v>
      </c>
      <c r="K196" t="s">
        <v>15</v>
      </c>
    </row>
    <row r="197" spans="1:11" hidden="1" x14ac:dyDescent="0.35">
      <c r="A197" t="s">
        <v>42</v>
      </c>
      <c r="B197" t="s">
        <v>43</v>
      </c>
      <c r="C197">
        <v>28085</v>
      </c>
      <c r="D197">
        <v>38008</v>
      </c>
      <c r="E197" s="12">
        <v>45639</v>
      </c>
      <c r="F197" s="12">
        <v>45761</v>
      </c>
      <c r="G197" s="10">
        <v>45208.29</v>
      </c>
      <c r="H197">
        <v>0</v>
      </c>
      <c r="I197" t="s">
        <v>1301</v>
      </c>
      <c r="J197" t="s">
        <v>44</v>
      </c>
      <c r="K197" t="s">
        <v>15</v>
      </c>
    </row>
    <row r="198" spans="1:11" hidden="1" x14ac:dyDescent="0.35">
      <c r="A198" t="s">
        <v>931</v>
      </c>
      <c r="B198" t="s">
        <v>932</v>
      </c>
      <c r="C198">
        <v>28878</v>
      </c>
      <c r="D198">
        <v>38979</v>
      </c>
      <c r="E198" s="12">
        <v>45700</v>
      </c>
      <c r="F198" s="12">
        <v>45761</v>
      </c>
      <c r="G198" s="10">
        <v>56355.75</v>
      </c>
      <c r="H198">
        <v>0</v>
      </c>
      <c r="I198" t="s">
        <v>933</v>
      </c>
      <c r="J198" t="s">
        <v>194</v>
      </c>
      <c r="K198" t="s">
        <v>15</v>
      </c>
    </row>
    <row r="199" spans="1:11" hidden="1" x14ac:dyDescent="0.35">
      <c r="A199" t="s">
        <v>68</v>
      </c>
      <c r="B199" t="s">
        <v>69</v>
      </c>
      <c r="C199">
        <v>28381</v>
      </c>
      <c r="D199">
        <v>38373</v>
      </c>
      <c r="E199" s="12">
        <v>45670</v>
      </c>
      <c r="F199" s="12">
        <v>45761</v>
      </c>
      <c r="G199" s="10">
        <v>90168.75</v>
      </c>
      <c r="H199">
        <v>0</v>
      </c>
      <c r="I199" t="s">
        <v>1449</v>
      </c>
      <c r="J199" t="s">
        <v>14</v>
      </c>
      <c r="K199" t="s">
        <v>15</v>
      </c>
    </row>
    <row r="200" spans="1:11" hidden="1" x14ac:dyDescent="0.35">
      <c r="A200" t="s">
        <v>144</v>
      </c>
      <c r="B200" t="s">
        <v>145</v>
      </c>
      <c r="C200">
        <v>27898</v>
      </c>
      <c r="D200">
        <v>37764</v>
      </c>
      <c r="E200" s="12">
        <v>45625</v>
      </c>
      <c r="F200" s="12">
        <v>45761</v>
      </c>
      <c r="G200" s="10">
        <v>15522.21</v>
      </c>
      <c r="H200">
        <v>0</v>
      </c>
      <c r="I200" t="s">
        <v>146</v>
      </c>
      <c r="J200" t="s">
        <v>48</v>
      </c>
      <c r="K200" t="s">
        <v>15</v>
      </c>
    </row>
    <row r="201" spans="1:11" hidden="1" x14ac:dyDescent="0.35">
      <c r="A201" t="s">
        <v>68</v>
      </c>
      <c r="B201" t="s">
        <v>69</v>
      </c>
      <c r="C201">
        <v>28425</v>
      </c>
      <c r="D201">
        <v>38419</v>
      </c>
      <c r="E201" s="12">
        <v>45671</v>
      </c>
      <c r="F201" s="12">
        <v>45761</v>
      </c>
      <c r="G201" s="10">
        <v>20054.98</v>
      </c>
      <c r="H201">
        <v>0</v>
      </c>
      <c r="I201" t="s">
        <v>950</v>
      </c>
      <c r="J201" t="s">
        <v>14</v>
      </c>
      <c r="K201" t="s">
        <v>15</v>
      </c>
    </row>
    <row r="202" spans="1:11" hidden="1" x14ac:dyDescent="0.35">
      <c r="A202" t="s">
        <v>49</v>
      </c>
      <c r="B202" t="s">
        <v>50</v>
      </c>
      <c r="C202">
        <v>28083</v>
      </c>
      <c r="D202">
        <v>38006</v>
      </c>
      <c r="E202" s="12">
        <v>45639</v>
      </c>
      <c r="F202" s="12">
        <v>45761</v>
      </c>
      <c r="G202" s="10">
        <v>122700</v>
      </c>
      <c r="H202">
        <v>0</v>
      </c>
      <c r="I202" t="s">
        <v>1162</v>
      </c>
      <c r="J202" t="s">
        <v>44</v>
      </c>
      <c r="K202" t="s">
        <v>15</v>
      </c>
    </row>
    <row r="203" spans="1:11" hidden="1" x14ac:dyDescent="0.35">
      <c r="A203" t="s">
        <v>68</v>
      </c>
      <c r="B203" t="s">
        <v>69</v>
      </c>
      <c r="C203">
        <v>27384</v>
      </c>
      <c r="D203">
        <v>37110</v>
      </c>
      <c r="E203" s="12">
        <v>45579</v>
      </c>
      <c r="F203" s="12">
        <v>45761</v>
      </c>
      <c r="G203" s="10">
        <v>35515.339999999997</v>
      </c>
      <c r="H203">
        <v>0</v>
      </c>
      <c r="I203" t="s">
        <v>315</v>
      </c>
      <c r="J203" t="s">
        <v>14</v>
      </c>
      <c r="K203" t="s">
        <v>15</v>
      </c>
    </row>
    <row r="204" spans="1:11" hidden="1" x14ac:dyDescent="0.35">
      <c r="A204" t="s">
        <v>31</v>
      </c>
      <c r="B204" t="s">
        <v>32</v>
      </c>
      <c r="C204">
        <v>27602</v>
      </c>
      <c r="D204">
        <v>37370</v>
      </c>
      <c r="E204" s="12">
        <v>45594</v>
      </c>
      <c r="F204" s="12">
        <v>45761</v>
      </c>
      <c r="G204" s="10">
        <v>2722.22</v>
      </c>
      <c r="H204">
        <v>0</v>
      </c>
      <c r="I204" t="s">
        <v>355</v>
      </c>
      <c r="J204" t="s">
        <v>34</v>
      </c>
      <c r="K204" t="s">
        <v>15</v>
      </c>
    </row>
    <row r="205" spans="1:11" hidden="1" x14ac:dyDescent="0.35">
      <c r="A205" t="s">
        <v>31</v>
      </c>
      <c r="B205" t="s">
        <v>32</v>
      </c>
      <c r="C205">
        <v>27604</v>
      </c>
      <c r="D205">
        <v>37372</v>
      </c>
      <c r="E205" s="12">
        <v>45594</v>
      </c>
      <c r="F205" s="12">
        <v>45761</v>
      </c>
      <c r="G205" s="10">
        <v>26535.97</v>
      </c>
      <c r="H205">
        <v>0</v>
      </c>
      <c r="I205" t="s">
        <v>356</v>
      </c>
      <c r="J205" t="s">
        <v>34</v>
      </c>
      <c r="K205" t="s">
        <v>15</v>
      </c>
    </row>
    <row r="206" spans="1:11" hidden="1" x14ac:dyDescent="0.35">
      <c r="A206" t="s">
        <v>382</v>
      </c>
      <c r="B206" t="s">
        <v>383</v>
      </c>
      <c r="C206">
        <v>28084</v>
      </c>
      <c r="D206">
        <v>38007</v>
      </c>
      <c r="E206" s="12">
        <v>45639</v>
      </c>
      <c r="F206" s="12">
        <v>45761</v>
      </c>
      <c r="G206" s="10">
        <v>108500</v>
      </c>
      <c r="H206">
        <v>0</v>
      </c>
      <c r="I206" t="s">
        <v>384</v>
      </c>
      <c r="J206" t="s">
        <v>44</v>
      </c>
      <c r="K206" t="s">
        <v>15</v>
      </c>
    </row>
    <row r="207" spans="1:11" hidden="1" x14ac:dyDescent="0.35">
      <c r="A207" t="s">
        <v>31</v>
      </c>
      <c r="B207" t="s">
        <v>32</v>
      </c>
      <c r="C207">
        <v>28677</v>
      </c>
      <c r="D207">
        <v>38718</v>
      </c>
      <c r="E207" s="12">
        <v>45685</v>
      </c>
      <c r="F207" s="12">
        <v>45761</v>
      </c>
      <c r="G207" s="10">
        <v>9583.2800000000007</v>
      </c>
      <c r="H207">
        <v>0</v>
      </c>
      <c r="I207" t="s">
        <v>271</v>
      </c>
      <c r="J207" t="s">
        <v>34</v>
      </c>
      <c r="K207" t="s">
        <v>15</v>
      </c>
    </row>
    <row r="208" spans="1:11" hidden="1" x14ac:dyDescent="0.35">
      <c r="A208" t="s">
        <v>295</v>
      </c>
      <c r="B208" t="s">
        <v>36</v>
      </c>
      <c r="C208">
        <v>28105</v>
      </c>
      <c r="D208">
        <v>38031</v>
      </c>
      <c r="E208" s="12">
        <v>45639</v>
      </c>
      <c r="F208" s="12">
        <v>45761</v>
      </c>
      <c r="G208" s="10">
        <v>5270</v>
      </c>
      <c r="H208">
        <v>0</v>
      </c>
      <c r="I208" t="s">
        <v>495</v>
      </c>
      <c r="J208" t="s">
        <v>22</v>
      </c>
      <c r="K208" t="s">
        <v>15</v>
      </c>
    </row>
    <row r="209" spans="1:11" hidden="1" x14ac:dyDescent="0.35">
      <c r="A209" t="s">
        <v>68</v>
      </c>
      <c r="B209" t="s">
        <v>69</v>
      </c>
      <c r="C209">
        <v>28424</v>
      </c>
      <c r="D209">
        <v>38418</v>
      </c>
      <c r="E209" s="12">
        <v>45671</v>
      </c>
      <c r="F209" s="12">
        <v>45761</v>
      </c>
      <c r="G209" s="10">
        <v>44651.25</v>
      </c>
      <c r="H209">
        <v>0</v>
      </c>
      <c r="I209" t="s">
        <v>501</v>
      </c>
      <c r="J209" t="s">
        <v>14</v>
      </c>
      <c r="K209" t="s">
        <v>15</v>
      </c>
    </row>
    <row r="210" spans="1:11" hidden="1" x14ac:dyDescent="0.35">
      <c r="A210" t="s">
        <v>31</v>
      </c>
      <c r="B210" t="s">
        <v>32</v>
      </c>
      <c r="C210">
        <v>27406</v>
      </c>
      <c r="D210">
        <v>37150</v>
      </c>
      <c r="E210" s="12">
        <v>45581</v>
      </c>
      <c r="F210" s="12">
        <v>45761</v>
      </c>
      <c r="G210" s="10">
        <v>21083.919999999998</v>
      </c>
      <c r="H210">
        <v>0</v>
      </c>
      <c r="I210" t="s">
        <v>746</v>
      </c>
      <c r="J210" t="s">
        <v>34</v>
      </c>
      <c r="K210" t="s">
        <v>15</v>
      </c>
    </row>
    <row r="211" spans="1:11" hidden="1" x14ac:dyDescent="0.35">
      <c r="A211" t="s">
        <v>42</v>
      </c>
      <c r="B211" t="s">
        <v>43</v>
      </c>
      <c r="C211">
        <v>28087</v>
      </c>
      <c r="D211">
        <v>38010</v>
      </c>
      <c r="E211" s="12">
        <v>45639</v>
      </c>
      <c r="F211" s="12">
        <v>45761</v>
      </c>
      <c r="G211" s="10">
        <v>36166.629999999997</v>
      </c>
      <c r="H211">
        <v>0</v>
      </c>
      <c r="I211" t="s">
        <v>1592</v>
      </c>
      <c r="J211" t="s">
        <v>44</v>
      </c>
      <c r="K211" t="s">
        <v>15</v>
      </c>
    </row>
    <row r="212" spans="1:11" hidden="1" x14ac:dyDescent="0.35">
      <c r="A212" t="s">
        <v>1430</v>
      </c>
      <c r="B212" t="s">
        <v>1431</v>
      </c>
      <c r="C212">
        <v>29158</v>
      </c>
      <c r="D212">
        <v>39326</v>
      </c>
      <c r="E212" s="12">
        <v>45729</v>
      </c>
      <c r="F212" s="12">
        <v>45761</v>
      </c>
      <c r="G212" s="10">
        <v>4600</v>
      </c>
      <c r="H212">
        <v>0</v>
      </c>
      <c r="I212" t="s">
        <v>1432</v>
      </c>
      <c r="J212" t="s">
        <v>949</v>
      </c>
      <c r="K212" t="s">
        <v>15</v>
      </c>
    </row>
    <row r="213" spans="1:11" hidden="1" x14ac:dyDescent="0.35">
      <c r="A213" t="s">
        <v>42</v>
      </c>
      <c r="B213" t="s">
        <v>43</v>
      </c>
      <c r="C213">
        <v>28088</v>
      </c>
      <c r="D213">
        <v>38011</v>
      </c>
      <c r="E213" s="12">
        <v>45639</v>
      </c>
      <c r="F213" s="12">
        <v>45761</v>
      </c>
      <c r="G213" s="10">
        <v>2528.73</v>
      </c>
      <c r="H213">
        <v>0</v>
      </c>
      <c r="I213" t="s">
        <v>1331</v>
      </c>
      <c r="J213" t="s">
        <v>44</v>
      </c>
      <c r="K213" t="s">
        <v>15</v>
      </c>
    </row>
    <row r="214" spans="1:11" hidden="1" x14ac:dyDescent="0.35">
      <c r="A214" t="s">
        <v>594</v>
      </c>
      <c r="B214" t="s">
        <v>595</v>
      </c>
      <c r="C214">
        <v>26161</v>
      </c>
      <c r="D214">
        <v>35769</v>
      </c>
      <c r="E214" s="12">
        <v>45489</v>
      </c>
      <c r="F214" s="12">
        <v>45761</v>
      </c>
      <c r="G214" s="10">
        <v>158400</v>
      </c>
      <c r="H214">
        <v>0</v>
      </c>
      <c r="I214" t="s">
        <v>1600</v>
      </c>
      <c r="J214" t="s">
        <v>58</v>
      </c>
      <c r="K214" t="s">
        <v>15</v>
      </c>
    </row>
    <row r="215" spans="1:11" hidden="1" x14ac:dyDescent="0.35">
      <c r="A215" t="s">
        <v>42</v>
      </c>
      <c r="B215" t="s">
        <v>43</v>
      </c>
      <c r="C215">
        <v>26162</v>
      </c>
      <c r="D215">
        <v>35770</v>
      </c>
      <c r="E215" s="12">
        <v>45490</v>
      </c>
      <c r="F215" s="12">
        <v>45761</v>
      </c>
      <c r="G215" s="10">
        <v>58800</v>
      </c>
      <c r="H215">
        <v>0</v>
      </c>
      <c r="I215" t="s">
        <v>1667</v>
      </c>
      <c r="J215" t="s">
        <v>44</v>
      </c>
      <c r="K215" t="s">
        <v>15</v>
      </c>
    </row>
    <row r="216" spans="1:11" hidden="1" x14ac:dyDescent="0.35">
      <c r="A216" t="s">
        <v>1163</v>
      </c>
      <c r="B216" t="s">
        <v>1164</v>
      </c>
      <c r="C216">
        <v>28090</v>
      </c>
      <c r="D216">
        <v>38014</v>
      </c>
      <c r="E216" s="12">
        <v>45639</v>
      </c>
      <c r="F216" s="12">
        <v>45761</v>
      </c>
      <c r="G216" s="10">
        <v>19519.3</v>
      </c>
      <c r="H216">
        <v>0</v>
      </c>
      <c r="I216" t="s">
        <v>1165</v>
      </c>
      <c r="J216" t="s">
        <v>949</v>
      </c>
      <c r="K216" t="s">
        <v>15</v>
      </c>
    </row>
    <row r="217" spans="1:11" hidden="1" x14ac:dyDescent="0.35">
      <c r="A217" t="s">
        <v>285</v>
      </c>
      <c r="B217" t="s">
        <v>286</v>
      </c>
      <c r="C217">
        <v>28101</v>
      </c>
      <c r="D217">
        <v>38026</v>
      </c>
      <c r="E217" s="12">
        <v>45639</v>
      </c>
      <c r="F217" s="12">
        <v>45761</v>
      </c>
      <c r="G217" s="10">
        <v>65100</v>
      </c>
      <c r="H217">
        <v>0</v>
      </c>
      <c r="I217" t="s">
        <v>1166</v>
      </c>
      <c r="J217" t="s">
        <v>58</v>
      </c>
      <c r="K217" t="s">
        <v>15</v>
      </c>
    </row>
    <row r="218" spans="1:11" hidden="1" x14ac:dyDescent="0.35">
      <c r="A218" t="s">
        <v>474</v>
      </c>
      <c r="B218" t="s">
        <v>475</v>
      </c>
      <c r="C218">
        <v>28078</v>
      </c>
      <c r="D218">
        <v>38001</v>
      </c>
      <c r="E218" s="12">
        <v>45639</v>
      </c>
      <c r="F218" s="12">
        <v>45761</v>
      </c>
      <c r="G218" s="10">
        <v>25924.5</v>
      </c>
      <c r="H218">
        <v>0</v>
      </c>
      <c r="I218" t="s">
        <v>1473</v>
      </c>
      <c r="J218" t="s">
        <v>44</v>
      </c>
      <c r="K218" t="s">
        <v>15</v>
      </c>
    </row>
    <row r="219" spans="1:11" hidden="1" x14ac:dyDescent="0.35">
      <c r="A219" t="s">
        <v>31</v>
      </c>
      <c r="B219" t="s">
        <v>32</v>
      </c>
      <c r="C219">
        <v>28894</v>
      </c>
      <c r="D219">
        <v>38999</v>
      </c>
      <c r="E219" s="12">
        <v>45702</v>
      </c>
      <c r="F219" s="12">
        <v>45762</v>
      </c>
      <c r="G219" s="10">
        <v>2520</v>
      </c>
      <c r="H219">
        <v>0</v>
      </c>
      <c r="I219" t="s">
        <v>271</v>
      </c>
      <c r="J219" t="s">
        <v>34</v>
      </c>
      <c r="K219" t="s">
        <v>15</v>
      </c>
    </row>
    <row r="220" spans="1:11" hidden="1" x14ac:dyDescent="0.35">
      <c r="A220" t="s">
        <v>562</v>
      </c>
      <c r="B220" t="s">
        <v>563</v>
      </c>
      <c r="C220">
        <v>28125</v>
      </c>
      <c r="D220">
        <v>38058</v>
      </c>
      <c r="E220" s="12">
        <v>45642</v>
      </c>
      <c r="F220" s="12">
        <v>45762</v>
      </c>
      <c r="G220" s="10">
        <v>47349.599999999999</v>
      </c>
      <c r="H220">
        <v>0</v>
      </c>
      <c r="I220" t="s">
        <v>583</v>
      </c>
      <c r="J220" t="s">
        <v>111</v>
      </c>
      <c r="K220" t="s">
        <v>15</v>
      </c>
    </row>
    <row r="221" spans="1:11" hidden="1" x14ac:dyDescent="0.35">
      <c r="A221" t="s">
        <v>725</v>
      </c>
      <c r="B221" t="s">
        <v>726</v>
      </c>
      <c r="C221">
        <v>28116</v>
      </c>
      <c r="D221">
        <v>38048</v>
      </c>
      <c r="E221" s="12">
        <v>45642</v>
      </c>
      <c r="F221" s="12">
        <v>45762</v>
      </c>
      <c r="G221" s="10">
        <v>5299.99</v>
      </c>
      <c r="H221">
        <v>0</v>
      </c>
      <c r="I221" t="s">
        <v>1231</v>
      </c>
      <c r="J221" t="s">
        <v>111</v>
      </c>
      <c r="K221" t="s">
        <v>15</v>
      </c>
    </row>
    <row r="222" spans="1:11" hidden="1" x14ac:dyDescent="0.35">
      <c r="A222" t="s">
        <v>68</v>
      </c>
      <c r="B222" t="s">
        <v>69</v>
      </c>
      <c r="C222">
        <v>28452</v>
      </c>
      <c r="D222">
        <v>38449</v>
      </c>
      <c r="E222" s="12">
        <v>45672</v>
      </c>
      <c r="F222" s="12">
        <v>45762</v>
      </c>
      <c r="G222" s="10">
        <v>5731.99</v>
      </c>
      <c r="H222">
        <v>0</v>
      </c>
      <c r="I222" t="s">
        <v>810</v>
      </c>
      <c r="J222" t="s">
        <v>14</v>
      </c>
      <c r="K222" t="s">
        <v>15</v>
      </c>
    </row>
    <row r="223" spans="1:11" hidden="1" x14ac:dyDescent="0.35">
      <c r="A223" t="s">
        <v>174</v>
      </c>
      <c r="B223" t="s">
        <v>175</v>
      </c>
      <c r="C223">
        <v>26884</v>
      </c>
      <c r="D223">
        <v>36564</v>
      </c>
      <c r="E223" s="12">
        <v>45552</v>
      </c>
      <c r="F223" s="12">
        <v>45762</v>
      </c>
      <c r="G223" s="10">
        <v>126525</v>
      </c>
      <c r="H223">
        <v>0</v>
      </c>
      <c r="I223" t="s">
        <v>1276</v>
      </c>
      <c r="J223" t="s">
        <v>58</v>
      </c>
      <c r="K223" t="s">
        <v>15</v>
      </c>
    </row>
    <row r="224" spans="1:11" hidden="1" x14ac:dyDescent="0.35">
      <c r="A224" t="s">
        <v>31</v>
      </c>
      <c r="B224" t="s">
        <v>32</v>
      </c>
      <c r="C224">
        <v>28896</v>
      </c>
      <c r="D224">
        <v>39001</v>
      </c>
      <c r="E224" s="12">
        <v>45702</v>
      </c>
      <c r="F224" s="12">
        <v>45762</v>
      </c>
      <c r="G224" s="10">
        <v>387.78</v>
      </c>
      <c r="H224">
        <v>0</v>
      </c>
      <c r="I224" t="s">
        <v>271</v>
      </c>
      <c r="J224" t="s">
        <v>34</v>
      </c>
      <c r="K224" t="s">
        <v>15</v>
      </c>
    </row>
    <row r="225" spans="1:11" hidden="1" x14ac:dyDescent="0.35">
      <c r="A225" t="s">
        <v>725</v>
      </c>
      <c r="B225" t="s">
        <v>726</v>
      </c>
      <c r="C225">
        <v>28115</v>
      </c>
      <c r="D225">
        <v>38047</v>
      </c>
      <c r="E225" s="12">
        <v>45642</v>
      </c>
      <c r="F225" s="12">
        <v>45762</v>
      </c>
      <c r="G225" s="10">
        <v>23628.81</v>
      </c>
      <c r="H225">
        <v>0</v>
      </c>
      <c r="I225" t="s">
        <v>1015</v>
      </c>
      <c r="J225" t="s">
        <v>111</v>
      </c>
      <c r="K225" t="s">
        <v>15</v>
      </c>
    </row>
    <row r="226" spans="1:11" hidden="1" x14ac:dyDescent="0.35">
      <c r="A226" t="s">
        <v>31</v>
      </c>
      <c r="B226" t="s">
        <v>32</v>
      </c>
      <c r="C226">
        <v>28895</v>
      </c>
      <c r="D226">
        <v>39000</v>
      </c>
      <c r="E226" s="12">
        <v>45702</v>
      </c>
      <c r="F226" s="12">
        <v>45762</v>
      </c>
      <c r="G226" s="10">
        <v>1915</v>
      </c>
      <c r="H226">
        <v>0</v>
      </c>
      <c r="I226" t="s">
        <v>271</v>
      </c>
      <c r="J226" t="s">
        <v>34</v>
      </c>
      <c r="K226" t="s">
        <v>15</v>
      </c>
    </row>
    <row r="227" spans="1:11" hidden="1" x14ac:dyDescent="0.35">
      <c r="A227" t="s">
        <v>288</v>
      </c>
      <c r="B227" t="s">
        <v>289</v>
      </c>
      <c r="C227">
        <v>28897</v>
      </c>
      <c r="D227">
        <v>39002</v>
      </c>
      <c r="E227" s="12">
        <v>45702</v>
      </c>
      <c r="F227" s="12">
        <v>45762</v>
      </c>
      <c r="G227" s="10">
        <v>6096</v>
      </c>
      <c r="H227">
        <v>0</v>
      </c>
      <c r="I227" t="s">
        <v>996</v>
      </c>
      <c r="J227" t="s">
        <v>34</v>
      </c>
      <c r="K227" t="s">
        <v>15</v>
      </c>
    </row>
    <row r="228" spans="1:11" hidden="1" x14ac:dyDescent="0.35">
      <c r="A228" t="s">
        <v>562</v>
      </c>
      <c r="B228" t="s">
        <v>563</v>
      </c>
      <c r="C228">
        <v>28166</v>
      </c>
      <c r="D228">
        <v>38099</v>
      </c>
      <c r="E228" s="12">
        <v>45643</v>
      </c>
      <c r="F228" s="12">
        <v>45763</v>
      </c>
      <c r="G228" s="10">
        <v>1433.6</v>
      </c>
      <c r="H228">
        <v>0</v>
      </c>
      <c r="I228" t="s">
        <v>703</v>
      </c>
      <c r="J228" t="s">
        <v>111</v>
      </c>
      <c r="K228" t="s">
        <v>15</v>
      </c>
    </row>
    <row r="229" spans="1:11" hidden="1" x14ac:dyDescent="0.35">
      <c r="A229" t="s">
        <v>174</v>
      </c>
      <c r="B229" t="s">
        <v>175</v>
      </c>
      <c r="C229">
        <v>26947</v>
      </c>
      <c r="D229">
        <v>36631</v>
      </c>
      <c r="E229" s="12">
        <v>45553</v>
      </c>
      <c r="F229" s="12">
        <v>45763</v>
      </c>
      <c r="G229" s="10">
        <v>8127</v>
      </c>
      <c r="H229">
        <v>0</v>
      </c>
      <c r="I229" t="s">
        <v>1087</v>
      </c>
      <c r="J229" t="s">
        <v>58</v>
      </c>
      <c r="K229" t="s">
        <v>15</v>
      </c>
    </row>
    <row r="230" spans="1:11" hidden="1" x14ac:dyDescent="0.35">
      <c r="A230" t="s">
        <v>174</v>
      </c>
      <c r="B230" t="s">
        <v>175</v>
      </c>
      <c r="C230">
        <v>26945</v>
      </c>
      <c r="D230">
        <v>36629</v>
      </c>
      <c r="E230" s="12">
        <v>45553</v>
      </c>
      <c r="F230" s="12">
        <v>45763</v>
      </c>
      <c r="G230" s="10">
        <v>32508</v>
      </c>
      <c r="H230">
        <v>0</v>
      </c>
      <c r="I230" t="s">
        <v>1186</v>
      </c>
      <c r="J230" t="s">
        <v>58</v>
      </c>
      <c r="K230" t="s">
        <v>15</v>
      </c>
    </row>
    <row r="231" spans="1:11" hidden="1" x14ac:dyDescent="0.35">
      <c r="A231" t="s">
        <v>169</v>
      </c>
      <c r="B231" t="s">
        <v>170</v>
      </c>
      <c r="C231">
        <v>29177</v>
      </c>
      <c r="D231">
        <v>39347</v>
      </c>
      <c r="E231" s="12">
        <v>45733</v>
      </c>
      <c r="F231" s="12">
        <v>45763</v>
      </c>
      <c r="G231" s="10">
        <v>1096.83</v>
      </c>
      <c r="H231">
        <v>0</v>
      </c>
      <c r="I231" t="s">
        <v>171</v>
      </c>
      <c r="J231" t="s">
        <v>30</v>
      </c>
      <c r="K231" t="s">
        <v>15</v>
      </c>
    </row>
    <row r="232" spans="1:11" hidden="1" x14ac:dyDescent="0.35">
      <c r="A232" t="s">
        <v>562</v>
      </c>
      <c r="B232" t="s">
        <v>563</v>
      </c>
      <c r="C232">
        <v>28465</v>
      </c>
      <c r="D232">
        <v>38465</v>
      </c>
      <c r="E232" s="12">
        <v>45673</v>
      </c>
      <c r="F232" s="12">
        <v>45763</v>
      </c>
      <c r="G232" s="10">
        <v>2877.4</v>
      </c>
      <c r="H232">
        <v>0</v>
      </c>
      <c r="I232" t="s">
        <v>564</v>
      </c>
      <c r="J232" t="s">
        <v>111</v>
      </c>
      <c r="K232" t="s">
        <v>15</v>
      </c>
    </row>
    <row r="233" spans="1:11" hidden="1" x14ac:dyDescent="0.35">
      <c r="A233" t="s">
        <v>725</v>
      </c>
      <c r="B233" t="s">
        <v>726</v>
      </c>
      <c r="C233">
        <v>28466</v>
      </c>
      <c r="D233">
        <v>38466</v>
      </c>
      <c r="E233" s="12">
        <v>45673</v>
      </c>
      <c r="F233" s="12">
        <v>45763</v>
      </c>
      <c r="G233" s="10">
        <v>2464</v>
      </c>
      <c r="H233">
        <v>0</v>
      </c>
      <c r="I233" t="s">
        <v>830</v>
      </c>
      <c r="J233" t="s">
        <v>111</v>
      </c>
      <c r="K233" t="s">
        <v>15</v>
      </c>
    </row>
    <row r="234" spans="1:11" hidden="1" x14ac:dyDescent="0.35">
      <c r="A234" t="s">
        <v>1044</v>
      </c>
      <c r="B234" t="s">
        <v>1045</v>
      </c>
      <c r="C234">
        <v>28482</v>
      </c>
      <c r="D234">
        <v>38483</v>
      </c>
      <c r="E234" s="12">
        <v>45673</v>
      </c>
      <c r="F234" s="12">
        <v>45763</v>
      </c>
      <c r="G234" s="10">
        <v>29500</v>
      </c>
      <c r="H234">
        <v>0</v>
      </c>
      <c r="I234" t="s">
        <v>1046</v>
      </c>
      <c r="J234" t="s">
        <v>194</v>
      </c>
      <c r="K234" t="s">
        <v>15</v>
      </c>
    </row>
    <row r="235" spans="1:11" hidden="1" x14ac:dyDescent="0.35">
      <c r="A235" t="s">
        <v>763</v>
      </c>
      <c r="B235" t="s">
        <v>764</v>
      </c>
      <c r="C235">
        <v>28163</v>
      </c>
      <c r="D235">
        <v>38096</v>
      </c>
      <c r="E235" s="12">
        <v>45643</v>
      </c>
      <c r="F235" s="12">
        <v>45763</v>
      </c>
      <c r="G235" s="10">
        <v>6135</v>
      </c>
      <c r="H235">
        <v>0</v>
      </c>
      <c r="I235" t="s">
        <v>1443</v>
      </c>
      <c r="J235" t="s">
        <v>44</v>
      </c>
      <c r="K235" t="s">
        <v>15</v>
      </c>
    </row>
    <row r="236" spans="1:11" hidden="1" x14ac:dyDescent="0.35">
      <c r="A236" t="s">
        <v>478</v>
      </c>
      <c r="B236" t="s">
        <v>479</v>
      </c>
      <c r="C236">
        <v>28485</v>
      </c>
      <c r="D236">
        <v>38486</v>
      </c>
      <c r="E236" s="12">
        <v>45673</v>
      </c>
      <c r="F236" s="12">
        <v>45763</v>
      </c>
      <c r="G236" s="10">
        <v>30367.8</v>
      </c>
      <c r="H236">
        <v>0</v>
      </c>
      <c r="I236" t="s">
        <v>754</v>
      </c>
      <c r="J236" t="s">
        <v>152</v>
      </c>
      <c r="K236" t="s">
        <v>15</v>
      </c>
    </row>
    <row r="237" spans="1:11" hidden="1" x14ac:dyDescent="0.35">
      <c r="A237" t="s">
        <v>642</v>
      </c>
      <c r="B237" t="s">
        <v>643</v>
      </c>
      <c r="C237">
        <v>26918</v>
      </c>
      <c r="D237">
        <v>36598</v>
      </c>
      <c r="E237" s="12">
        <v>45553</v>
      </c>
      <c r="F237" s="12">
        <v>45763</v>
      </c>
      <c r="G237" s="10">
        <v>2354</v>
      </c>
      <c r="H237">
        <v>0</v>
      </c>
      <c r="I237" t="s">
        <v>1322</v>
      </c>
      <c r="J237" t="s">
        <v>194</v>
      </c>
      <c r="K237" t="s">
        <v>15</v>
      </c>
    </row>
    <row r="238" spans="1:11" hidden="1" x14ac:dyDescent="0.35">
      <c r="A238" t="s">
        <v>169</v>
      </c>
      <c r="B238" t="s">
        <v>170</v>
      </c>
      <c r="C238">
        <v>29176</v>
      </c>
      <c r="D238">
        <v>39346</v>
      </c>
      <c r="E238" s="12">
        <v>45733</v>
      </c>
      <c r="F238" s="12">
        <v>45763</v>
      </c>
      <c r="G238" s="10">
        <v>7575.16</v>
      </c>
      <c r="H238">
        <v>0</v>
      </c>
      <c r="I238" t="s">
        <v>171</v>
      </c>
      <c r="J238" t="s">
        <v>30</v>
      </c>
      <c r="K238" t="s">
        <v>15</v>
      </c>
    </row>
    <row r="239" spans="1:11" hidden="1" x14ac:dyDescent="0.35">
      <c r="A239" t="s">
        <v>144</v>
      </c>
      <c r="B239" t="s">
        <v>145</v>
      </c>
      <c r="C239">
        <v>29191</v>
      </c>
      <c r="D239">
        <v>39364</v>
      </c>
      <c r="E239" s="12">
        <v>45733</v>
      </c>
      <c r="F239" s="12">
        <v>45763</v>
      </c>
      <c r="G239" s="10">
        <v>24571.4</v>
      </c>
      <c r="H239">
        <v>0</v>
      </c>
      <c r="I239" t="s">
        <v>1616</v>
      </c>
      <c r="J239" t="s">
        <v>48</v>
      </c>
      <c r="K239" t="s">
        <v>15</v>
      </c>
    </row>
    <row r="240" spans="1:11" hidden="1" x14ac:dyDescent="0.35">
      <c r="A240" t="s">
        <v>191</v>
      </c>
      <c r="B240" t="s">
        <v>192</v>
      </c>
      <c r="C240">
        <v>26943</v>
      </c>
      <c r="D240">
        <v>36627</v>
      </c>
      <c r="E240" s="12">
        <v>45553</v>
      </c>
      <c r="F240" s="12">
        <v>45763</v>
      </c>
      <c r="G240" s="10">
        <v>10836</v>
      </c>
      <c r="H240">
        <v>0</v>
      </c>
      <c r="I240" t="s">
        <v>1386</v>
      </c>
      <c r="J240" t="s">
        <v>194</v>
      </c>
      <c r="K240" t="s">
        <v>15</v>
      </c>
    </row>
    <row r="241" spans="1:11" hidden="1" x14ac:dyDescent="0.35">
      <c r="A241" t="s">
        <v>594</v>
      </c>
      <c r="B241" t="s">
        <v>595</v>
      </c>
      <c r="C241">
        <v>28131</v>
      </c>
      <c r="D241">
        <v>38068</v>
      </c>
      <c r="E241" s="12">
        <v>45643</v>
      </c>
      <c r="F241" s="12">
        <v>45763</v>
      </c>
      <c r="G241" s="10">
        <v>449400</v>
      </c>
      <c r="H241">
        <v>0</v>
      </c>
      <c r="I241" t="s">
        <v>1474</v>
      </c>
      <c r="J241" t="s">
        <v>58</v>
      </c>
      <c r="K241" t="s">
        <v>15</v>
      </c>
    </row>
    <row r="242" spans="1:11" hidden="1" x14ac:dyDescent="0.35">
      <c r="A242" t="s">
        <v>218</v>
      </c>
      <c r="B242" t="s">
        <v>219</v>
      </c>
      <c r="C242">
        <v>28487</v>
      </c>
      <c r="D242">
        <v>38488</v>
      </c>
      <c r="E242" s="12">
        <v>45673</v>
      </c>
      <c r="F242" s="12">
        <v>45763</v>
      </c>
      <c r="G242" s="10">
        <v>38664</v>
      </c>
      <c r="H242">
        <v>0</v>
      </c>
      <c r="I242" t="s">
        <v>1584</v>
      </c>
      <c r="J242" t="s">
        <v>152</v>
      </c>
      <c r="K242" t="s">
        <v>15</v>
      </c>
    </row>
    <row r="243" spans="1:11" hidden="1" x14ac:dyDescent="0.35">
      <c r="A243" t="s">
        <v>281</v>
      </c>
      <c r="B243" t="s">
        <v>282</v>
      </c>
      <c r="C243">
        <v>26963</v>
      </c>
      <c r="D243">
        <v>36647</v>
      </c>
      <c r="E243" s="12">
        <v>45554</v>
      </c>
      <c r="F243" s="12">
        <v>45764</v>
      </c>
      <c r="G243" s="10">
        <v>9408</v>
      </c>
      <c r="H243">
        <v>0</v>
      </c>
      <c r="I243" t="s">
        <v>837</v>
      </c>
      <c r="J243" t="s">
        <v>194</v>
      </c>
      <c r="K243" t="s">
        <v>15</v>
      </c>
    </row>
    <row r="244" spans="1:11" hidden="1" x14ac:dyDescent="0.35">
      <c r="A244" t="s">
        <v>55</v>
      </c>
      <c r="B244" t="s">
        <v>56</v>
      </c>
      <c r="C244">
        <v>28182</v>
      </c>
      <c r="D244">
        <v>38120</v>
      </c>
      <c r="E244" s="12">
        <v>45644</v>
      </c>
      <c r="F244" s="12">
        <v>45764</v>
      </c>
      <c r="G244" s="10">
        <v>256800</v>
      </c>
      <c r="H244">
        <v>0</v>
      </c>
      <c r="I244" t="s">
        <v>57</v>
      </c>
      <c r="J244" t="s">
        <v>58</v>
      </c>
      <c r="K244" t="s">
        <v>15</v>
      </c>
    </row>
    <row r="245" spans="1:11" hidden="1" x14ac:dyDescent="0.35">
      <c r="A245" t="s">
        <v>1044</v>
      </c>
      <c r="B245" t="s">
        <v>1045</v>
      </c>
      <c r="C245">
        <v>28520</v>
      </c>
      <c r="D245">
        <v>38523</v>
      </c>
      <c r="E245" s="12">
        <v>45674</v>
      </c>
      <c r="F245" s="12">
        <v>45764</v>
      </c>
      <c r="G245" s="10">
        <v>9612.5</v>
      </c>
      <c r="H245">
        <v>0</v>
      </c>
      <c r="I245" t="s">
        <v>1234</v>
      </c>
      <c r="J245" t="s">
        <v>194</v>
      </c>
      <c r="K245" t="s">
        <v>15</v>
      </c>
    </row>
    <row r="246" spans="1:11" hidden="1" x14ac:dyDescent="0.35">
      <c r="A246" t="s">
        <v>242</v>
      </c>
      <c r="B246" t="s">
        <v>243</v>
      </c>
      <c r="C246">
        <v>28167</v>
      </c>
      <c r="D246">
        <v>38101</v>
      </c>
      <c r="E246" s="12">
        <v>45644</v>
      </c>
      <c r="F246" s="12">
        <v>45764</v>
      </c>
      <c r="G246" s="10">
        <v>55987.6</v>
      </c>
      <c r="H246">
        <v>0</v>
      </c>
      <c r="I246" t="s">
        <v>244</v>
      </c>
      <c r="J246" t="s">
        <v>48</v>
      </c>
      <c r="K246" t="s">
        <v>15</v>
      </c>
    </row>
    <row r="247" spans="1:11" hidden="1" x14ac:dyDescent="0.35">
      <c r="A247" t="s">
        <v>144</v>
      </c>
      <c r="B247" t="s">
        <v>145</v>
      </c>
      <c r="C247">
        <v>28179</v>
      </c>
      <c r="D247">
        <v>38116</v>
      </c>
      <c r="E247" s="12">
        <v>45644</v>
      </c>
      <c r="F247" s="12">
        <v>45764</v>
      </c>
      <c r="G247" s="10">
        <v>9295.44</v>
      </c>
      <c r="H247">
        <v>0</v>
      </c>
      <c r="I247" t="s">
        <v>1247</v>
      </c>
      <c r="J247" t="s">
        <v>48</v>
      </c>
      <c r="K247" t="s">
        <v>15</v>
      </c>
    </row>
    <row r="248" spans="1:11" hidden="1" x14ac:dyDescent="0.35">
      <c r="A248" t="s">
        <v>1044</v>
      </c>
      <c r="B248" t="s">
        <v>1045</v>
      </c>
      <c r="C248">
        <v>28297</v>
      </c>
      <c r="D248">
        <v>38273</v>
      </c>
      <c r="E248" s="12">
        <v>45663</v>
      </c>
      <c r="F248" s="12">
        <v>45764</v>
      </c>
      <c r="G248" s="10">
        <v>8658.75</v>
      </c>
      <c r="H248">
        <v>0</v>
      </c>
      <c r="I248" t="s">
        <v>1248</v>
      </c>
      <c r="J248" t="s">
        <v>194</v>
      </c>
      <c r="K248" t="s">
        <v>15</v>
      </c>
    </row>
    <row r="249" spans="1:11" hidden="1" x14ac:dyDescent="0.35">
      <c r="A249" t="s">
        <v>174</v>
      </c>
      <c r="B249" t="s">
        <v>175</v>
      </c>
      <c r="C249">
        <v>28181</v>
      </c>
      <c r="D249">
        <v>38119</v>
      </c>
      <c r="E249" s="12">
        <v>45644</v>
      </c>
      <c r="F249" s="12">
        <v>45764</v>
      </c>
      <c r="G249" s="10">
        <v>192600</v>
      </c>
      <c r="H249">
        <v>0</v>
      </c>
      <c r="I249" t="s">
        <v>1445</v>
      </c>
      <c r="J249" t="s">
        <v>58</v>
      </c>
      <c r="K249" t="s">
        <v>15</v>
      </c>
    </row>
    <row r="250" spans="1:11" hidden="1" x14ac:dyDescent="0.35">
      <c r="A250" t="s">
        <v>288</v>
      </c>
      <c r="B250" t="s">
        <v>289</v>
      </c>
      <c r="C250">
        <v>27801</v>
      </c>
      <c r="D250">
        <v>37623</v>
      </c>
      <c r="E250" s="12">
        <v>45614</v>
      </c>
      <c r="F250" s="12">
        <v>45764</v>
      </c>
      <c r="G250" s="10">
        <v>54952.6</v>
      </c>
      <c r="H250">
        <v>0</v>
      </c>
      <c r="I250" t="s">
        <v>1634</v>
      </c>
      <c r="J250" t="s">
        <v>34</v>
      </c>
      <c r="K250" t="s">
        <v>15</v>
      </c>
    </row>
    <row r="251" spans="1:11" hidden="1" x14ac:dyDescent="0.35">
      <c r="A251" t="s">
        <v>1044</v>
      </c>
      <c r="B251" t="s">
        <v>1045</v>
      </c>
      <c r="C251">
        <v>28774</v>
      </c>
      <c r="D251">
        <v>38860</v>
      </c>
      <c r="E251" s="12">
        <v>45692</v>
      </c>
      <c r="F251" s="12">
        <v>45764</v>
      </c>
      <c r="G251" s="10">
        <v>1906.2</v>
      </c>
      <c r="H251">
        <v>0</v>
      </c>
      <c r="I251" t="s">
        <v>1615</v>
      </c>
      <c r="J251" t="s">
        <v>194</v>
      </c>
      <c r="K251" t="s">
        <v>15</v>
      </c>
    </row>
    <row r="252" spans="1:11" hidden="1" x14ac:dyDescent="0.35">
      <c r="A252" t="s">
        <v>1023</v>
      </c>
      <c r="B252" t="s">
        <v>1024</v>
      </c>
      <c r="C252">
        <v>28930</v>
      </c>
      <c r="D252">
        <v>39042</v>
      </c>
      <c r="E252" s="12">
        <v>45705</v>
      </c>
      <c r="F252" s="12">
        <v>45765</v>
      </c>
      <c r="G252" s="10">
        <v>98980.12</v>
      </c>
      <c r="H252">
        <v>0</v>
      </c>
      <c r="I252" t="s">
        <v>1025</v>
      </c>
      <c r="J252" t="s">
        <v>95</v>
      </c>
      <c r="K252" t="s">
        <v>15</v>
      </c>
    </row>
    <row r="253" spans="1:11" hidden="1" x14ac:dyDescent="0.35">
      <c r="A253" t="s">
        <v>1023</v>
      </c>
      <c r="B253" t="s">
        <v>1024</v>
      </c>
      <c r="C253">
        <v>28931</v>
      </c>
      <c r="D253">
        <v>39043</v>
      </c>
      <c r="E253" s="12">
        <v>45705</v>
      </c>
      <c r="F253" s="12">
        <v>45765</v>
      </c>
      <c r="G253" s="10">
        <v>34482</v>
      </c>
      <c r="H253">
        <v>0</v>
      </c>
      <c r="I253" t="s">
        <v>1661</v>
      </c>
      <c r="J253" t="s">
        <v>95</v>
      </c>
      <c r="K253" t="s">
        <v>15</v>
      </c>
    </row>
    <row r="254" spans="1:11" hidden="1" x14ac:dyDescent="0.35">
      <c r="A254" t="s">
        <v>667</v>
      </c>
      <c r="B254" t="s">
        <v>668</v>
      </c>
      <c r="C254">
        <v>28937</v>
      </c>
      <c r="D254">
        <v>39054</v>
      </c>
      <c r="E254" s="12">
        <v>45706</v>
      </c>
      <c r="F254" s="12">
        <v>45766</v>
      </c>
      <c r="G254" s="10">
        <v>138131.6</v>
      </c>
      <c r="H254">
        <v>0</v>
      </c>
      <c r="I254" t="s">
        <v>1617</v>
      </c>
      <c r="J254" t="s">
        <v>26</v>
      </c>
      <c r="K254" t="s">
        <v>15</v>
      </c>
    </row>
    <row r="255" spans="1:11" hidden="1" x14ac:dyDescent="0.35">
      <c r="A255" t="s">
        <v>65</v>
      </c>
      <c r="B255" t="s">
        <v>66</v>
      </c>
      <c r="C255">
        <v>27553</v>
      </c>
      <c r="D255">
        <v>37316</v>
      </c>
      <c r="E255" s="12">
        <v>45590</v>
      </c>
      <c r="F255" s="12">
        <v>45767</v>
      </c>
      <c r="G255" s="10">
        <v>300000</v>
      </c>
      <c r="H255">
        <v>0</v>
      </c>
      <c r="I255" t="s">
        <v>524</v>
      </c>
      <c r="J255" t="s">
        <v>41</v>
      </c>
      <c r="K255" t="s">
        <v>15</v>
      </c>
    </row>
    <row r="256" spans="1:11" hidden="1" x14ac:dyDescent="0.35">
      <c r="A256" t="s">
        <v>116</v>
      </c>
      <c r="B256" t="s">
        <v>117</v>
      </c>
      <c r="C256">
        <v>25505</v>
      </c>
      <c r="D256">
        <v>35048</v>
      </c>
      <c r="E256" s="12">
        <v>45398</v>
      </c>
      <c r="F256" s="12">
        <v>45767</v>
      </c>
      <c r="G256" s="10">
        <v>94000</v>
      </c>
      <c r="H256">
        <v>0</v>
      </c>
      <c r="I256" t="s">
        <v>1183</v>
      </c>
      <c r="J256" t="s">
        <v>22</v>
      </c>
      <c r="K256" t="s">
        <v>15</v>
      </c>
    </row>
    <row r="257" spans="1:11" hidden="1" x14ac:dyDescent="0.35">
      <c r="A257" t="s">
        <v>116</v>
      </c>
      <c r="B257" t="s">
        <v>117</v>
      </c>
      <c r="C257">
        <v>25503</v>
      </c>
      <c r="D257">
        <v>35046</v>
      </c>
      <c r="E257" s="12">
        <v>45398</v>
      </c>
      <c r="F257" s="12">
        <v>45767</v>
      </c>
      <c r="G257" s="10">
        <v>165900</v>
      </c>
      <c r="H257">
        <v>0</v>
      </c>
      <c r="I257" t="s">
        <v>865</v>
      </c>
      <c r="J257" t="s">
        <v>22</v>
      </c>
      <c r="K257" t="s">
        <v>15</v>
      </c>
    </row>
    <row r="258" spans="1:11" hidden="1" x14ac:dyDescent="0.35">
      <c r="A258" t="s">
        <v>136</v>
      </c>
      <c r="B258" t="s">
        <v>137</v>
      </c>
      <c r="C258">
        <v>28353</v>
      </c>
      <c r="D258">
        <v>38338</v>
      </c>
      <c r="E258" s="12">
        <v>45666</v>
      </c>
      <c r="F258" s="12">
        <v>45767</v>
      </c>
      <c r="G258" s="10">
        <v>32500</v>
      </c>
      <c r="H258">
        <v>0</v>
      </c>
      <c r="I258" t="s">
        <v>1306</v>
      </c>
      <c r="J258" t="s">
        <v>18</v>
      </c>
      <c r="K258" t="s">
        <v>15</v>
      </c>
    </row>
    <row r="259" spans="1:11" hidden="1" x14ac:dyDescent="0.35">
      <c r="A259" t="s">
        <v>667</v>
      </c>
      <c r="B259" t="s">
        <v>668</v>
      </c>
      <c r="C259">
        <v>28939</v>
      </c>
      <c r="D259">
        <v>39057</v>
      </c>
      <c r="E259" s="12">
        <v>45707</v>
      </c>
      <c r="F259" s="12">
        <v>45767</v>
      </c>
      <c r="G259" s="10">
        <v>22688.400000000001</v>
      </c>
      <c r="H259">
        <v>0</v>
      </c>
      <c r="I259" t="s">
        <v>1338</v>
      </c>
      <c r="J259" t="s">
        <v>26</v>
      </c>
      <c r="K259" t="s">
        <v>15</v>
      </c>
    </row>
    <row r="260" spans="1:11" hidden="1" x14ac:dyDescent="0.35">
      <c r="A260" t="s">
        <v>1335</v>
      </c>
      <c r="B260" t="s">
        <v>1336</v>
      </c>
      <c r="C260">
        <v>28892</v>
      </c>
      <c r="D260">
        <v>38996</v>
      </c>
      <c r="E260" s="12">
        <v>45701</v>
      </c>
      <c r="F260" s="12">
        <v>45767</v>
      </c>
      <c r="G260" s="10">
        <v>2655</v>
      </c>
      <c r="H260">
        <v>0</v>
      </c>
      <c r="I260" t="s">
        <v>1337</v>
      </c>
      <c r="J260" t="s">
        <v>18</v>
      </c>
      <c r="K260" t="s">
        <v>15</v>
      </c>
    </row>
    <row r="261" spans="1:11" hidden="1" x14ac:dyDescent="0.35">
      <c r="A261" t="s">
        <v>1335</v>
      </c>
      <c r="B261" t="s">
        <v>1336</v>
      </c>
      <c r="C261">
        <v>28978</v>
      </c>
      <c r="D261">
        <v>39099</v>
      </c>
      <c r="E261" s="12">
        <v>45707</v>
      </c>
      <c r="F261" s="12">
        <v>45767</v>
      </c>
      <c r="G261" s="10">
        <v>10962</v>
      </c>
      <c r="H261">
        <v>0</v>
      </c>
      <c r="I261" t="s">
        <v>1337</v>
      </c>
      <c r="J261" t="s">
        <v>18</v>
      </c>
      <c r="K261" t="s">
        <v>15</v>
      </c>
    </row>
    <row r="262" spans="1:11" hidden="1" x14ac:dyDescent="0.35">
      <c r="A262" t="s">
        <v>667</v>
      </c>
      <c r="B262" t="s">
        <v>668</v>
      </c>
      <c r="C262">
        <v>28938</v>
      </c>
      <c r="D262">
        <v>39056</v>
      </c>
      <c r="E262" s="12">
        <v>45707</v>
      </c>
      <c r="F262" s="12">
        <v>45767</v>
      </c>
      <c r="G262" s="10">
        <v>57279.8</v>
      </c>
      <c r="H262">
        <v>0</v>
      </c>
      <c r="I262" t="s">
        <v>1678</v>
      </c>
      <c r="J262" t="s">
        <v>26</v>
      </c>
      <c r="K262" t="s">
        <v>15</v>
      </c>
    </row>
    <row r="263" spans="1:11" hidden="1" x14ac:dyDescent="0.35">
      <c r="A263" t="s">
        <v>324</v>
      </c>
      <c r="B263" t="s">
        <v>325</v>
      </c>
      <c r="C263">
        <v>26965</v>
      </c>
      <c r="D263">
        <v>36650</v>
      </c>
      <c r="E263" s="12">
        <v>45554</v>
      </c>
      <c r="F263" s="12">
        <v>45768</v>
      </c>
      <c r="G263" s="10">
        <v>19575</v>
      </c>
      <c r="H263">
        <v>0</v>
      </c>
      <c r="I263" t="s">
        <v>326</v>
      </c>
      <c r="J263" t="s">
        <v>18</v>
      </c>
      <c r="K263" t="s">
        <v>15</v>
      </c>
    </row>
    <row r="264" spans="1:11" hidden="1" x14ac:dyDescent="0.35">
      <c r="A264" t="s">
        <v>1082</v>
      </c>
      <c r="B264" t="s">
        <v>1083</v>
      </c>
      <c r="C264">
        <v>26704</v>
      </c>
      <c r="D264">
        <v>36355</v>
      </c>
      <c r="E264" s="12">
        <v>45539</v>
      </c>
      <c r="F264" s="12">
        <v>45768</v>
      </c>
      <c r="G264" s="10">
        <v>11720</v>
      </c>
      <c r="H264">
        <v>0</v>
      </c>
      <c r="I264" t="s">
        <v>1084</v>
      </c>
      <c r="J264" t="s">
        <v>18</v>
      </c>
      <c r="K264" t="s">
        <v>15</v>
      </c>
    </row>
    <row r="265" spans="1:11" hidden="1" x14ac:dyDescent="0.35">
      <c r="A265" t="s">
        <v>303</v>
      </c>
      <c r="B265" t="s">
        <v>304</v>
      </c>
      <c r="C265">
        <v>26799</v>
      </c>
      <c r="D265">
        <v>36462</v>
      </c>
      <c r="E265" s="12">
        <v>45546</v>
      </c>
      <c r="F265" s="12">
        <v>45768</v>
      </c>
      <c r="G265" s="10">
        <v>66560</v>
      </c>
      <c r="H265">
        <v>0</v>
      </c>
      <c r="I265" t="s">
        <v>305</v>
      </c>
      <c r="J265" t="s">
        <v>18</v>
      </c>
      <c r="K265" t="s">
        <v>15</v>
      </c>
    </row>
    <row r="266" spans="1:11" hidden="1" x14ac:dyDescent="0.35">
      <c r="A266" t="s">
        <v>303</v>
      </c>
      <c r="B266" t="s">
        <v>304</v>
      </c>
      <c r="C266">
        <v>28234</v>
      </c>
      <c r="D266">
        <v>38178</v>
      </c>
      <c r="E266" s="12">
        <v>45646</v>
      </c>
      <c r="F266" s="12">
        <v>45769</v>
      </c>
      <c r="G266" s="10">
        <v>11200</v>
      </c>
      <c r="H266">
        <v>0</v>
      </c>
      <c r="I266" t="s">
        <v>704</v>
      </c>
      <c r="J266" t="s">
        <v>18</v>
      </c>
      <c r="K266" t="s">
        <v>15</v>
      </c>
    </row>
    <row r="267" spans="1:11" hidden="1" x14ac:dyDescent="0.35">
      <c r="A267" t="s">
        <v>31</v>
      </c>
      <c r="B267" t="s">
        <v>32</v>
      </c>
      <c r="C267">
        <v>27702</v>
      </c>
      <c r="D267">
        <v>37497</v>
      </c>
      <c r="E267" s="12">
        <v>45602</v>
      </c>
      <c r="F267" s="12">
        <v>45769</v>
      </c>
      <c r="G267" s="10">
        <v>18864.43</v>
      </c>
      <c r="H267">
        <v>0</v>
      </c>
      <c r="I267" t="s">
        <v>627</v>
      </c>
      <c r="J267" t="s">
        <v>34</v>
      </c>
      <c r="K267" t="s">
        <v>15</v>
      </c>
    </row>
    <row r="268" spans="1:11" hidden="1" x14ac:dyDescent="0.35">
      <c r="A268" t="s">
        <v>16</v>
      </c>
      <c r="B268" t="s">
        <v>17</v>
      </c>
      <c r="C268">
        <v>27526</v>
      </c>
      <c r="D268">
        <v>37293</v>
      </c>
      <c r="E268" s="12">
        <v>45590</v>
      </c>
      <c r="F268" s="12">
        <v>45769</v>
      </c>
      <c r="G268" s="10">
        <v>30750</v>
      </c>
      <c r="H268">
        <v>0</v>
      </c>
      <c r="I268" t="s">
        <v>198</v>
      </c>
      <c r="J268" t="s">
        <v>18</v>
      </c>
      <c r="K268" t="s">
        <v>15</v>
      </c>
    </row>
    <row r="269" spans="1:11" hidden="1" x14ac:dyDescent="0.35">
      <c r="A269" t="s">
        <v>303</v>
      </c>
      <c r="B269" t="s">
        <v>304</v>
      </c>
      <c r="C269">
        <v>26985</v>
      </c>
      <c r="D269">
        <v>36675</v>
      </c>
      <c r="E269" s="12">
        <v>45555</v>
      </c>
      <c r="F269" s="12">
        <v>45769</v>
      </c>
      <c r="G269" s="10">
        <v>187465</v>
      </c>
      <c r="H269">
        <v>0</v>
      </c>
      <c r="I269" t="s">
        <v>676</v>
      </c>
      <c r="J269" t="s">
        <v>18</v>
      </c>
      <c r="K269" t="s">
        <v>15</v>
      </c>
    </row>
    <row r="270" spans="1:11" hidden="1" x14ac:dyDescent="0.35">
      <c r="A270" t="s">
        <v>205</v>
      </c>
      <c r="B270" t="s">
        <v>56</v>
      </c>
      <c r="C270">
        <v>27802</v>
      </c>
      <c r="D270">
        <v>37625</v>
      </c>
      <c r="E270" s="12">
        <v>45615</v>
      </c>
      <c r="F270" s="12">
        <v>45769</v>
      </c>
      <c r="G270" s="10">
        <v>28530</v>
      </c>
      <c r="H270">
        <v>0</v>
      </c>
      <c r="I270" t="s">
        <v>679</v>
      </c>
      <c r="J270" t="s">
        <v>58</v>
      </c>
      <c r="K270" t="s">
        <v>15</v>
      </c>
    </row>
    <row r="271" spans="1:11" hidden="1" x14ac:dyDescent="0.35">
      <c r="A271" t="s">
        <v>31</v>
      </c>
      <c r="B271" t="s">
        <v>32</v>
      </c>
      <c r="C271">
        <v>28206</v>
      </c>
      <c r="D271">
        <v>38148</v>
      </c>
      <c r="E271" s="12">
        <v>45646</v>
      </c>
      <c r="F271" s="12">
        <v>45769</v>
      </c>
      <c r="G271" s="10">
        <v>3413.33</v>
      </c>
      <c r="H271">
        <v>0</v>
      </c>
      <c r="I271" t="s">
        <v>271</v>
      </c>
      <c r="J271" t="s">
        <v>34</v>
      </c>
      <c r="K271" t="s">
        <v>15</v>
      </c>
    </row>
    <row r="272" spans="1:11" hidden="1" x14ac:dyDescent="0.35">
      <c r="A272" t="s">
        <v>423</v>
      </c>
      <c r="B272" t="s">
        <v>424</v>
      </c>
      <c r="C272">
        <v>28372</v>
      </c>
      <c r="D272">
        <v>38364</v>
      </c>
      <c r="E272" s="12">
        <v>45667</v>
      </c>
      <c r="F272" s="12">
        <v>45769</v>
      </c>
      <c r="G272" s="10">
        <v>7200</v>
      </c>
      <c r="H272">
        <v>0</v>
      </c>
      <c r="I272" t="s">
        <v>684</v>
      </c>
      <c r="J272" t="s">
        <v>18</v>
      </c>
      <c r="K272" t="s">
        <v>15</v>
      </c>
    </row>
    <row r="273" spans="1:11" hidden="1" x14ac:dyDescent="0.35">
      <c r="A273" t="s">
        <v>1151</v>
      </c>
      <c r="B273" t="s">
        <v>246</v>
      </c>
      <c r="C273">
        <v>28244</v>
      </c>
      <c r="D273">
        <v>38191</v>
      </c>
      <c r="E273" s="12">
        <v>45649</v>
      </c>
      <c r="F273" s="12">
        <v>45769</v>
      </c>
      <c r="G273" s="10">
        <v>21385.5</v>
      </c>
      <c r="H273">
        <v>0</v>
      </c>
      <c r="I273" t="s">
        <v>1152</v>
      </c>
      <c r="J273" t="s">
        <v>34</v>
      </c>
      <c r="K273" t="s">
        <v>15</v>
      </c>
    </row>
    <row r="274" spans="1:11" hidden="1" x14ac:dyDescent="0.35">
      <c r="A274" t="s">
        <v>49</v>
      </c>
      <c r="B274" t="s">
        <v>50</v>
      </c>
      <c r="C274">
        <v>27818</v>
      </c>
      <c r="D274">
        <v>37641</v>
      </c>
      <c r="E274" s="12">
        <v>45615</v>
      </c>
      <c r="F274" s="12">
        <v>45769</v>
      </c>
      <c r="G274" s="10">
        <v>15840</v>
      </c>
      <c r="H274">
        <v>0</v>
      </c>
      <c r="I274" t="s">
        <v>51</v>
      </c>
      <c r="J274" t="s">
        <v>44</v>
      </c>
      <c r="K274" t="s">
        <v>15</v>
      </c>
    </row>
    <row r="275" spans="1:11" hidden="1" x14ac:dyDescent="0.35">
      <c r="A275" t="s">
        <v>31</v>
      </c>
      <c r="B275" t="s">
        <v>32</v>
      </c>
      <c r="C275">
        <v>28207</v>
      </c>
      <c r="D275">
        <v>38149</v>
      </c>
      <c r="E275" s="12">
        <v>45646</v>
      </c>
      <c r="F275" s="12">
        <v>45769</v>
      </c>
      <c r="G275" s="10">
        <v>7355.99</v>
      </c>
      <c r="H275">
        <v>0</v>
      </c>
      <c r="I275" t="s">
        <v>59</v>
      </c>
      <c r="J275" t="s">
        <v>34</v>
      </c>
      <c r="K275" t="s">
        <v>15</v>
      </c>
    </row>
    <row r="276" spans="1:11" hidden="1" x14ac:dyDescent="0.35">
      <c r="A276" t="s">
        <v>62</v>
      </c>
      <c r="B276" t="s">
        <v>63</v>
      </c>
      <c r="C276">
        <v>27084</v>
      </c>
      <c r="D276">
        <v>36779</v>
      </c>
      <c r="E276" s="12">
        <v>45560</v>
      </c>
      <c r="F276" s="12">
        <v>45769</v>
      </c>
      <c r="G276" s="10">
        <v>19290</v>
      </c>
      <c r="H276">
        <v>0</v>
      </c>
      <c r="I276" t="s">
        <v>64</v>
      </c>
      <c r="J276" t="s">
        <v>18</v>
      </c>
      <c r="K276" t="s">
        <v>15</v>
      </c>
    </row>
    <row r="277" spans="1:11" hidden="1" x14ac:dyDescent="0.35">
      <c r="A277" t="s">
        <v>68</v>
      </c>
      <c r="B277" t="s">
        <v>69</v>
      </c>
      <c r="C277">
        <v>27488</v>
      </c>
      <c r="D277">
        <v>37254</v>
      </c>
      <c r="E277" s="12">
        <v>45588</v>
      </c>
      <c r="F277" s="12">
        <v>45769</v>
      </c>
      <c r="G277" s="10">
        <v>1620.34</v>
      </c>
      <c r="H277">
        <v>0</v>
      </c>
      <c r="I277" t="s">
        <v>70</v>
      </c>
      <c r="J277" t="s">
        <v>14</v>
      </c>
      <c r="K277" t="s">
        <v>15</v>
      </c>
    </row>
    <row r="278" spans="1:11" hidden="1" x14ac:dyDescent="0.35">
      <c r="A278" t="s">
        <v>31</v>
      </c>
      <c r="B278" t="s">
        <v>32</v>
      </c>
      <c r="C278">
        <v>28190</v>
      </c>
      <c r="D278">
        <v>38130</v>
      </c>
      <c r="E278" s="12">
        <v>45645</v>
      </c>
      <c r="F278" s="12">
        <v>45769</v>
      </c>
      <c r="G278" s="10">
        <v>1197.78</v>
      </c>
      <c r="H278">
        <v>0</v>
      </c>
      <c r="I278" t="s">
        <v>81</v>
      </c>
      <c r="J278" t="s">
        <v>34</v>
      </c>
      <c r="K278" t="s">
        <v>15</v>
      </c>
    </row>
    <row r="279" spans="1:11" hidden="1" x14ac:dyDescent="0.35">
      <c r="A279" t="s">
        <v>331</v>
      </c>
      <c r="B279" t="s">
        <v>332</v>
      </c>
      <c r="C279">
        <v>27390</v>
      </c>
      <c r="D279">
        <v>37119</v>
      </c>
      <c r="E279" s="12">
        <v>45579</v>
      </c>
      <c r="F279" s="12">
        <v>45769</v>
      </c>
      <c r="G279" s="10">
        <v>72540</v>
      </c>
      <c r="H279">
        <v>0</v>
      </c>
      <c r="I279" t="s">
        <v>333</v>
      </c>
      <c r="J279" t="s">
        <v>18</v>
      </c>
      <c r="K279" t="s">
        <v>15</v>
      </c>
    </row>
    <row r="280" spans="1:11" hidden="1" x14ac:dyDescent="0.35">
      <c r="A280" t="s">
        <v>268</v>
      </c>
      <c r="B280" t="s">
        <v>269</v>
      </c>
      <c r="C280">
        <v>26989</v>
      </c>
      <c r="D280">
        <v>36679</v>
      </c>
      <c r="E280" s="12">
        <v>45555</v>
      </c>
      <c r="F280" s="12">
        <v>45769</v>
      </c>
      <c r="G280" s="10">
        <v>27600</v>
      </c>
      <c r="H280">
        <v>0</v>
      </c>
      <c r="I280" t="s">
        <v>571</v>
      </c>
      <c r="J280" t="s">
        <v>18</v>
      </c>
      <c r="K280" t="s">
        <v>15</v>
      </c>
    </row>
    <row r="281" spans="1:11" hidden="1" x14ac:dyDescent="0.35">
      <c r="A281" t="s">
        <v>16</v>
      </c>
      <c r="B281" t="s">
        <v>17</v>
      </c>
      <c r="C281">
        <v>27525</v>
      </c>
      <c r="D281">
        <v>37292</v>
      </c>
      <c r="E281" s="12">
        <v>45590</v>
      </c>
      <c r="F281" s="12">
        <v>45769</v>
      </c>
      <c r="G281" s="10">
        <v>25309.200000000001</v>
      </c>
      <c r="H281">
        <v>0</v>
      </c>
      <c r="I281" t="s">
        <v>578</v>
      </c>
      <c r="J281" t="s">
        <v>18</v>
      </c>
      <c r="K281" t="s">
        <v>15</v>
      </c>
    </row>
    <row r="282" spans="1:11" hidden="1" x14ac:dyDescent="0.35">
      <c r="A282" t="s">
        <v>580</v>
      </c>
      <c r="B282" t="s">
        <v>581</v>
      </c>
      <c r="C282">
        <v>27791</v>
      </c>
      <c r="D282">
        <v>37609</v>
      </c>
      <c r="E282" s="12">
        <v>45610</v>
      </c>
      <c r="F282" s="12">
        <v>45769</v>
      </c>
      <c r="G282" s="10">
        <v>5750</v>
      </c>
      <c r="H282">
        <v>0</v>
      </c>
      <c r="I282" t="s">
        <v>582</v>
      </c>
      <c r="J282" t="s">
        <v>18</v>
      </c>
      <c r="K282" t="s">
        <v>15</v>
      </c>
    </row>
    <row r="283" spans="1:11" hidden="1" x14ac:dyDescent="0.35">
      <c r="A283" t="s">
        <v>591</v>
      </c>
      <c r="B283" t="s">
        <v>592</v>
      </c>
      <c r="C283">
        <v>28559</v>
      </c>
      <c r="D283">
        <v>38577</v>
      </c>
      <c r="E283" s="12">
        <v>45678</v>
      </c>
      <c r="F283" s="12">
        <v>45769</v>
      </c>
      <c r="G283" s="10">
        <v>30791.88</v>
      </c>
      <c r="H283">
        <v>0</v>
      </c>
      <c r="I283" t="s">
        <v>593</v>
      </c>
      <c r="J283" t="s">
        <v>194</v>
      </c>
      <c r="K283" t="s">
        <v>15</v>
      </c>
    </row>
    <row r="284" spans="1:11" hidden="1" x14ac:dyDescent="0.35">
      <c r="A284" t="s">
        <v>218</v>
      </c>
      <c r="B284" t="s">
        <v>219</v>
      </c>
      <c r="C284">
        <v>28546</v>
      </c>
      <c r="D284">
        <v>38562</v>
      </c>
      <c r="E284" s="12">
        <v>45678</v>
      </c>
      <c r="F284" s="12">
        <v>45769</v>
      </c>
      <c r="G284" s="10">
        <v>4050</v>
      </c>
      <c r="H284">
        <v>0</v>
      </c>
      <c r="I284" t="s">
        <v>975</v>
      </c>
      <c r="J284" t="s">
        <v>152</v>
      </c>
      <c r="K284" t="s">
        <v>15</v>
      </c>
    </row>
    <row r="285" spans="1:11" hidden="1" x14ac:dyDescent="0.35">
      <c r="A285" t="s">
        <v>411</v>
      </c>
      <c r="B285" t="s">
        <v>412</v>
      </c>
      <c r="C285">
        <v>27042</v>
      </c>
      <c r="D285">
        <v>36735</v>
      </c>
      <c r="E285" s="12">
        <v>45559</v>
      </c>
      <c r="F285" s="12">
        <v>45769</v>
      </c>
      <c r="G285" s="10">
        <v>280000</v>
      </c>
      <c r="H285">
        <v>0</v>
      </c>
      <c r="I285" t="s">
        <v>1212</v>
      </c>
      <c r="J285" t="s">
        <v>194</v>
      </c>
      <c r="K285" t="s">
        <v>15</v>
      </c>
    </row>
    <row r="286" spans="1:11" hidden="1" x14ac:dyDescent="0.35">
      <c r="A286" t="s">
        <v>68</v>
      </c>
      <c r="B286" t="s">
        <v>69</v>
      </c>
      <c r="C286">
        <v>28198</v>
      </c>
      <c r="D286">
        <v>38139</v>
      </c>
      <c r="E286" s="12">
        <v>45646</v>
      </c>
      <c r="F286" s="12">
        <v>45769</v>
      </c>
      <c r="G286" s="10">
        <v>26235.06</v>
      </c>
      <c r="H286">
        <v>0</v>
      </c>
      <c r="I286" t="s">
        <v>613</v>
      </c>
      <c r="J286" t="s">
        <v>14</v>
      </c>
      <c r="K286" t="s">
        <v>15</v>
      </c>
    </row>
    <row r="287" spans="1:11" hidden="1" x14ac:dyDescent="0.35">
      <c r="A287" t="s">
        <v>31</v>
      </c>
      <c r="B287" t="s">
        <v>32</v>
      </c>
      <c r="C287">
        <v>28547</v>
      </c>
      <c r="D287">
        <v>38565</v>
      </c>
      <c r="E287" s="12">
        <v>45678</v>
      </c>
      <c r="F287" s="12">
        <v>45769</v>
      </c>
      <c r="G287" s="10">
        <v>13139.99</v>
      </c>
      <c r="H287">
        <v>0</v>
      </c>
      <c r="I287" t="s">
        <v>271</v>
      </c>
      <c r="J287" t="s">
        <v>34</v>
      </c>
      <c r="K287" t="s">
        <v>15</v>
      </c>
    </row>
    <row r="288" spans="1:11" hidden="1" x14ac:dyDescent="0.35">
      <c r="A288" t="s">
        <v>136</v>
      </c>
      <c r="B288" t="s">
        <v>137</v>
      </c>
      <c r="C288">
        <v>27626</v>
      </c>
      <c r="D288">
        <v>37399</v>
      </c>
      <c r="E288" s="12">
        <v>45596</v>
      </c>
      <c r="F288" s="12">
        <v>45769</v>
      </c>
      <c r="G288" s="10">
        <v>50000</v>
      </c>
      <c r="H288">
        <v>0</v>
      </c>
      <c r="I288" t="s">
        <v>1095</v>
      </c>
      <c r="J288" t="s">
        <v>18</v>
      </c>
      <c r="K288" t="s">
        <v>15</v>
      </c>
    </row>
    <row r="289" spans="1:11" hidden="1" x14ac:dyDescent="0.35">
      <c r="A289" t="s">
        <v>31</v>
      </c>
      <c r="B289" t="s">
        <v>32</v>
      </c>
      <c r="C289">
        <v>27851</v>
      </c>
      <c r="D289">
        <v>37687</v>
      </c>
      <c r="E289" s="12">
        <v>45618</v>
      </c>
      <c r="F289" s="12">
        <v>45769</v>
      </c>
      <c r="G289" s="10">
        <v>2584.44</v>
      </c>
      <c r="H289">
        <v>0</v>
      </c>
      <c r="I289" t="s">
        <v>1452</v>
      </c>
      <c r="J289" t="s">
        <v>34</v>
      </c>
      <c r="K289" t="s">
        <v>15</v>
      </c>
    </row>
    <row r="290" spans="1:11" hidden="1" x14ac:dyDescent="0.35">
      <c r="A290" t="s">
        <v>303</v>
      </c>
      <c r="B290" t="s">
        <v>304</v>
      </c>
      <c r="C290">
        <v>27933</v>
      </c>
      <c r="D290">
        <v>37801</v>
      </c>
      <c r="E290" s="12">
        <v>45625</v>
      </c>
      <c r="F290" s="12">
        <v>45769</v>
      </c>
      <c r="G290" s="10">
        <v>5600</v>
      </c>
      <c r="H290">
        <v>0</v>
      </c>
      <c r="I290" t="s">
        <v>1453</v>
      </c>
      <c r="J290" t="s">
        <v>18</v>
      </c>
      <c r="K290" t="s">
        <v>15</v>
      </c>
    </row>
    <row r="291" spans="1:11" hidden="1" x14ac:dyDescent="0.35">
      <c r="A291" t="s">
        <v>31</v>
      </c>
      <c r="B291" t="s">
        <v>32</v>
      </c>
      <c r="C291">
        <v>28208</v>
      </c>
      <c r="D291">
        <v>38150</v>
      </c>
      <c r="E291" s="12">
        <v>45646</v>
      </c>
      <c r="F291" s="12">
        <v>45769</v>
      </c>
      <c r="G291" s="10">
        <v>1705.33</v>
      </c>
      <c r="H291">
        <v>0</v>
      </c>
      <c r="I291" t="s">
        <v>1455</v>
      </c>
      <c r="J291" t="s">
        <v>34</v>
      </c>
      <c r="K291" t="s">
        <v>15</v>
      </c>
    </row>
    <row r="292" spans="1:11" hidden="1" x14ac:dyDescent="0.35">
      <c r="A292" t="s">
        <v>755</v>
      </c>
      <c r="B292" t="s">
        <v>756</v>
      </c>
      <c r="C292">
        <v>27178</v>
      </c>
      <c r="D292">
        <v>36865</v>
      </c>
      <c r="E292" s="12">
        <v>45565</v>
      </c>
      <c r="F292" s="12">
        <v>45769</v>
      </c>
      <c r="G292" s="10">
        <v>169240</v>
      </c>
      <c r="H292">
        <v>0</v>
      </c>
      <c r="I292" t="s">
        <v>1187</v>
      </c>
      <c r="J292" t="s">
        <v>18</v>
      </c>
      <c r="K292" t="s">
        <v>15</v>
      </c>
    </row>
    <row r="293" spans="1:11" hidden="1" x14ac:dyDescent="0.35">
      <c r="A293" t="s">
        <v>255</v>
      </c>
      <c r="B293" t="s">
        <v>256</v>
      </c>
      <c r="C293">
        <v>27795</v>
      </c>
      <c r="D293">
        <v>37613</v>
      </c>
      <c r="E293" s="12">
        <v>45610</v>
      </c>
      <c r="F293" s="12">
        <v>45769</v>
      </c>
      <c r="G293" s="10">
        <v>12600</v>
      </c>
      <c r="H293">
        <v>0</v>
      </c>
      <c r="I293" t="s">
        <v>1196</v>
      </c>
      <c r="J293" t="s">
        <v>18</v>
      </c>
      <c r="K293" t="s">
        <v>15</v>
      </c>
    </row>
    <row r="294" spans="1:11" hidden="1" x14ac:dyDescent="0.35">
      <c r="A294" t="s">
        <v>268</v>
      </c>
      <c r="B294" t="s">
        <v>269</v>
      </c>
      <c r="C294">
        <v>28499</v>
      </c>
      <c r="D294">
        <v>38500</v>
      </c>
      <c r="E294" s="12">
        <v>45674</v>
      </c>
      <c r="F294" s="12">
        <v>45769</v>
      </c>
      <c r="G294" s="10">
        <v>1720</v>
      </c>
      <c r="H294">
        <v>0</v>
      </c>
      <c r="I294" t="s">
        <v>1201</v>
      </c>
      <c r="J294" t="s">
        <v>18</v>
      </c>
      <c r="K294" t="s">
        <v>15</v>
      </c>
    </row>
    <row r="295" spans="1:11" hidden="1" x14ac:dyDescent="0.35">
      <c r="A295" t="s">
        <v>1151</v>
      </c>
      <c r="B295" t="s">
        <v>246</v>
      </c>
      <c r="C295">
        <v>28211</v>
      </c>
      <c r="D295">
        <v>38153</v>
      </c>
      <c r="E295" s="12">
        <v>45646</v>
      </c>
      <c r="F295" s="12">
        <v>45769</v>
      </c>
      <c r="G295" s="10">
        <v>21130.6</v>
      </c>
      <c r="H295">
        <v>0</v>
      </c>
      <c r="I295" t="s">
        <v>1233</v>
      </c>
      <c r="J295" t="s">
        <v>34</v>
      </c>
      <c r="K295" t="s">
        <v>15</v>
      </c>
    </row>
    <row r="296" spans="1:11" hidden="1" x14ac:dyDescent="0.35">
      <c r="A296" t="s">
        <v>474</v>
      </c>
      <c r="B296" t="s">
        <v>475</v>
      </c>
      <c r="C296">
        <v>27807</v>
      </c>
      <c r="D296">
        <v>37630</v>
      </c>
      <c r="E296" s="12">
        <v>45615</v>
      </c>
      <c r="F296" s="12">
        <v>45769</v>
      </c>
      <c r="G296" s="10">
        <v>15835</v>
      </c>
      <c r="H296">
        <v>0</v>
      </c>
      <c r="I296" t="s">
        <v>476</v>
      </c>
      <c r="J296" t="s">
        <v>44</v>
      </c>
      <c r="K296" t="s">
        <v>15</v>
      </c>
    </row>
    <row r="297" spans="1:11" hidden="1" x14ac:dyDescent="0.35">
      <c r="A297" t="s">
        <v>711</v>
      </c>
      <c r="B297" t="s">
        <v>454</v>
      </c>
      <c r="C297">
        <v>26606</v>
      </c>
      <c r="D297">
        <v>36255</v>
      </c>
      <c r="E297" s="12">
        <v>45531</v>
      </c>
      <c r="F297" s="12">
        <v>45769</v>
      </c>
      <c r="G297" s="10">
        <v>78989.2</v>
      </c>
      <c r="H297">
        <v>0</v>
      </c>
      <c r="I297" t="s">
        <v>712</v>
      </c>
      <c r="J297" t="s">
        <v>41</v>
      </c>
      <c r="K297" t="s">
        <v>15</v>
      </c>
    </row>
    <row r="298" spans="1:11" hidden="1" x14ac:dyDescent="0.35">
      <c r="A298" t="s">
        <v>62</v>
      </c>
      <c r="B298" t="s">
        <v>63</v>
      </c>
      <c r="C298">
        <v>26713</v>
      </c>
      <c r="D298">
        <v>36363</v>
      </c>
      <c r="E298" s="12">
        <v>45539</v>
      </c>
      <c r="F298" s="12">
        <v>45769</v>
      </c>
      <c r="G298" s="10">
        <v>161838.70000000001</v>
      </c>
      <c r="H298">
        <v>0</v>
      </c>
      <c r="I298" t="s">
        <v>716</v>
      </c>
      <c r="J298" t="s">
        <v>18</v>
      </c>
      <c r="K298" t="s">
        <v>15</v>
      </c>
    </row>
    <row r="299" spans="1:11" hidden="1" x14ac:dyDescent="0.35">
      <c r="A299" t="s">
        <v>255</v>
      </c>
      <c r="B299" t="s">
        <v>256</v>
      </c>
      <c r="C299">
        <v>26856</v>
      </c>
      <c r="D299">
        <v>36520</v>
      </c>
      <c r="E299" s="12">
        <v>45548</v>
      </c>
      <c r="F299" s="12">
        <v>45769</v>
      </c>
      <c r="G299" s="10">
        <v>111970</v>
      </c>
      <c r="H299">
        <v>0</v>
      </c>
      <c r="I299" t="s">
        <v>717</v>
      </c>
      <c r="J299" t="s">
        <v>18</v>
      </c>
      <c r="K299" t="s">
        <v>15</v>
      </c>
    </row>
    <row r="300" spans="1:11" hidden="1" x14ac:dyDescent="0.35">
      <c r="A300" t="s">
        <v>68</v>
      </c>
      <c r="B300" t="s">
        <v>69</v>
      </c>
      <c r="C300">
        <v>27492</v>
      </c>
      <c r="D300">
        <v>37257</v>
      </c>
      <c r="E300" s="12">
        <v>45588</v>
      </c>
      <c r="F300" s="12">
        <v>45769</v>
      </c>
      <c r="G300" s="10">
        <v>952.5</v>
      </c>
      <c r="H300">
        <v>0</v>
      </c>
      <c r="I300" t="s">
        <v>720</v>
      </c>
      <c r="J300" t="s">
        <v>14</v>
      </c>
      <c r="K300" t="s">
        <v>15</v>
      </c>
    </row>
    <row r="301" spans="1:11" hidden="1" x14ac:dyDescent="0.35">
      <c r="A301" t="s">
        <v>31</v>
      </c>
      <c r="B301" t="s">
        <v>32</v>
      </c>
      <c r="C301">
        <v>28217</v>
      </c>
      <c r="D301">
        <v>38159</v>
      </c>
      <c r="E301" s="12">
        <v>45646</v>
      </c>
      <c r="F301" s="12">
        <v>45769</v>
      </c>
      <c r="G301" s="10">
        <v>1600</v>
      </c>
      <c r="H301">
        <v>0</v>
      </c>
      <c r="I301" t="s">
        <v>878</v>
      </c>
      <c r="J301" t="s">
        <v>34</v>
      </c>
      <c r="K301" t="s">
        <v>15</v>
      </c>
    </row>
    <row r="302" spans="1:11" hidden="1" x14ac:dyDescent="0.35">
      <c r="A302" t="s">
        <v>144</v>
      </c>
      <c r="B302" t="s">
        <v>145</v>
      </c>
      <c r="C302">
        <v>28024</v>
      </c>
      <c r="D302">
        <v>37925</v>
      </c>
      <c r="E302" s="12">
        <v>45631</v>
      </c>
      <c r="F302" s="12">
        <v>45769</v>
      </c>
      <c r="G302" s="10">
        <v>4033.33</v>
      </c>
      <c r="H302">
        <v>0</v>
      </c>
      <c r="I302" t="s">
        <v>861</v>
      </c>
      <c r="J302" t="s">
        <v>48</v>
      </c>
      <c r="K302" t="s">
        <v>15</v>
      </c>
    </row>
    <row r="303" spans="1:11" hidden="1" x14ac:dyDescent="0.35">
      <c r="A303" t="s">
        <v>31</v>
      </c>
      <c r="B303" t="s">
        <v>32</v>
      </c>
      <c r="C303">
        <v>28192</v>
      </c>
      <c r="D303">
        <v>38132</v>
      </c>
      <c r="E303" s="12">
        <v>45645</v>
      </c>
      <c r="F303" s="12">
        <v>45769</v>
      </c>
      <c r="G303" s="10">
        <v>8064.13</v>
      </c>
      <c r="H303">
        <v>0</v>
      </c>
      <c r="I303" t="s">
        <v>863</v>
      </c>
      <c r="J303" t="s">
        <v>34</v>
      </c>
      <c r="K303" t="s">
        <v>15</v>
      </c>
    </row>
    <row r="304" spans="1:11" hidden="1" x14ac:dyDescent="0.35">
      <c r="A304" t="s">
        <v>423</v>
      </c>
      <c r="B304" t="s">
        <v>424</v>
      </c>
      <c r="C304">
        <v>28403</v>
      </c>
      <c r="D304">
        <v>38400</v>
      </c>
      <c r="E304" s="12">
        <v>45670</v>
      </c>
      <c r="F304" s="12">
        <v>45769</v>
      </c>
      <c r="G304" s="10">
        <v>2600</v>
      </c>
      <c r="H304">
        <v>0</v>
      </c>
      <c r="I304" t="s">
        <v>864</v>
      </c>
      <c r="J304" t="s">
        <v>18</v>
      </c>
      <c r="K304" t="s">
        <v>15</v>
      </c>
    </row>
    <row r="305" spans="1:11" hidden="1" x14ac:dyDescent="0.35">
      <c r="A305" t="s">
        <v>866</v>
      </c>
      <c r="B305" t="s">
        <v>867</v>
      </c>
      <c r="C305">
        <v>26705</v>
      </c>
      <c r="D305">
        <v>36356</v>
      </c>
      <c r="E305" s="12">
        <v>45539</v>
      </c>
      <c r="F305" s="12">
        <v>45769</v>
      </c>
      <c r="G305" s="10">
        <v>20890</v>
      </c>
      <c r="H305">
        <v>0</v>
      </c>
      <c r="I305" t="s">
        <v>868</v>
      </c>
      <c r="J305" t="s">
        <v>18</v>
      </c>
      <c r="K305" t="s">
        <v>15</v>
      </c>
    </row>
    <row r="306" spans="1:11" hidden="1" x14ac:dyDescent="0.35">
      <c r="A306" t="s">
        <v>31</v>
      </c>
      <c r="B306" t="s">
        <v>32</v>
      </c>
      <c r="C306">
        <v>27850</v>
      </c>
      <c r="D306">
        <v>37686</v>
      </c>
      <c r="E306" s="12">
        <v>45618</v>
      </c>
      <c r="F306" s="12">
        <v>45769</v>
      </c>
      <c r="G306" s="10">
        <v>3413.33</v>
      </c>
      <c r="H306">
        <v>0</v>
      </c>
      <c r="I306" t="s">
        <v>873</v>
      </c>
      <c r="J306" t="s">
        <v>34</v>
      </c>
      <c r="K306" t="s">
        <v>15</v>
      </c>
    </row>
    <row r="307" spans="1:11" hidden="1" x14ac:dyDescent="0.35">
      <c r="A307" t="s">
        <v>31</v>
      </c>
      <c r="B307" t="s">
        <v>32</v>
      </c>
      <c r="C307">
        <v>28209</v>
      </c>
      <c r="D307">
        <v>38151</v>
      </c>
      <c r="E307" s="12">
        <v>45646</v>
      </c>
      <c r="F307" s="12">
        <v>45769</v>
      </c>
      <c r="G307" s="10">
        <v>2243.2199999999998</v>
      </c>
      <c r="H307">
        <v>0</v>
      </c>
      <c r="I307" t="s">
        <v>876</v>
      </c>
      <c r="J307" t="s">
        <v>34</v>
      </c>
      <c r="K307" t="s">
        <v>15</v>
      </c>
    </row>
    <row r="308" spans="1:11" hidden="1" x14ac:dyDescent="0.35">
      <c r="A308" t="s">
        <v>62</v>
      </c>
      <c r="B308" t="s">
        <v>63</v>
      </c>
      <c r="C308">
        <v>28272</v>
      </c>
      <c r="D308">
        <v>38231</v>
      </c>
      <c r="E308" s="12">
        <v>45653</v>
      </c>
      <c r="F308" s="12">
        <v>45769</v>
      </c>
      <c r="G308" s="10">
        <v>2800</v>
      </c>
      <c r="H308">
        <v>0</v>
      </c>
      <c r="I308" t="s">
        <v>420</v>
      </c>
      <c r="J308" t="s">
        <v>18</v>
      </c>
      <c r="K308" t="s">
        <v>15</v>
      </c>
    </row>
    <row r="309" spans="1:11" hidden="1" x14ac:dyDescent="0.35">
      <c r="A309" t="s">
        <v>255</v>
      </c>
      <c r="B309" t="s">
        <v>256</v>
      </c>
      <c r="C309">
        <v>28641</v>
      </c>
      <c r="D309">
        <v>38674</v>
      </c>
      <c r="E309" s="12">
        <v>45684</v>
      </c>
      <c r="F309" s="12">
        <v>45769</v>
      </c>
      <c r="G309" s="10">
        <v>2080</v>
      </c>
      <c r="H309">
        <v>0</v>
      </c>
      <c r="I309" t="s">
        <v>257</v>
      </c>
      <c r="J309" t="s">
        <v>18</v>
      </c>
      <c r="K309" t="s">
        <v>15</v>
      </c>
    </row>
    <row r="310" spans="1:11" hidden="1" x14ac:dyDescent="0.35">
      <c r="A310" t="s">
        <v>191</v>
      </c>
      <c r="B310" t="s">
        <v>192</v>
      </c>
      <c r="C310">
        <v>27044</v>
      </c>
      <c r="D310">
        <v>36737</v>
      </c>
      <c r="E310" s="12">
        <v>45559</v>
      </c>
      <c r="F310" s="12">
        <v>45769</v>
      </c>
      <c r="G310" s="10">
        <v>89195</v>
      </c>
      <c r="H310">
        <v>0</v>
      </c>
      <c r="I310" t="s">
        <v>544</v>
      </c>
      <c r="J310" t="s">
        <v>194</v>
      </c>
      <c r="K310" t="s">
        <v>15</v>
      </c>
    </row>
    <row r="311" spans="1:11" hidden="1" x14ac:dyDescent="0.35">
      <c r="A311" t="s">
        <v>554</v>
      </c>
      <c r="B311" t="s">
        <v>246</v>
      </c>
      <c r="C311">
        <v>28212</v>
      </c>
      <c r="D311">
        <v>38154</v>
      </c>
      <c r="E311" s="12">
        <v>45646</v>
      </c>
      <c r="F311" s="12">
        <v>45769</v>
      </c>
      <c r="G311" s="10">
        <v>19192</v>
      </c>
      <c r="H311">
        <v>0</v>
      </c>
      <c r="I311" t="s">
        <v>555</v>
      </c>
      <c r="J311" t="s">
        <v>34</v>
      </c>
      <c r="K311" t="s">
        <v>15</v>
      </c>
    </row>
    <row r="312" spans="1:11" hidden="1" x14ac:dyDescent="0.35">
      <c r="A312" t="s">
        <v>591</v>
      </c>
      <c r="B312" t="s">
        <v>592</v>
      </c>
      <c r="C312">
        <v>29011</v>
      </c>
      <c r="D312">
        <v>39133</v>
      </c>
      <c r="E312" s="12">
        <v>45708</v>
      </c>
      <c r="F312" s="12">
        <v>45769</v>
      </c>
      <c r="G312" s="10">
        <v>3867.67</v>
      </c>
      <c r="H312">
        <v>0</v>
      </c>
      <c r="I312" t="s">
        <v>593</v>
      </c>
      <c r="J312" t="s">
        <v>194</v>
      </c>
      <c r="K312" t="s">
        <v>15</v>
      </c>
    </row>
    <row r="313" spans="1:11" hidden="1" x14ac:dyDescent="0.35">
      <c r="A313" t="s">
        <v>31</v>
      </c>
      <c r="B313" t="s">
        <v>32</v>
      </c>
      <c r="C313">
        <v>27837</v>
      </c>
      <c r="D313">
        <v>37669</v>
      </c>
      <c r="E313" s="12">
        <v>45617</v>
      </c>
      <c r="F313" s="12">
        <v>45769</v>
      </c>
      <c r="G313" s="10">
        <v>7355.99</v>
      </c>
      <c r="H313">
        <v>0</v>
      </c>
      <c r="I313" t="s">
        <v>1285</v>
      </c>
      <c r="J313" t="s">
        <v>34</v>
      </c>
      <c r="K313" t="s">
        <v>15</v>
      </c>
    </row>
    <row r="314" spans="1:11" hidden="1" x14ac:dyDescent="0.35">
      <c r="A314" t="s">
        <v>31</v>
      </c>
      <c r="B314" t="s">
        <v>32</v>
      </c>
      <c r="C314">
        <v>28205</v>
      </c>
      <c r="D314">
        <v>38147</v>
      </c>
      <c r="E314" s="12">
        <v>45646</v>
      </c>
      <c r="F314" s="12">
        <v>45769</v>
      </c>
      <c r="G314" s="10">
        <v>3239.29</v>
      </c>
      <c r="H314">
        <v>0</v>
      </c>
      <c r="I314" t="s">
        <v>271</v>
      </c>
      <c r="J314" t="s">
        <v>34</v>
      </c>
      <c r="K314" t="s">
        <v>15</v>
      </c>
    </row>
    <row r="315" spans="1:11" hidden="1" x14ac:dyDescent="0.35">
      <c r="A315" t="s">
        <v>157</v>
      </c>
      <c r="B315" t="s">
        <v>158</v>
      </c>
      <c r="C315">
        <v>28273</v>
      </c>
      <c r="D315">
        <v>38232</v>
      </c>
      <c r="E315" s="12">
        <v>45653</v>
      </c>
      <c r="F315" s="12">
        <v>45769</v>
      </c>
      <c r="G315" s="10">
        <v>1560</v>
      </c>
      <c r="H315">
        <v>0</v>
      </c>
      <c r="I315" t="s">
        <v>904</v>
      </c>
      <c r="J315" t="s">
        <v>18</v>
      </c>
      <c r="K315" t="s">
        <v>15</v>
      </c>
    </row>
    <row r="316" spans="1:11" hidden="1" x14ac:dyDescent="0.35">
      <c r="A316" t="s">
        <v>819</v>
      </c>
      <c r="B316" t="s">
        <v>820</v>
      </c>
      <c r="C316">
        <v>26693</v>
      </c>
      <c r="D316">
        <v>36346</v>
      </c>
      <c r="E316" s="12">
        <v>45539</v>
      </c>
      <c r="F316" s="12">
        <v>45769</v>
      </c>
      <c r="G316" s="10">
        <v>10284</v>
      </c>
      <c r="H316">
        <v>0</v>
      </c>
      <c r="I316" t="s">
        <v>821</v>
      </c>
      <c r="J316" t="s">
        <v>18</v>
      </c>
      <c r="K316" t="s">
        <v>15</v>
      </c>
    </row>
    <row r="317" spans="1:11" hidden="1" x14ac:dyDescent="0.35">
      <c r="A317" t="s">
        <v>281</v>
      </c>
      <c r="B317" t="s">
        <v>282</v>
      </c>
      <c r="C317">
        <v>27043</v>
      </c>
      <c r="D317">
        <v>36736</v>
      </c>
      <c r="E317" s="12">
        <v>45559</v>
      </c>
      <c r="F317" s="12">
        <v>45769</v>
      </c>
      <c r="G317" s="10">
        <v>133000</v>
      </c>
      <c r="H317">
        <v>0</v>
      </c>
      <c r="I317" t="s">
        <v>824</v>
      </c>
      <c r="J317" t="s">
        <v>194</v>
      </c>
      <c r="K317" t="s">
        <v>15</v>
      </c>
    </row>
    <row r="318" spans="1:11" hidden="1" x14ac:dyDescent="0.35">
      <c r="A318" t="s">
        <v>245</v>
      </c>
      <c r="B318" t="s">
        <v>246</v>
      </c>
      <c r="C318">
        <v>28210</v>
      </c>
      <c r="D318">
        <v>38152</v>
      </c>
      <c r="E318" s="12">
        <v>45646</v>
      </c>
      <c r="F318" s="12">
        <v>45769</v>
      </c>
      <c r="G318" s="10">
        <v>28175.8</v>
      </c>
      <c r="H318">
        <v>0</v>
      </c>
      <c r="I318" t="s">
        <v>247</v>
      </c>
      <c r="J318" t="s">
        <v>34</v>
      </c>
      <c r="K318" t="s">
        <v>15</v>
      </c>
    </row>
    <row r="319" spans="1:11" hidden="1" x14ac:dyDescent="0.35">
      <c r="A319" t="s">
        <v>268</v>
      </c>
      <c r="B319" t="s">
        <v>269</v>
      </c>
      <c r="C319">
        <v>28821</v>
      </c>
      <c r="D319">
        <v>38908</v>
      </c>
      <c r="E319" s="12">
        <v>45695</v>
      </c>
      <c r="F319" s="12">
        <v>45769</v>
      </c>
      <c r="G319" s="10">
        <v>14271.5</v>
      </c>
      <c r="H319">
        <v>0</v>
      </c>
      <c r="I319" t="s">
        <v>270</v>
      </c>
      <c r="J319" t="s">
        <v>18</v>
      </c>
      <c r="K319" t="s">
        <v>15</v>
      </c>
    </row>
    <row r="320" spans="1:11" hidden="1" x14ac:dyDescent="0.35">
      <c r="A320" t="s">
        <v>31</v>
      </c>
      <c r="B320" t="s">
        <v>32</v>
      </c>
      <c r="C320">
        <v>28538</v>
      </c>
      <c r="D320">
        <v>38555</v>
      </c>
      <c r="E320" s="12">
        <v>45678</v>
      </c>
      <c r="F320" s="12">
        <v>45769</v>
      </c>
      <c r="G320" s="10">
        <v>1813.33</v>
      </c>
      <c r="H320">
        <v>0</v>
      </c>
      <c r="I320" t="s">
        <v>271</v>
      </c>
      <c r="J320" t="s">
        <v>34</v>
      </c>
      <c r="K320" t="s">
        <v>15</v>
      </c>
    </row>
    <row r="321" spans="1:11" hidden="1" x14ac:dyDescent="0.35">
      <c r="A321" t="s">
        <v>474</v>
      </c>
      <c r="B321" t="s">
        <v>475</v>
      </c>
      <c r="C321">
        <v>27805</v>
      </c>
      <c r="D321">
        <v>37628</v>
      </c>
      <c r="E321" s="12">
        <v>45615</v>
      </c>
      <c r="F321" s="12">
        <v>45769</v>
      </c>
      <c r="G321" s="10">
        <v>17752.5</v>
      </c>
      <c r="H321">
        <v>0</v>
      </c>
      <c r="I321" t="s">
        <v>476</v>
      </c>
      <c r="J321" t="s">
        <v>44</v>
      </c>
      <c r="K321" t="s">
        <v>15</v>
      </c>
    </row>
    <row r="322" spans="1:11" hidden="1" x14ac:dyDescent="0.35">
      <c r="A322" t="s">
        <v>273</v>
      </c>
      <c r="B322" t="s">
        <v>274</v>
      </c>
      <c r="C322">
        <v>27085</v>
      </c>
      <c r="D322">
        <v>36780</v>
      </c>
      <c r="E322" s="12">
        <v>45560</v>
      </c>
      <c r="F322" s="12">
        <v>45769</v>
      </c>
      <c r="G322" s="10">
        <v>138480</v>
      </c>
      <c r="H322">
        <v>0</v>
      </c>
      <c r="I322" t="s">
        <v>275</v>
      </c>
      <c r="J322" t="s">
        <v>18</v>
      </c>
      <c r="K322" t="s">
        <v>15</v>
      </c>
    </row>
    <row r="323" spans="1:11" hidden="1" x14ac:dyDescent="0.35">
      <c r="A323" t="s">
        <v>273</v>
      </c>
      <c r="B323" t="s">
        <v>274</v>
      </c>
      <c r="C323">
        <v>27087</v>
      </c>
      <c r="D323">
        <v>36782</v>
      </c>
      <c r="E323" s="12">
        <v>45560</v>
      </c>
      <c r="F323" s="12">
        <v>45769</v>
      </c>
      <c r="G323" s="10">
        <v>130739</v>
      </c>
      <c r="H323">
        <v>0</v>
      </c>
      <c r="I323" t="s">
        <v>276</v>
      </c>
      <c r="J323" t="s">
        <v>18</v>
      </c>
      <c r="K323" t="s">
        <v>15</v>
      </c>
    </row>
    <row r="324" spans="1:11" hidden="1" x14ac:dyDescent="0.35">
      <c r="A324" t="s">
        <v>288</v>
      </c>
      <c r="B324" t="s">
        <v>289</v>
      </c>
      <c r="C324">
        <v>27836</v>
      </c>
      <c r="D324">
        <v>37668</v>
      </c>
      <c r="E324" s="12">
        <v>45617</v>
      </c>
      <c r="F324" s="12">
        <v>45769</v>
      </c>
      <c r="G324" s="10">
        <v>18480</v>
      </c>
      <c r="H324">
        <v>0</v>
      </c>
      <c r="I324" t="s">
        <v>290</v>
      </c>
      <c r="J324" t="s">
        <v>34</v>
      </c>
      <c r="K324" t="s">
        <v>15</v>
      </c>
    </row>
    <row r="325" spans="1:11" hidden="1" x14ac:dyDescent="0.35">
      <c r="A325" t="s">
        <v>16</v>
      </c>
      <c r="B325" t="s">
        <v>17</v>
      </c>
      <c r="C325">
        <v>28123</v>
      </c>
      <c r="D325">
        <v>38056</v>
      </c>
      <c r="E325" s="12">
        <v>45642</v>
      </c>
      <c r="F325" s="12">
        <v>45769</v>
      </c>
      <c r="G325" s="10">
        <v>6489</v>
      </c>
      <c r="H325">
        <v>0</v>
      </c>
      <c r="I325" t="s">
        <v>292</v>
      </c>
      <c r="J325" t="s">
        <v>18</v>
      </c>
      <c r="K325" t="s">
        <v>15</v>
      </c>
    </row>
    <row r="326" spans="1:11" hidden="1" x14ac:dyDescent="0.35">
      <c r="A326" t="s">
        <v>297</v>
      </c>
      <c r="B326" t="s">
        <v>298</v>
      </c>
      <c r="C326">
        <v>28270</v>
      </c>
      <c r="D326">
        <v>38229</v>
      </c>
      <c r="E326" s="12">
        <v>45653</v>
      </c>
      <c r="F326" s="12">
        <v>45769</v>
      </c>
      <c r="G326" s="10">
        <v>2600</v>
      </c>
      <c r="H326">
        <v>0</v>
      </c>
      <c r="I326" t="s">
        <v>299</v>
      </c>
      <c r="J326" t="s">
        <v>18</v>
      </c>
      <c r="K326" t="s">
        <v>15</v>
      </c>
    </row>
    <row r="327" spans="1:11" hidden="1" x14ac:dyDescent="0.35">
      <c r="A327" t="s">
        <v>303</v>
      </c>
      <c r="B327" t="s">
        <v>304</v>
      </c>
      <c r="C327">
        <v>26988</v>
      </c>
      <c r="D327">
        <v>36678</v>
      </c>
      <c r="E327" s="12">
        <v>45555</v>
      </c>
      <c r="F327" s="12">
        <v>45769</v>
      </c>
      <c r="G327" s="10">
        <v>12180</v>
      </c>
      <c r="H327">
        <v>0</v>
      </c>
      <c r="I327" t="s">
        <v>781</v>
      </c>
      <c r="J327" t="s">
        <v>18</v>
      </c>
      <c r="K327" t="s">
        <v>15</v>
      </c>
    </row>
    <row r="328" spans="1:11" hidden="1" x14ac:dyDescent="0.35">
      <c r="A328" t="s">
        <v>755</v>
      </c>
      <c r="B328" t="s">
        <v>756</v>
      </c>
      <c r="C328">
        <v>27792</v>
      </c>
      <c r="D328">
        <v>37610</v>
      </c>
      <c r="E328" s="12">
        <v>45610</v>
      </c>
      <c r="F328" s="12">
        <v>45769</v>
      </c>
      <c r="G328" s="10">
        <v>39000</v>
      </c>
      <c r="H328">
        <v>0</v>
      </c>
      <c r="I328" t="s">
        <v>788</v>
      </c>
      <c r="J328" t="s">
        <v>18</v>
      </c>
      <c r="K328" t="s">
        <v>15</v>
      </c>
    </row>
    <row r="329" spans="1:11" hidden="1" x14ac:dyDescent="0.35">
      <c r="A329" t="s">
        <v>288</v>
      </c>
      <c r="B329" t="s">
        <v>289</v>
      </c>
      <c r="C329">
        <v>27849</v>
      </c>
      <c r="D329">
        <v>37685</v>
      </c>
      <c r="E329" s="12">
        <v>45618</v>
      </c>
      <c r="F329" s="12">
        <v>45769</v>
      </c>
      <c r="G329" s="10">
        <v>2898</v>
      </c>
      <c r="H329">
        <v>0</v>
      </c>
      <c r="I329" t="s">
        <v>789</v>
      </c>
      <c r="J329" t="s">
        <v>34</v>
      </c>
      <c r="K329" t="s">
        <v>15</v>
      </c>
    </row>
    <row r="330" spans="1:11" hidden="1" x14ac:dyDescent="0.35">
      <c r="A330" t="s">
        <v>268</v>
      </c>
      <c r="B330" t="s">
        <v>269</v>
      </c>
      <c r="C330">
        <v>28417</v>
      </c>
      <c r="D330">
        <v>38411</v>
      </c>
      <c r="E330" s="12">
        <v>45671</v>
      </c>
      <c r="F330" s="12">
        <v>45769</v>
      </c>
      <c r="G330" s="10">
        <v>4758</v>
      </c>
      <c r="H330">
        <v>0</v>
      </c>
      <c r="I330" t="s">
        <v>793</v>
      </c>
      <c r="J330" t="s">
        <v>18</v>
      </c>
      <c r="K330" t="s">
        <v>15</v>
      </c>
    </row>
    <row r="331" spans="1:11" hidden="1" x14ac:dyDescent="0.35">
      <c r="A331" t="s">
        <v>591</v>
      </c>
      <c r="B331" t="s">
        <v>592</v>
      </c>
      <c r="C331">
        <v>28567</v>
      </c>
      <c r="D331">
        <v>38585</v>
      </c>
      <c r="E331" s="12">
        <v>45679</v>
      </c>
      <c r="F331" s="12">
        <v>45769</v>
      </c>
      <c r="G331" s="10">
        <v>3681.01</v>
      </c>
      <c r="H331">
        <v>0</v>
      </c>
      <c r="I331" t="s">
        <v>593</v>
      </c>
      <c r="J331" t="s">
        <v>194</v>
      </c>
      <c r="K331" t="s">
        <v>15</v>
      </c>
    </row>
    <row r="332" spans="1:11" hidden="1" x14ac:dyDescent="0.35">
      <c r="A332" t="s">
        <v>430</v>
      </c>
      <c r="B332" t="s">
        <v>431</v>
      </c>
      <c r="C332">
        <v>27930</v>
      </c>
      <c r="D332">
        <v>37798</v>
      </c>
      <c r="E332" s="12">
        <v>45625</v>
      </c>
      <c r="F332" s="12">
        <v>45769</v>
      </c>
      <c r="G332" s="10">
        <v>6540</v>
      </c>
      <c r="H332">
        <v>0</v>
      </c>
      <c r="I332" t="s">
        <v>1243</v>
      </c>
      <c r="J332" t="s">
        <v>18</v>
      </c>
      <c r="K332" t="s">
        <v>15</v>
      </c>
    </row>
    <row r="333" spans="1:11" hidden="1" x14ac:dyDescent="0.35">
      <c r="A333" t="s">
        <v>31</v>
      </c>
      <c r="B333" t="s">
        <v>32</v>
      </c>
      <c r="C333">
        <v>28194</v>
      </c>
      <c r="D333">
        <v>38134</v>
      </c>
      <c r="E333" s="12">
        <v>45645</v>
      </c>
      <c r="F333" s="12">
        <v>45769</v>
      </c>
      <c r="G333" s="10">
        <v>666.67</v>
      </c>
      <c r="H333">
        <v>0</v>
      </c>
      <c r="I333" t="s">
        <v>271</v>
      </c>
      <c r="J333" t="s">
        <v>34</v>
      </c>
      <c r="K333" t="s">
        <v>15</v>
      </c>
    </row>
    <row r="334" spans="1:11" hidden="1" x14ac:dyDescent="0.35">
      <c r="A334" t="s">
        <v>913</v>
      </c>
      <c r="B334" t="s">
        <v>914</v>
      </c>
      <c r="C334">
        <v>26860</v>
      </c>
      <c r="D334">
        <v>36527</v>
      </c>
      <c r="E334" s="12">
        <v>45548</v>
      </c>
      <c r="F334" s="12">
        <v>45769</v>
      </c>
      <c r="G334" s="10">
        <v>16700</v>
      </c>
      <c r="H334">
        <v>0</v>
      </c>
      <c r="I334" t="s">
        <v>915</v>
      </c>
      <c r="J334" t="s">
        <v>18</v>
      </c>
      <c r="K334" t="s">
        <v>15</v>
      </c>
    </row>
    <row r="335" spans="1:11" hidden="1" x14ac:dyDescent="0.35">
      <c r="A335" t="s">
        <v>303</v>
      </c>
      <c r="B335" t="s">
        <v>304</v>
      </c>
      <c r="C335">
        <v>28126</v>
      </c>
      <c r="D335">
        <v>38059</v>
      </c>
      <c r="E335" s="12">
        <v>45642</v>
      </c>
      <c r="F335" s="12">
        <v>45769</v>
      </c>
      <c r="G335" s="10">
        <v>7280</v>
      </c>
      <c r="H335">
        <v>0</v>
      </c>
      <c r="I335" t="s">
        <v>1263</v>
      </c>
      <c r="J335" t="s">
        <v>18</v>
      </c>
      <c r="K335" t="s">
        <v>15</v>
      </c>
    </row>
    <row r="336" spans="1:11" hidden="1" x14ac:dyDescent="0.35">
      <c r="A336" t="s">
        <v>288</v>
      </c>
      <c r="B336" t="s">
        <v>289</v>
      </c>
      <c r="C336">
        <v>29019</v>
      </c>
      <c r="D336">
        <v>39143</v>
      </c>
      <c r="E336" s="12">
        <v>45709</v>
      </c>
      <c r="F336" s="12">
        <v>45769</v>
      </c>
      <c r="G336" s="10">
        <v>66959.240000000005</v>
      </c>
      <c r="H336">
        <v>0</v>
      </c>
      <c r="I336" t="s">
        <v>996</v>
      </c>
      <c r="J336" t="s">
        <v>34</v>
      </c>
      <c r="K336" t="s">
        <v>15</v>
      </c>
    </row>
    <row r="337" spans="1:11" hidden="1" x14ac:dyDescent="0.35">
      <c r="A337" t="s">
        <v>144</v>
      </c>
      <c r="B337" t="s">
        <v>145</v>
      </c>
      <c r="C337">
        <v>29242</v>
      </c>
      <c r="D337">
        <v>39425</v>
      </c>
      <c r="E337" s="12">
        <v>45737</v>
      </c>
      <c r="F337" s="12">
        <v>45769</v>
      </c>
      <c r="G337" s="10">
        <v>11195.99</v>
      </c>
      <c r="H337">
        <v>0</v>
      </c>
      <c r="I337" t="s">
        <v>1616</v>
      </c>
      <c r="J337" t="s">
        <v>48</v>
      </c>
      <c r="K337" t="s">
        <v>15</v>
      </c>
    </row>
    <row r="338" spans="1:11" hidden="1" x14ac:dyDescent="0.35">
      <c r="A338" t="s">
        <v>819</v>
      </c>
      <c r="B338" t="s">
        <v>820</v>
      </c>
      <c r="C338">
        <v>26609</v>
      </c>
      <c r="D338">
        <v>36258</v>
      </c>
      <c r="E338" s="12">
        <v>45531</v>
      </c>
      <c r="F338" s="12">
        <v>45769</v>
      </c>
      <c r="G338" s="10">
        <v>200846.8</v>
      </c>
      <c r="H338">
        <v>0</v>
      </c>
      <c r="I338" t="s">
        <v>1032</v>
      </c>
      <c r="J338" t="s">
        <v>18</v>
      </c>
      <c r="K338" t="s">
        <v>15</v>
      </c>
    </row>
    <row r="339" spans="1:11" hidden="1" x14ac:dyDescent="0.35">
      <c r="A339" t="s">
        <v>157</v>
      </c>
      <c r="B339" t="s">
        <v>158</v>
      </c>
      <c r="C339">
        <v>26859</v>
      </c>
      <c r="D339">
        <v>36525</v>
      </c>
      <c r="E339" s="12">
        <v>45548</v>
      </c>
      <c r="F339" s="12">
        <v>45769</v>
      </c>
      <c r="G339" s="10">
        <v>73170</v>
      </c>
      <c r="H339">
        <v>0</v>
      </c>
      <c r="I339" t="s">
        <v>1035</v>
      </c>
      <c r="J339" t="s">
        <v>18</v>
      </c>
      <c r="K339" t="s">
        <v>15</v>
      </c>
    </row>
    <row r="340" spans="1:11" hidden="1" x14ac:dyDescent="0.35">
      <c r="A340" t="s">
        <v>554</v>
      </c>
      <c r="B340" t="s">
        <v>246</v>
      </c>
      <c r="C340">
        <v>28216</v>
      </c>
      <c r="D340">
        <v>38158</v>
      </c>
      <c r="E340" s="12">
        <v>45646</v>
      </c>
      <c r="F340" s="12">
        <v>45769</v>
      </c>
      <c r="G340" s="10">
        <v>8129.28</v>
      </c>
      <c r="H340">
        <v>0</v>
      </c>
      <c r="I340" t="s">
        <v>995</v>
      </c>
      <c r="J340" t="s">
        <v>34</v>
      </c>
      <c r="K340" t="s">
        <v>15</v>
      </c>
    </row>
    <row r="341" spans="1:11" hidden="1" x14ac:dyDescent="0.35">
      <c r="A341" t="s">
        <v>1176</v>
      </c>
      <c r="B341" t="s">
        <v>1177</v>
      </c>
      <c r="C341">
        <v>28195</v>
      </c>
      <c r="D341">
        <v>38135</v>
      </c>
      <c r="E341" s="12">
        <v>45645</v>
      </c>
      <c r="F341" s="12">
        <v>45769</v>
      </c>
      <c r="G341" s="10">
        <v>22330.18</v>
      </c>
      <c r="H341">
        <v>0</v>
      </c>
      <c r="I341" t="s">
        <v>1446</v>
      </c>
      <c r="J341" t="s">
        <v>48</v>
      </c>
      <c r="K341" t="s">
        <v>15</v>
      </c>
    </row>
    <row r="342" spans="1:11" hidden="1" x14ac:dyDescent="0.35">
      <c r="A342" t="s">
        <v>725</v>
      </c>
      <c r="B342" t="s">
        <v>726</v>
      </c>
      <c r="C342">
        <v>28196</v>
      </c>
      <c r="D342">
        <v>38137</v>
      </c>
      <c r="E342" s="12">
        <v>45645</v>
      </c>
      <c r="F342" s="12">
        <v>45769</v>
      </c>
      <c r="G342" s="10">
        <v>3337.5</v>
      </c>
      <c r="H342">
        <v>0</v>
      </c>
      <c r="I342" t="s">
        <v>1447</v>
      </c>
      <c r="J342" t="s">
        <v>111</v>
      </c>
      <c r="K342" t="s">
        <v>15</v>
      </c>
    </row>
    <row r="343" spans="1:11" hidden="1" x14ac:dyDescent="0.35">
      <c r="A343" t="s">
        <v>1029</v>
      </c>
      <c r="B343" t="s">
        <v>1030</v>
      </c>
      <c r="C343">
        <v>28213</v>
      </c>
      <c r="D343">
        <v>38155</v>
      </c>
      <c r="E343" s="12">
        <v>45646</v>
      </c>
      <c r="F343" s="12">
        <v>45769</v>
      </c>
      <c r="G343" s="10">
        <v>135126.39999999999</v>
      </c>
      <c r="H343">
        <v>0</v>
      </c>
      <c r="I343" t="s">
        <v>1448</v>
      </c>
      <c r="J343" t="s">
        <v>91</v>
      </c>
      <c r="K343" t="s">
        <v>15</v>
      </c>
    </row>
    <row r="344" spans="1:11" hidden="1" x14ac:dyDescent="0.35">
      <c r="A344" t="s">
        <v>645</v>
      </c>
      <c r="B344" t="s">
        <v>646</v>
      </c>
      <c r="C344">
        <v>26857</v>
      </c>
      <c r="D344">
        <v>36521</v>
      </c>
      <c r="E344" s="12">
        <v>45548</v>
      </c>
      <c r="F344" s="12">
        <v>45769</v>
      </c>
      <c r="G344" s="10">
        <v>47710</v>
      </c>
      <c r="H344">
        <v>0</v>
      </c>
      <c r="I344" t="s">
        <v>647</v>
      </c>
      <c r="J344" t="s">
        <v>18</v>
      </c>
      <c r="K344" t="s">
        <v>15</v>
      </c>
    </row>
    <row r="345" spans="1:11" hidden="1" x14ac:dyDescent="0.35">
      <c r="A345" t="s">
        <v>268</v>
      </c>
      <c r="B345" t="s">
        <v>269</v>
      </c>
      <c r="C345">
        <v>26987</v>
      </c>
      <c r="D345">
        <v>36677</v>
      </c>
      <c r="E345" s="12">
        <v>45555</v>
      </c>
      <c r="F345" s="12">
        <v>45769</v>
      </c>
      <c r="G345" s="10">
        <v>88320</v>
      </c>
      <c r="H345">
        <v>0</v>
      </c>
      <c r="I345" t="s">
        <v>648</v>
      </c>
      <c r="J345" t="s">
        <v>18</v>
      </c>
      <c r="K345" t="s">
        <v>15</v>
      </c>
    </row>
    <row r="346" spans="1:11" hidden="1" x14ac:dyDescent="0.35">
      <c r="A346" t="s">
        <v>136</v>
      </c>
      <c r="B346" t="s">
        <v>137</v>
      </c>
      <c r="C346">
        <v>27625</v>
      </c>
      <c r="D346">
        <v>37398</v>
      </c>
      <c r="E346" s="12">
        <v>45596</v>
      </c>
      <c r="F346" s="12">
        <v>45769</v>
      </c>
      <c r="G346" s="10">
        <v>445439</v>
      </c>
      <c r="H346">
        <v>0</v>
      </c>
      <c r="I346" t="s">
        <v>138</v>
      </c>
      <c r="J346" t="s">
        <v>18</v>
      </c>
      <c r="K346" t="s">
        <v>15</v>
      </c>
    </row>
    <row r="347" spans="1:11" hidden="1" x14ac:dyDescent="0.35">
      <c r="A347" t="s">
        <v>62</v>
      </c>
      <c r="B347" t="s">
        <v>63</v>
      </c>
      <c r="C347">
        <v>28400</v>
      </c>
      <c r="D347">
        <v>38397</v>
      </c>
      <c r="E347" s="12">
        <v>45670</v>
      </c>
      <c r="F347" s="12">
        <v>45769</v>
      </c>
      <c r="G347" s="10">
        <v>7200</v>
      </c>
      <c r="H347">
        <v>0</v>
      </c>
      <c r="I347" t="s">
        <v>156</v>
      </c>
      <c r="J347" t="s">
        <v>18</v>
      </c>
      <c r="K347" t="s">
        <v>15</v>
      </c>
    </row>
    <row r="348" spans="1:11" hidden="1" x14ac:dyDescent="0.35">
      <c r="A348" t="s">
        <v>1413</v>
      </c>
      <c r="B348" t="s">
        <v>1414</v>
      </c>
      <c r="C348">
        <v>28543</v>
      </c>
      <c r="D348">
        <v>38560</v>
      </c>
      <c r="E348" s="12">
        <v>45678</v>
      </c>
      <c r="F348" s="12">
        <v>45769</v>
      </c>
      <c r="G348" s="10">
        <v>20018.400000000001</v>
      </c>
      <c r="H348">
        <v>0</v>
      </c>
      <c r="I348" t="s">
        <v>1415</v>
      </c>
      <c r="J348" t="s">
        <v>91</v>
      </c>
      <c r="K348" t="s">
        <v>15</v>
      </c>
    </row>
    <row r="349" spans="1:11" hidden="1" x14ac:dyDescent="0.35">
      <c r="A349" t="s">
        <v>68</v>
      </c>
      <c r="B349" t="s">
        <v>69</v>
      </c>
      <c r="C349">
        <v>28197</v>
      </c>
      <c r="D349">
        <v>38138</v>
      </c>
      <c r="E349" s="12">
        <v>45646</v>
      </c>
      <c r="F349" s="12">
        <v>45769</v>
      </c>
      <c r="G349" s="10">
        <v>3863.94</v>
      </c>
      <c r="H349">
        <v>0</v>
      </c>
      <c r="I349" t="s">
        <v>1017</v>
      </c>
      <c r="J349" t="s">
        <v>14</v>
      </c>
      <c r="K349" t="s">
        <v>15</v>
      </c>
    </row>
    <row r="350" spans="1:11" hidden="1" x14ac:dyDescent="0.35">
      <c r="A350" t="s">
        <v>245</v>
      </c>
      <c r="B350" t="s">
        <v>246</v>
      </c>
      <c r="C350">
        <v>28215</v>
      </c>
      <c r="D350">
        <v>38157</v>
      </c>
      <c r="E350" s="12">
        <v>45646</v>
      </c>
      <c r="F350" s="12">
        <v>45769</v>
      </c>
      <c r="G350" s="10">
        <v>4064.64</v>
      </c>
      <c r="H350">
        <v>0</v>
      </c>
      <c r="I350" t="s">
        <v>1018</v>
      </c>
      <c r="J350" t="s">
        <v>34</v>
      </c>
      <c r="K350" t="s">
        <v>15</v>
      </c>
    </row>
    <row r="351" spans="1:11" hidden="1" x14ac:dyDescent="0.35">
      <c r="A351" t="s">
        <v>31</v>
      </c>
      <c r="B351" t="s">
        <v>32</v>
      </c>
      <c r="C351">
        <v>27852</v>
      </c>
      <c r="D351">
        <v>37688</v>
      </c>
      <c r="E351" s="12">
        <v>45618</v>
      </c>
      <c r="F351" s="12">
        <v>45769</v>
      </c>
      <c r="G351" s="10">
        <v>1386.67</v>
      </c>
      <c r="H351">
        <v>0</v>
      </c>
      <c r="I351" t="s">
        <v>271</v>
      </c>
      <c r="J351" t="s">
        <v>34</v>
      </c>
      <c r="K351" t="s">
        <v>15</v>
      </c>
    </row>
    <row r="352" spans="1:11" hidden="1" x14ac:dyDescent="0.35">
      <c r="A352" t="s">
        <v>31</v>
      </c>
      <c r="B352" t="s">
        <v>32</v>
      </c>
      <c r="C352">
        <v>27853</v>
      </c>
      <c r="D352">
        <v>37689</v>
      </c>
      <c r="E352" s="12">
        <v>45618</v>
      </c>
      <c r="F352" s="12">
        <v>45769</v>
      </c>
      <c r="G352" s="10">
        <v>1386.67</v>
      </c>
      <c r="H352">
        <v>0</v>
      </c>
      <c r="I352" t="s">
        <v>357</v>
      </c>
      <c r="J352" t="s">
        <v>34</v>
      </c>
      <c r="K352" t="s">
        <v>15</v>
      </c>
    </row>
    <row r="353" spans="1:11" hidden="1" x14ac:dyDescent="0.35">
      <c r="A353" t="s">
        <v>430</v>
      </c>
      <c r="B353" t="s">
        <v>431</v>
      </c>
      <c r="C353">
        <v>26757</v>
      </c>
      <c r="D353">
        <v>36420</v>
      </c>
      <c r="E353" s="12">
        <v>45545</v>
      </c>
      <c r="F353" s="12">
        <v>45769</v>
      </c>
      <c r="G353" s="10">
        <v>65690</v>
      </c>
      <c r="H353">
        <v>0</v>
      </c>
      <c r="I353" t="s">
        <v>432</v>
      </c>
      <c r="J353" t="s">
        <v>18</v>
      </c>
      <c r="K353" t="s">
        <v>15</v>
      </c>
    </row>
    <row r="354" spans="1:11" hidden="1" x14ac:dyDescent="0.35">
      <c r="A354" t="s">
        <v>303</v>
      </c>
      <c r="B354" t="s">
        <v>304</v>
      </c>
      <c r="C354">
        <v>26798</v>
      </c>
      <c r="D354">
        <v>36461</v>
      </c>
      <c r="E354" s="12">
        <v>45546</v>
      </c>
      <c r="F354" s="12">
        <v>45769</v>
      </c>
      <c r="G354" s="10">
        <v>379451.6</v>
      </c>
      <c r="H354">
        <v>0</v>
      </c>
      <c r="I354" t="s">
        <v>433</v>
      </c>
      <c r="J354" t="s">
        <v>18</v>
      </c>
      <c r="K354" t="s">
        <v>15</v>
      </c>
    </row>
    <row r="355" spans="1:11" hidden="1" x14ac:dyDescent="0.35">
      <c r="A355" t="s">
        <v>491</v>
      </c>
      <c r="B355" t="s">
        <v>492</v>
      </c>
      <c r="C355">
        <v>28893</v>
      </c>
      <c r="D355">
        <v>38998</v>
      </c>
      <c r="E355" s="12">
        <v>45702</v>
      </c>
      <c r="F355" s="12">
        <v>45769</v>
      </c>
      <c r="G355" s="10">
        <v>94999.91</v>
      </c>
      <c r="H355">
        <v>0</v>
      </c>
      <c r="I355" t="s">
        <v>493</v>
      </c>
      <c r="J355" t="s">
        <v>91</v>
      </c>
      <c r="K355" t="s">
        <v>15</v>
      </c>
    </row>
    <row r="356" spans="1:11" hidden="1" x14ac:dyDescent="0.35">
      <c r="A356" t="s">
        <v>496</v>
      </c>
      <c r="B356" t="s">
        <v>492</v>
      </c>
      <c r="C356">
        <v>28339</v>
      </c>
      <c r="D356">
        <v>38322</v>
      </c>
      <c r="E356" s="12">
        <v>45666</v>
      </c>
      <c r="F356" s="12">
        <v>45769</v>
      </c>
      <c r="G356" s="10">
        <v>17458.36</v>
      </c>
      <c r="H356">
        <v>0</v>
      </c>
      <c r="I356" t="s">
        <v>497</v>
      </c>
      <c r="J356" t="s">
        <v>91</v>
      </c>
      <c r="K356" t="s">
        <v>15</v>
      </c>
    </row>
    <row r="357" spans="1:11" hidden="1" x14ac:dyDescent="0.35">
      <c r="A357" t="s">
        <v>31</v>
      </c>
      <c r="B357" t="s">
        <v>32</v>
      </c>
      <c r="C357">
        <v>28539</v>
      </c>
      <c r="D357">
        <v>38556</v>
      </c>
      <c r="E357" s="12">
        <v>45678</v>
      </c>
      <c r="F357" s="12">
        <v>45769</v>
      </c>
      <c r="G357" s="10">
        <v>3413.33</v>
      </c>
      <c r="H357">
        <v>0</v>
      </c>
      <c r="I357" t="s">
        <v>271</v>
      </c>
      <c r="J357" t="s">
        <v>34</v>
      </c>
      <c r="K357" t="s">
        <v>15</v>
      </c>
    </row>
    <row r="358" spans="1:11" hidden="1" x14ac:dyDescent="0.35">
      <c r="A358" t="s">
        <v>11</v>
      </c>
      <c r="B358" t="s">
        <v>12</v>
      </c>
      <c r="C358">
        <v>27810</v>
      </c>
      <c r="D358">
        <v>37633</v>
      </c>
      <c r="E358" s="12">
        <v>45615</v>
      </c>
      <c r="F358" s="12">
        <v>45769</v>
      </c>
      <c r="G358" s="10">
        <v>125000</v>
      </c>
      <c r="H358">
        <v>0</v>
      </c>
      <c r="I358" t="s">
        <v>750</v>
      </c>
      <c r="J358" t="s">
        <v>14</v>
      </c>
      <c r="K358" t="s">
        <v>15</v>
      </c>
    </row>
    <row r="359" spans="1:11" hidden="1" x14ac:dyDescent="0.35">
      <c r="A359" t="s">
        <v>954</v>
      </c>
      <c r="B359" t="s">
        <v>955</v>
      </c>
      <c r="C359">
        <v>28568</v>
      </c>
      <c r="D359">
        <v>38586</v>
      </c>
      <c r="E359" s="12">
        <v>45679</v>
      </c>
      <c r="F359" s="12">
        <v>45769</v>
      </c>
      <c r="G359" s="10">
        <v>42216</v>
      </c>
      <c r="H359">
        <v>0</v>
      </c>
      <c r="I359" t="s">
        <v>956</v>
      </c>
      <c r="J359" t="s">
        <v>34</v>
      </c>
      <c r="K359" t="s">
        <v>15</v>
      </c>
    </row>
    <row r="360" spans="1:11" hidden="1" x14ac:dyDescent="0.35">
      <c r="A360" t="s">
        <v>1026</v>
      </c>
      <c r="B360" t="s">
        <v>1027</v>
      </c>
      <c r="C360">
        <v>28977</v>
      </c>
      <c r="D360">
        <v>39098</v>
      </c>
      <c r="E360" s="12">
        <v>45707</v>
      </c>
      <c r="F360" s="12">
        <v>45769</v>
      </c>
      <c r="G360" s="10">
        <v>18410</v>
      </c>
      <c r="H360">
        <v>0</v>
      </c>
      <c r="I360" t="s">
        <v>1028</v>
      </c>
      <c r="J360" t="s">
        <v>18</v>
      </c>
      <c r="K360" t="s">
        <v>15</v>
      </c>
    </row>
    <row r="361" spans="1:11" hidden="1" x14ac:dyDescent="0.35">
      <c r="A361" t="s">
        <v>755</v>
      </c>
      <c r="B361" t="s">
        <v>756</v>
      </c>
      <c r="C361">
        <v>27203</v>
      </c>
      <c r="D361">
        <v>36894</v>
      </c>
      <c r="E361" s="12">
        <v>45565</v>
      </c>
      <c r="F361" s="12">
        <v>45769</v>
      </c>
      <c r="G361" s="10">
        <v>379000</v>
      </c>
      <c r="H361">
        <v>0</v>
      </c>
      <c r="I361" t="s">
        <v>1323</v>
      </c>
      <c r="J361" t="s">
        <v>18</v>
      </c>
      <c r="K361" t="s">
        <v>15</v>
      </c>
    </row>
    <row r="362" spans="1:11" hidden="1" x14ac:dyDescent="0.35">
      <c r="A362" t="s">
        <v>1026</v>
      </c>
      <c r="B362" t="s">
        <v>1027</v>
      </c>
      <c r="C362">
        <v>28980</v>
      </c>
      <c r="D362">
        <v>39100</v>
      </c>
      <c r="E362" s="12">
        <v>45707</v>
      </c>
      <c r="F362" s="12">
        <v>45769</v>
      </c>
      <c r="G362" s="10">
        <v>5310</v>
      </c>
      <c r="H362">
        <v>0</v>
      </c>
      <c r="I362" t="s">
        <v>1028</v>
      </c>
      <c r="J362" t="s">
        <v>18</v>
      </c>
      <c r="K362" t="s">
        <v>15</v>
      </c>
    </row>
    <row r="363" spans="1:11" hidden="1" x14ac:dyDescent="0.35">
      <c r="A363" t="s">
        <v>580</v>
      </c>
      <c r="B363" t="s">
        <v>581</v>
      </c>
      <c r="C363">
        <v>26758</v>
      </c>
      <c r="D363">
        <v>36421</v>
      </c>
      <c r="E363" s="12">
        <v>45545</v>
      </c>
      <c r="F363" s="12">
        <v>45769</v>
      </c>
      <c r="G363" s="10">
        <v>28630</v>
      </c>
      <c r="H363">
        <v>0</v>
      </c>
      <c r="I363" t="s">
        <v>1384</v>
      </c>
      <c r="J363" t="s">
        <v>18</v>
      </c>
      <c r="K363" t="s">
        <v>15</v>
      </c>
    </row>
    <row r="364" spans="1:11" hidden="1" x14ac:dyDescent="0.35">
      <c r="A364" t="s">
        <v>31</v>
      </c>
      <c r="B364" t="s">
        <v>32</v>
      </c>
      <c r="C364">
        <v>27701</v>
      </c>
      <c r="D364">
        <v>37496</v>
      </c>
      <c r="E364" s="12">
        <v>45602</v>
      </c>
      <c r="F364" s="12">
        <v>45769</v>
      </c>
      <c r="G364" s="10">
        <v>34783.699999999997</v>
      </c>
      <c r="H364">
        <v>0</v>
      </c>
      <c r="I364" t="s">
        <v>1604</v>
      </c>
      <c r="J364" t="s">
        <v>34</v>
      </c>
      <c r="K364" t="s">
        <v>15</v>
      </c>
    </row>
    <row r="365" spans="1:11" hidden="1" x14ac:dyDescent="0.35">
      <c r="A365" t="s">
        <v>451</v>
      </c>
      <c r="B365" t="s">
        <v>219</v>
      </c>
      <c r="C365">
        <v>28562</v>
      </c>
      <c r="D365">
        <v>38580</v>
      </c>
      <c r="E365" s="12">
        <v>45678</v>
      </c>
      <c r="F365" s="12">
        <v>45769</v>
      </c>
      <c r="G365" s="10">
        <v>36299</v>
      </c>
      <c r="H365">
        <v>0</v>
      </c>
      <c r="I365" t="s">
        <v>452</v>
      </c>
      <c r="J365" t="s">
        <v>152</v>
      </c>
      <c r="K365" t="s">
        <v>15</v>
      </c>
    </row>
    <row r="366" spans="1:11" hidden="1" x14ac:dyDescent="0.35">
      <c r="A366" t="s">
        <v>31</v>
      </c>
      <c r="B366" t="s">
        <v>32</v>
      </c>
      <c r="C366">
        <v>28191</v>
      </c>
      <c r="D366">
        <v>38131</v>
      </c>
      <c r="E366" s="12">
        <v>45645</v>
      </c>
      <c r="F366" s="12">
        <v>45769</v>
      </c>
      <c r="G366" s="10">
        <v>2722.22</v>
      </c>
      <c r="H366">
        <v>0</v>
      </c>
      <c r="I366" t="s">
        <v>1673</v>
      </c>
      <c r="J366" t="s">
        <v>34</v>
      </c>
      <c r="K366" t="s">
        <v>15</v>
      </c>
    </row>
    <row r="367" spans="1:11" hidden="1" x14ac:dyDescent="0.35">
      <c r="A367" t="s">
        <v>31</v>
      </c>
      <c r="B367" t="s">
        <v>32</v>
      </c>
      <c r="C367">
        <v>28193</v>
      </c>
      <c r="D367">
        <v>38133</v>
      </c>
      <c r="E367" s="12">
        <v>45645</v>
      </c>
      <c r="F367" s="12">
        <v>45769</v>
      </c>
      <c r="G367" s="10">
        <v>5212.13</v>
      </c>
      <c r="H367">
        <v>0</v>
      </c>
      <c r="I367" t="s">
        <v>1641</v>
      </c>
      <c r="J367" t="s">
        <v>34</v>
      </c>
      <c r="K367" t="s">
        <v>15</v>
      </c>
    </row>
    <row r="368" spans="1:11" hidden="1" x14ac:dyDescent="0.35">
      <c r="A368" t="s">
        <v>1273</v>
      </c>
      <c r="B368" t="s">
        <v>1274</v>
      </c>
      <c r="C368">
        <v>28561</v>
      </c>
      <c r="D368">
        <v>38579</v>
      </c>
      <c r="E368" s="12">
        <v>45678</v>
      </c>
      <c r="F368" s="12">
        <v>45769</v>
      </c>
      <c r="G368" s="10">
        <v>10841.58</v>
      </c>
      <c r="H368">
        <v>0</v>
      </c>
      <c r="I368" t="s">
        <v>1275</v>
      </c>
      <c r="J368" t="s">
        <v>152</v>
      </c>
      <c r="K368" t="s">
        <v>15</v>
      </c>
    </row>
    <row r="369" spans="1:11" hidden="1" x14ac:dyDescent="0.35">
      <c r="A369" t="s">
        <v>273</v>
      </c>
      <c r="B369" t="s">
        <v>274</v>
      </c>
      <c r="C369">
        <v>29039</v>
      </c>
      <c r="D369">
        <v>39167</v>
      </c>
      <c r="E369" s="12">
        <v>45712</v>
      </c>
      <c r="F369" s="12">
        <v>45769</v>
      </c>
      <c r="G369" s="10">
        <v>2800</v>
      </c>
      <c r="H369">
        <v>0</v>
      </c>
      <c r="I369" t="s">
        <v>738</v>
      </c>
      <c r="J369" t="s">
        <v>18</v>
      </c>
      <c r="K369" t="s">
        <v>15</v>
      </c>
    </row>
    <row r="370" spans="1:11" hidden="1" x14ac:dyDescent="0.35">
      <c r="A370" t="s">
        <v>297</v>
      </c>
      <c r="B370" t="s">
        <v>298</v>
      </c>
      <c r="C370">
        <v>28640</v>
      </c>
      <c r="D370">
        <v>38673</v>
      </c>
      <c r="E370" s="12">
        <v>45684</v>
      </c>
      <c r="F370" s="12">
        <v>45769</v>
      </c>
      <c r="G370" s="10">
        <v>2600</v>
      </c>
      <c r="H370">
        <v>0</v>
      </c>
      <c r="I370" t="s">
        <v>1586</v>
      </c>
      <c r="J370" t="s">
        <v>18</v>
      </c>
      <c r="K370" t="s">
        <v>15</v>
      </c>
    </row>
    <row r="371" spans="1:11" hidden="1" x14ac:dyDescent="0.35">
      <c r="A371" t="s">
        <v>423</v>
      </c>
      <c r="B371" t="s">
        <v>424</v>
      </c>
      <c r="C371">
        <v>26708</v>
      </c>
      <c r="D371">
        <v>36359</v>
      </c>
      <c r="E371" s="12">
        <v>45539</v>
      </c>
      <c r="F371" s="12">
        <v>45769</v>
      </c>
      <c r="G371" s="10">
        <v>27140</v>
      </c>
      <c r="H371">
        <v>0</v>
      </c>
      <c r="I371" t="s">
        <v>1486</v>
      </c>
      <c r="J371" t="s">
        <v>18</v>
      </c>
      <c r="K371" t="s">
        <v>15</v>
      </c>
    </row>
    <row r="372" spans="1:11" hidden="1" x14ac:dyDescent="0.35">
      <c r="A372" t="s">
        <v>411</v>
      </c>
      <c r="B372" t="s">
        <v>412</v>
      </c>
      <c r="C372">
        <v>27081</v>
      </c>
      <c r="D372">
        <v>36775</v>
      </c>
      <c r="E372" s="12">
        <v>45560</v>
      </c>
      <c r="F372" s="12">
        <v>45770</v>
      </c>
      <c r="G372" s="10">
        <v>214200</v>
      </c>
      <c r="H372">
        <v>0</v>
      </c>
      <c r="I372" t="s">
        <v>839</v>
      </c>
      <c r="J372" t="s">
        <v>194</v>
      </c>
      <c r="K372" t="s">
        <v>15</v>
      </c>
    </row>
    <row r="373" spans="1:11" hidden="1" x14ac:dyDescent="0.35">
      <c r="A373" t="s">
        <v>281</v>
      </c>
      <c r="B373" t="s">
        <v>282</v>
      </c>
      <c r="C373">
        <v>27080</v>
      </c>
      <c r="D373">
        <v>36774</v>
      </c>
      <c r="E373" s="12">
        <v>45560</v>
      </c>
      <c r="F373" s="12">
        <v>45770</v>
      </c>
      <c r="G373" s="10">
        <v>75000</v>
      </c>
      <c r="H373">
        <v>0</v>
      </c>
      <c r="I373" t="s">
        <v>982</v>
      </c>
      <c r="J373" t="s">
        <v>194</v>
      </c>
      <c r="K373" t="s">
        <v>15</v>
      </c>
    </row>
    <row r="374" spans="1:11" hidden="1" x14ac:dyDescent="0.35">
      <c r="A374" t="s">
        <v>174</v>
      </c>
      <c r="B374" t="s">
        <v>175</v>
      </c>
      <c r="C374">
        <v>27089</v>
      </c>
      <c r="D374">
        <v>36786</v>
      </c>
      <c r="E374" s="12">
        <v>45560</v>
      </c>
      <c r="F374" s="12">
        <v>45770</v>
      </c>
      <c r="G374" s="10">
        <v>84420</v>
      </c>
      <c r="H374">
        <v>0</v>
      </c>
      <c r="I374" t="s">
        <v>438</v>
      </c>
      <c r="J374" t="s">
        <v>58</v>
      </c>
      <c r="K374" t="s">
        <v>15</v>
      </c>
    </row>
    <row r="375" spans="1:11" hidden="1" x14ac:dyDescent="0.35">
      <c r="A375" t="s">
        <v>163</v>
      </c>
      <c r="B375" t="s">
        <v>164</v>
      </c>
      <c r="C375">
        <v>28588</v>
      </c>
      <c r="D375">
        <v>38613</v>
      </c>
      <c r="E375" s="12">
        <v>45680</v>
      </c>
      <c r="F375" s="12">
        <v>45770</v>
      </c>
      <c r="G375" s="10">
        <v>51721</v>
      </c>
      <c r="H375">
        <v>0</v>
      </c>
      <c r="I375" t="s">
        <v>737</v>
      </c>
      <c r="J375" t="s">
        <v>107</v>
      </c>
      <c r="K375" t="s">
        <v>15</v>
      </c>
    </row>
    <row r="376" spans="1:11" hidden="1" x14ac:dyDescent="0.35">
      <c r="A376" t="s">
        <v>1044</v>
      </c>
      <c r="B376" t="s">
        <v>1045</v>
      </c>
      <c r="C376">
        <v>26149</v>
      </c>
      <c r="D376">
        <v>35757</v>
      </c>
      <c r="E376" s="12">
        <v>45489</v>
      </c>
      <c r="F376" s="12">
        <v>45770</v>
      </c>
      <c r="G376" s="10">
        <v>47126.5</v>
      </c>
      <c r="H376">
        <v>0</v>
      </c>
      <c r="I376" t="s">
        <v>1497</v>
      </c>
      <c r="J376" t="s">
        <v>194</v>
      </c>
      <c r="K376" t="s">
        <v>15</v>
      </c>
    </row>
    <row r="377" spans="1:11" hidden="1" x14ac:dyDescent="0.35">
      <c r="A377" t="s">
        <v>597</v>
      </c>
      <c r="B377" t="s">
        <v>598</v>
      </c>
      <c r="C377">
        <v>28602</v>
      </c>
      <c r="D377">
        <v>38627</v>
      </c>
      <c r="E377" s="12">
        <v>45681</v>
      </c>
      <c r="F377" s="12">
        <v>45771</v>
      </c>
      <c r="G377" s="10">
        <v>8815.48</v>
      </c>
      <c r="H377">
        <v>0</v>
      </c>
      <c r="I377" t="s">
        <v>599</v>
      </c>
      <c r="J377" t="s">
        <v>194</v>
      </c>
      <c r="K377" t="s">
        <v>15</v>
      </c>
    </row>
    <row r="378" spans="1:11" hidden="1" x14ac:dyDescent="0.35">
      <c r="A378" t="s">
        <v>977</v>
      </c>
      <c r="B378" t="s">
        <v>978</v>
      </c>
      <c r="C378">
        <v>28605</v>
      </c>
      <c r="D378">
        <v>38630</v>
      </c>
      <c r="E378" s="12">
        <v>45681</v>
      </c>
      <c r="F378" s="12">
        <v>45771</v>
      </c>
      <c r="G378" s="10">
        <v>3235</v>
      </c>
      <c r="H378">
        <v>0</v>
      </c>
      <c r="I378" t="s">
        <v>979</v>
      </c>
      <c r="J378" t="s">
        <v>194</v>
      </c>
      <c r="K378" t="s">
        <v>15</v>
      </c>
    </row>
    <row r="379" spans="1:11" hidden="1" x14ac:dyDescent="0.35">
      <c r="A379" t="s">
        <v>977</v>
      </c>
      <c r="B379" t="s">
        <v>978</v>
      </c>
      <c r="C379">
        <v>28603</v>
      </c>
      <c r="D379">
        <v>38628</v>
      </c>
      <c r="E379" s="12">
        <v>45681</v>
      </c>
      <c r="F379" s="12">
        <v>45771</v>
      </c>
      <c r="G379" s="10">
        <v>3003</v>
      </c>
      <c r="H379">
        <v>0</v>
      </c>
      <c r="I379" t="s">
        <v>979</v>
      </c>
      <c r="J379" t="s">
        <v>194</v>
      </c>
      <c r="K379" t="s">
        <v>15</v>
      </c>
    </row>
    <row r="380" spans="1:11" hidden="1" x14ac:dyDescent="0.35">
      <c r="A380" t="s">
        <v>597</v>
      </c>
      <c r="B380" t="s">
        <v>598</v>
      </c>
      <c r="C380">
        <v>28606</v>
      </c>
      <c r="D380">
        <v>38631</v>
      </c>
      <c r="E380" s="12">
        <v>45681</v>
      </c>
      <c r="F380" s="12">
        <v>45771</v>
      </c>
      <c r="G380" s="10">
        <v>375.4</v>
      </c>
      <c r="H380">
        <v>0</v>
      </c>
      <c r="I380" t="s">
        <v>599</v>
      </c>
      <c r="J380" t="s">
        <v>194</v>
      </c>
      <c r="K380" t="s">
        <v>15</v>
      </c>
    </row>
    <row r="381" spans="1:11" hidden="1" x14ac:dyDescent="0.35">
      <c r="A381" t="s">
        <v>1355</v>
      </c>
      <c r="B381" t="s">
        <v>1356</v>
      </c>
      <c r="C381">
        <v>28601</v>
      </c>
      <c r="D381">
        <v>38626</v>
      </c>
      <c r="E381" s="12">
        <v>45681</v>
      </c>
      <c r="F381" s="12">
        <v>45771</v>
      </c>
      <c r="G381" s="10">
        <v>18514.3</v>
      </c>
      <c r="H381">
        <v>0</v>
      </c>
      <c r="I381" t="s">
        <v>1357</v>
      </c>
      <c r="J381" t="s">
        <v>14</v>
      </c>
      <c r="K381" t="s">
        <v>15</v>
      </c>
    </row>
    <row r="382" spans="1:11" hidden="1" x14ac:dyDescent="0.35">
      <c r="A382" t="s">
        <v>977</v>
      </c>
      <c r="B382" t="s">
        <v>978</v>
      </c>
      <c r="C382">
        <v>28604</v>
      </c>
      <c r="D382">
        <v>38629</v>
      </c>
      <c r="E382" s="12">
        <v>45681</v>
      </c>
      <c r="F382" s="12">
        <v>45771</v>
      </c>
      <c r="G382" s="10">
        <v>1545.26</v>
      </c>
      <c r="H382">
        <v>0</v>
      </c>
      <c r="I382" t="s">
        <v>979</v>
      </c>
      <c r="J382" t="s">
        <v>194</v>
      </c>
      <c r="K382" t="s">
        <v>15</v>
      </c>
    </row>
    <row r="383" spans="1:11" hidden="1" x14ac:dyDescent="0.35">
      <c r="A383" t="s">
        <v>622</v>
      </c>
      <c r="B383" t="s">
        <v>623</v>
      </c>
      <c r="C383">
        <v>29249</v>
      </c>
      <c r="D383">
        <v>39434</v>
      </c>
      <c r="E383" s="12">
        <v>45741</v>
      </c>
      <c r="F383" s="12">
        <v>45771</v>
      </c>
      <c r="G383" s="10">
        <v>427500</v>
      </c>
      <c r="H383">
        <v>0</v>
      </c>
      <c r="I383" t="s">
        <v>911</v>
      </c>
      <c r="J383" t="s">
        <v>122</v>
      </c>
      <c r="K383" t="s">
        <v>15</v>
      </c>
    </row>
    <row r="384" spans="1:11" hidden="1" x14ac:dyDescent="0.35">
      <c r="A384" t="s">
        <v>1044</v>
      </c>
      <c r="B384" t="s">
        <v>1045</v>
      </c>
      <c r="C384">
        <v>28483</v>
      </c>
      <c r="D384">
        <v>38484</v>
      </c>
      <c r="E384" s="12">
        <v>45673</v>
      </c>
      <c r="F384" s="12">
        <v>45771</v>
      </c>
      <c r="G384" s="10">
        <v>17434</v>
      </c>
      <c r="H384">
        <v>0</v>
      </c>
      <c r="I384" t="s">
        <v>1646</v>
      </c>
      <c r="J384" t="s">
        <v>194</v>
      </c>
      <c r="K384" t="s">
        <v>15</v>
      </c>
    </row>
    <row r="385" spans="1:11" hidden="1" x14ac:dyDescent="0.35">
      <c r="A385" t="s">
        <v>1044</v>
      </c>
      <c r="B385" t="s">
        <v>1045</v>
      </c>
      <c r="C385">
        <v>28513</v>
      </c>
      <c r="D385">
        <v>38514</v>
      </c>
      <c r="E385" s="12">
        <v>45674</v>
      </c>
      <c r="F385" s="12">
        <v>45771</v>
      </c>
      <c r="G385" s="10">
        <v>2360</v>
      </c>
      <c r="H385">
        <v>0</v>
      </c>
      <c r="I385" t="s">
        <v>1479</v>
      </c>
      <c r="J385" t="s">
        <v>194</v>
      </c>
      <c r="K385" t="s">
        <v>15</v>
      </c>
    </row>
    <row r="386" spans="1:11" hidden="1" x14ac:dyDescent="0.35">
      <c r="A386" t="s">
        <v>1144</v>
      </c>
      <c r="B386" t="s">
        <v>1145</v>
      </c>
      <c r="C386">
        <v>26979</v>
      </c>
      <c r="D386">
        <v>36669</v>
      </c>
      <c r="E386" s="12">
        <v>45555</v>
      </c>
      <c r="F386" s="12">
        <v>45772</v>
      </c>
      <c r="G386" s="10">
        <v>15844.4</v>
      </c>
      <c r="H386">
        <v>0</v>
      </c>
      <c r="I386" t="s">
        <v>1146</v>
      </c>
      <c r="J386" t="s">
        <v>41</v>
      </c>
    </row>
    <row r="387" spans="1:11" hidden="1" x14ac:dyDescent="0.35">
      <c r="A387" t="s">
        <v>594</v>
      </c>
      <c r="B387" t="s">
        <v>595</v>
      </c>
      <c r="C387">
        <v>27881</v>
      </c>
      <c r="D387">
        <v>37729</v>
      </c>
      <c r="E387" s="12">
        <v>45622</v>
      </c>
      <c r="F387" s="12">
        <v>45772</v>
      </c>
      <c r="G387" s="10">
        <v>34474.97</v>
      </c>
      <c r="H387">
        <v>0</v>
      </c>
      <c r="I387" t="s">
        <v>1197</v>
      </c>
      <c r="J387" t="s">
        <v>58</v>
      </c>
      <c r="K387" t="s">
        <v>15</v>
      </c>
    </row>
    <row r="388" spans="1:11" hidden="1" x14ac:dyDescent="0.35">
      <c r="A388" t="s">
        <v>594</v>
      </c>
      <c r="B388" t="s">
        <v>595</v>
      </c>
      <c r="C388">
        <v>27883</v>
      </c>
      <c r="D388">
        <v>37731</v>
      </c>
      <c r="E388" s="12">
        <v>45622</v>
      </c>
      <c r="F388" s="12">
        <v>45772</v>
      </c>
      <c r="G388" s="10">
        <v>23808</v>
      </c>
      <c r="H388">
        <v>0</v>
      </c>
      <c r="I388" t="s">
        <v>1261</v>
      </c>
      <c r="J388" t="s">
        <v>58</v>
      </c>
      <c r="K388" t="s">
        <v>15</v>
      </c>
    </row>
    <row r="389" spans="1:11" hidden="1" x14ac:dyDescent="0.35">
      <c r="A389" t="s">
        <v>288</v>
      </c>
      <c r="B389" t="s">
        <v>289</v>
      </c>
      <c r="C389">
        <v>28250</v>
      </c>
      <c r="D389">
        <v>38204</v>
      </c>
      <c r="E389" s="12">
        <v>45652</v>
      </c>
      <c r="F389" s="12">
        <v>45772</v>
      </c>
      <c r="G389" s="10">
        <v>4670.4399999999996</v>
      </c>
      <c r="H389">
        <v>0</v>
      </c>
      <c r="I389" t="s">
        <v>996</v>
      </c>
      <c r="J389" t="s">
        <v>34</v>
      </c>
      <c r="K389" t="s">
        <v>15</v>
      </c>
    </row>
    <row r="390" spans="1:11" hidden="1" x14ac:dyDescent="0.35">
      <c r="A390" t="s">
        <v>288</v>
      </c>
      <c r="B390" t="s">
        <v>289</v>
      </c>
      <c r="C390">
        <v>29025</v>
      </c>
      <c r="D390">
        <v>39153</v>
      </c>
      <c r="E390" s="12">
        <v>45712</v>
      </c>
      <c r="F390" s="12">
        <v>45772</v>
      </c>
      <c r="G390" s="10">
        <v>19080</v>
      </c>
      <c r="H390">
        <v>0</v>
      </c>
      <c r="I390" t="s">
        <v>996</v>
      </c>
      <c r="J390" t="s">
        <v>34</v>
      </c>
      <c r="K390" t="s">
        <v>15</v>
      </c>
    </row>
    <row r="391" spans="1:11" hidden="1" x14ac:dyDescent="0.35">
      <c r="A391" t="s">
        <v>667</v>
      </c>
      <c r="B391" t="s">
        <v>668</v>
      </c>
      <c r="C391">
        <v>29029</v>
      </c>
      <c r="D391">
        <v>39157</v>
      </c>
      <c r="E391" s="12">
        <v>45712</v>
      </c>
      <c r="F391" s="12">
        <v>45772</v>
      </c>
      <c r="G391" s="10">
        <v>30231</v>
      </c>
      <c r="H391">
        <v>0</v>
      </c>
      <c r="I391" t="s">
        <v>1567</v>
      </c>
      <c r="J391" t="s">
        <v>26</v>
      </c>
      <c r="K391" t="s">
        <v>15</v>
      </c>
    </row>
    <row r="392" spans="1:11" hidden="1" x14ac:dyDescent="0.35">
      <c r="A392" t="s">
        <v>667</v>
      </c>
      <c r="B392" t="s">
        <v>668</v>
      </c>
      <c r="C392">
        <v>29028</v>
      </c>
      <c r="D392">
        <v>39156</v>
      </c>
      <c r="E392" s="12">
        <v>45712</v>
      </c>
      <c r="F392" s="12">
        <v>45772</v>
      </c>
      <c r="G392" s="10">
        <v>42175.199999999997</v>
      </c>
      <c r="H392">
        <v>0</v>
      </c>
      <c r="I392" t="s">
        <v>769</v>
      </c>
      <c r="J392" t="s">
        <v>26</v>
      </c>
      <c r="K392" t="s">
        <v>15</v>
      </c>
    </row>
    <row r="393" spans="1:11" hidden="1" x14ac:dyDescent="0.35">
      <c r="A393" t="s">
        <v>954</v>
      </c>
      <c r="B393" t="s">
        <v>955</v>
      </c>
      <c r="C393">
        <v>29262</v>
      </c>
      <c r="D393">
        <v>39451</v>
      </c>
      <c r="E393" s="12">
        <v>45742</v>
      </c>
      <c r="F393" s="12">
        <v>45772</v>
      </c>
      <c r="G393" s="10">
        <v>35558.400000000001</v>
      </c>
      <c r="H393">
        <v>0</v>
      </c>
      <c r="I393" t="s">
        <v>1652</v>
      </c>
      <c r="J393" t="s">
        <v>34</v>
      </c>
      <c r="K393" t="s">
        <v>15</v>
      </c>
    </row>
    <row r="394" spans="1:11" hidden="1" x14ac:dyDescent="0.35">
      <c r="A394" t="s">
        <v>1489</v>
      </c>
      <c r="B394" t="s">
        <v>1490</v>
      </c>
      <c r="C394">
        <v>29268</v>
      </c>
      <c r="D394">
        <v>39459</v>
      </c>
      <c r="E394" s="12">
        <v>45743</v>
      </c>
      <c r="F394" s="12">
        <v>45773</v>
      </c>
      <c r="G394" s="10">
        <v>8100</v>
      </c>
      <c r="H394">
        <v>0</v>
      </c>
      <c r="I394" t="s">
        <v>1491</v>
      </c>
      <c r="J394" t="s">
        <v>194</v>
      </c>
      <c r="K394" t="s">
        <v>15</v>
      </c>
    </row>
    <row r="395" spans="1:11" hidden="1" x14ac:dyDescent="0.35">
      <c r="A395" t="s">
        <v>667</v>
      </c>
      <c r="B395" t="s">
        <v>668</v>
      </c>
      <c r="C395">
        <v>29067</v>
      </c>
      <c r="D395">
        <v>39209</v>
      </c>
      <c r="E395" s="12">
        <v>45714</v>
      </c>
      <c r="F395" s="12">
        <v>45774</v>
      </c>
      <c r="G395" s="10">
        <v>88645.25</v>
      </c>
      <c r="H395">
        <v>0</v>
      </c>
      <c r="I395" t="s">
        <v>1451</v>
      </c>
      <c r="J395" t="s">
        <v>26</v>
      </c>
      <c r="K395" t="s">
        <v>15</v>
      </c>
    </row>
    <row r="396" spans="1:11" hidden="1" x14ac:dyDescent="0.35">
      <c r="A396" t="s">
        <v>667</v>
      </c>
      <c r="B396" t="s">
        <v>668</v>
      </c>
      <c r="C396">
        <v>29064</v>
      </c>
      <c r="D396">
        <v>39206</v>
      </c>
      <c r="E396" s="12">
        <v>45714</v>
      </c>
      <c r="F396" s="12">
        <v>45774</v>
      </c>
      <c r="G396" s="10">
        <v>10543.8</v>
      </c>
      <c r="H396">
        <v>0</v>
      </c>
      <c r="I396" t="s">
        <v>1129</v>
      </c>
      <c r="J396" t="s">
        <v>26</v>
      </c>
      <c r="K396" t="s">
        <v>15</v>
      </c>
    </row>
    <row r="397" spans="1:11" hidden="1" x14ac:dyDescent="0.35">
      <c r="A397" t="s">
        <v>667</v>
      </c>
      <c r="B397" t="s">
        <v>668</v>
      </c>
      <c r="C397">
        <v>29065</v>
      </c>
      <c r="D397">
        <v>39207</v>
      </c>
      <c r="E397" s="12">
        <v>45714</v>
      </c>
      <c r="F397" s="12">
        <v>45774</v>
      </c>
      <c r="G397" s="10">
        <v>28025.279999999999</v>
      </c>
      <c r="H397">
        <v>0</v>
      </c>
      <c r="I397" t="s">
        <v>1402</v>
      </c>
      <c r="J397" t="s">
        <v>26</v>
      </c>
      <c r="K397" t="s">
        <v>15</v>
      </c>
    </row>
    <row r="398" spans="1:11" hidden="1" x14ac:dyDescent="0.35">
      <c r="A398" t="s">
        <v>1618</v>
      </c>
      <c r="B398" t="s">
        <v>1619</v>
      </c>
      <c r="C398">
        <v>29062</v>
      </c>
      <c r="D398">
        <v>39202</v>
      </c>
      <c r="E398" s="12">
        <v>45714</v>
      </c>
      <c r="F398" s="12">
        <v>45774</v>
      </c>
      <c r="G398" s="10">
        <v>5080</v>
      </c>
      <c r="H398">
        <v>0</v>
      </c>
      <c r="I398" t="s">
        <v>1620</v>
      </c>
      <c r="J398" t="s">
        <v>44</v>
      </c>
      <c r="K398" t="s">
        <v>15</v>
      </c>
    </row>
    <row r="399" spans="1:11" hidden="1" x14ac:dyDescent="0.35">
      <c r="A399" t="s">
        <v>667</v>
      </c>
      <c r="B399" t="s">
        <v>668</v>
      </c>
      <c r="C399">
        <v>29068</v>
      </c>
      <c r="D399">
        <v>39210</v>
      </c>
      <c r="E399" s="12">
        <v>45714</v>
      </c>
      <c r="F399" s="12">
        <v>45774</v>
      </c>
      <c r="G399" s="10">
        <v>3527</v>
      </c>
      <c r="H399">
        <v>0</v>
      </c>
      <c r="I399" t="s">
        <v>1679</v>
      </c>
      <c r="J399" t="s">
        <v>26</v>
      </c>
      <c r="K399" t="s">
        <v>15</v>
      </c>
    </row>
    <row r="400" spans="1:11" hidden="1" x14ac:dyDescent="0.35">
      <c r="A400" t="s">
        <v>31</v>
      </c>
      <c r="B400" t="s">
        <v>32</v>
      </c>
      <c r="C400">
        <v>27921</v>
      </c>
      <c r="D400">
        <v>37789</v>
      </c>
      <c r="E400" s="12">
        <v>45625</v>
      </c>
      <c r="F400" s="12">
        <v>45775</v>
      </c>
      <c r="G400" s="10">
        <v>17999.98</v>
      </c>
      <c r="H400">
        <v>0</v>
      </c>
      <c r="I400" t="s">
        <v>628</v>
      </c>
      <c r="J400" t="s">
        <v>34</v>
      </c>
      <c r="K400" t="s">
        <v>15</v>
      </c>
    </row>
    <row r="401" spans="1:11" hidden="1" x14ac:dyDescent="0.35">
      <c r="A401" t="s">
        <v>533</v>
      </c>
      <c r="B401" t="s">
        <v>36</v>
      </c>
      <c r="C401">
        <v>28253</v>
      </c>
      <c r="D401">
        <v>38208</v>
      </c>
      <c r="E401" s="12">
        <v>45653</v>
      </c>
      <c r="F401" s="12">
        <v>45775</v>
      </c>
      <c r="G401" s="10">
        <v>13200</v>
      </c>
      <c r="H401">
        <v>0</v>
      </c>
      <c r="I401" t="s">
        <v>534</v>
      </c>
      <c r="J401" t="s">
        <v>22</v>
      </c>
    </row>
    <row r="402" spans="1:11" hidden="1" x14ac:dyDescent="0.35">
      <c r="A402" t="s">
        <v>317</v>
      </c>
      <c r="B402" t="s">
        <v>56</v>
      </c>
      <c r="C402">
        <v>27908</v>
      </c>
      <c r="D402">
        <v>37776</v>
      </c>
      <c r="E402" s="12">
        <v>45625</v>
      </c>
      <c r="F402" s="12">
        <v>45775</v>
      </c>
      <c r="G402" s="10">
        <v>73220</v>
      </c>
      <c r="H402">
        <v>0</v>
      </c>
      <c r="I402" t="s">
        <v>338</v>
      </c>
      <c r="J402" t="s">
        <v>44</v>
      </c>
    </row>
    <row r="403" spans="1:11" hidden="1" x14ac:dyDescent="0.35">
      <c r="A403" t="s">
        <v>474</v>
      </c>
      <c r="B403" t="s">
        <v>475</v>
      </c>
      <c r="C403">
        <v>27913</v>
      </c>
      <c r="D403">
        <v>37781</v>
      </c>
      <c r="E403" s="12">
        <v>45625</v>
      </c>
      <c r="F403" s="12">
        <v>45775</v>
      </c>
      <c r="G403" s="10">
        <v>9800</v>
      </c>
      <c r="H403">
        <v>0</v>
      </c>
      <c r="I403" t="s">
        <v>969</v>
      </c>
      <c r="J403" t="s">
        <v>44</v>
      </c>
      <c r="K403" t="s">
        <v>15</v>
      </c>
    </row>
    <row r="404" spans="1:11" hidden="1" x14ac:dyDescent="0.35">
      <c r="A404" t="s">
        <v>45</v>
      </c>
      <c r="B404" t="s">
        <v>46</v>
      </c>
      <c r="C404">
        <v>27573</v>
      </c>
      <c r="D404">
        <v>37339</v>
      </c>
      <c r="E404" s="12">
        <v>45593</v>
      </c>
      <c r="F404" s="12">
        <v>45775</v>
      </c>
      <c r="G404" s="10">
        <v>7620</v>
      </c>
      <c r="H404">
        <v>0</v>
      </c>
      <c r="I404" t="s">
        <v>1227</v>
      </c>
      <c r="J404" t="s">
        <v>48</v>
      </c>
      <c r="K404" t="s">
        <v>15</v>
      </c>
    </row>
    <row r="405" spans="1:11" hidden="1" x14ac:dyDescent="0.35">
      <c r="A405" t="s">
        <v>496</v>
      </c>
      <c r="B405" t="s">
        <v>492</v>
      </c>
      <c r="C405">
        <v>28681</v>
      </c>
      <c r="D405">
        <v>38722</v>
      </c>
      <c r="E405" s="12">
        <v>45685</v>
      </c>
      <c r="F405" s="12">
        <v>45775</v>
      </c>
      <c r="G405" s="10">
        <v>3966.68</v>
      </c>
      <c r="H405">
        <v>0</v>
      </c>
      <c r="I405" t="s">
        <v>1047</v>
      </c>
      <c r="J405" t="s">
        <v>91</v>
      </c>
      <c r="K405" t="s">
        <v>15</v>
      </c>
    </row>
    <row r="406" spans="1:11" hidden="1" x14ac:dyDescent="0.35">
      <c r="A406" t="s">
        <v>224</v>
      </c>
      <c r="B406" t="s">
        <v>225</v>
      </c>
      <c r="C406">
        <v>27567</v>
      </c>
      <c r="D406">
        <v>37330</v>
      </c>
      <c r="E406" s="12">
        <v>45593</v>
      </c>
      <c r="F406" s="12">
        <v>45775</v>
      </c>
      <c r="G406" s="10">
        <v>20202.04</v>
      </c>
      <c r="H406">
        <v>0</v>
      </c>
      <c r="I406" t="s">
        <v>721</v>
      </c>
      <c r="J406" t="s">
        <v>194</v>
      </c>
      <c r="K406" t="s">
        <v>15</v>
      </c>
    </row>
    <row r="407" spans="1:11" hidden="1" x14ac:dyDescent="0.35">
      <c r="A407" t="s">
        <v>174</v>
      </c>
      <c r="B407" t="s">
        <v>175</v>
      </c>
      <c r="C407">
        <v>27910</v>
      </c>
      <c r="D407">
        <v>37778</v>
      </c>
      <c r="E407" s="12">
        <v>45625</v>
      </c>
      <c r="F407" s="12">
        <v>45775</v>
      </c>
      <c r="G407" s="10">
        <v>4940</v>
      </c>
      <c r="H407">
        <v>0</v>
      </c>
      <c r="I407" t="s">
        <v>859</v>
      </c>
      <c r="J407" t="s">
        <v>58</v>
      </c>
      <c r="K407" t="s">
        <v>15</v>
      </c>
    </row>
    <row r="408" spans="1:11" hidden="1" x14ac:dyDescent="0.35">
      <c r="A408" t="s">
        <v>31</v>
      </c>
      <c r="B408" t="s">
        <v>32</v>
      </c>
      <c r="C408">
        <v>28678</v>
      </c>
      <c r="D408">
        <v>38719</v>
      </c>
      <c r="E408" s="12">
        <v>45685</v>
      </c>
      <c r="F408" s="12">
        <v>45775</v>
      </c>
      <c r="G408" s="10">
        <v>8138.84</v>
      </c>
      <c r="H408">
        <v>0</v>
      </c>
      <c r="I408" t="s">
        <v>271</v>
      </c>
      <c r="J408" t="s">
        <v>34</v>
      </c>
      <c r="K408" t="s">
        <v>15</v>
      </c>
    </row>
    <row r="409" spans="1:11" hidden="1" x14ac:dyDescent="0.35">
      <c r="A409" t="s">
        <v>31</v>
      </c>
      <c r="B409" t="s">
        <v>32</v>
      </c>
      <c r="C409">
        <v>27605</v>
      </c>
      <c r="D409">
        <v>37373</v>
      </c>
      <c r="E409" s="12">
        <v>45594</v>
      </c>
      <c r="F409" s="12">
        <v>45775</v>
      </c>
      <c r="G409" s="10">
        <v>13513.44</v>
      </c>
      <c r="H409">
        <v>0</v>
      </c>
      <c r="I409" t="s">
        <v>1118</v>
      </c>
      <c r="J409" t="s">
        <v>34</v>
      </c>
      <c r="K409" t="s">
        <v>15</v>
      </c>
    </row>
    <row r="410" spans="1:11" hidden="1" x14ac:dyDescent="0.35">
      <c r="A410" t="s">
        <v>31</v>
      </c>
      <c r="B410" t="s">
        <v>32</v>
      </c>
      <c r="C410">
        <v>27603</v>
      </c>
      <c r="D410">
        <v>37371</v>
      </c>
      <c r="E410" s="12">
        <v>45594</v>
      </c>
      <c r="F410" s="12">
        <v>45775</v>
      </c>
      <c r="G410" s="10">
        <v>1197.76</v>
      </c>
      <c r="H410">
        <v>0</v>
      </c>
      <c r="I410" t="s">
        <v>1284</v>
      </c>
      <c r="J410" t="s">
        <v>34</v>
      </c>
      <c r="K410" t="s">
        <v>15</v>
      </c>
    </row>
    <row r="411" spans="1:11" hidden="1" x14ac:dyDescent="0.35">
      <c r="A411" t="s">
        <v>890</v>
      </c>
      <c r="B411" t="s">
        <v>891</v>
      </c>
      <c r="C411">
        <v>28679</v>
      </c>
      <c r="D411">
        <v>38720</v>
      </c>
      <c r="E411" s="12">
        <v>45685</v>
      </c>
      <c r="F411" s="12">
        <v>45775</v>
      </c>
      <c r="G411" s="10">
        <v>15000.02</v>
      </c>
      <c r="H411">
        <v>0</v>
      </c>
      <c r="I411" t="s">
        <v>892</v>
      </c>
      <c r="J411" t="s">
        <v>34</v>
      </c>
    </row>
    <row r="412" spans="1:11" hidden="1" x14ac:dyDescent="0.35">
      <c r="A412" t="s">
        <v>249</v>
      </c>
      <c r="B412" t="s">
        <v>36</v>
      </c>
      <c r="C412">
        <v>28260</v>
      </c>
      <c r="D412">
        <v>38216</v>
      </c>
      <c r="E412" s="12">
        <v>45653</v>
      </c>
      <c r="F412" s="12">
        <v>45775</v>
      </c>
      <c r="G412" s="10">
        <v>26627.599999999999</v>
      </c>
      <c r="H412">
        <v>0</v>
      </c>
      <c r="I412" t="s">
        <v>250</v>
      </c>
      <c r="J412" t="s">
        <v>22</v>
      </c>
      <c r="K412" t="s">
        <v>15</v>
      </c>
    </row>
    <row r="413" spans="1:11" hidden="1" x14ac:dyDescent="0.35">
      <c r="A413" t="s">
        <v>1271</v>
      </c>
      <c r="B413" t="s">
        <v>36</v>
      </c>
      <c r="C413">
        <v>28256</v>
      </c>
      <c r="D413">
        <v>38211</v>
      </c>
      <c r="E413" s="12">
        <v>45653</v>
      </c>
      <c r="F413" s="12">
        <v>45775</v>
      </c>
      <c r="G413" s="10">
        <v>167430</v>
      </c>
      <c r="H413">
        <v>0</v>
      </c>
      <c r="I413" t="s">
        <v>1358</v>
      </c>
      <c r="J413" t="s">
        <v>22</v>
      </c>
      <c r="K413" t="s">
        <v>15</v>
      </c>
    </row>
    <row r="414" spans="1:11" hidden="1" x14ac:dyDescent="0.35">
      <c r="A414" t="s">
        <v>144</v>
      </c>
      <c r="B414" t="s">
        <v>145</v>
      </c>
      <c r="C414">
        <v>27897</v>
      </c>
      <c r="D414">
        <v>37763</v>
      </c>
      <c r="E414" s="12">
        <v>45625</v>
      </c>
      <c r="F414" s="12">
        <v>45775</v>
      </c>
      <c r="G414" s="10">
        <v>13375.6</v>
      </c>
      <c r="H414">
        <v>0</v>
      </c>
      <c r="I414" t="s">
        <v>1242</v>
      </c>
      <c r="J414" t="s">
        <v>48</v>
      </c>
      <c r="K414" t="s">
        <v>15</v>
      </c>
    </row>
    <row r="415" spans="1:11" hidden="1" x14ac:dyDescent="0.35">
      <c r="A415" t="s">
        <v>496</v>
      </c>
      <c r="B415" t="s">
        <v>492</v>
      </c>
      <c r="C415">
        <v>28680</v>
      </c>
      <c r="D415">
        <v>38721</v>
      </c>
      <c r="E415" s="12">
        <v>45685</v>
      </c>
      <c r="F415" s="12">
        <v>45775</v>
      </c>
      <c r="G415" s="10">
        <v>11718.02</v>
      </c>
      <c r="H415">
        <v>0</v>
      </c>
      <c r="I415" t="s">
        <v>1047</v>
      </c>
      <c r="J415" t="s">
        <v>91</v>
      </c>
      <c r="K415" t="s">
        <v>15</v>
      </c>
    </row>
    <row r="416" spans="1:11" hidden="1" x14ac:dyDescent="0.35">
      <c r="A416" t="s">
        <v>309</v>
      </c>
      <c r="B416" t="s">
        <v>310</v>
      </c>
      <c r="C416">
        <v>27208</v>
      </c>
      <c r="D416">
        <v>36899</v>
      </c>
      <c r="E416" s="12">
        <v>45565</v>
      </c>
      <c r="F416" s="12">
        <v>45775</v>
      </c>
      <c r="G416" s="10">
        <v>32400</v>
      </c>
      <c r="H416">
        <v>0</v>
      </c>
      <c r="I416" t="s">
        <v>1131</v>
      </c>
      <c r="J416" t="s">
        <v>312</v>
      </c>
      <c r="K416" t="s">
        <v>15</v>
      </c>
    </row>
    <row r="417" spans="1:11" hidden="1" x14ac:dyDescent="0.35">
      <c r="A417" t="s">
        <v>1426</v>
      </c>
      <c r="B417" t="s">
        <v>36</v>
      </c>
      <c r="C417">
        <v>28258</v>
      </c>
      <c r="D417">
        <v>38214</v>
      </c>
      <c r="E417" s="12">
        <v>45653</v>
      </c>
      <c r="F417" s="12">
        <v>45775</v>
      </c>
      <c r="G417" s="10">
        <v>19800</v>
      </c>
      <c r="H417">
        <v>0</v>
      </c>
      <c r="I417" t="s">
        <v>1427</v>
      </c>
      <c r="J417" t="s">
        <v>22</v>
      </c>
      <c r="K417" t="s">
        <v>15</v>
      </c>
    </row>
    <row r="418" spans="1:11" hidden="1" x14ac:dyDescent="0.35">
      <c r="A418" t="s">
        <v>144</v>
      </c>
      <c r="B418" t="s">
        <v>145</v>
      </c>
      <c r="C418">
        <v>27898</v>
      </c>
      <c r="D418">
        <v>37764</v>
      </c>
      <c r="E418" s="12">
        <v>45625</v>
      </c>
      <c r="F418" s="12">
        <v>45775</v>
      </c>
      <c r="G418" s="10">
        <v>15522.32</v>
      </c>
      <c r="H418">
        <v>0</v>
      </c>
      <c r="I418" t="s">
        <v>146</v>
      </c>
      <c r="J418" t="s">
        <v>48</v>
      </c>
      <c r="K418" t="s">
        <v>15</v>
      </c>
    </row>
    <row r="419" spans="1:11" hidden="1" x14ac:dyDescent="0.35">
      <c r="A419" t="s">
        <v>31</v>
      </c>
      <c r="B419" t="s">
        <v>32</v>
      </c>
      <c r="C419">
        <v>27602</v>
      </c>
      <c r="D419">
        <v>37370</v>
      </c>
      <c r="E419" s="12">
        <v>45594</v>
      </c>
      <c r="F419" s="12">
        <v>45775</v>
      </c>
      <c r="G419" s="10">
        <v>2722.24</v>
      </c>
      <c r="H419">
        <v>0</v>
      </c>
      <c r="I419" t="s">
        <v>355</v>
      </c>
      <c r="J419" t="s">
        <v>34</v>
      </c>
      <c r="K419" t="s">
        <v>15</v>
      </c>
    </row>
    <row r="420" spans="1:11" hidden="1" x14ac:dyDescent="0.35">
      <c r="A420" t="s">
        <v>31</v>
      </c>
      <c r="B420" t="s">
        <v>32</v>
      </c>
      <c r="C420">
        <v>27604</v>
      </c>
      <c r="D420">
        <v>37372</v>
      </c>
      <c r="E420" s="12">
        <v>45594</v>
      </c>
      <c r="F420" s="12">
        <v>45775</v>
      </c>
      <c r="G420" s="10">
        <v>26536.240000000002</v>
      </c>
      <c r="H420">
        <v>0</v>
      </c>
      <c r="I420" t="s">
        <v>356</v>
      </c>
      <c r="J420" t="s">
        <v>34</v>
      </c>
      <c r="K420" t="s">
        <v>15</v>
      </c>
    </row>
    <row r="421" spans="1:11" hidden="1" x14ac:dyDescent="0.35">
      <c r="A421" t="s">
        <v>374</v>
      </c>
      <c r="B421" t="s">
        <v>310</v>
      </c>
      <c r="C421">
        <v>27207</v>
      </c>
      <c r="D421">
        <v>36898</v>
      </c>
      <c r="E421" s="12">
        <v>45565</v>
      </c>
      <c r="F421" s="12">
        <v>45775</v>
      </c>
      <c r="G421" s="10">
        <v>275400</v>
      </c>
      <c r="H421">
        <v>0</v>
      </c>
      <c r="I421" t="s">
        <v>375</v>
      </c>
      <c r="J421" t="s">
        <v>312</v>
      </c>
      <c r="K421" t="s">
        <v>15</v>
      </c>
    </row>
    <row r="422" spans="1:11" hidden="1" x14ac:dyDescent="0.35">
      <c r="A422" t="s">
        <v>31</v>
      </c>
      <c r="B422" t="s">
        <v>32</v>
      </c>
      <c r="C422">
        <v>29045</v>
      </c>
      <c r="D422">
        <v>39176</v>
      </c>
      <c r="E422" s="12">
        <v>45713</v>
      </c>
      <c r="F422" s="12">
        <v>45775</v>
      </c>
      <c r="G422" s="10">
        <v>13436.25</v>
      </c>
      <c r="H422">
        <v>0</v>
      </c>
      <c r="I422" t="s">
        <v>271</v>
      </c>
      <c r="J422" t="s">
        <v>34</v>
      </c>
      <c r="K422" t="s">
        <v>15</v>
      </c>
    </row>
    <row r="423" spans="1:11" hidden="1" x14ac:dyDescent="0.35">
      <c r="A423" t="s">
        <v>1555</v>
      </c>
      <c r="B423" t="s">
        <v>1556</v>
      </c>
      <c r="C423">
        <v>29267</v>
      </c>
      <c r="D423">
        <v>39458</v>
      </c>
      <c r="E423" s="12">
        <v>45743</v>
      </c>
      <c r="F423" s="12">
        <v>45775</v>
      </c>
      <c r="G423" s="10">
        <v>29360</v>
      </c>
      <c r="H423">
        <v>0</v>
      </c>
      <c r="I423" t="s">
        <v>1557</v>
      </c>
      <c r="J423" t="s">
        <v>41</v>
      </c>
      <c r="K423" t="s">
        <v>15</v>
      </c>
    </row>
    <row r="424" spans="1:11" hidden="1" x14ac:dyDescent="0.35">
      <c r="A424" t="s">
        <v>1023</v>
      </c>
      <c r="B424" t="s">
        <v>1024</v>
      </c>
      <c r="C424">
        <v>29076</v>
      </c>
      <c r="D424">
        <v>39229</v>
      </c>
      <c r="E424" s="12">
        <v>45715</v>
      </c>
      <c r="F424" s="12">
        <v>45775</v>
      </c>
      <c r="G424" s="10">
        <v>165513.60000000001</v>
      </c>
      <c r="H424">
        <v>0</v>
      </c>
      <c r="I424" t="s">
        <v>1626</v>
      </c>
      <c r="J424" t="s">
        <v>95</v>
      </c>
      <c r="K424" t="s">
        <v>15</v>
      </c>
    </row>
    <row r="425" spans="1:11" hidden="1" x14ac:dyDescent="0.35">
      <c r="A425" t="s">
        <v>31</v>
      </c>
      <c r="B425" t="s">
        <v>32</v>
      </c>
      <c r="C425">
        <v>29044</v>
      </c>
      <c r="D425">
        <v>39175</v>
      </c>
      <c r="E425" s="12">
        <v>45713</v>
      </c>
      <c r="F425" s="12">
        <v>45775</v>
      </c>
      <c r="G425" s="10">
        <v>7734.7</v>
      </c>
      <c r="H425">
        <v>0</v>
      </c>
      <c r="I425" t="s">
        <v>271</v>
      </c>
      <c r="J425" t="s">
        <v>34</v>
      </c>
      <c r="K425" t="s">
        <v>15</v>
      </c>
    </row>
    <row r="426" spans="1:11" hidden="1" x14ac:dyDescent="0.35">
      <c r="A426" t="s">
        <v>31</v>
      </c>
      <c r="B426" t="s">
        <v>32</v>
      </c>
      <c r="C426">
        <v>28677</v>
      </c>
      <c r="D426">
        <v>38718</v>
      </c>
      <c r="E426" s="12">
        <v>45685</v>
      </c>
      <c r="F426" s="12">
        <v>45775</v>
      </c>
      <c r="G426" s="10">
        <v>9583.2800000000007</v>
      </c>
      <c r="H426">
        <v>0</v>
      </c>
      <c r="I426" t="s">
        <v>271</v>
      </c>
      <c r="J426" t="s">
        <v>34</v>
      </c>
      <c r="K426" t="s">
        <v>15</v>
      </c>
    </row>
    <row r="427" spans="1:11" hidden="1" x14ac:dyDescent="0.35">
      <c r="A427" t="s">
        <v>1351</v>
      </c>
      <c r="B427" t="s">
        <v>1352</v>
      </c>
      <c r="C427">
        <v>27896</v>
      </c>
      <c r="D427">
        <v>37759</v>
      </c>
      <c r="E427" s="12">
        <v>45625</v>
      </c>
      <c r="F427" s="12">
        <v>45775</v>
      </c>
      <c r="G427" s="10">
        <v>29629</v>
      </c>
      <c r="H427">
        <v>0</v>
      </c>
      <c r="I427" t="s">
        <v>1353</v>
      </c>
      <c r="J427" t="s">
        <v>14</v>
      </c>
      <c r="K427" t="s">
        <v>15</v>
      </c>
    </row>
    <row r="428" spans="1:11" hidden="1" x14ac:dyDescent="0.35">
      <c r="A428" t="s">
        <v>205</v>
      </c>
      <c r="B428" t="s">
        <v>56</v>
      </c>
      <c r="C428">
        <v>27668</v>
      </c>
      <c r="D428">
        <v>37446</v>
      </c>
      <c r="E428" s="12">
        <v>45596</v>
      </c>
      <c r="F428" s="12">
        <v>45776</v>
      </c>
      <c r="G428" s="10">
        <v>11094.2</v>
      </c>
      <c r="H428">
        <v>0</v>
      </c>
      <c r="I428" t="s">
        <v>626</v>
      </c>
      <c r="J428" t="s">
        <v>58</v>
      </c>
      <c r="K428" t="s">
        <v>15</v>
      </c>
    </row>
    <row r="429" spans="1:11" hidden="1" x14ac:dyDescent="0.35">
      <c r="A429" t="s">
        <v>31</v>
      </c>
      <c r="B429" t="s">
        <v>32</v>
      </c>
      <c r="C429">
        <v>27963</v>
      </c>
      <c r="D429">
        <v>37831</v>
      </c>
      <c r="E429" s="12">
        <v>45626</v>
      </c>
      <c r="F429" s="12">
        <v>45776</v>
      </c>
      <c r="G429" s="10">
        <v>17999.98</v>
      </c>
      <c r="H429">
        <v>0</v>
      </c>
      <c r="I429" t="s">
        <v>1216</v>
      </c>
      <c r="J429" t="s">
        <v>34</v>
      </c>
      <c r="K429" t="s">
        <v>15</v>
      </c>
    </row>
    <row r="430" spans="1:11" hidden="1" x14ac:dyDescent="0.35">
      <c r="A430" t="s">
        <v>667</v>
      </c>
      <c r="B430" t="s">
        <v>668</v>
      </c>
      <c r="C430">
        <v>29079</v>
      </c>
      <c r="D430">
        <v>39235</v>
      </c>
      <c r="E430" s="12">
        <v>45716</v>
      </c>
      <c r="F430" s="12">
        <v>45776</v>
      </c>
      <c r="G430" s="10">
        <v>38797</v>
      </c>
      <c r="H430">
        <v>0</v>
      </c>
      <c r="I430" t="s">
        <v>1542</v>
      </c>
      <c r="J430" t="s">
        <v>26</v>
      </c>
      <c r="K430" t="s">
        <v>15</v>
      </c>
    </row>
    <row r="431" spans="1:11" hidden="1" x14ac:dyDescent="0.35">
      <c r="A431" t="s">
        <v>309</v>
      </c>
      <c r="B431" t="s">
        <v>310</v>
      </c>
      <c r="C431">
        <v>27652</v>
      </c>
      <c r="D431">
        <v>37430</v>
      </c>
      <c r="E431" s="12">
        <v>45596</v>
      </c>
      <c r="F431" s="12">
        <v>45776</v>
      </c>
      <c r="G431" s="10">
        <v>55060</v>
      </c>
      <c r="H431">
        <v>0</v>
      </c>
      <c r="I431" t="s">
        <v>1326</v>
      </c>
      <c r="J431" t="s">
        <v>312</v>
      </c>
      <c r="K431" t="s">
        <v>15</v>
      </c>
    </row>
    <row r="432" spans="1:11" hidden="1" x14ac:dyDescent="0.35">
      <c r="A432" t="s">
        <v>1514</v>
      </c>
      <c r="B432" t="s">
        <v>1515</v>
      </c>
      <c r="C432">
        <v>28692</v>
      </c>
      <c r="D432">
        <v>38732</v>
      </c>
      <c r="E432" s="12">
        <v>45686</v>
      </c>
      <c r="F432" s="12">
        <v>45776</v>
      </c>
      <c r="G432" s="10">
        <v>18407.240000000002</v>
      </c>
      <c r="H432">
        <v>0</v>
      </c>
      <c r="I432" t="s">
        <v>1516</v>
      </c>
      <c r="J432" t="s">
        <v>91</v>
      </c>
      <c r="K432" t="s">
        <v>15</v>
      </c>
    </row>
    <row r="433" spans="1:11" hidden="1" x14ac:dyDescent="0.35">
      <c r="A433" t="s">
        <v>667</v>
      </c>
      <c r="B433" t="s">
        <v>668</v>
      </c>
      <c r="C433">
        <v>29080</v>
      </c>
      <c r="D433">
        <v>39236</v>
      </c>
      <c r="E433" s="12">
        <v>45716</v>
      </c>
      <c r="F433" s="12">
        <v>45776</v>
      </c>
      <c r="G433" s="10">
        <v>88645.25</v>
      </c>
      <c r="H433">
        <v>0</v>
      </c>
      <c r="I433" t="s">
        <v>1651</v>
      </c>
      <c r="J433" t="s">
        <v>26</v>
      </c>
      <c r="K433" t="s">
        <v>15</v>
      </c>
    </row>
    <row r="434" spans="1:11" hidden="1" x14ac:dyDescent="0.35">
      <c r="A434" t="s">
        <v>667</v>
      </c>
      <c r="B434" t="s">
        <v>668</v>
      </c>
      <c r="C434">
        <v>29081</v>
      </c>
      <c r="D434">
        <v>39237</v>
      </c>
      <c r="E434" s="12">
        <v>45716</v>
      </c>
      <c r="F434" s="12">
        <v>45776</v>
      </c>
      <c r="G434" s="10">
        <v>3576.5</v>
      </c>
      <c r="H434">
        <v>0</v>
      </c>
      <c r="I434" t="s">
        <v>1662</v>
      </c>
      <c r="J434" t="s">
        <v>26</v>
      </c>
      <c r="K434" t="s">
        <v>15</v>
      </c>
    </row>
    <row r="435" spans="1:11" hidden="1" x14ac:dyDescent="0.35">
      <c r="A435" t="s">
        <v>1057</v>
      </c>
      <c r="B435" t="s">
        <v>1058</v>
      </c>
      <c r="C435">
        <v>28694</v>
      </c>
      <c r="D435">
        <v>38734</v>
      </c>
      <c r="E435" s="12">
        <v>45686</v>
      </c>
      <c r="F435" s="12">
        <v>45776</v>
      </c>
      <c r="G435" s="10">
        <v>4920</v>
      </c>
      <c r="H435">
        <v>0</v>
      </c>
      <c r="I435" t="s">
        <v>1174</v>
      </c>
      <c r="J435" t="s">
        <v>41</v>
      </c>
      <c r="K435" t="s">
        <v>15</v>
      </c>
    </row>
    <row r="436" spans="1:11" hidden="1" x14ac:dyDescent="0.35">
      <c r="A436" t="s">
        <v>689</v>
      </c>
      <c r="B436" t="s">
        <v>668</v>
      </c>
      <c r="C436">
        <v>26355</v>
      </c>
      <c r="D436">
        <v>35976</v>
      </c>
      <c r="E436" s="12">
        <v>45510</v>
      </c>
      <c r="F436" s="12">
        <v>45777</v>
      </c>
      <c r="G436" s="10">
        <v>14130</v>
      </c>
      <c r="H436">
        <v>0</v>
      </c>
      <c r="I436" t="s">
        <v>690</v>
      </c>
      <c r="J436" t="s">
        <v>26</v>
      </c>
      <c r="K436" t="s">
        <v>15</v>
      </c>
    </row>
    <row r="437" spans="1:11" hidden="1" x14ac:dyDescent="0.35">
      <c r="A437" t="s">
        <v>376</v>
      </c>
      <c r="B437" t="s">
        <v>377</v>
      </c>
      <c r="C437">
        <v>27430</v>
      </c>
      <c r="D437">
        <v>37183</v>
      </c>
      <c r="E437" s="12">
        <v>45582</v>
      </c>
      <c r="F437" s="12">
        <v>45777</v>
      </c>
      <c r="G437" s="10">
        <v>21619</v>
      </c>
      <c r="H437">
        <v>0</v>
      </c>
      <c r="I437" t="s">
        <v>696</v>
      </c>
      <c r="J437" t="s">
        <v>22</v>
      </c>
      <c r="K437" t="s">
        <v>15</v>
      </c>
    </row>
    <row r="438" spans="1:11" hidden="1" x14ac:dyDescent="0.35">
      <c r="A438" t="s">
        <v>456</v>
      </c>
      <c r="B438" t="s">
        <v>457</v>
      </c>
      <c r="C438">
        <v>28534</v>
      </c>
      <c r="D438">
        <v>38539</v>
      </c>
      <c r="E438" s="12">
        <v>45677</v>
      </c>
      <c r="F438" s="12">
        <v>45777</v>
      </c>
      <c r="G438" s="10">
        <v>4800</v>
      </c>
      <c r="H438">
        <v>0</v>
      </c>
      <c r="I438" t="s">
        <v>707</v>
      </c>
      <c r="J438" t="s">
        <v>122</v>
      </c>
      <c r="K438" t="s">
        <v>15</v>
      </c>
    </row>
    <row r="439" spans="1:11" hidden="1" x14ac:dyDescent="0.35">
      <c r="A439" t="s">
        <v>177</v>
      </c>
      <c r="B439" t="s">
        <v>178</v>
      </c>
      <c r="C439">
        <v>26525</v>
      </c>
      <c r="D439">
        <v>36163</v>
      </c>
      <c r="E439" s="12">
        <v>45523</v>
      </c>
      <c r="F439" s="12">
        <v>45777</v>
      </c>
      <c r="G439" s="10">
        <v>4269.51</v>
      </c>
      <c r="H439">
        <v>0</v>
      </c>
      <c r="I439" t="s">
        <v>179</v>
      </c>
      <c r="J439" t="s">
        <v>122</v>
      </c>
      <c r="K439" t="s">
        <v>15</v>
      </c>
    </row>
    <row r="440" spans="1:11" hidden="1" x14ac:dyDescent="0.35">
      <c r="A440" t="s">
        <v>183</v>
      </c>
      <c r="B440" t="s">
        <v>184</v>
      </c>
      <c r="C440">
        <v>26911</v>
      </c>
      <c r="D440">
        <v>36590</v>
      </c>
      <c r="E440" s="12">
        <v>45553</v>
      </c>
      <c r="F440" s="12">
        <v>45777</v>
      </c>
      <c r="G440" s="10">
        <v>20425</v>
      </c>
      <c r="H440">
        <v>0</v>
      </c>
      <c r="I440" t="s">
        <v>185</v>
      </c>
      <c r="J440" t="s">
        <v>30</v>
      </c>
      <c r="K440" t="s">
        <v>15</v>
      </c>
    </row>
    <row r="441" spans="1:11" hidden="1" x14ac:dyDescent="0.35">
      <c r="A441" t="s">
        <v>188</v>
      </c>
      <c r="B441" t="s">
        <v>189</v>
      </c>
      <c r="C441">
        <v>27244</v>
      </c>
      <c r="D441">
        <v>36948</v>
      </c>
      <c r="E441" s="12">
        <v>45567</v>
      </c>
      <c r="F441" s="12">
        <v>45777</v>
      </c>
      <c r="G441" s="10">
        <v>9600</v>
      </c>
      <c r="H441">
        <v>0</v>
      </c>
      <c r="I441" t="s">
        <v>190</v>
      </c>
      <c r="J441" t="s">
        <v>30</v>
      </c>
      <c r="K441" t="s">
        <v>15</v>
      </c>
    </row>
    <row r="442" spans="1:11" hidden="1" x14ac:dyDescent="0.35">
      <c r="A442" t="s">
        <v>195</v>
      </c>
      <c r="B442" t="s">
        <v>196</v>
      </c>
      <c r="C442">
        <v>27429</v>
      </c>
      <c r="D442">
        <v>37182</v>
      </c>
      <c r="E442" s="12">
        <v>45582</v>
      </c>
      <c r="F442" s="12">
        <v>45777</v>
      </c>
      <c r="G442" s="10">
        <v>35750</v>
      </c>
      <c r="H442">
        <v>0</v>
      </c>
      <c r="I442" t="s">
        <v>197</v>
      </c>
      <c r="J442" t="s">
        <v>22</v>
      </c>
      <c r="K442" t="s">
        <v>15</v>
      </c>
    </row>
    <row r="443" spans="1:11" hidden="1" x14ac:dyDescent="0.35">
      <c r="A443" t="s">
        <v>215</v>
      </c>
      <c r="B443" t="s">
        <v>216</v>
      </c>
      <c r="C443">
        <v>28815</v>
      </c>
      <c r="D443">
        <v>38903</v>
      </c>
      <c r="E443" s="12">
        <v>45694</v>
      </c>
      <c r="F443" s="12">
        <v>45777</v>
      </c>
      <c r="G443" s="10">
        <v>215835.8</v>
      </c>
      <c r="H443">
        <v>0</v>
      </c>
      <c r="I443" t="s">
        <v>217</v>
      </c>
      <c r="J443" t="s">
        <v>30</v>
      </c>
    </row>
    <row r="444" spans="1:11" hidden="1" x14ac:dyDescent="0.35">
      <c r="A444" t="s">
        <v>832</v>
      </c>
      <c r="B444" t="s">
        <v>833</v>
      </c>
      <c r="C444">
        <v>26488</v>
      </c>
      <c r="D444">
        <v>36121</v>
      </c>
      <c r="E444" s="12">
        <v>45520</v>
      </c>
      <c r="F444" s="12">
        <v>45777</v>
      </c>
      <c r="G444" s="10">
        <v>4230</v>
      </c>
      <c r="H444">
        <v>0</v>
      </c>
      <c r="I444" t="s">
        <v>834</v>
      </c>
      <c r="J444" t="s">
        <v>122</v>
      </c>
    </row>
    <row r="445" spans="1:11" hidden="1" x14ac:dyDescent="0.35">
      <c r="A445" t="s">
        <v>504</v>
      </c>
      <c r="B445" t="s">
        <v>505</v>
      </c>
      <c r="C445">
        <v>27874</v>
      </c>
      <c r="D445">
        <v>37721</v>
      </c>
      <c r="E445" s="12">
        <v>45621</v>
      </c>
      <c r="F445" s="12">
        <v>45777</v>
      </c>
      <c r="G445" s="10">
        <v>3480</v>
      </c>
      <c r="H445">
        <v>0</v>
      </c>
      <c r="I445" t="s">
        <v>847</v>
      </c>
      <c r="J445" t="s">
        <v>122</v>
      </c>
      <c r="K445" t="s">
        <v>15</v>
      </c>
    </row>
    <row r="446" spans="1:11" hidden="1" x14ac:dyDescent="0.35">
      <c r="A446" t="s">
        <v>504</v>
      </c>
      <c r="B446" t="s">
        <v>505</v>
      </c>
      <c r="C446">
        <v>26485</v>
      </c>
      <c r="D446">
        <v>36118</v>
      </c>
      <c r="E446" s="12">
        <v>45520</v>
      </c>
      <c r="F446" s="12">
        <v>45777</v>
      </c>
      <c r="G446" s="10">
        <v>10750</v>
      </c>
      <c r="H446">
        <v>0</v>
      </c>
      <c r="I446" t="s">
        <v>670</v>
      </c>
      <c r="J446" t="s">
        <v>122</v>
      </c>
      <c r="K446" t="s">
        <v>15</v>
      </c>
    </row>
    <row r="447" spans="1:11" hidden="1" x14ac:dyDescent="0.35">
      <c r="A447" t="s">
        <v>116</v>
      </c>
      <c r="B447" t="s">
        <v>117</v>
      </c>
      <c r="C447">
        <v>25625</v>
      </c>
      <c r="D447">
        <v>35179</v>
      </c>
      <c r="E447" s="12">
        <v>45414</v>
      </c>
      <c r="F447" s="12">
        <v>45777</v>
      </c>
      <c r="G447" s="10">
        <v>149310</v>
      </c>
      <c r="H447">
        <v>0</v>
      </c>
      <c r="I447" t="s">
        <v>1143</v>
      </c>
      <c r="J447" t="s">
        <v>22</v>
      </c>
      <c r="K447" t="s">
        <v>15</v>
      </c>
    </row>
    <row r="448" spans="1:11" hidden="1" x14ac:dyDescent="0.35">
      <c r="A448" t="s">
        <v>163</v>
      </c>
      <c r="B448" t="s">
        <v>164</v>
      </c>
      <c r="C448">
        <v>27029</v>
      </c>
      <c r="D448">
        <v>36724</v>
      </c>
      <c r="E448" s="12">
        <v>45559</v>
      </c>
      <c r="F448" s="12">
        <v>45777</v>
      </c>
      <c r="G448" s="10">
        <v>24450</v>
      </c>
      <c r="H448">
        <v>0</v>
      </c>
      <c r="I448" t="s">
        <v>1147</v>
      </c>
      <c r="J448" t="s">
        <v>107</v>
      </c>
      <c r="K448" t="s">
        <v>15</v>
      </c>
    </row>
    <row r="449" spans="1:11" hidden="1" x14ac:dyDescent="0.35">
      <c r="A449" t="s">
        <v>31</v>
      </c>
      <c r="B449" t="s">
        <v>32</v>
      </c>
      <c r="C449">
        <v>28894</v>
      </c>
      <c r="D449">
        <v>38999</v>
      </c>
      <c r="E449" s="12">
        <v>45702</v>
      </c>
      <c r="F449" s="12">
        <v>45777</v>
      </c>
      <c r="G449" s="10">
        <v>2520</v>
      </c>
      <c r="H449">
        <v>0</v>
      </c>
      <c r="I449" t="s">
        <v>271</v>
      </c>
      <c r="J449" t="s">
        <v>34</v>
      </c>
      <c r="K449" t="s">
        <v>15</v>
      </c>
    </row>
    <row r="450" spans="1:11" hidden="1" x14ac:dyDescent="0.35">
      <c r="A450" t="s">
        <v>27</v>
      </c>
      <c r="B450" t="s">
        <v>28</v>
      </c>
      <c r="C450">
        <v>27039</v>
      </c>
      <c r="D450">
        <v>36732</v>
      </c>
      <c r="E450" s="12">
        <v>45559</v>
      </c>
      <c r="F450" s="12">
        <v>45777</v>
      </c>
      <c r="G450" s="10">
        <v>16800</v>
      </c>
      <c r="H450">
        <v>0</v>
      </c>
      <c r="I450" t="s">
        <v>29</v>
      </c>
      <c r="J450" t="s">
        <v>30</v>
      </c>
      <c r="K450" t="s">
        <v>15</v>
      </c>
    </row>
    <row r="451" spans="1:11" hidden="1" x14ac:dyDescent="0.35">
      <c r="A451" t="s">
        <v>35</v>
      </c>
      <c r="B451" t="s">
        <v>36</v>
      </c>
      <c r="C451">
        <v>27475</v>
      </c>
      <c r="D451">
        <v>37242</v>
      </c>
      <c r="E451" s="12">
        <v>45588</v>
      </c>
      <c r="F451" s="12">
        <v>45777</v>
      </c>
      <c r="G451" s="10">
        <v>128940</v>
      </c>
      <c r="H451">
        <v>0</v>
      </c>
      <c r="I451" t="s">
        <v>37</v>
      </c>
      <c r="J451" t="s">
        <v>22</v>
      </c>
      <c r="K451" t="s">
        <v>15</v>
      </c>
    </row>
    <row r="452" spans="1:11" hidden="1" x14ac:dyDescent="0.35">
      <c r="A452" t="s">
        <v>52</v>
      </c>
      <c r="B452" t="s">
        <v>53</v>
      </c>
      <c r="C452">
        <v>27952</v>
      </c>
      <c r="D452">
        <v>37820</v>
      </c>
      <c r="E452" s="12">
        <v>45625</v>
      </c>
      <c r="F452" s="12">
        <v>45777</v>
      </c>
      <c r="G452" s="10">
        <v>1089.8</v>
      </c>
      <c r="H452">
        <v>0</v>
      </c>
      <c r="I452" t="s">
        <v>54</v>
      </c>
      <c r="J452" t="s">
        <v>41</v>
      </c>
      <c r="K452" t="s">
        <v>15</v>
      </c>
    </row>
    <row r="453" spans="1:11" hidden="1" x14ac:dyDescent="0.35">
      <c r="A453" t="s">
        <v>65</v>
      </c>
      <c r="B453" t="s">
        <v>66</v>
      </c>
      <c r="C453">
        <v>27435</v>
      </c>
      <c r="D453">
        <v>37193</v>
      </c>
      <c r="E453" s="12">
        <v>45583</v>
      </c>
      <c r="F453" s="12">
        <v>45777</v>
      </c>
      <c r="G453" s="10">
        <v>36295</v>
      </c>
      <c r="H453">
        <v>0</v>
      </c>
      <c r="I453" t="s">
        <v>67</v>
      </c>
      <c r="J453" t="s">
        <v>41</v>
      </c>
      <c r="K453" t="s">
        <v>15</v>
      </c>
    </row>
    <row r="454" spans="1:11" hidden="1" x14ac:dyDescent="0.35">
      <c r="A454" t="s">
        <v>504</v>
      </c>
      <c r="B454" t="s">
        <v>505</v>
      </c>
      <c r="C454">
        <v>26483</v>
      </c>
      <c r="D454">
        <v>36116</v>
      </c>
      <c r="E454" s="12">
        <v>45520</v>
      </c>
      <c r="F454" s="12">
        <v>45777</v>
      </c>
      <c r="G454" s="10">
        <v>28090</v>
      </c>
      <c r="H454">
        <v>0</v>
      </c>
      <c r="I454" t="s">
        <v>518</v>
      </c>
      <c r="J454" t="s">
        <v>122</v>
      </c>
      <c r="K454" t="s">
        <v>15</v>
      </c>
    </row>
    <row r="455" spans="1:11" hidden="1" x14ac:dyDescent="0.35">
      <c r="A455" t="s">
        <v>78</v>
      </c>
      <c r="B455" t="s">
        <v>79</v>
      </c>
      <c r="C455">
        <v>27736</v>
      </c>
      <c r="D455">
        <v>37534</v>
      </c>
      <c r="E455" s="12">
        <v>45604</v>
      </c>
      <c r="F455" s="12">
        <v>45777</v>
      </c>
      <c r="G455" s="10">
        <v>1702.4</v>
      </c>
      <c r="H455">
        <v>0</v>
      </c>
      <c r="I455" t="s">
        <v>526</v>
      </c>
      <c r="J455" t="s">
        <v>41</v>
      </c>
      <c r="K455" t="s">
        <v>15</v>
      </c>
    </row>
    <row r="456" spans="1:11" hidden="1" x14ac:dyDescent="0.35">
      <c r="A456" t="s">
        <v>23</v>
      </c>
      <c r="B456" t="s">
        <v>24</v>
      </c>
      <c r="C456">
        <v>25961</v>
      </c>
      <c r="D456">
        <v>35545</v>
      </c>
      <c r="E456" s="12">
        <v>45464</v>
      </c>
      <c r="F456" s="12">
        <v>45777</v>
      </c>
      <c r="G456" s="10">
        <v>330000</v>
      </c>
      <c r="H456">
        <v>0</v>
      </c>
      <c r="I456" t="s">
        <v>320</v>
      </c>
      <c r="J456" t="s">
        <v>26</v>
      </c>
      <c r="K456" t="s">
        <v>15</v>
      </c>
    </row>
    <row r="457" spans="1:11" hidden="1" x14ac:dyDescent="0.35">
      <c r="A457" t="s">
        <v>177</v>
      </c>
      <c r="B457" t="s">
        <v>178</v>
      </c>
      <c r="C457">
        <v>26479</v>
      </c>
      <c r="D457">
        <v>36112</v>
      </c>
      <c r="E457" s="12">
        <v>45520</v>
      </c>
      <c r="F457" s="12">
        <v>45777</v>
      </c>
      <c r="G457" s="10">
        <v>21103.88</v>
      </c>
      <c r="H457">
        <v>0</v>
      </c>
      <c r="I457" t="s">
        <v>321</v>
      </c>
      <c r="J457" t="s">
        <v>122</v>
      </c>
      <c r="K457" t="s">
        <v>15</v>
      </c>
    </row>
    <row r="458" spans="1:11" hidden="1" x14ac:dyDescent="0.35">
      <c r="A458" t="s">
        <v>327</v>
      </c>
      <c r="B458" t="s">
        <v>328</v>
      </c>
      <c r="C458">
        <v>27004</v>
      </c>
      <c r="D458">
        <v>36697</v>
      </c>
      <c r="E458" s="12">
        <v>45558</v>
      </c>
      <c r="F458" s="12">
        <v>45777</v>
      </c>
      <c r="G458" s="10">
        <v>16340</v>
      </c>
      <c r="H458">
        <v>0</v>
      </c>
      <c r="I458" t="s">
        <v>329</v>
      </c>
      <c r="J458" t="s">
        <v>30</v>
      </c>
      <c r="K458" t="s">
        <v>15</v>
      </c>
    </row>
    <row r="459" spans="1:11" hidden="1" x14ac:dyDescent="0.35">
      <c r="A459" t="s">
        <v>65</v>
      </c>
      <c r="B459" t="s">
        <v>66</v>
      </c>
      <c r="C459">
        <v>27432</v>
      </c>
      <c r="D459">
        <v>37187</v>
      </c>
      <c r="E459" s="12">
        <v>45582</v>
      </c>
      <c r="F459" s="12">
        <v>45777</v>
      </c>
      <c r="G459" s="10">
        <v>168647.34</v>
      </c>
      <c r="H459">
        <v>0</v>
      </c>
      <c r="I459" t="s">
        <v>576</v>
      </c>
      <c r="J459" t="s">
        <v>41</v>
      </c>
      <c r="K459" t="s">
        <v>15</v>
      </c>
    </row>
    <row r="460" spans="1:11" hidden="1" x14ac:dyDescent="0.35">
      <c r="A460" t="s">
        <v>322</v>
      </c>
      <c r="B460" t="s">
        <v>36</v>
      </c>
      <c r="C460">
        <v>27564</v>
      </c>
      <c r="D460">
        <v>37327</v>
      </c>
      <c r="E460" s="12">
        <v>45593</v>
      </c>
      <c r="F460" s="12">
        <v>45777</v>
      </c>
      <c r="G460" s="10">
        <v>420495</v>
      </c>
      <c r="H460">
        <v>0</v>
      </c>
      <c r="I460" t="s">
        <v>579</v>
      </c>
      <c r="J460" t="s">
        <v>22</v>
      </c>
      <c r="K460" t="s">
        <v>15</v>
      </c>
    </row>
    <row r="461" spans="1:11" hidden="1" x14ac:dyDescent="0.35">
      <c r="A461" t="s">
        <v>959</v>
      </c>
      <c r="B461" t="s">
        <v>960</v>
      </c>
      <c r="C461">
        <v>26591</v>
      </c>
      <c r="D461">
        <v>36240</v>
      </c>
      <c r="E461" s="12">
        <v>45530</v>
      </c>
      <c r="F461" s="12">
        <v>45777</v>
      </c>
      <c r="G461" s="10">
        <v>65506.2</v>
      </c>
      <c r="H461">
        <v>0</v>
      </c>
      <c r="I461" t="s">
        <v>961</v>
      </c>
      <c r="J461" t="s">
        <v>22</v>
      </c>
      <c r="K461" t="s">
        <v>15</v>
      </c>
    </row>
    <row r="462" spans="1:11" hidden="1" x14ac:dyDescent="0.35">
      <c r="A462" t="s">
        <v>27</v>
      </c>
      <c r="B462" t="s">
        <v>28</v>
      </c>
      <c r="C462">
        <v>27009</v>
      </c>
      <c r="D462">
        <v>36702</v>
      </c>
      <c r="E462" s="12">
        <v>45558</v>
      </c>
      <c r="F462" s="12">
        <v>45777</v>
      </c>
      <c r="G462" s="10">
        <v>81700</v>
      </c>
      <c r="H462">
        <v>0</v>
      </c>
      <c r="I462" t="s">
        <v>963</v>
      </c>
      <c r="J462" t="s">
        <v>30</v>
      </c>
      <c r="K462" t="s">
        <v>15</v>
      </c>
    </row>
    <row r="463" spans="1:11" hidden="1" x14ac:dyDescent="0.35">
      <c r="A463" t="s">
        <v>126</v>
      </c>
      <c r="B463" t="s">
        <v>127</v>
      </c>
      <c r="C463">
        <v>27278</v>
      </c>
      <c r="D463">
        <v>36985</v>
      </c>
      <c r="E463" s="12">
        <v>45569</v>
      </c>
      <c r="F463" s="12">
        <v>45777</v>
      </c>
      <c r="G463" s="10">
        <v>1946</v>
      </c>
      <c r="H463">
        <v>0</v>
      </c>
      <c r="I463" t="s">
        <v>966</v>
      </c>
      <c r="J463" t="s">
        <v>30</v>
      </c>
      <c r="K463" t="s">
        <v>15</v>
      </c>
    </row>
    <row r="464" spans="1:11" hidden="1" x14ac:dyDescent="0.35">
      <c r="A464" t="s">
        <v>78</v>
      </c>
      <c r="B464" t="s">
        <v>79</v>
      </c>
      <c r="C464">
        <v>26809</v>
      </c>
      <c r="D464">
        <v>36472</v>
      </c>
      <c r="E464" s="12">
        <v>45547</v>
      </c>
      <c r="F464" s="12">
        <v>45777</v>
      </c>
      <c r="G464" s="10">
        <v>53514.400000000001</v>
      </c>
      <c r="H464">
        <v>0</v>
      </c>
      <c r="I464" t="s">
        <v>1210</v>
      </c>
      <c r="J464" t="s">
        <v>41</v>
      </c>
      <c r="K464" t="s">
        <v>15</v>
      </c>
    </row>
    <row r="465" spans="1:11" hidden="1" x14ac:dyDescent="0.35">
      <c r="A465" t="s">
        <v>188</v>
      </c>
      <c r="B465" t="s">
        <v>189</v>
      </c>
      <c r="C465">
        <v>27245</v>
      </c>
      <c r="D465">
        <v>36949</v>
      </c>
      <c r="E465" s="12">
        <v>45567</v>
      </c>
      <c r="F465" s="12">
        <v>45777</v>
      </c>
      <c r="G465" s="10">
        <v>16800</v>
      </c>
      <c r="H465">
        <v>0</v>
      </c>
      <c r="I465" t="s">
        <v>1213</v>
      </c>
      <c r="J465" t="s">
        <v>30</v>
      </c>
      <c r="K465" t="s">
        <v>15</v>
      </c>
    </row>
    <row r="466" spans="1:11" hidden="1" x14ac:dyDescent="0.35">
      <c r="A466" t="s">
        <v>195</v>
      </c>
      <c r="B466" t="s">
        <v>196</v>
      </c>
      <c r="C466">
        <v>27428</v>
      </c>
      <c r="D466">
        <v>37181</v>
      </c>
      <c r="E466" s="12">
        <v>45582</v>
      </c>
      <c r="F466" s="12">
        <v>45777</v>
      </c>
      <c r="G466" s="10">
        <v>97356.479999999996</v>
      </c>
      <c r="H466">
        <v>0</v>
      </c>
      <c r="I466" t="s">
        <v>1214</v>
      </c>
      <c r="J466" t="s">
        <v>22</v>
      </c>
      <c r="K466" t="s">
        <v>15</v>
      </c>
    </row>
    <row r="467" spans="1:11" hidden="1" x14ac:dyDescent="0.35">
      <c r="A467" t="s">
        <v>565</v>
      </c>
      <c r="B467" t="s">
        <v>566</v>
      </c>
      <c r="C467">
        <v>26608</v>
      </c>
      <c r="D467">
        <v>36257</v>
      </c>
      <c r="E467" s="12">
        <v>45531</v>
      </c>
      <c r="F467" s="12">
        <v>45777</v>
      </c>
      <c r="G467" s="10">
        <v>93679.5</v>
      </c>
      <c r="H467">
        <v>0</v>
      </c>
      <c r="I467" t="s">
        <v>602</v>
      </c>
      <c r="J467" t="s">
        <v>18</v>
      </c>
      <c r="K467" t="s">
        <v>15</v>
      </c>
    </row>
    <row r="468" spans="1:11" hidden="1" x14ac:dyDescent="0.35">
      <c r="A468" t="s">
        <v>23</v>
      </c>
      <c r="B468" t="s">
        <v>24</v>
      </c>
      <c r="C468">
        <v>26011</v>
      </c>
      <c r="D468">
        <v>35600</v>
      </c>
      <c r="E468" s="12">
        <v>45470</v>
      </c>
      <c r="F468" s="12">
        <v>45777</v>
      </c>
      <c r="G468" s="10">
        <v>440000</v>
      </c>
      <c r="H468">
        <v>0</v>
      </c>
      <c r="I468" t="s">
        <v>1081</v>
      </c>
      <c r="J468" t="s">
        <v>26</v>
      </c>
      <c r="K468" t="s">
        <v>15</v>
      </c>
    </row>
    <row r="469" spans="1:11" hidden="1" x14ac:dyDescent="0.35">
      <c r="A469" t="s">
        <v>65</v>
      </c>
      <c r="B469" t="s">
        <v>66</v>
      </c>
      <c r="C469">
        <v>27483</v>
      </c>
      <c r="D469">
        <v>37249</v>
      </c>
      <c r="E469" s="12">
        <v>45588</v>
      </c>
      <c r="F469" s="12">
        <v>45777</v>
      </c>
      <c r="G469" s="10">
        <v>14167.4</v>
      </c>
      <c r="H469">
        <v>0</v>
      </c>
      <c r="I469" t="s">
        <v>1092</v>
      </c>
      <c r="J469" t="s">
        <v>41</v>
      </c>
      <c r="K469" t="s">
        <v>15</v>
      </c>
    </row>
    <row r="470" spans="1:11" hidden="1" x14ac:dyDescent="0.35">
      <c r="A470" t="s">
        <v>322</v>
      </c>
      <c r="B470" t="s">
        <v>36</v>
      </c>
      <c r="C470">
        <v>27565</v>
      </c>
      <c r="D470">
        <v>37328</v>
      </c>
      <c r="E470" s="12">
        <v>45593</v>
      </c>
      <c r="F470" s="12">
        <v>45777</v>
      </c>
      <c r="G470" s="10">
        <v>357000</v>
      </c>
      <c r="H470">
        <v>0</v>
      </c>
      <c r="I470" t="s">
        <v>1093</v>
      </c>
      <c r="J470" t="s">
        <v>22</v>
      </c>
      <c r="K470" t="s">
        <v>15</v>
      </c>
    </row>
    <row r="471" spans="1:11" hidden="1" x14ac:dyDescent="0.35">
      <c r="A471" t="s">
        <v>541</v>
      </c>
      <c r="B471" t="s">
        <v>542</v>
      </c>
      <c r="C471">
        <v>26342</v>
      </c>
      <c r="D471">
        <v>35963</v>
      </c>
      <c r="E471" s="12">
        <v>45510</v>
      </c>
      <c r="F471" s="12">
        <v>45777</v>
      </c>
      <c r="G471" s="10">
        <v>203100</v>
      </c>
      <c r="H471">
        <v>0</v>
      </c>
      <c r="I471" t="s">
        <v>1184</v>
      </c>
      <c r="J471" t="s">
        <v>115</v>
      </c>
      <c r="K471" t="s">
        <v>15</v>
      </c>
    </row>
    <row r="472" spans="1:11" hidden="1" x14ac:dyDescent="0.35">
      <c r="A472" t="s">
        <v>1188</v>
      </c>
      <c r="B472" t="s">
        <v>1189</v>
      </c>
      <c r="C472">
        <v>27295</v>
      </c>
      <c r="D472">
        <v>37009</v>
      </c>
      <c r="E472" s="12">
        <v>45569</v>
      </c>
      <c r="F472" s="12">
        <v>45777</v>
      </c>
      <c r="G472" s="10">
        <v>22080</v>
      </c>
      <c r="H472">
        <v>0</v>
      </c>
      <c r="I472" t="s">
        <v>1190</v>
      </c>
      <c r="J472" t="s">
        <v>22</v>
      </c>
      <c r="K472" t="s">
        <v>15</v>
      </c>
    </row>
    <row r="473" spans="1:11" hidden="1" x14ac:dyDescent="0.35">
      <c r="A473" t="s">
        <v>1188</v>
      </c>
      <c r="B473" t="s">
        <v>1189</v>
      </c>
      <c r="C473">
        <v>27296</v>
      </c>
      <c r="D473">
        <v>37010</v>
      </c>
      <c r="E473" s="12">
        <v>45569</v>
      </c>
      <c r="F473" s="12">
        <v>45777</v>
      </c>
      <c r="G473" s="10">
        <v>44160</v>
      </c>
      <c r="H473">
        <v>0</v>
      </c>
      <c r="I473" t="s">
        <v>1191</v>
      </c>
      <c r="J473" t="s">
        <v>22</v>
      </c>
      <c r="K473" t="s">
        <v>15</v>
      </c>
    </row>
    <row r="474" spans="1:11" hidden="1" x14ac:dyDescent="0.35">
      <c r="A474" t="s">
        <v>504</v>
      </c>
      <c r="B474" t="s">
        <v>505</v>
      </c>
      <c r="C474">
        <v>28363</v>
      </c>
      <c r="D474">
        <v>38354</v>
      </c>
      <c r="E474" s="12">
        <v>45667</v>
      </c>
      <c r="F474" s="12">
        <v>45777</v>
      </c>
      <c r="G474" s="10">
        <v>2400</v>
      </c>
      <c r="H474">
        <v>0</v>
      </c>
      <c r="I474" t="s">
        <v>1199</v>
      </c>
      <c r="J474" t="s">
        <v>122</v>
      </c>
      <c r="K474" t="s">
        <v>15</v>
      </c>
    </row>
    <row r="475" spans="1:11" hidden="1" x14ac:dyDescent="0.35">
      <c r="A475" t="s">
        <v>23</v>
      </c>
      <c r="B475" t="s">
        <v>24</v>
      </c>
      <c r="C475">
        <v>26010</v>
      </c>
      <c r="D475">
        <v>35599</v>
      </c>
      <c r="E475" s="12">
        <v>45470</v>
      </c>
      <c r="F475" s="12">
        <v>45777</v>
      </c>
      <c r="G475" s="10">
        <v>110000</v>
      </c>
      <c r="H475">
        <v>0</v>
      </c>
      <c r="I475" t="s">
        <v>1222</v>
      </c>
      <c r="J475" t="s">
        <v>26</v>
      </c>
      <c r="K475" t="s">
        <v>15</v>
      </c>
    </row>
    <row r="476" spans="1:11" hidden="1" x14ac:dyDescent="0.35">
      <c r="A476" t="s">
        <v>565</v>
      </c>
      <c r="B476" t="s">
        <v>566</v>
      </c>
      <c r="C476">
        <v>26973</v>
      </c>
      <c r="D476">
        <v>36663</v>
      </c>
      <c r="E476" s="12">
        <v>45555</v>
      </c>
      <c r="F476" s="12">
        <v>45777</v>
      </c>
      <c r="G476" s="10">
        <v>59944.2</v>
      </c>
      <c r="H476">
        <v>0</v>
      </c>
      <c r="I476" t="s">
        <v>1224</v>
      </c>
      <c r="J476" t="s">
        <v>18</v>
      </c>
      <c r="K476" t="s">
        <v>15</v>
      </c>
    </row>
    <row r="477" spans="1:11" hidden="1" x14ac:dyDescent="0.35">
      <c r="A477" t="s">
        <v>174</v>
      </c>
      <c r="B477" t="s">
        <v>175</v>
      </c>
      <c r="C477">
        <v>27682</v>
      </c>
      <c r="D477">
        <v>37464</v>
      </c>
      <c r="E477" s="12">
        <v>45597</v>
      </c>
      <c r="F477" s="12">
        <v>45777</v>
      </c>
      <c r="G477" s="10">
        <v>44069.8</v>
      </c>
      <c r="H477">
        <v>0</v>
      </c>
      <c r="I477" t="s">
        <v>1228</v>
      </c>
      <c r="J477" t="s">
        <v>58</v>
      </c>
      <c r="K477" t="s">
        <v>15</v>
      </c>
    </row>
    <row r="478" spans="1:11" hidden="1" x14ac:dyDescent="0.35">
      <c r="A478" t="s">
        <v>770</v>
      </c>
      <c r="B478" t="s">
        <v>771</v>
      </c>
      <c r="C478">
        <v>28718</v>
      </c>
      <c r="D478">
        <v>38762</v>
      </c>
      <c r="E478" s="12">
        <v>45687</v>
      </c>
      <c r="F478" s="12">
        <v>45777</v>
      </c>
      <c r="G478" s="10">
        <v>3171.5</v>
      </c>
      <c r="H478">
        <v>0</v>
      </c>
      <c r="I478" t="s">
        <v>772</v>
      </c>
      <c r="J478" t="s">
        <v>44</v>
      </c>
      <c r="K478" t="s">
        <v>15</v>
      </c>
    </row>
    <row r="479" spans="1:11" hidden="1" x14ac:dyDescent="0.35">
      <c r="A479" t="s">
        <v>85</v>
      </c>
      <c r="B479" t="s">
        <v>86</v>
      </c>
      <c r="C479">
        <v>26873</v>
      </c>
      <c r="D479">
        <v>36546</v>
      </c>
      <c r="E479" s="12">
        <v>45548</v>
      </c>
      <c r="F479" s="12">
        <v>45777</v>
      </c>
      <c r="G479" s="10">
        <v>542673.43000000005</v>
      </c>
      <c r="H479">
        <v>0</v>
      </c>
      <c r="I479" t="s">
        <v>1051</v>
      </c>
      <c r="J479" t="s">
        <v>41</v>
      </c>
      <c r="K479" t="s">
        <v>15</v>
      </c>
    </row>
    <row r="480" spans="1:11" hidden="1" x14ac:dyDescent="0.35">
      <c r="A480" t="s">
        <v>795</v>
      </c>
      <c r="B480" t="s">
        <v>796</v>
      </c>
      <c r="C480">
        <v>26912</v>
      </c>
      <c r="D480">
        <v>36591</v>
      </c>
      <c r="E480" s="12">
        <v>45553</v>
      </c>
      <c r="F480" s="12">
        <v>45777</v>
      </c>
      <c r="G480" s="10">
        <v>4837.5</v>
      </c>
      <c r="H480">
        <v>0</v>
      </c>
      <c r="I480" t="s">
        <v>1052</v>
      </c>
      <c r="J480" t="s">
        <v>30</v>
      </c>
      <c r="K480" t="s">
        <v>15</v>
      </c>
    </row>
    <row r="481" spans="1:11" hidden="1" x14ac:dyDescent="0.35">
      <c r="A481" t="s">
        <v>795</v>
      </c>
      <c r="B481" t="s">
        <v>796</v>
      </c>
      <c r="C481">
        <v>27614</v>
      </c>
      <c r="D481">
        <v>37386</v>
      </c>
      <c r="E481" s="12">
        <v>45595</v>
      </c>
      <c r="F481" s="12">
        <v>45777</v>
      </c>
      <c r="G481" s="10">
        <v>29000</v>
      </c>
      <c r="H481">
        <v>0</v>
      </c>
      <c r="I481" t="s">
        <v>1056</v>
      </c>
      <c r="J481" t="s">
        <v>30</v>
      </c>
      <c r="K481" t="s">
        <v>15</v>
      </c>
    </row>
    <row r="482" spans="1:11" hidden="1" x14ac:dyDescent="0.35">
      <c r="A482" t="s">
        <v>400</v>
      </c>
      <c r="B482" t="s">
        <v>401</v>
      </c>
      <c r="C482">
        <v>27188</v>
      </c>
      <c r="D482">
        <v>36878</v>
      </c>
      <c r="E482" s="12">
        <v>45565</v>
      </c>
      <c r="F482" s="12">
        <v>45777</v>
      </c>
      <c r="G482" s="10">
        <v>51221.4</v>
      </c>
      <c r="H482">
        <v>0</v>
      </c>
      <c r="I482" t="s">
        <v>856</v>
      </c>
      <c r="J482" t="s">
        <v>18</v>
      </c>
      <c r="K482" t="s">
        <v>15</v>
      </c>
    </row>
    <row r="483" spans="1:11" hidden="1" x14ac:dyDescent="0.35">
      <c r="A483" t="s">
        <v>52</v>
      </c>
      <c r="B483" t="s">
        <v>53</v>
      </c>
      <c r="C483">
        <v>27441</v>
      </c>
      <c r="D483">
        <v>37200</v>
      </c>
      <c r="E483" s="12">
        <v>45583</v>
      </c>
      <c r="F483" s="12">
        <v>45777</v>
      </c>
      <c r="G483" s="10">
        <v>86197.25</v>
      </c>
      <c r="H483">
        <v>0</v>
      </c>
      <c r="I483" t="s">
        <v>871</v>
      </c>
      <c r="J483" t="s">
        <v>41</v>
      </c>
      <c r="K483" t="s">
        <v>15</v>
      </c>
    </row>
    <row r="484" spans="1:11" hidden="1" x14ac:dyDescent="0.35">
      <c r="A484" t="s">
        <v>394</v>
      </c>
      <c r="B484" t="s">
        <v>395</v>
      </c>
      <c r="C484">
        <v>27002</v>
      </c>
      <c r="D484">
        <v>36695</v>
      </c>
      <c r="E484" s="12">
        <v>45558</v>
      </c>
      <c r="F484" s="12">
        <v>45777</v>
      </c>
      <c r="G484" s="10">
        <v>12000</v>
      </c>
      <c r="H484">
        <v>0</v>
      </c>
      <c r="I484" t="s">
        <v>396</v>
      </c>
      <c r="J484" t="s">
        <v>30</v>
      </c>
      <c r="K484" t="s">
        <v>15</v>
      </c>
    </row>
    <row r="485" spans="1:11" hidden="1" x14ac:dyDescent="0.35">
      <c r="A485" t="s">
        <v>400</v>
      </c>
      <c r="B485" t="s">
        <v>401</v>
      </c>
      <c r="C485">
        <v>27187</v>
      </c>
      <c r="D485">
        <v>36877</v>
      </c>
      <c r="E485" s="12">
        <v>45565</v>
      </c>
      <c r="F485" s="12">
        <v>45777</v>
      </c>
      <c r="G485" s="10">
        <v>51534.400000000001</v>
      </c>
      <c r="H485">
        <v>0</v>
      </c>
      <c r="I485" t="s">
        <v>402</v>
      </c>
      <c r="J485" t="s">
        <v>18</v>
      </c>
      <c r="K485" t="s">
        <v>15</v>
      </c>
    </row>
    <row r="486" spans="1:11" hidden="1" x14ac:dyDescent="0.35">
      <c r="A486" t="s">
        <v>16</v>
      </c>
      <c r="B486" t="s">
        <v>17</v>
      </c>
      <c r="C486">
        <v>27184</v>
      </c>
      <c r="D486">
        <v>36874</v>
      </c>
      <c r="E486" s="12">
        <v>45565</v>
      </c>
      <c r="F486" s="12">
        <v>45777</v>
      </c>
      <c r="G486" s="10">
        <v>13332</v>
      </c>
      <c r="H486">
        <v>0</v>
      </c>
      <c r="I486" t="s">
        <v>1117</v>
      </c>
      <c r="J486" t="s">
        <v>18</v>
      </c>
      <c r="K486" t="s">
        <v>15</v>
      </c>
    </row>
    <row r="487" spans="1:11" hidden="1" x14ac:dyDescent="0.35">
      <c r="A487" t="s">
        <v>541</v>
      </c>
      <c r="B487" t="s">
        <v>542</v>
      </c>
      <c r="C487">
        <v>26343</v>
      </c>
      <c r="D487">
        <v>35964</v>
      </c>
      <c r="E487" s="12">
        <v>45510</v>
      </c>
      <c r="F487" s="12">
        <v>45777</v>
      </c>
      <c r="G487" s="10">
        <v>19140</v>
      </c>
      <c r="H487">
        <v>0</v>
      </c>
      <c r="I487" t="s">
        <v>543</v>
      </c>
      <c r="J487" t="s">
        <v>115</v>
      </c>
      <c r="K487" t="s">
        <v>15</v>
      </c>
    </row>
    <row r="488" spans="1:11" hidden="1" x14ac:dyDescent="0.35">
      <c r="A488" t="s">
        <v>78</v>
      </c>
      <c r="B488" t="s">
        <v>79</v>
      </c>
      <c r="C488">
        <v>26948</v>
      </c>
      <c r="D488">
        <v>36632</v>
      </c>
      <c r="E488" s="12">
        <v>45554</v>
      </c>
      <c r="F488" s="12">
        <v>45777</v>
      </c>
      <c r="G488" s="10">
        <v>40080</v>
      </c>
      <c r="H488">
        <v>0</v>
      </c>
      <c r="I488" t="s">
        <v>804</v>
      </c>
      <c r="J488" t="s">
        <v>41</v>
      </c>
      <c r="K488" t="s">
        <v>15</v>
      </c>
    </row>
    <row r="489" spans="1:11" hidden="1" x14ac:dyDescent="0.35">
      <c r="A489" t="s">
        <v>85</v>
      </c>
      <c r="B489" t="s">
        <v>86</v>
      </c>
      <c r="C489">
        <v>27854</v>
      </c>
      <c r="D489">
        <v>37690</v>
      </c>
      <c r="E489" s="12">
        <v>45618</v>
      </c>
      <c r="F489" s="12">
        <v>45777</v>
      </c>
      <c r="G489" s="10">
        <v>52791.6</v>
      </c>
      <c r="H489">
        <v>0</v>
      </c>
      <c r="I489" t="s">
        <v>1286</v>
      </c>
      <c r="J489" t="s">
        <v>41</v>
      </c>
      <c r="K489" t="s">
        <v>15</v>
      </c>
    </row>
    <row r="490" spans="1:11" hidden="1" x14ac:dyDescent="0.35">
      <c r="A490" t="s">
        <v>795</v>
      </c>
      <c r="B490" t="s">
        <v>796</v>
      </c>
      <c r="C490">
        <v>27869</v>
      </c>
      <c r="D490">
        <v>37715</v>
      </c>
      <c r="E490" s="12">
        <v>45618</v>
      </c>
      <c r="F490" s="12">
        <v>45777</v>
      </c>
      <c r="G490" s="10">
        <v>23200</v>
      </c>
      <c r="H490">
        <v>0</v>
      </c>
      <c r="I490" t="s">
        <v>1287</v>
      </c>
      <c r="J490" t="s">
        <v>30</v>
      </c>
      <c r="K490" t="s">
        <v>15</v>
      </c>
    </row>
    <row r="491" spans="1:11" hidden="1" x14ac:dyDescent="0.35">
      <c r="A491" t="s">
        <v>504</v>
      </c>
      <c r="B491" t="s">
        <v>505</v>
      </c>
      <c r="C491">
        <v>26484</v>
      </c>
      <c r="D491">
        <v>36117</v>
      </c>
      <c r="E491" s="12">
        <v>45520</v>
      </c>
      <c r="F491" s="12">
        <v>45777</v>
      </c>
      <c r="G491" s="10">
        <v>2150</v>
      </c>
      <c r="H491">
        <v>0</v>
      </c>
      <c r="I491" t="s">
        <v>506</v>
      </c>
      <c r="J491" t="s">
        <v>122</v>
      </c>
      <c r="K491" t="s">
        <v>15</v>
      </c>
    </row>
    <row r="492" spans="1:11" hidden="1" x14ac:dyDescent="0.35">
      <c r="A492" t="s">
        <v>85</v>
      </c>
      <c r="B492" t="s">
        <v>86</v>
      </c>
      <c r="C492">
        <v>27252</v>
      </c>
      <c r="D492">
        <v>36958</v>
      </c>
      <c r="E492" s="12">
        <v>45568</v>
      </c>
      <c r="F492" s="12">
        <v>45777</v>
      </c>
      <c r="G492" s="10">
        <v>26000</v>
      </c>
      <c r="H492">
        <v>0</v>
      </c>
      <c r="I492" t="s">
        <v>510</v>
      </c>
      <c r="J492" t="s">
        <v>41</v>
      </c>
      <c r="K492" t="s">
        <v>15</v>
      </c>
    </row>
    <row r="493" spans="1:11" hidden="1" x14ac:dyDescent="0.35">
      <c r="A493" t="s">
        <v>78</v>
      </c>
      <c r="B493" t="s">
        <v>79</v>
      </c>
      <c r="C493">
        <v>27271</v>
      </c>
      <c r="D493">
        <v>36978</v>
      </c>
      <c r="E493" s="12">
        <v>45568</v>
      </c>
      <c r="F493" s="12">
        <v>45777</v>
      </c>
      <c r="G493" s="10">
        <v>25230</v>
      </c>
      <c r="H493">
        <v>0</v>
      </c>
      <c r="I493" t="s">
        <v>511</v>
      </c>
      <c r="J493" t="s">
        <v>41</v>
      </c>
      <c r="K493" t="s">
        <v>15</v>
      </c>
    </row>
    <row r="494" spans="1:11" hidden="1" x14ac:dyDescent="0.35">
      <c r="A494" t="s">
        <v>42</v>
      </c>
      <c r="B494" t="s">
        <v>43</v>
      </c>
      <c r="C494">
        <v>27686</v>
      </c>
      <c r="D494">
        <v>37469</v>
      </c>
      <c r="E494" s="12">
        <v>45597</v>
      </c>
      <c r="F494" s="12">
        <v>45777</v>
      </c>
      <c r="G494" s="10">
        <v>23033.38</v>
      </c>
      <c r="H494">
        <v>0</v>
      </c>
      <c r="I494" t="s">
        <v>512</v>
      </c>
      <c r="J494" t="s">
        <v>44</v>
      </c>
      <c r="K494" t="s">
        <v>15</v>
      </c>
    </row>
    <row r="495" spans="1:11" hidden="1" x14ac:dyDescent="0.35">
      <c r="A495" t="s">
        <v>394</v>
      </c>
      <c r="B495" t="s">
        <v>395</v>
      </c>
      <c r="C495">
        <v>27001</v>
      </c>
      <c r="D495">
        <v>36694</v>
      </c>
      <c r="E495" s="12">
        <v>45558</v>
      </c>
      <c r="F495" s="12">
        <v>45777</v>
      </c>
      <c r="G495" s="10">
        <v>24510</v>
      </c>
      <c r="H495">
        <v>0</v>
      </c>
      <c r="I495" t="s">
        <v>895</v>
      </c>
      <c r="J495" t="s">
        <v>30</v>
      </c>
      <c r="K495" t="s">
        <v>15</v>
      </c>
    </row>
    <row r="496" spans="1:11" hidden="1" x14ac:dyDescent="0.35">
      <c r="A496" t="s">
        <v>896</v>
      </c>
      <c r="B496" t="s">
        <v>897</v>
      </c>
      <c r="C496">
        <v>27571</v>
      </c>
      <c r="D496">
        <v>37336</v>
      </c>
      <c r="E496" s="12">
        <v>45593</v>
      </c>
      <c r="F496" s="12">
        <v>45777</v>
      </c>
      <c r="G496" s="10">
        <v>90400</v>
      </c>
      <c r="H496">
        <v>0</v>
      </c>
      <c r="I496" t="s">
        <v>898</v>
      </c>
      <c r="J496" t="s">
        <v>99</v>
      </c>
      <c r="K496" t="s">
        <v>15</v>
      </c>
    </row>
    <row r="497" spans="1:11" hidden="1" x14ac:dyDescent="0.35">
      <c r="A497" t="s">
        <v>230</v>
      </c>
      <c r="B497" t="s">
        <v>231</v>
      </c>
      <c r="C497">
        <v>26463</v>
      </c>
      <c r="D497">
        <v>36090</v>
      </c>
      <c r="E497" s="12">
        <v>45517</v>
      </c>
      <c r="F497" s="12">
        <v>45777</v>
      </c>
      <c r="G497" s="10">
        <v>95400</v>
      </c>
      <c r="H497">
        <v>0</v>
      </c>
      <c r="I497" t="s">
        <v>232</v>
      </c>
      <c r="J497" t="s">
        <v>30</v>
      </c>
      <c r="K497" t="s">
        <v>15</v>
      </c>
    </row>
    <row r="498" spans="1:11" hidden="1" x14ac:dyDescent="0.35">
      <c r="A498" t="s">
        <v>52</v>
      </c>
      <c r="B498" t="s">
        <v>53</v>
      </c>
      <c r="C498">
        <v>27442</v>
      </c>
      <c r="D498">
        <v>37201</v>
      </c>
      <c r="E498" s="12">
        <v>45583</v>
      </c>
      <c r="F498" s="12">
        <v>45777</v>
      </c>
      <c r="G498" s="10">
        <v>29890</v>
      </c>
      <c r="H498">
        <v>0</v>
      </c>
      <c r="I498" t="s">
        <v>239</v>
      </c>
      <c r="J498" t="s">
        <v>41</v>
      </c>
      <c r="K498" t="s">
        <v>15</v>
      </c>
    </row>
    <row r="499" spans="1:11" hidden="1" x14ac:dyDescent="0.35">
      <c r="A499" t="s">
        <v>459</v>
      </c>
      <c r="B499" t="s">
        <v>460</v>
      </c>
      <c r="C499">
        <v>26967</v>
      </c>
      <c r="D499">
        <v>36652</v>
      </c>
      <c r="E499" s="12">
        <v>45554</v>
      </c>
      <c r="F499" s="12">
        <v>45777</v>
      </c>
      <c r="G499" s="10">
        <v>79290</v>
      </c>
      <c r="H499">
        <v>0</v>
      </c>
      <c r="I499" t="s">
        <v>461</v>
      </c>
      <c r="J499" t="s">
        <v>18</v>
      </c>
      <c r="K499" t="s">
        <v>15</v>
      </c>
    </row>
    <row r="500" spans="1:11" hidden="1" x14ac:dyDescent="0.35">
      <c r="A500" t="s">
        <v>78</v>
      </c>
      <c r="B500" t="s">
        <v>79</v>
      </c>
      <c r="C500">
        <v>27737</v>
      </c>
      <c r="D500">
        <v>37535</v>
      </c>
      <c r="E500" s="12">
        <v>45604</v>
      </c>
      <c r="F500" s="12">
        <v>45777</v>
      </c>
      <c r="G500" s="10">
        <v>3043.2</v>
      </c>
      <c r="H500">
        <v>0</v>
      </c>
      <c r="I500" t="s">
        <v>473</v>
      </c>
      <c r="J500" t="s">
        <v>41</v>
      </c>
      <c r="K500" t="s">
        <v>15</v>
      </c>
    </row>
    <row r="501" spans="1:11" hidden="1" x14ac:dyDescent="0.35">
      <c r="A501" t="s">
        <v>119</v>
      </c>
      <c r="B501" t="s">
        <v>120</v>
      </c>
      <c r="C501">
        <v>26736</v>
      </c>
      <c r="D501">
        <v>36400</v>
      </c>
      <c r="E501" s="12">
        <v>45544</v>
      </c>
      <c r="F501" s="12">
        <v>45777</v>
      </c>
      <c r="G501" s="10">
        <v>4192.2</v>
      </c>
      <c r="H501">
        <v>0</v>
      </c>
      <c r="I501" t="s">
        <v>272</v>
      </c>
      <c r="J501" t="s">
        <v>122</v>
      </c>
      <c r="K501" t="s">
        <v>15</v>
      </c>
    </row>
    <row r="502" spans="1:11" hidden="1" x14ac:dyDescent="0.35">
      <c r="A502" t="s">
        <v>31</v>
      </c>
      <c r="B502" t="s">
        <v>32</v>
      </c>
      <c r="C502">
        <v>28896</v>
      </c>
      <c r="D502">
        <v>39001</v>
      </c>
      <c r="E502" s="12">
        <v>45702</v>
      </c>
      <c r="F502" s="12">
        <v>45777</v>
      </c>
      <c r="G502" s="10">
        <v>387.78</v>
      </c>
      <c r="H502">
        <v>0</v>
      </c>
      <c r="I502" t="s">
        <v>271</v>
      </c>
      <c r="J502" t="s">
        <v>34</v>
      </c>
      <c r="K502" t="s">
        <v>15</v>
      </c>
    </row>
    <row r="503" spans="1:11" hidden="1" x14ac:dyDescent="0.35">
      <c r="A503" t="s">
        <v>16</v>
      </c>
      <c r="B503" t="s">
        <v>17</v>
      </c>
      <c r="C503">
        <v>27094</v>
      </c>
      <c r="D503">
        <v>36792</v>
      </c>
      <c r="E503" s="12">
        <v>45561</v>
      </c>
      <c r="F503" s="12">
        <v>45777</v>
      </c>
      <c r="G503" s="10">
        <v>30240</v>
      </c>
      <c r="H503">
        <v>0</v>
      </c>
      <c r="I503" t="s">
        <v>1238</v>
      </c>
      <c r="J503" t="s">
        <v>18</v>
      </c>
      <c r="K503" t="s">
        <v>15</v>
      </c>
    </row>
    <row r="504" spans="1:11" hidden="1" x14ac:dyDescent="0.35">
      <c r="A504" t="s">
        <v>52</v>
      </c>
      <c r="B504" t="s">
        <v>53</v>
      </c>
      <c r="C504">
        <v>27443</v>
      </c>
      <c r="D504">
        <v>37202</v>
      </c>
      <c r="E504" s="12">
        <v>45583</v>
      </c>
      <c r="F504" s="12">
        <v>45777</v>
      </c>
      <c r="G504" s="10">
        <v>23735.52</v>
      </c>
      <c r="H504">
        <v>0</v>
      </c>
      <c r="I504" t="s">
        <v>1241</v>
      </c>
      <c r="J504" t="s">
        <v>41</v>
      </c>
      <c r="K504" t="s">
        <v>15</v>
      </c>
    </row>
    <row r="505" spans="1:11" hidden="1" x14ac:dyDescent="0.35">
      <c r="A505" t="s">
        <v>85</v>
      </c>
      <c r="B505" t="s">
        <v>86</v>
      </c>
      <c r="C505">
        <v>27997</v>
      </c>
      <c r="D505">
        <v>37893</v>
      </c>
      <c r="E505" s="12">
        <v>45631</v>
      </c>
      <c r="F505" s="12">
        <v>45777</v>
      </c>
      <c r="G505" s="10">
        <v>32190</v>
      </c>
      <c r="H505">
        <v>0</v>
      </c>
      <c r="I505" t="s">
        <v>1244</v>
      </c>
      <c r="J505" t="s">
        <v>41</v>
      </c>
      <c r="K505" t="s">
        <v>15</v>
      </c>
    </row>
    <row r="506" spans="1:11" hidden="1" x14ac:dyDescent="0.35">
      <c r="A506" t="s">
        <v>188</v>
      </c>
      <c r="B506" t="s">
        <v>189</v>
      </c>
      <c r="C506">
        <v>27240</v>
      </c>
      <c r="D506">
        <v>36944</v>
      </c>
      <c r="E506" s="12">
        <v>45567</v>
      </c>
      <c r="F506" s="12">
        <v>45777</v>
      </c>
      <c r="G506" s="10">
        <v>36765</v>
      </c>
      <c r="H506">
        <v>0</v>
      </c>
      <c r="I506" t="s">
        <v>1132</v>
      </c>
      <c r="J506" t="s">
        <v>30</v>
      </c>
      <c r="K506" t="s">
        <v>15</v>
      </c>
    </row>
    <row r="507" spans="1:11" hidden="1" x14ac:dyDescent="0.35">
      <c r="A507" t="s">
        <v>713</v>
      </c>
      <c r="B507" t="s">
        <v>36</v>
      </c>
      <c r="C507">
        <v>27563</v>
      </c>
      <c r="D507">
        <v>37326</v>
      </c>
      <c r="E507" s="12">
        <v>45593</v>
      </c>
      <c r="F507" s="12">
        <v>45777</v>
      </c>
      <c r="G507" s="10">
        <v>26000</v>
      </c>
      <c r="H507">
        <v>0</v>
      </c>
      <c r="I507" t="s">
        <v>918</v>
      </c>
      <c r="J507" t="s">
        <v>22</v>
      </c>
    </row>
    <row r="508" spans="1:11" hidden="1" x14ac:dyDescent="0.35">
      <c r="A508" t="s">
        <v>215</v>
      </c>
      <c r="B508" t="s">
        <v>216</v>
      </c>
      <c r="C508">
        <v>28816</v>
      </c>
      <c r="D508">
        <v>38904</v>
      </c>
      <c r="E508" s="12">
        <v>45694</v>
      </c>
      <c r="F508" s="12">
        <v>45777</v>
      </c>
      <c r="G508" s="10">
        <v>93334.399999999994</v>
      </c>
      <c r="H508">
        <v>0</v>
      </c>
      <c r="I508" t="s">
        <v>1255</v>
      </c>
      <c r="J508" t="s">
        <v>30</v>
      </c>
    </row>
    <row r="509" spans="1:11" hidden="1" x14ac:dyDescent="0.35">
      <c r="A509" t="s">
        <v>565</v>
      </c>
      <c r="B509" t="s">
        <v>566</v>
      </c>
      <c r="C509">
        <v>26800</v>
      </c>
      <c r="D509">
        <v>36463</v>
      </c>
      <c r="E509" s="12">
        <v>45546</v>
      </c>
      <c r="F509" s="12">
        <v>45777</v>
      </c>
      <c r="G509" s="10">
        <v>123562.3</v>
      </c>
      <c r="H509">
        <v>0</v>
      </c>
      <c r="I509" t="s">
        <v>1681</v>
      </c>
      <c r="J509" t="s">
        <v>18</v>
      </c>
      <c r="K509" t="s">
        <v>15</v>
      </c>
    </row>
    <row r="510" spans="1:11" hidden="1" x14ac:dyDescent="0.35">
      <c r="A510" t="s">
        <v>215</v>
      </c>
      <c r="B510" t="s">
        <v>216</v>
      </c>
      <c r="C510">
        <v>29074</v>
      </c>
      <c r="D510">
        <v>39226</v>
      </c>
      <c r="E510" s="12">
        <v>45715</v>
      </c>
      <c r="F510" s="12">
        <v>45777</v>
      </c>
      <c r="G510" s="10">
        <v>233336</v>
      </c>
      <c r="H510">
        <v>0</v>
      </c>
      <c r="I510" t="s">
        <v>1695</v>
      </c>
      <c r="J510" t="s">
        <v>30</v>
      </c>
    </row>
    <row r="511" spans="1:11" hidden="1" x14ac:dyDescent="0.35">
      <c r="A511" t="s">
        <v>713</v>
      </c>
      <c r="B511" t="s">
        <v>36</v>
      </c>
      <c r="C511">
        <v>27474</v>
      </c>
      <c r="D511">
        <v>37241</v>
      </c>
      <c r="E511" s="12">
        <v>45588</v>
      </c>
      <c r="F511" s="12">
        <v>45777</v>
      </c>
      <c r="G511" s="10">
        <v>329550</v>
      </c>
      <c r="H511">
        <v>0</v>
      </c>
      <c r="I511" t="s">
        <v>1298</v>
      </c>
      <c r="J511" t="s">
        <v>22</v>
      </c>
    </row>
    <row r="512" spans="1:11" hidden="1" x14ac:dyDescent="0.35">
      <c r="A512" t="s">
        <v>78</v>
      </c>
      <c r="B512" t="s">
        <v>79</v>
      </c>
      <c r="C512">
        <v>27481</v>
      </c>
      <c r="D512">
        <v>37247</v>
      </c>
      <c r="E512" s="12">
        <v>45588</v>
      </c>
      <c r="F512" s="12">
        <v>45777</v>
      </c>
      <c r="G512" s="10">
        <v>2506</v>
      </c>
      <c r="H512">
        <v>0</v>
      </c>
      <c r="I512" t="s">
        <v>1299</v>
      </c>
      <c r="J512" t="s">
        <v>41</v>
      </c>
      <c r="K512" t="s">
        <v>15</v>
      </c>
    </row>
    <row r="513" spans="1:11" hidden="1" x14ac:dyDescent="0.35">
      <c r="A513" t="s">
        <v>459</v>
      </c>
      <c r="B513" t="s">
        <v>460</v>
      </c>
      <c r="C513">
        <v>26610</v>
      </c>
      <c r="D513">
        <v>36259</v>
      </c>
      <c r="E513" s="12">
        <v>45531</v>
      </c>
      <c r="F513" s="12">
        <v>45777</v>
      </c>
      <c r="G513" s="10">
        <v>379555.2</v>
      </c>
      <c r="H513">
        <v>0</v>
      </c>
      <c r="I513" t="s">
        <v>1033</v>
      </c>
      <c r="J513" t="s">
        <v>18</v>
      </c>
      <c r="K513" t="s">
        <v>15</v>
      </c>
    </row>
    <row r="514" spans="1:11" hidden="1" x14ac:dyDescent="0.35">
      <c r="A514" t="s">
        <v>188</v>
      </c>
      <c r="B514" t="s">
        <v>189</v>
      </c>
      <c r="C514">
        <v>27241</v>
      </c>
      <c r="D514">
        <v>36945</v>
      </c>
      <c r="E514" s="12">
        <v>45567</v>
      </c>
      <c r="F514" s="12">
        <v>45777</v>
      </c>
      <c r="G514" s="10">
        <v>49020</v>
      </c>
      <c r="H514">
        <v>0</v>
      </c>
      <c r="I514" t="s">
        <v>987</v>
      </c>
      <c r="J514" t="s">
        <v>30</v>
      </c>
      <c r="K514" t="s">
        <v>15</v>
      </c>
    </row>
    <row r="515" spans="1:11" hidden="1" x14ac:dyDescent="0.35">
      <c r="A515" t="s">
        <v>119</v>
      </c>
      <c r="B515" t="s">
        <v>120</v>
      </c>
      <c r="C515">
        <v>26486</v>
      </c>
      <c r="D515">
        <v>36119</v>
      </c>
      <c r="E515" s="12">
        <v>45520</v>
      </c>
      <c r="F515" s="12">
        <v>45777</v>
      </c>
      <c r="G515" s="10">
        <v>14855.5</v>
      </c>
      <c r="H515">
        <v>0</v>
      </c>
      <c r="I515" t="s">
        <v>1098</v>
      </c>
      <c r="J515" t="s">
        <v>122</v>
      </c>
      <c r="K515" t="s">
        <v>15</v>
      </c>
    </row>
    <row r="516" spans="1:11" hidden="1" x14ac:dyDescent="0.35">
      <c r="A516" t="s">
        <v>16</v>
      </c>
      <c r="B516" t="s">
        <v>17</v>
      </c>
      <c r="C516">
        <v>27097</v>
      </c>
      <c r="D516">
        <v>36794</v>
      </c>
      <c r="E516" s="12">
        <v>45561</v>
      </c>
      <c r="F516" s="12">
        <v>45777</v>
      </c>
      <c r="G516" s="10">
        <v>18000</v>
      </c>
      <c r="H516">
        <v>0</v>
      </c>
      <c r="I516" t="s">
        <v>1102</v>
      </c>
      <c r="J516" t="s">
        <v>18</v>
      </c>
      <c r="K516" t="s">
        <v>15</v>
      </c>
    </row>
    <row r="517" spans="1:11" hidden="1" x14ac:dyDescent="0.35">
      <c r="A517" t="s">
        <v>23</v>
      </c>
      <c r="B517" t="s">
        <v>24</v>
      </c>
      <c r="C517">
        <v>25962</v>
      </c>
      <c r="D517">
        <v>35546</v>
      </c>
      <c r="E517" s="12">
        <v>45464</v>
      </c>
      <c r="F517" s="12">
        <v>45777</v>
      </c>
      <c r="G517" s="10">
        <v>440000</v>
      </c>
      <c r="H517">
        <v>0</v>
      </c>
      <c r="I517" t="s">
        <v>641</v>
      </c>
      <c r="J517" t="s">
        <v>26</v>
      </c>
      <c r="K517" t="s">
        <v>15</v>
      </c>
    </row>
    <row r="518" spans="1:11" hidden="1" x14ac:dyDescent="0.35">
      <c r="A518" t="s">
        <v>654</v>
      </c>
      <c r="B518" t="s">
        <v>655</v>
      </c>
      <c r="C518">
        <v>27993</v>
      </c>
      <c r="D518">
        <v>37889</v>
      </c>
      <c r="E518" s="12">
        <v>45631</v>
      </c>
      <c r="F518" s="12">
        <v>45777</v>
      </c>
      <c r="G518" s="10">
        <v>103770</v>
      </c>
      <c r="H518">
        <v>0</v>
      </c>
      <c r="I518" t="s">
        <v>656</v>
      </c>
      <c r="J518" t="s">
        <v>30</v>
      </c>
      <c r="K518" t="s">
        <v>15</v>
      </c>
    </row>
    <row r="519" spans="1:11" hidden="1" x14ac:dyDescent="0.35">
      <c r="A519" t="s">
        <v>116</v>
      </c>
      <c r="B519" t="s">
        <v>117</v>
      </c>
      <c r="C519">
        <v>25626</v>
      </c>
      <c r="D519">
        <v>35180</v>
      </c>
      <c r="E519" s="12">
        <v>45414</v>
      </c>
      <c r="F519" s="12">
        <v>45777</v>
      </c>
      <c r="G519" s="10">
        <v>270160</v>
      </c>
      <c r="H519">
        <v>0</v>
      </c>
      <c r="I519" t="s">
        <v>118</v>
      </c>
      <c r="J519" t="s">
        <v>22</v>
      </c>
      <c r="K519" t="s">
        <v>15</v>
      </c>
    </row>
    <row r="520" spans="1:11" hidden="1" x14ac:dyDescent="0.35">
      <c r="A520" t="s">
        <v>119</v>
      </c>
      <c r="B520" t="s">
        <v>120</v>
      </c>
      <c r="C520">
        <v>26487</v>
      </c>
      <c r="D520">
        <v>36120</v>
      </c>
      <c r="E520" s="12">
        <v>45520</v>
      </c>
      <c r="F520" s="12">
        <v>45777</v>
      </c>
      <c r="G520" s="10">
        <v>6236.62</v>
      </c>
      <c r="H520">
        <v>0</v>
      </c>
      <c r="I520" t="s">
        <v>121</v>
      </c>
      <c r="J520" t="s">
        <v>122</v>
      </c>
      <c r="K520" t="s">
        <v>15</v>
      </c>
    </row>
    <row r="521" spans="1:11" hidden="1" x14ac:dyDescent="0.35">
      <c r="A521" t="s">
        <v>126</v>
      </c>
      <c r="B521" t="s">
        <v>127</v>
      </c>
      <c r="C521">
        <v>27257</v>
      </c>
      <c r="D521">
        <v>36964</v>
      </c>
      <c r="E521" s="12">
        <v>45568</v>
      </c>
      <c r="F521" s="12">
        <v>45777</v>
      </c>
      <c r="G521" s="10">
        <v>14206.84</v>
      </c>
      <c r="H521">
        <v>0</v>
      </c>
      <c r="I521" t="s">
        <v>128</v>
      </c>
      <c r="J521" t="s">
        <v>30</v>
      </c>
      <c r="K521" t="s">
        <v>15</v>
      </c>
    </row>
    <row r="522" spans="1:11" hidden="1" x14ac:dyDescent="0.35">
      <c r="A522" t="s">
        <v>116</v>
      </c>
      <c r="B522" t="s">
        <v>117</v>
      </c>
      <c r="C522">
        <v>25369</v>
      </c>
      <c r="D522">
        <v>34902</v>
      </c>
      <c r="E522" s="12">
        <v>45377</v>
      </c>
      <c r="F522" s="12">
        <v>45777</v>
      </c>
      <c r="G522" s="10">
        <v>85300</v>
      </c>
      <c r="H522">
        <v>0</v>
      </c>
      <c r="I522" t="s">
        <v>1370</v>
      </c>
      <c r="J522" t="s">
        <v>22</v>
      </c>
      <c r="K522" t="s">
        <v>15</v>
      </c>
    </row>
    <row r="523" spans="1:11" hidden="1" x14ac:dyDescent="0.35">
      <c r="A523" t="s">
        <v>689</v>
      </c>
      <c r="B523" t="s">
        <v>668</v>
      </c>
      <c r="C523">
        <v>26573</v>
      </c>
      <c r="D523">
        <v>36222</v>
      </c>
      <c r="E523" s="12">
        <v>45527</v>
      </c>
      <c r="F523" s="12">
        <v>45777</v>
      </c>
      <c r="G523" s="10">
        <v>145173</v>
      </c>
      <c r="H523">
        <v>0</v>
      </c>
      <c r="I523" t="s">
        <v>1371</v>
      </c>
      <c r="J523" t="s">
        <v>26</v>
      </c>
      <c r="K523" t="s">
        <v>15</v>
      </c>
    </row>
    <row r="524" spans="1:11" hidden="1" x14ac:dyDescent="0.35">
      <c r="A524" t="s">
        <v>78</v>
      </c>
      <c r="B524" t="s">
        <v>79</v>
      </c>
      <c r="C524">
        <v>27480</v>
      </c>
      <c r="D524">
        <v>37246</v>
      </c>
      <c r="E524" s="12">
        <v>45588</v>
      </c>
      <c r="F524" s="12">
        <v>45777</v>
      </c>
      <c r="G524" s="10">
        <v>10457.6</v>
      </c>
      <c r="H524">
        <v>0</v>
      </c>
      <c r="I524" t="s">
        <v>1407</v>
      </c>
      <c r="J524" t="s">
        <v>41</v>
      </c>
      <c r="K524" t="s">
        <v>15</v>
      </c>
    </row>
    <row r="525" spans="1:11" hidden="1" x14ac:dyDescent="0.35">
      <c r="A525" t="s">
        <v>119</v>
      </c>
      <c r="B525" t="s">
        <v>120</v>
      </c>
      <c r="C525">
        <v>26521</v>
      </c>
      <c r="D525">
        <v>36159</v>
      </c>
      <c r="E525" s="12">
        <v>45523</v>
      </c>
      <c r="F525" s="12">
        <v>45777</v>
      </c>
      <c r="G525" s="10">
        <v>5038.2</v>
      </c>
      <c r="H525">
        <v>0</v>
      </c>
      <c r="I525" t="s">
        <v>936</v>
      </c>
      <c r="J525" t="s">
        <v>122</v>
      </c>
      <c r="K525" t="s">
        <v>15</v>
      </c>
    </row>
    <row r="526" spans="1:11" hidden="1" x14ac:dyDescent="0.35">
      <c r="A526" t="s">
        <v>689</v>
      </c>
      <c r="B526" t="s">
        <v>668</v>
      </c>
      <c r="C526">
        <v>26653</v>
      </c>
      <c r="D526">
        <v>36304</v>
      </c>
      <c r="E526" s="12">
        <v>45534</v>
      </c>
      <c r="F526" s="12">
        <v>45777</v>
      </c>
      <c r="G526" s="10">
        <v>155877</v>
      </c>
      <c r="H526">
        <v>0</v>
      </c>
      <c r="I526" t="s">
        <v>939</v>
      </c>
      <c r="J526" t="s">
        <v>26</v>
      </c>
      <c r="K526" t="s">
        <v>15</v>
      </c>
    </row>
    <row r="527" spans="1:11" hidden="1" x14ac:dyDescent="0.35">
      <c r="A527" t="s">
        <v>85</v>
      </c>
      <c r="B527" t="s">
        <v>86</v>
      </c>
      <c r="C527">
        <v>27251</v>
      </c>
      <c r="D527">
        <v>36957</v>
      </c>
      <c r="E527" s="12">
        <v>45568</v>
      </c>
      <c r="F527" s="12">
        <v>45777</v>
      </c>
      <c r="G527" s="10">
        <v>6170</v>
      </c>
      <c r="H527">
        <v>0</v>
      </c>
      <c r="I527" t="s">
        <v>347</v>
      </c>
      <c r="J527" t="s">
        <v>41</v>
      </c>
      <c r="K527" t="s">
        <v>15</v>
      </c>
    </row>
    <row r="528" spans="1:11" hidden="1" x14ac:dyDescent="0.35">
      <c r="A528" t="s">
        <v>215</v>
      </c>
      <c r="B528" t="s">
        <v>216</v>
      </c>
      <c r="C528">
        <v>27268</v>
      </c>
      <c r="D528">
        <v>36975</v>
      </c>
      <c r="E528" s="12">
        <v>45568</v>
      </c>
      <c r="F528" s="12">
        <v>45777</v>
      </c>
      <c r="G528" s="10">
        <v>60000</v>
      </c>
      <c r="H528">
        <v>0</v>
      </c>
      <c r="I528" t="s">
        <v>348</v>
      </c>
      <c r="J528" t="s">
        <v>30</v>
      </c>
    </row>
    <row r="529" spans="1:11" hidden="1" x14ac:dyDescent="0.35">
      <c r="A529" t="s">
        <v>352</v>
      </c>
      <c r="B529" t="s">
        <v>353</v>
      </c>
      <c r="C529">
        <v>27468</v>
      </c>
      <c r="D529">
        <v>37235</v>
      </c>
      <c r="E529" s="12">
        <v>45588</v>
      </c>
      <c r="F529" s="12">
        <v>45777</v>
      </c>
      <c r="G529" s="10">
        <v>43320</v>
      </c>
      <c r="H529">
        <v>0</v>
      </c>
      <c r="I529" t="s">
        <v>354</v>
      </c>
      <c r="J529" t="s">
        <v>115</v>
      </c>
      <c r="K529" t="s">
        <v>15</v>
      </c>
    </row>
    <row r="530" spans="1:11" hidden="1" x14ac:dyDescent="0.35">
      <c r="A530" t="s">
        <v>23</v>
      </c>
      <c r="B530" t="s">
        <v>24</v>
      </c>
      <c r="C530">
        <v>26012</v>
      </c>
      <c r="D530">
        <v>35601</v>
      </c>
      <c r="E530" s="12">
        <v>45470</v>
      </c>
      <c r="F530" s="12">
        <v>45777</v>
      </c>
      <c r="G530" s="10">
        <v>330000</v>
      </c>
      <c r="H530">
        <v>0</v>
      </c>
      <c r="I530" t="s">
        <v>366</v>
      </c>
      <c r="J530" t="s">
        <v>26</v>
      </c>
      <c r="K530" t="s">
        <v>15</v>
      </c>
    </row>
    <row r="531" spans="1:11" hidden="1" x14ac:dyDescent="0.35">
      <c r="A531" t="s">
        <v>78</v>
      </c>
      <c r="B531" t="s">
        <v>79</v>
      </c>
      <c r="C531">
        <v>26807</v>
      </c>
      <c r="D531">
        <v>36470</v>
      </c>
      <c r="E531" s="12">
        <v>45547</v>
      </c>
      <c r="F531" s="12">
        <v>45777</v>
      </c>
      <c r="G531" s="10">
        <v>425266.3</v>
      </c>
      <c r="H531">
        <v>0</v>
      </c>
      <c r="I531" t="s">
        <v>369</v>
      </c>
      <c r="J531" t="s">
        <v>41</v>
      </c>
      <c r="K531" t="s">
        <v>15</v>
      </c>
    </row>
    <row r="532" spans="1:11" hidden="1" x14ac:dyDescent="0.35">
      <c r="A532" t="s">
        <v>230</v>
      </c>
      <c r="B532" t="s">
        <v>231</v>
      </c>
      <c r="C532">
        <v>26907</v>
      </c>
      <c r="D532">
        <v>36586</v>
      </c>
      <c r="E532" s="12">
        <v>45553</v>
      </c>
      <c r="F532" s="12">
        <v>45777</v>
      </c>
      <c r="G532" s="10">
        <v>60060</v>
      </c>
      <c r="H532">
        <v>0</v>
      </c>
      <c r="I532" t="s">
        <v>371</v>
      </c>
      <c r="J532" t="s">
        <v>30</v>
      </c>
      <c r="K532" t="s">
        <v>15</v>
      </c>
    </row>
    <row r="533" spans="1:11" hidden="1" x14ac:dyDescent="0.35">
      <c r="A533" t="s">
        <v>327</v>
      </c>
      <c r="B533" t="s">
        <v>328</v>
      </c>
      <c r="C533">
        <v>27005</v>
      </c>
      <c r="D533">
        <v>36698</v>
      </c>
      <c r="E533" s="12">
        <v>45558</v>
      </c>
      <c r="F533" s="12">
        <v>45777</v>
      </c>
      <c r="G533" s="10">
        <v>26400</v>
      </c>
      <c r="H533">
        <v>0</v>
      </c>
      <c r="I533" t="s">
        <v>373</v>
      </c>
      <c r="J533" t="s">
        <v>30</v>
      </c>
      <c r="K533" t="s">
        <v>15</v>
      </c>
    </row>
    <row r="534" spans="1:11" hidden="1" x14ac:dyDescent="0.35">
      <c r="A534" t="s">
        <v>376</v>
      </c>
      <c r="B534" t="s">
        <v>377</v>
      </c>
      <c r="C534">
        <v>27709</v>
      </c>
      <c r="D534">
        <v>37507</v>
      </c>
      <c r="E534" s="12">
        <v>45604</v>
      </c>
      <c r="F534" s="12">
        <v>45777</v>
      </c>
      <c r="G534" s="10">
        <v>3708</v>
      </c>
      <c r="H534">
        <v>0</v>
      </c>
      <c r="I534" t="s">
        <v>378</v>
      </c>
      <c r="J534" t="s">
        <v>22</v>
      </c>
      <c r="K534" t="s">
        <v>15</v>
      </c>
    </row>
    <row r="535" spans="1:11" hidden="1" x14ac:dyDescent="0.35">
      <c r="A535" t="s">
        <v>163</v>
      </c>
      <c r="B535" t="s">
        <v>164</v>
      </c>
      <c r="C535">
        <v>27032</v>
      </c>
      <c r="D535">
        <v>36727</v>
      </c>
      <c r="E535" s="12">
        <v>45559</v>
      </c>
      <c r="F535" s="12">
        <v>45777</v>
      </c>
      <c r="G535" s="10">
        <v>93100.800000000003</v>
      </c>
      <c r="H535">
        <v>0</v>
      </c>
      <c r="I535" t="s">
        <v>437</v>
      </c>
      <c r="J535" t="s">
        <v>107</v>
      </c>
      <c r="K535" t="s">
        <v>15</v>
      </c>
    </row>
    <row r="536" spans="1:11" hidden="1" x14ac:dyDescent="0.35">
      <c r="A536" t="s">
        <v>322</v>
      </c>
      <c r="B536" t="s">
        <v>36</v>
      </c>
      <c r="C536">
        <v>28261</v>
      </c>
      <c r="D536">
        <v>38217</v>
      </c>
      <c r="E536" s="12">
        <v>45653</v>
      </c>
      <c r="F536" s="12">
        <v>45777</v>
      </c>
      <c r="G536" s="10">
        <v>35830</v>
      </c>
      <c r="H536">
        <v>0</v>
      </c>
      <c r="I536" t="s">
        <v>445</v>
      </c>
      <c r="J536" t="s">
        <v>22</v>
      </c>
      <c r="K536" t="s">
        <v>15</v>
      </c>
    </row>
    <row r="537" spans="1:11" hidden="1" x14ac:dyDescent="0.35">
      <c r="A537" t="s">
        <v>451</v>
      </c>
      <c r="B537" t="s">
        <v>219</v>
      </c>
      <c r="C537">
        <v>28729</v>
      </c>
      <c r="D537">
        <v>38774</v>
      </c>
      <c r="E537" s="12">
        <v>45687</v>
      </c>
      <c r="F537" s="12">
        <v>45777</v>
      </c>
      <c r="G537" s="10">
        <v>31283.4</v>
      </c>
      <c r="H537">
        <v>0</v>
      </c>
      <c r="I537" t="s">
        <v>452</v>
      </c>
      <c r="J537" t="s">
        <v>152</v>
      </c>
      <c r="K537" t="s">
        <v>15</v>
      </c>
    </row>
    <row r="538" spans="1:11" hidden="1" x14ac:dyDescent="0.35">
      <c r="A538" t="s">
        <v>31</v>
      </c>
      <c r="B538" t="s">
        <v>32</v>
      </c>
      <c r="C538">
        <v>28895</v>
      </c>
      <c r="D538">
        <v>39000</v>
      </c>
      <c r="E538" s="12">
        <v>45702</v>
      </c>
      <c r="F538" s="12">
        <v>45777</v>
      </c>
      <c r="G538" s="10">
        <v>1915</v>
      </c>
      <c r="H538">
        <v>0</v>
      </c>
      <c r="I538" t="s">
        <v>271</v>
      </c>
      <c r="J538" t="s">
        <v>34</v>
      </c>
      <c r="K538" t="s">
        <v>15</v>
      </c>
    </row>
    <row r="539" spans="1:11" hidden="1" x14ac:dyDescent="0.35">
      <c r="A539" t="s">
        <v>85</v>
      </c>
      <c r="B539" t="s">
        <v>86</v>
      </c>
      <c r="C539">
        <v>27449</v>
      </c>
      <c r="D539">
        <v>37209</v>
      </c>
      <c r="E539" s="12">
        <v>45586</v>
      </c>
      <c r="F539" s="12">
        <v>45777</v>
      </c>
      <c r="G539" s="10">
        <v>11588.4</v>
      </c>
      <c r="H539">
        <v>0</v>
      </c>
      <c r="I539" t="s">
        <v>747</v>
      </c>
      <c r="J539" t="s">
        <v>41</v>
      </c>
      <c r="K539" t="s">
        <v>15</v>
      </c>
    </row>
    <row r="540" spans="1:11" hidden="1" x14ac:dyDescent="0.35">
      <c r="A540" t="s">
        <v>78</v>
      </c>
      <c r="B540" t="s">
        <v>79</v>
      </c>
      <c r="C540">
        <v>27253</v>
      </c>
      <c r="D540">
        <v>36959</v>
      </c>
      <c r="E540" s="12">
        <v>45568</v>
      </c>
      <c r="F540" s="12">
        <v>45777</v>
      </c>
      <c r="G540" s="10">
        <v>8137</v>
      </c>
      <c r="H540">
        <v>0</v>
      </c>
      <c r="I540" t="s">
        <v>1498</v>
      </c>
      <c r="J540" t="s">
        <v>41</v>
      </c>
      <c r="K540" t="s">
        <v>15</v>
      </c>
    </row>
    <row r="541" spans="1:11" hidden="1" x14ac:dyDescent="0.35">
      <c r="A541" t="s">
        <v>177</v>
      </c>
      <c r="B541" t="s">
        <v>178</v>
      </c>
      <c r="C541">
        <v>29024</v>
      </c>
      <c r="D541">
        <v>39152</v>
      </c>
      <c r="E541" s="12">
        <v>45712</v>
      </c>
      <c r="F541" s="12">
        <v>45777</v>
      </c>
      <c r="G541" s="10">
        <v>1080</v>
      </c>
      <c r="H541">
        <v>0</v>
      </c>
      <c r="I541" t="s">
        <v>1464</v>
      </c>
      <c r="J541" t="s">
        <v>122</v>
      </c>
      <c r="K541" t="s">
        <v>15</v>
      </c>
    </row>
    <row r="542" spans="1:11" hidden="1" x14ac:dyDescent="0.35">
      <c r="A542" t="s">
        <v>322</v>
      </c>
      <c r="B542" t="s">
        <v>36</v>
      </c>
      <c r="C542">
        <v>27705</v>
      </c>
      <c r="D542">
        <v>37503</v>
      </c>
      <c r="E542" s="12">
        <v>45604</v>
      </c>
      <c r="F542" s="12">
        <v>45777</v>
      </c>
      <c r="G542" s="10">
        <v>378080</v>
      </c>
      <c r="H542">
        <v>0</v>
      </c>
      <c r="I542" t="s">
        <v>1327</v>
      </c>
      <c r="J542" t="s">
        <v>22</v>
      </c>
      <c r="K542" t="s">
        <v>15</v>
      </c>
    </row>
    <row r="543" spans="1:11" hidden="1" x14ac:dyDescent="0.35">
      <c r="A543" t="s">
        <v>188</v>
      </c>
      <c r="B543" t="s">
        <v>189</v>
      </c>
      <c r="C543">
        <v>27242</v>
      </c>
      <c r="D543">
        <v>36946</v>
      </c>
      <c r="E543" s="12">
        <v>45567</v>
      </c>
      <c r="F543" s="12">
        <v>45777</v>
      </c>
      <c r="G543" s="10">
        <v>20425</v>
      </c>
      <c r="H543">
        <v>0</v>
      </c>
      <c r="I543" t="s">
        <v>1549</v>
      </c>
      <c r="J543" t="s">
        <v>30</v>
      </c>
      <c r="K543" t="s">
        <v>15</v>
      </c>
    </row>
    <row r="544" spans="1:11" hidden="1" x14ac:dyDescent="0.35">
      <c r="A544" t="s">
        <v>795</v>
      </c>
      <c r="B544" t="s">
        <v>796</v>
      </c>
      <c r="C544">
        <v>26913</v>
      </c>
      <c r="D544">
        <v>36592</v>
      </c>
      <c r="E544" s="12">
        <v>45553</v>
      </c>
      <c r="F544" s="12">
        <v>45777</v>
      </c>
      <c r="G544" s="10">
        <v>11825</v>
      </c>
      <c r="H544">
        <v>0</v>
      </c>
      <c r="I544" t="s">
        <v>1503</v>
      </c>
      <c r="J544" t="s">
        <v>30</v>
      </c>
      <c r="K544" t="s">
        <v>15</v>
      </c>
    </row>
    <row r="545" spans="1:11" hidden="1" x14ac:dyDescent="0.35">
      <c r="A545" t="s">
        <v>1505</v>
      </c>
      <c r="B545" t="s">
        <v>1506</v>
      </c>
      <c r="C545">
        <v>27431</v>
      </c>
      <c r="D545">
        <v>37184</v>
      </c>
      <c r="E545" s="12">
        <v>45582</v>
      </c>
      <c r="F545" s="12">
        <v>45777</v>
      </c>
      <c r="G545" s="10">
        <v>48630</v>
      </c>
      <c r="H545">
        <v>0</v>
      </c>
      <c r="I545" t="s">
        <v>1507</v>
      </c>
      <c r="J545" t="s">
        <v>22</v>
      </c>
      <c r="K545" t="s">
        <v>15</v>
      </c>
    </row>
    <row r="546" spans="1:11" hidden="1" x14ac:dyDescent="0.35">
      <c r="A546" t="s">
        <v>622</v>
      </c>
      <c r="B546" t="s">
        <v>623</v>
      </c>
      <c r="C546">
        <v>28328</v>
      </c>
      <c r="D546">
        <v>38312</v>
      </c>
      <c r="E546" s="12">
        <v>45665</v>
      </c>
      <c r="F546" s="12">
        <v>45777</v>
      </c>
      <c r="G546" s="10">
        <v>417500</v>
      </c>
      <c r="H546">
        <v>0</v>
      </c>
      <c r="I546" t="s">
        <v>1513</v>
      </c>
      <c r="J546" t="s">
        <v>122</v>
      </c>
      <c r="K546" t="s">
        <v>15</v>
      </c>
    </row>
    <row r="547" spans="1:11" hidden="1" x14ac:dyDescent="0.35">
      <c r="A547" t="s">
        <v>215</v>
      </c>
      <c r="B547" t="s">
        <v>216</v>
      </c>
      <c r="C547">
        <v>29078</v>
      </c>
      <c r="D547">
        <v>39233</v>
      </c>
      <c r="E547" s="12">
        <v>45716</v>
      </c>
      <c r="F547" s="12">
        <v>45777</v>
      </c>
      <c r="G547" s="10">
        <v>210002.4</v>
      </c>
      <c r="H547">
        <v>0</v>
      </c>
      <c r="I547" t="s">
        <v>1563</v>
      </c>
      <c r="J547" t="s">
        <v>30</v>
      </c>
    </row>
    <row r="548" spans="1:11" hidden="1" x14ac:dyDescent="0.35">
      <c r="A548" t="s">
        <v>215</v>
      </c>
      <c r="B548" t="s">
        <v>216</v>
      </c>
      <c r="C548">
        <v>28865</v>
      </c>
      <c r="D548">
        <v>38958</v>
      </c>
      <c r="E548" s="12">
        <v>45700</v>
      </c>
      <c r="F548" s="12">
        <v>45777</v>
      </c>
      <c r="G548" s="10">
        <v>274169.8</v>
      </c>
      <c r="H548">
        <v>0</v>
      </c>
      <c r="I548" t="s">
        <v>1493</v>
      </c>
      <c r="J548" t="s">
        <v>30</v>
      </c>
    </row>
    <row r="549" spans="1:11" hidden="1" x14ac:dyDescent="0.35">
      <c r="A549" t="s">
        <v>215</v>
      </c>
      <c r="B549" t="s">
        <v>216</v>
      </c>
      <c r="C549">
        <v>29134</v>
      </c>
      <c r="D549">
        <v>39297</v>
      </c>
      <c r="E549" s="12">
        <v>45726</v>
      </c>
      <c r="F549" s="12">
        <v>45777</v>
      </c>
      <c r="G549" s="10">
        <v>180835.4</v>
      </c>
      <c r="H549">
        <v>0</v>
      </c>
      <c r="I549" t="s">
        <v>1494</v>
      </c>
      <c r="J549" t="s">
        <v>30</v>
      </c>
    </row>
    <row r="550" spans="1:11" hidden="1" x14ac:dyDescent="0.35">
      <c r="A550" t="s">
        <v>215</v>
      </c>
      <c r="B550" t="s">
        <v>216</v>
      </c>
      <c r="C550">
        <v>29151</v>
      </c>
      <c r="D550">
        <v>39317</v>
      </c>
      <c r="E550" s="12">
        <v>45728</v>
      </c>
      <c r="F550" s="12">
        <v>45777</v>
      </c>
      <c r="G550" s="10">
        <v>186668.79999999999</v>
      </c>
      <c r="H550">
        <v>0</v>
      </c>
      <c r="I550" t="s">
        <v>1495</v>
      </c>
      <c r="J550" t="s">
        <v>30</v>
      </c>
    </row>
    <row r="551" spans="1:11" hidden="1" x14ac:dyDescent="0.35">
      <c r="A551" t="s">
        <v>352</v>
      </c>
      <c r="B551" t="s">
        <v>353</v>
      </c>
      <c r="C551">
        <v>27054</v>
      </c>
      <c r="D551">
        <v>36747</v>
      </c>
      <c r="E551" s="12">
        <v>45559</v>
      </c>
      <c r="F551" s="12">
        <v>45777</v>
      </c>
      <c r="G551" s="10">
        <v>142000</v>
      </c>
      <c r="H551">
        <v>0</v>
      </c>
      <c r="I551" t="s">
        <v>1630</v>
      </c>
      <c r="J551" t="s">
        <v>115</v>
      </c>
      <c r="K551" t="s">
        <v>15</v>
      </c>
    </row>
    <row r="552" spans="1:11" hidden="1" x14ac:dyDescent="0.35">
      <c r="A552" t="s">
        <v>85</v>
      </c>
      <c r="B552" t="s">
        <v>86</v>
      </c>
      <c r="C552">
        <v>27012</v>
      </c>
      <c r="D552">
        <v>36706</v>
      </c>
      <c r="E552" s="12">
        <v>45558</v>
      </c>
      <c r="F552" s="12">
        <v>45777</v>
      </c>
      <c r="G552" s="10">
        <v>153622.79999999999</v>
      </c>
      <c r="H552">
        <v>0</v>
      </c>
      <c r="I552" t="s">
        <v>1387</v>
      </c>
      <c r="J552" t="s">
        <v>41</v>
      </c>
      <c r="K552" t="s">
        <v>15</v>
      </c>
    </row>
    <row r="553" spans="1:11" hidden="1" x14ac:dyDescent="0.35">
      <c r="A553" t="s">
        <v>85</v>
      </c>
      <c r="B553" t="s">
        <v>86</v>
      </c>
      <c r="C553">
        <v>27075</v>
      </c>
      <c r="D553">
        <v>36768</v>
      </c>
      <c r="E553" s="12">
        <v>45560</v>
      </c>
      <c r="F553" s="12">
        <v>45777</v>
      </c>
      <c r="G553" s="10">
        <v>45000</v>
      </c>
      <c r="H553">
        <v>0</v>
      </c>
      <c r="I553" t="s">
        <v>1388</v>
      </c>
      <c r="J553" t="s">
        <v>41</v>
      </c>
      <c r="K553" t="s">
        <v>15</v>
      </c>
    </row>
    <row r="554" spans="1:11" hidden="1" x14ac:dyDescent="0.35">
      <c r="A554" t="s">
        <v>188</v>
      </c>
      <c r="B554" t="s">
        <v>189</v>
      </c>
      <c r="C554">
        <v>27243</v>
      </c>
      <c r="D554">
        <v>36947</v>
      </c>
      <c r="E554" s="12">
        <v>45567</v>
      </c>
      <c r="F554" s="12">
        <v>45777</v>
      </c>
      <c r="G554" s="10">
        <v>33200</v>
      </c>
      <c r="H554">
        <v>0</v>
      </c>
      <c r="I554" t="s">
        <v>1389</v>
      </c>
      <c r="J554" t="s">
        <v>30</v>
      </c>
      <c r="K554" t="s">
        <v>15</v>
      </c>
    </row>
    <row r="555" spans="1:11" hidden="1" x14ac:dyDescent="0.35">
      <c r="A555" t="s">
        <v>35</v>
      </c>
      <c r="B555" t="s">
        <v>36</v>
      </c>
      <c r="C555">
        <v>27530</v>
      </c>
      <c r="D555">
        <v>37294</v>
      </c>
      <c r="E555" s="12">
        <v>45590</v>
      </c>
      <c r="F555" s="12">
        <v>45777</v>
      </c>
      <c r="G555" s="10">
        <v>140000</v>
      </c>
      <c r="H555">
        <v>0</v>
      </c>
      <c r="I555" t="s">
        <v>1391</v>
      </c>
      <c r="J555" t="s">
        <v>22</v>
      </c>
      <c r="K555" t="s">
        <v>15</v>
      </c>
    </row>
    <row r="556" spans="1:11" hidden="1" x14ac:dyDescent="0.35">
      <c r="A556" t="s">
        <v>205</v>
      </c>
      <c r="B556" t="s">
        <v>56</v>
      </c>
      <c r="C556">
        <v>27680</v>
      </c>
      <c r="D556">
        <v>37462</v>
      </c>
      <c r="E556" s="12">
        <v>45597</v>
      </c>
      <c r="F556" s="12">
        <v>45777</v>
      </c>
      <c r="G556" s="10">
        <v>23784</v>
      </c>
      <c r="H556">
        <v>0</v>
      </c>
      <c r="I556" t="s">
        <v>1393</v>
      </c>
      <c r="J556" t="s">
        <v>58</v>
      </c>
      <c r="K556" t="s">
        <v>15</v>
      </c>
    </row>
    <row r="557" spans="1:11" hidden="1" x14ac:dyDescent="0.35">
      <c r="A557" t="s">
        <v>400</v>
      </c>
      <c r="B557" t="s">
        <v>401</v>
      </c>
      <c r="C557">
        <v>27189</v>
      </c>
      <c r="D557">
        <v>36879</v>
      </c>
      <c r="E557" s="12">
        <v>45565</v>
      </c>
      <c r="F557" s="12">
        <v>45777</v>
      </c>
      <c r="G557" s="10">
        <v>52565</v>
      </c>
      <c r="H557">
        <v>0</v>
      </c>
      <c r="I557" t="s">
        <v>1671</v>
      </c>
      <c r="J557" t="s">
        <v>18</v>
      </c>
      <c r="K557" t="s">
        <v>15</v>
      </c>
    </row>
    <row r="558" spans="1:11" hidden="1" x14ac:dyDescent="0.35">
      <c r="A558" t="s">
        <v>832</v>
      </c>
      <c r="B558" t="s">
        <v>833</v>
      </c>
      <c r="C558">
        <v>26489</v>
      </c>
      <c r="D558">
        <v>36122</v>
      </c>
      <c r="E558" s="12">
        <v>45520</v>
      </c>
      <c r="F558" s="12">
        <v>45777</v>
      </c>
      <c r="G558" s="10">
        <v>5175</v>
      </c>
      <c r="H558">
        <v>0</v>
      </c>
      <c r="I558" t="s">
        <v>1535</v>
      </c>
      <c r="J558" t="s">
        <v>122</v>
      </c>
    </row>
    <row r="559" spans="1:11" hidden="1" x14ac:dyDescent="0.35">
      <c r="A559" t="s">
        <v>133</v>
      </c>
      <c r="B559" t="s">
        <v>134</v>
      </c>
      <c r="C559">
        <v>27566</v>
      </c>
      <c r="D559">
        <v>37329</v>
      </c>
      <c r="E559" s="12">
        <v>45593</v>
      </c>
      <c r="F559" s="12">
        <v>45777</v>
      </c>
      <c r="G559" s="10">
        <v>272433</v>
      </c>
      <c r="H559">
        <v>0</v>
      </c>
      <c r="I559" t="s">
        <v>1537</v>
      </c>
      <c r="J559" t="s">
        <v>77</v>
      </c>
      <c r="K559" t="s">
        <v>15</v>
      </c>
    </row>
    <row r="560" spans="1:11" hidden="1" x14ac:dyDescent="0.35">
      <c r="A560" t="s">
        <v>215</v>
      </c>
      <c r="B560" t="s">
        <v>216</v>
      </c>
      <c r="C560">
        <v>29075</v>
      </c>
      <c r="D560">
        <v>39227</v>
      </c>
      <c r="E560" s="12">
        <v>45715</v>
      </c>
      <c r="F560" s="12">
        <v>45777</v>
      </c>
      <c r="G560" s="10">
        <v>210002.4</v>
      </c>
      <c r="H560">
        <v>0</v>
      </c>
      <c r="I560" t="s">
        <v>1339</v>
      </c>
      <c r="J560" t="s">
        <v>30</v>
      </c>
    </row>
    <row r="561" spans="1:11" hidden="1" x14ac:dyDescent="0.35">
      <c r="A561" t="s">
        <v>85</v>
      </c>
      <c r="B561" t="s">
        <v>86</v>
      </c>
      <c r="C561">
        <v>27994</v>
      </c>
      <c r="D561">
        <v>37890</v>
      </c>
      <c r="E561" s="12">
        <v>45631</v>
      </c>
      <c r="F561" s="12">
        <v>45777</v>
      </c>
      <c r="G561" s="10">
        <v>339908</v>
      </c>
      <c r="H561">
        <v>0</v>
      </c>
      <c r="I561" t="s">
        <v>1574</v>
      </c>
      <c r="J561" t="s">
        <v>41</v>
      </c>
      <c r="K561" t="s">
        <v>15</v>
      </c>
    </row>
    <row r="562" spans="1:11" hidden="1" x14ac:dyDescent="0.35">
      <c r="A562" t="s">
        <v>309</v>
      </c>
      <c r="B562" t="s">
        <v>310</v>
      </c>
      <c r="C562">
        <v>27264</v>
      </c>
      <c r="D562">
        <v>36971</v>
      </c>
      <c r="E562" s="12">
        <v>45568</v>
      </c>
      <c r="F562" s="12">
        <v>45778</v>
      </c>
      <c r="G562" s="10">
        <v>1411.2</v>
      </c>
      <c r="H562">
        <v>0</v>
      </c>
      <c r="I562" t="s">
        <v>694</v>
      </c>
      <c r="J562" t="s">
        <v>312</v>
      </c>
      <c r="K562" t="s">
        <v>15</v>
      </c>
    </row>
    <row r="563" spans="1:11" hidden="1" x14ac:dyDescent="0.35">
      <c r="A563" t="s">
        <v>309</v>
      </c>
      <c r="B563" t="s">
        <v>310</v>
      </c>
      <c r="C563">
        <v>27267</v>
      </c>
      <c r="D563">
        <v>36974</v>
      </c>
      <c r="E563" s="12">
        <v>45568</v>
      </c>
      <c r="F563" s="12">
        <v>45778</v>
      </c>
      <c r="G563" s="10">
        <v>846.72</v>
      </c>
      <c r="H563">
        <v>0</v>
      </c>
      <c r="I563" t="s">
        <v>311</v>
      </c>
      <c r="J563" t="s">
        <v>312</v>
      </c>
      <c r="K563" t="s">
        <v>15</v>
      </c>
    </row>
    <row r="564" spans="1:11" hidden="1" x14ac:dyDescent="0.35">
      <c r="A564" t="s">
        <v>166</v>
      </c>
      <c r="B564" t="s">
        <v>167</v>
      </c>
      <c r="C564">
        <v>26853</v>
      </c>
      <c r="D564">
        <v>36518</v>
      </c>
      <c r="E564" s="12">
        <v>45548</v>
      </c>
      <c r="F564" s="12">
        <v>45779</v>
      </c>
      <c r="G564" s="10">
        <v>62008.4</v>
      </c>
      <c r="H564">
        <v>0</v>
      </c>
      <c r="I564" t="s">
        <v>672</v>
      </c>
      <c r="J564" t="s">
        <v>18</v>
      </c>
      <c r="K564" t="s">
        <v>15</v>
      </c>
    </row>
    <row r="565" spans="1:11" hidden="1" x14ac:dyDescent="0.35">
      <c r="A565" t="s">
        <v>166</v>
      </c>
      <c r="B565" t="s">
        <v>167</v>
      </c>
      <c r="C565">
        <v>27280</v>
      </c>
      <c r="D565">
        <v>36990</v>
      </c>
      <c r="E565" s="12">
        <v>45569</v>
      </c>
      <c r="F565" s="12">
        <v>45779</v>
      </c>
      <c r="G565" s="10">
        <v>41970</v>
      </c>
      <c r="H565">
        <v>0</v>
      </c>
      <c r="I565" t="s">
        <v>870</v>
      </c>
      <c r="J565" t="s">
        <v>18</v>
      </c>
      <c r="K565" t="s">
        <v>15</v>
      </c>
    </row>
    <row r="566" spans="1:11" hidden="1" x14ac:dyDescent="0.35">
      <c r="A566" t="s">
        <v>166</v>
      </c>
      <c r="B566" t="s">
        <v>167</v>
      </c>
      <c r="C566">
        <v>27939</v>
      </c>
      <c r="D566">
        <v>37807</v>
      </c>
      <c r="E566" s="12">
        <v>45625</v>
      </c>
      <c r="F566" s="12">
        <v>45779</v>
      </c>
      <c r="G566" s="10">
        <v>32613</v>
      </c>
      <c r="H566">
        <v>0</v>
      </c>
      <c r="I566" t="s">
        <v>1122</v>
      </c>
      <c r="J566" t="s">
        <v>18</v>
      </c>
      <c r="K566" t="s">
        <v>15</v>
      </c>
    </row>
    <row r="567" spans="1:11" hidden="1" x14ac:dyDescent="0.35">
      <c r="A567" t="s">
        <v>281</v>
      </c>
      <c r="B567" t="s">
        <v>282</v>
      </c>
      <c r="C567">
        <v>27279</v>
      </c>
      <c r="D567">
        <v>36987</v>
      </c>
      <c r="E567" s="12">
        <v>45569</v>
      </c>
      <c r="F567" s="12">
        <v>45779</v>
      </c>
      <c r="G567" s="10">
        <v>148035</v>
      </c>
      <c r="H567">
        <v>0</v>
      </c>
      <c r="I567" t="s">
        <v>546</v>
      </c>
      <c r="J567" t="s">
        <v>194</v>
      </c>
      <c r="K567" t="s">
        <v>15</v>
      </c>
    </row>
    <row r="568" spans="1:11" hidden="1" x14ac:dyDescent="0.35">
      <c r="A568" t="s">
        <v>42</v>
      </c>
      <c r="B568" t="s">
        <v>43</v>
      </c>
      <c r="C568">
        <v>28280</v>
      </c>
      <c r="D568">
        <v>38246</v>
      </c>
      <c r="E568" s="12">
        <v>45659</v>
      </c>
      <c r="F568" s="12">
        <v>45779</v>
      </c>
      <c r="G568" s="10">
        <v>42525</v>
      </c>
      <c r="H568">
        <v>0</v>
      </c>
      <c r="I568" t="s">
        <v>556</v>
      </c>
      <c r="J568" t="s">
        <v>44</v>
      </c>
      <c r="K568" t="s">
        <v>15</v>
      </c>
    </row>
    <row r="569" spans="1:11" hidden="1" x14ac:dyDescent="0.35">
      <c r="A569" t="s">
        <v>166</v>
      </c>
      <c r="B569" t="s">
        <v>167</v>
      </c>
      <c r="C569">
        <v>27199</v>
      </c>
      <c r="D569">
        <v>36889</v>
      </c>
      <c r="E569" s="12">
        <v>45565</v>
      </c>
      <c r="F569" s="12">
        <v>45779</v>
      </c>
      <c r="G569" s="10">
        <v>76187.8</v>
      </c>
      <c r="H569">
        <v>0</v>
      </c>
      <c r="I569" t="s">
        <v>783</v>
      </c>
      <c r="J569" t="s">
        <v>18</v>
      </c>
      <c r="K569" t="s">
        <v>15</v>
      </c>
    </row>
    <row r="570" spans="1:11" hidden="1" x14ac:dyDescent="0.35">
      <c r="A570" t="s">
        <v>166</v>
      </c>
      <c r="B570" t="s">
        <v>167</v>
      </c>
      <c r="C570">
        <v>27467</v>
      </c>
      <c r="D570">
        <v>37234</v>
      </c>
      <c r="E570" s="12">
        <v>45588</v>
      </c>
      <c r="F570" s="12">
        <v>45779</v>
      </c>
      <c r="G570" s="10">
        <v>23295</v>
      </c>
      <c r="H570">
        <v>0</v>
      </c>
      <c r="I570" t="s">
        <v>785</v>
      </c>
      <c r="J570" t="s">
        <v>18</v>
      </c>
      <c r="K570" t="s">
        <v>15</v>
      </c>
    </row>
    <row r="571" spans="1:11" hidden="1" x14ac:dyDescent="0.35">
      <c r="A571" t="s">
        <v>68</v>
      </c>
      <c r="B571" t="s">
        <v>69</v>
      </c>
      <c r="C571">
        <v>27260</v>
      </c>
      <c r="D571">
        <v>36967</v>
      </c>
      <c r="E571" s="12">
        <v>45568</v>
      </c>
      <c r="F571" s="12">
        <v>45779</v>
      </c>
      <c r="G571" s="10">
        <v>493.9</v>
      </c>
      <c r="H571">
        <v>0</v>
      </c>
      <c r="I571" t="s">
        <v>916</v>
      </c>
      <c r="J571" t="s">
        <v>14</v>
      </c>
      <c r="K571" t="s">
        <v>15</v>
      </c>
    </row>
    <row r="572" spans="1:11" hidden="1" x14ac:dyDescent="0.35">
      <c r="A572" t="s">
        <v>166</v>
      </c>
      <c r="B572" t="s">
        <v>167</v>
      </c>
      <c r="C572">
        <v>27282</v>
      </c>
      <c r="D572">
        <v>36994</v>
      </c>
      <c r="E572" s="12">
        <v>45569</v>
      </c>
      <c r="F572" s="12">
        <v>45779</v>
      </c>
      <c r="G572" s="10">
        <v>16304.4</v>
      </c>
      <c r="H572">
        <v>0</v>
      </c>
      <c r="I572" t="s">
        <v>1406</v>
      </c>
      <c r="J572" t="s">
        <v>18</v>
      </c>
      <c r="K572" t="s">
        <v>15</v>
      </c>
    </row>
    <row r="573" spans="1:11" hidden="1" x14ac:dyDescent="0.35">
      <c r="A573" t="s">
        <v>281</v>
      </c>
      <c r="B573" t="s">
        <v>282</v>
      </c>
      <c r="C573">
        <v>27276</v>
      </c>
      <c r="D573">
        <v>36983</v>
      </c>
      <c r="E573" s="12">
        <v>45569</v>
      </c>
      <c r="F573" s="12">
        <v>45779</v>
      </c>
      <c r="G573" s="10">
        <v>2709</v>
      </c>
      <c r="H573">
        <v>0</v>
      </c>
      <c r="I573" t="s">
        <v>1009</v>
      </c>
      <c r="J573" t="s">
        <v>194</v>
      </c>
      <c r="K573" t="s">
        <v>15</v>
      </c>
    </row>
    <row r="574" spans="1:11" hidden="1" x14ac:dyDescent="0.35">
      <c r="A574" t="s">
        <v>317</v>
      </c>
      <c r="B574" t="s">
        <v>56</v>
      </c>
      <c r="C574">
        <v>27971</v>
      </c>
      <c r="D574">
        <v>37852</v>
      </c>
      <c r="E574" s="12">
        <v>45629</v>
      </c>
      <c r="F574" s="12">
        <v>45779</v>
      </c>
      <c r="G574" s="10">
        <v>10460</v>
      </c>
      <c r="H574">
        <v>0</v>
      </c>
      <c r="I574" t="s">
        <v>318</v>
      </c>
      <c r="J574" t="s">
        <v>44</v>
      </c>
    </row>
    <row r="575" spans="1:11" hidden="1" x14ac:dyDescent="0.35">
      <c r="A575" t="s">
        <v>742</v>
      </c>
      <c r="B575" t="s">
        <v>743</v>
      </c>
      <c r="C575">
        <v>27249</v>
      </c>
      <c r="D575">
        <v>36954</v>
      </c>
      <c r="E575" s="12">
        <v>45568</v>
      </c>
      <c r="F575" s="12">
        <v>45779</v>
      </c>
      <c r="G575" s="10">
        <v>1708.44</v>
      </c>
      <c r="H575">
        <v>0</v>
      </c>
      <c r="I575" t="s">
        <v>744</v>
      </c>
      <c r="J575" t="s">
        <v>44</v>
      </c>
      <c r="K575" t="s">
        <v>15</v>
      </c>
    </row>
    <row r="576" spans="1:11" hidden="1" x14ac:dyDescent="0.35">
      <c r="A576" t="s">
        <v>1716</v>
      </c>
      <c r="B576" t="s">
        <v>1717</v>
      </c>
      <c r="C576">
        <v>29292</v>
      </c>
      <c r="D576">
        <v>39493</v>
      </c>
      <c r="E576" s="12">
        <v>45748</v>
      </c>
      <c r="F576" s="12">
        <v>45779</v>
      </c>
      <c r="G576" s="10">
        <v>116480</v>
      </c>
      <c r="H576">
        <v>0</v>
      </c>
      <c r="I576" t="s">
        <v>1718</v>
      </c>
      <c r="J576" t="s">
        <v>58</v>
      </c>
      <c r="K576" t="s">
        <v>15</v>
      </c>
    </row>
    <row r="577" spans="1:11" hidden="1" x14ac:dyDescent="0.35">
      <c r="A577" t="s">
        <v>1722</v>
      </c>
      <c r="B577" t="s">
        <v>1723</v>
      </c>
      <c r="C577">
        <v>29294</v>
      </c>
      <c r="D577">
        <v>39495</v>
      </c>
      <c r="E577" s="12">
        <v>45748</v>
      </c>
      <c r="F577" s="12">
        <v>45779</v>
      </c>
      <c r="G577" s="10">
        <v>4605.25</v>
      </c>
      <c r="H577">
        <v>0</v>
      </c>
      <c r="I577" t="s">
        <v>1724</v>
      </c>
      <c r="J577" t="s">
        <v>44</v>
      </c>
      <c r="K577" t="s">
        <v>15</v>
      </c>
    </row>
    <row r="578" spans="1:11" hidden="1" x14ac:dyDescent="0.35">
      <c r="A578" t="s">
        <v>1719</v>
      </c>
      <c r="B578" t="s">
        <v>1720</v>
      </c>
      <c r="C578">
        <v>29293</v>
      </c>
      <c r="D578">
        <v>39494</v>
      </c>
      <c r="E578" s="12">
        <v>45748</v>
      </c>
      <c r="F578" s="12">
        <v>45779</v>
      </c>
      <c r="G578" s="10">
        <v>29120</v>
      </c>
      <c r="H578">
        <v>0</v>
      </c>
      <c r="I578" t="s">
        <v>1721</v>
      </c>
      <c r="J578" t="s">
        <v>58</v>
      </c>
      <c r="K578" t="s">
        <v>15</v>
      </c>
    </row>
    <row r="579" spans="1:11" hidden="1" x14ac:dyDescent="0.35">
      <c r="A579" t="s">
        <v>144</v>
      </c>
      <c r="B579" t="s">
        <v>145</v>
      </c>
      <c r="C579">
        <v>29191</v>
      </c>
      <c r="D579">
        <v>39364</v>
      </c>
      <c r="E579" s="12">
        <v>45733</v>
      </c>
      <c r="F579" s="12">
        <v>45779</v>
      </c>
      <c r="G579" s="10">
        <v>24571.4</v>
      </c>
      <c r="H579">
        <v>0</v>
      </c>
      <c r="I579" t="s">
        <v>1616</v>
      </c>
      <c r="J579" t="s">
        <v>48</v>
      </c>
      <c r="K579" t="s">
        <v>15</v>
      </c>
    </row>
    <row r="580" spans="1:11" hidden="1" x14ac:dyDescent="0.35">
      <c r="A580" t="s">
        <v>1713</v>
      </c>
      <c r="B580" t="s">
        <v>1714</v>
      </c>
      <c r="C580">
        <v>29284</v>
      </c>
      <c r="D580">
        <v>39485</v>
      </c>
      <c r="E580" s="12">
        <v>45748</v>
      </c>
      <c r="F580" s="12">
        <v>45779</v>
      </c>
      <c r="G580" s="10">
        <v>37485</v>
      </c>
      <c r="H580">
        <v>0</v>
      </c>
      <c r="I580" t="s">
        <v>1715</v>
      </c>
      <c r="J580" t="s">
        <v>111</v>
      </c>
      <c r="K580" t="s">
        <v>15</v>
      </c>
    </row>
    <row r="581" spans="1:11" hidden="1" x14ac:dyDescent="0.35">
      <c r="A581" t="s">
        <v>174</v>
      </c>
      <c r="B581" t="s">
        <v>175</v>
      </c>
      <c r="C581">
        <v>27977</v>
      </c>
      <c r="D581">
        <v>37867</v>
      </c>
      <c r="E581" s="12">
        <v>45630</v>
      </c>
      <c r="F581" s="12">
        <v>45780</v>
      </c>
      <c r="G581" s="10">
        <v>157920</v>
      </c>
      <c r="H581">
        <v>0</v>
      </c>
      <c r="I581" t="s">
        <v>1230</v>
      </c>
      <c r="J581" t="s">
        <v>58</v>
      </c>
      <c r="K581" t="s">
        <v>15</v>
      </c>
    </row>
    <row r="582" spans="1:11" hidden="1" x14ac:dyDescent="0.35">
      <c r="A582" t="s">
        <v>242</v>
      </c>
      <c r="B582" t="s">
        <v>243</v>
      </c>
      <c r="C582">
        <v>28020</v>
      </c>
      <c r="D582">
        <v>37922</v>
      </c>
      <c r="E582" s="12">
        <v>45631</v>
      </c>
      <c r="F582" s="12">
        <v>45781</v>
      </c>
      <c r="G582" s="10">
        <v>14227.2</v>
      </c>
      <c r="H582">
        <v>0</v>
      </c>
      <c r="I582" t="s">
        <v>903</v>
      </c>
      <c r="J582" t="s">
        <v>48</v>
      </c>
      <c r="K582" t="s">
        <v>15</v>
      </c>
    </row>
    <row r="583" spans="1:11" hidden="1" x14ac:dyDescent="0.35">
      <c r="A583" t="s">
        <v>174</v>
      </c>
      <c r="B583" t="s">
        <v>175</v>
      </c>
      <c r="C583">
        <v>28001</v>
      </c>
      <c r="D583">
        <v>37901</v>
      </c>
      <c r="E583" s="12">
        <v>45631</v>
      </c>
      <c r="F583" s="12">
        <v>45781</v>
      </c>
      <c r="G583" s="10">
        <v>72000</v>
      </c>
      <c r="H583">
        <v>0</v>
      </c>
      <c r="I583" t="s">
        <v>1605</v>
      </c>
      <c r="J583" t="s">
        <v>58</v>
      </c>
      <c r="K583" t="s">
        <v>15</v>
      </c>
    </row>
    <row r="584" spans="1:11" hidden="1" x14ac:dyDescent="0.35">
      <c r="A584" t="s">
        <v>31</v>
      </c>
      <c r="B584" t="s">
        <v>32</v>
      </c>
      <c r="C584">
        <v>27702</v>
      </c>
      <c r="D584">
        <v>37497</v>
      </c>
      <c r="E584" s="12">
        <v>45602</v>
      </c>
      <c r="F584" s="12">
        <v>45782</v>
      </c>
      <c r="G584" s="10">
        <v>18864.560000000001</v>
      </c>
      <c r="H584">
        <v>0</v>
      </c>
      <c r="I584" t="s">
        <v>627</v>
      </c>
      <c r="J584" t="s">
        <v>34</v>
      </c>
      <c r="K584" t="s">
        <v>15</v>
      </c>
    </row>
    <row r="585" spans="1:11" hidden="1" x14ac:dyDescent="0.35">
      <c r="A585" t="s">
        <v>848</v>
      </c>
      <c r="B585" t="s">
        <v>849</v>
      </c>
      <c r="C585">
        <v>28010</v>
      </c>
      <c r="D585">
        <v>37912</v>
      </c>
      <c r="E585" s="12">
        <v>45631</v>
      </c>
      <c r="F585" s="12">
        <v>45782</v>
      </c>
      <c r="G585" s="10">
        <v>1736.8</v>
      </c>
      <c r="H585">
        <v>0</v>
      </c>
      <c r="I585" t="s">
        <v>850</v>
      </c>
      <c r="J585" t="s">
        <v>14</v>
      </c>
    </row>
    <row r="586" spans="1:11" hidden="1" x14ac:dyDescent="0.35">
      <c r="A586" t="s">
        <v>31</v>
      </c>
      <c r="B586" t="s">
        <v>32</v>
      </c>
      <c r="C586">
        <v>28206</v>
      </c>
      <c r="D586">
        <v>38148</v>
      </c>
      <c r="E586" s="12">
        <v>45646</v>
      </c>
      <c r="F586" s="12">
        <v>45782</v>
      </c>
      <c r="G586" s="10">
        <v>3413.33</v>
      </c>
      <c r="H586">
        <v>0</v>
      </c>
      <c r="I586" t="s">
        <v>271</v>
      </c>
      <c r="J586" t="s">
        <v>34</v>
      </c>
      <c r="K586" t="s">
        <v>15</v>
      </c>
    </row>
    <row r="587" spans="1:11" hidden="1" x14ac:dyDescent="0.35">
      <c r="A587" t="s">
        <v>31</v>
      </c>
      <c r="B587" t="s">
        <v>32</v>
      </c>
      <c r="C587">
        <v>28207</v>
      </c>
      <c r="D587">
        <v>38149</v>
      </c>
      <c r="E587" s="12">
        <v>45646</v>
      </c>
      <c r="F587" s="12">
        <v>45782</v>
      </c>
      <c r="G587" s="10">
        <v>7355.99</v>
      </c>
      <c r="H587">
        <v>0</v>
      </c>
      <c r="I587" t="s">
        <v>59</v>
      </c>
      <c r="J587" t="s">
        <v>34</v>
      </c>
      <c r="K587" t="s">
        <v>15</v>
      </c>
    </row>
    <row r="588" spans="1:11" hidden="1" x14ac:dyDescent="0.35">
      <c r="A588" t="s">
        <v>591</v>
      </c>
      <c r="B588" t="s">
        <v>592</v>
      </c>
      <c r="C588">
        <v>28286</v>
      </c>
      <c r="D588">
        <v>38256</v>
      </c>
      <c r="E588" s="12">
        <v>45660</v>
      </c>
      <c r="F588" s="12">
        <v>45782</v>
      </c>
      <c r="G588" s="10">
        <v>19265</v>
      </c>
      <c r="H588">
        <v>0</v>
      </c>
      <c r="I588" t="s">
        <v>1466</v>
      </c>
      <c r="J588" t="s">
        <v>194</v>
      </c>
      <c r="K588" t="s">
        <v>15</v>
      </c>
    </row>
    <row r="589" spans="1:11" hidden="1" x14ac:dyDescent="0.35">
      <c r="A589" t="s">
        <v>31</v>
      </c>
      <c r="B589" t="s">
        <v>32</v>
      </c>
      <c r="C589">
        <v>28190</v>
      </c>
      <c r="D589">
        <v>38130</v>
      </c>
      <c r="E589" s="12">
        <v>45645</v>
      </c>
      <c r="F589" s="12">
        <v>45782</v>
      </c>
      <c r="G589" s="10">
        <v>1197.78</v>
      </c>
      <c r="H589">
        <v>0</v>
      </c>
      <c r="I589" t="s">
        <v>81</v>
      </c>
      <c r="J589" t="s">
        <v>34</v>
      </c>
      <c r="K589" t="s">
        <v>15</v>
      </c>
    </row>
    <row r="590" spans="1:11" hidden="1" x14ac:dyDescent="0.35">
      <c r="A590" t="s">
        <v>31</v>
      </c>
      <c r="B590" t="s">
        <v>32</v>
      </c>
      <c r="C590">
        <v>28208</v>
      </c>
      <c r="D590">
        <v>38150</v>
      </c>
      <c r="E590" s="12">
        <v>45646</v>
      </c>
      <c r="F590" s="12">
        <v>45782</v>
      </c>
      <c r="G590" s="10">
        <v>1705.33</v>
      </c>
      <c r="H590">
        <v>0</v>
      </c>
      <c r="I590" t="s">
        <v>1455</v>
      </c>
      <c r="J590" t="s">
        <v>34</v>
      </c>
      <c r="K590" t="s">
        <v>15</v>
      </c>
    </row>
    <row r="591" spans="1:11" hidden="1" x14ac:dyDescent="0.35">
      <c r="A591" t="s">
        <v>31</v>
      </c>
      <c r="B591" t="s">
        <v>32</v>
      </c>
      <c r="C591">
        <v>28217</v>
      </c>
      <c r="D591">
        <v>38159</v>
      </c>
      <c r="E591" s="12">
        <v>45646</v>
      </c>
      <c r="F591" s="12">
        <v>45782</v>
      </c>
      <c r="G591" s="10">
        <v>1600</v>
      </c>
      <c r="H591">
        <v>0</v>
      </c>
      <c r="I591" t="s">
        <v>878</v>
      </c>
      <c r="J591" t="s">
        <v>34</v>
      </c>
      <c r="K591" t="s">
        <v>15</v>
      </c>
    </row>
    <row r="592" spans="1:11" hidden="1" x14ac:dyDescent="0.35">
      <c r="A592" t="s">
        <v>116</v>
      </c>
      <c r="B592" t="s">
        <v>117</v>
      </c>
      <c r="C592">
        <v>28017</v>
      </c>
      <c r="D592">
        <v>37919</v>
      </c>
      <c r="E592" s="12">
        <v>45631</v>
      </c>
      <c r="F592" s="12">
        <v>45782</v>
      </c>
      <c r="G592" s="10">
        <v>108460</v>
      </c>
      <c r="H592">
        <v>0</v>
      </c>
      <c r="I592" t="s">
        <v>860</v>
      </c>
      <c r="J592" t="s">
        <v>22</v>
      </c>
      <c r="K592" t="s">
        <v>15</v>
      </c>
    </row>
    <row r="593" spans="1:11" hidden="1" x14ac:dyDescent="0.35">
      <c r="A593" t="s">
        <v>144</v>
      </c>
      <c r="B593" t="s">
        <v>145</v>
      </c>
      <c r="C593">
        <v>28024</v>
      </c>
      <c r="D593">
        <v>37925</v>
      </c>
      <c r="E593" s="12">
        <v>45631</v>
      </c>
      <c r="F593" s="12">
        <v>45782</v>
      </c>
      <c r="G593" s="10">
        <v>4033.36</v>
      </c>
      <c r="H593">
        <v>0</v>
      </c>
      <c r="I593" t="s">
        <v>861</v>
      </c>
      <c r="J593" t="s">
        <v>48</v>
      </c>
      <c r="K593" t="s">
        <v>15</v>
      </c>
    </row>
    <row r="594" spans="1:11" hidden="1" x14ac:dyDescent="0.35">
      <c r="A594" t="s">
        <v>31</v>
      </c>
      <c r="B594" t="s">
        <v>32</v>
      </c>
      <c r="C594">
        <v>28192</v>
      </c>
      <c r="D594">
        <v>38132</v>
      </c>
      <c r="E594" s="12">
        <v>45645</v>
      </c>
      <c r="F594" s="12">
        <v>45782</v>
      </c>
      <c r="G594" s="10">
        <v>8064.13</v>
      </c>
      <c r="H594">
        <v>0</v>
      </c>
      <c r="I594" t="s">
        <v>863</v>
      </c>
      <c r="J594" t="s">
        <v>34</v>
      </c>
      <c r="K594" t="s">
        <v>15</v>
      </c>
    </row>
    <row r="595" spans="1:11" hidden="1" x14ac:dyDescent="0.35">
      <c r="A595" t="s">
        <v>31</v>
      </c>
      <c r="B595" t="s">
        <v>32</v>
      </c>
      <c r="C595">
        <v>28209</v>
      </c>
      <c r="D595">
        <v>38151</v>
      </c>
      <c r="E595" s="12">
        <v>45646</v>
      </c>
      <c r="F595" s="12">
        <v>45782</v>
      </c>
      <c r="G595" s="10">
        <v>2243.2199999999998</v>
      </c>
      <c r="H595">
        <v>0</v>
      </c>
      <c r="I595" t="s">
        <v>876</v>
      </c>
      <c r="J595" t="s">
        <v>34</v>
      </c>
      <c r="K595" t="s">
        <v>15</v>
      </c>
    </row>
    <row r="596" spans="1:11" hidden="1" x14ac:dyDescent="0.35">
      <c r="A596" t="s">
        <v>55</v>
      </c>
      <c r="B596" t="s">
        <v>56</v>
      </c>
      <c r="C596">
        <v>28037</v>
      </c>
      <c r="D596">
        <v>37938</v>
      </c>
      <c r="E596" s="12">
        <v>45632</v>
      </c>
      <c r="F596" s="12">
        <v>45782</v>
      </c>
      <c r="G596" s="10">
        <v>78960</v>
      </c>
      <c r="H596">
        <v>0</v>
      </c>
      <c r="I596" t="s">
        <v>1123</v>
      </c>
      <c r="J596" t="s">
        <v>58</v>
      </c>
      <c r="K596" t="s">
        <v>15</v>
      </c>
    </row>
    <row r="597" spans="1:11" hidden="1" x14ac:dyDescent="0.35">
      <c r="A597" t="s">
        <v>31</v>
      </c>
      <c r="B597" t="s">
        <v>32</v>
      </c>
      <c r="C597">
        <v>27837</v>
      </c>
      <c r="D597">
        <v>37669</v>
      </c>
      <c r="E597" s="12">
        <v>45617</v>
      </c>
      <c r="F597" s="12">
        <v>45782</v>
      </c>
      <c r="G597" s="10">
        <v>7355.99</v>
      </c>
      <c r="H597">
        <v>0</v>
      </c>
      <c r="I597" t="s">
        <v>1285</v>
      </c>
      <c r="J597" t="s">
        <v>34</v>
      </c>
      <c r="K597" t="s">
        <v>15</v>
      </c>
    </row>
    <row r="598" spans="1:11" hidden="1" x14ac:dyDescent="0.35">
      <c r="A598" t="s">
        <v>31</v>
      </c>
      <c r="B598" t="s">
        <v>32</v>
      </c>
      <c r="C598">
        <v>28205</v>
      </c>
      <c r="D598">
        <v>38147</v>
      </c>
      <c r="E598" s="12">
        <v>45646</v>
      </c>
      <c r="F598" s="12">
        <v>45782</v>
      </c>
      <c r="G598" s="10">
        <v>3239.29</v>
      </c>
      <c r="H598">
        <v>0</v>
      </c>
      <c r="I598" t="s">
        <v>271</v>
      </c>
      <c r="J598" t="s">
        <v>34</v>
      </c>
      <c r="K598" t="s">
        <v>15</v>
      </c>
    </row>
    <row r="599" spans="1:11" hidden="1" x14ac:dyDescent="0.35">
      <c r="A599" t="s">
        <v>31</v>
      </c>
      <c r="B599" t="s">
        <v>32</v>
      </c>
      <c r="C599">
        <v>28194</v>
      </c>
      <c r="D599">
        <v>38134</v>
      </c>
      <c r="E599" s="12">
        <v>45645</v>
      </c>
      <c r="F599" s="12">
        <v>45782</v>
      </c>
      <c r="G599" s="10">
        <v>666.67</v>
      </c>
      <c r="H599">
        <v>0</v>
      </c>
      <c r="I599" t="s">
        <v>271</v>
      </c>
      <c r="J599" t="s">
        <v>34</v>
      </c>
      <c r="K599" t="s">
        <v>15</v>
      </c>
    </row>
    <row r="600" spans="1:11" hidden="1" x14ac:dyDescent="0.35">
      <c r="A600" t="s">
        <v>1273</v>
      </c>
      <c r="B600" t="s">
        <v>1274</v>
      </c>
      <c r="C600">
        <v>29094</v>
      </c>
      <c r="D600">
        <v>39254</v>
      </c>
      <c r="E600" s="12">
        <v>45721</v>
      </c>
      <c r="F600" s="12">
        <v>45782</v>
      </c>
      <c r="G600" s="10">
        <v>16661.37</v>
      </c>
      <c r="H600">
        <v>0</v>
      </c>
      <c r="I600" t="s">
        <v>1275</v>
      </c>
      <c r="J600" t="s">
        <v>152</v>
      </c>
      <c r="K600" t="s">
        <v>15</v>
      </c>
    </row>
    <row r="601" spans="1:11" hidden="1" x14ac:dyDescent="0.35">
      <c r="A601" t="s">
        <v>977</v>
      </c>
      <c r="B601" t="s">
        <v>978</v>
      </c>
      <c r="C601">
        <v>28772</v>
      </c>
      <c r="D601">
        <v>38858</v>
      </c>
      <c r="E601" s="12">
        <v>45692</v>
      </c>
      <c r="F601" s="12">
        <v>45782</v>
      </c>
      <c r="G601" s="10">
        <v>2450.25</v>
      </c>
      <c r="H601">
        <v>0</v>
      </c>
      <c r="I601" t="s">
        <v>979</v>
      </c>
      <c r="J601" t="s">
        <v>194</v>
      </c>
      <c r="K601" t="s">
        <v>15</v>
      </c>
    </row>
    <row r="602" spans="1:11" hidden="1" x14ac:dyDescent="0.35">
      <c r="A602" t="s">
        <v>144</v>
      </c>
      <c r="B602" t="s">
        <v>145</v>
      </c>
      <c r="C602">
        <v>29242</v>
      </c>
      <c r="D602">
        <v>39425</v>
      </c>
      <c r="E602" s="12">
        <v>45737</v>
      </c>
      <c r="F602" s="12">
        <v>45782</v>
      </c>
      <c r="G602" s="10">
        <v>11195.99</v>
      </c>
      <c r="H602">
        <v>0</v>
      </c>
      <c r="I602" t="s">
        <v>1616</v>
      </c>
      <c r="J602" t="s">
        <v>48</v>
      </c>
      <c r="K602" t="s">
        <v>15</v>
      </c>
    </row>
    <row r="603" spans="1:11" hidden="1" x14ac:dyDescent="0.35">
      <c r="A603" t="s">
        <v>1077</v>
      </c>
      <c r="B603" t="s">
        <v>1078</v>
      </c>
      <c r="C603">
        <v>29100</v>
      </c>
      <c r="D603">
        <v>39260</v>
      </c>
      <c r="E603" s="12">
        <v>45722</v>
      </c>
      <c r="F603" s="12">
        <v>45782</v>
      </c>
      <c r="G603" s="10">
        <v>6692.99</v>
      </c>
      <c r="H603">
        <v>0</v>
      </c>
      <c r="I603" t="s">
        <v>1079</v>
      </c>
      <c r="J603" t="s">
        <v>949</v>
      </c>
      <c r="K603" t="s">
        <v>15</v>
      </c>
    </row>
    <row r="604" spans="1:11" hidden="1" x14ac:dyDescent="0.35">
      <c r="A604" t="s">
        <v>848</v>
      </c>
      <c r="B604" t="s">
        <v>849</v>
      </c>
      <c r="C604">
        <v>28009</v>
      </c>
      <c r="D604">
        <v>37911</v>
      </c>
      <c r="E604" s="12">
        <v>45631</v>
      </c>
      <c r="F604" s="12">
        <v>45782</v>
      </c>
      <c r="G604" s="10">
        <v>75180.42</v>
      </c>
      <c r="H604">
        <v>0</v>
      </c>
      <c r="I604" t="s">
        <v>992</v>
      </c>
      <c r="J604" t="s">
        <v>14</v>
      </c>
    </row>
    <row r="605" spans="1:11" hidden="1" x14ac:dyDescent="0.35">
      <c r="A605" t="s">
        <v>116</v>
      </c>
      <c r="B605" t="s">
        <v>117</v>
      </c>
      <c r="C605">
        <v>28018</v>
      </c>
      <c r="D605">
        <v>37920</v>
      </c>
      <c r="E605" s="12">
        <v>45631</v>
      </c>
      <c r="F605" s="12">
        <v>45782</v>
      </c>
      <c r="G605" s="10">
        <v>112800</v>
      </c>
      <c r="H605">
        <v>0</v>
      </c>
      <c r="I605" t="s">
        <v>379</v>
      </c>
      <c r="J605" t="s">
        <v>22</v>
      </c>
      <c r="K605" t="s">
        <v>15</v>
      </c>
    </row>
    <row r="606" spans="1:11" hidden="1" x14ac:dyDescent="0.35">
      <c r="A606" t="s">
        <v>224</v>
      </c>
      <c r="B606" t="s">
        <v>225</v>
      </c>
      <c r="C606">
        <v>28288</v>
      </c>
      <c r="D606">
        <v>38258</v>
      </c>
      <c r="E606" s="12">
        <v>45660</v>
      </c>
      <c r="F606" s="12">
        <v>45782</v>
      </c>
      <c r="G606" s="10">
        <v>4000</v>
      </c>
      <c r="H606">
        <v>0</v>
      </c>
      <c r="I606" t="s">
        <v>1359</v>
      </c>
      <c r="J606" t="s">
        <v>194</v>
      </c>
      <c r="K606" t="s">
        <v>15</v>
      </c>
    </row>
    <row r="607" spans="1:11" hidden="1" x14ac:dyDescent="0.35">
      <c r="A607" t="s">
        <v>1250</v>
      </c>
      <c r="B607" t="s">
        <v>1251</v>
      </c>
      <c r="C607">
        <v>29095</v>
      </c>
      <c r="D607">
        <v>39255</v>
      </c>
      <c r="E607" s="12">
        <v>45721</v>
      </c>
      <c r="F607" s="12">
        <v>45782</v>
      </c>
      <c r="G607" s="10">
        <v>9719.6299999999992</v>
      </c>
      <c r="H607">
        <v>0</v>
      </c>
      <c r="I607" t="s">
        <v>1558</v>
      </c>
      <c r="J607" t="s">
        <v>152</v>
      </c>
      <c r="K607" t="s">
        <v>15</v>
      </c>
    </row>
    <row r="608" spans="1:11" hidden="1" x14ac:dyDescent="0.35">
      <c r="A608" t="s">
        <v>1523</v>
      </c>
      <c r="B608" t="s">
        <v>1524</v>
      </c>
      <c r="C608">
        <v>29098</v>
      </c>
      <c r="D608">
        <v>39257</v>
      </c>
      <c r="E608" s="12">
        <v>45721</v>
      </c>
      <c r="F608" s="12">
        <v>45782</v>
      </c>
      <c r="G608" s="10">
        <v>7008.79</v>
      </c>
      <c r="H608">
        <v>0</v>
      </c>
      <c r="I608" t="s">
        <v>1525</v>
      </c>
      <c r="J608" t="s">
        <v>312</v>
      </c>
      <c r="K608" t="s">
        <v>15</v>
      </c>
    </row>
    <row r="609" spans="1:11" hidden="1" x14ac:dyDescent="0.35">
      <c r="A609" t="s">
        <v>31</v>
      </c>
      <c r="B609" t="s">
        <v>32</v>
      </c>
      <c r="C609">
        <v>27701</v>
      </c>
      <c r="D609">
        <v>37496</v>
      </c>
      <c r="E609" s="12">
        <v>45602</v>
      </c>
      <c r="F609" s="12">
        <v>45782</v>
      </c>
      <c r="G609" s="10">
        <v>34784</v>
      </c>
      <c r="H609">
        <v>0</v>
      </c>
      <c r="I609" t="s">
        <v>1604</v>
      </c>
      <c r="J609" t="s">
        <v>34</v>
      </c>
      <c r="K609" t="s">
        <v>15</v>
      </c>
    </row>
    <row r="610" spans="1:11" hidden="1" x14ac:dyDescent="0.35">
      <c r="A610" t="s">
        <v>31</v>
      </c>
      <c r="B610" t="s">
        <v>32</v>
      </c>
      <c r="C610">
        <v>28191</v>
      </c>
      <c r="D610">
        <v>38131</v>
      </c>
      <c r="E610" s="12">
        <v>45645</v>
      </c>
      <c r="F610" s="12">
        <v>45782</v>
      </c>
      <c r="G610" s="10">
        <v>2722.22</v>
      </c>
      <c r="H610">
        <v>0</v>
      </c>
      <c r="I610" t="s">
        <v>1673</v>
      </c>
      <c r="J610" t="s">
        <v>34</v>
      </c>
      <c r="K610" t="s">
        <v>15</v>
      </c>
    </row>
    <row r="611" spans="1:11" hidden="1" x14ac:dyDescent="0.35">
      <c r="A611" t="s">
        <v>31</v>
      </c>
      <c r="B611" t="s">
        <v>32</v>
      </c>
      <c r="C611">
        <v>28193</v>
      </c>
      <c r="D611">
        <v>38133</v>
      </c>
      <c r="E611" s="12">
        <v>45645</v>
      </c>
      <c r="F611" s="12">
        <v>45782</v>
      </c>
      <c r="G611" s="10">
        <v>5212.13</v>
      </c>
      <c r="H611">
        <v>0</v>
      </c>
      <c r="I611" t="s">
        <v>1641</v>
      </c>
      <c r="J611" t="s">
        <v>34</v>
      </c>
      <c r="K611" t="s">
        <v>15</v>
      </c>
    </row>
    <row r="612" spans="1:11" hidden="1" x14ac:dyDescent="0.35">
      <c r="A612" t="s">
        <v>31</v>
      </c>
      <c r="B612" t="s">
        <v>32</v>
      </c>
      <c r="C612">
        <v>28547</v>
      </c>
      <c r="D612">
        <v>38565</v>
      </c>
      <c r="E612" s="12">
        <v>45678</v>
      </c>
      <c r="F612" s="12">
        <v>45783</v>
      </c>
      <c r="G612" s="10">
        <v>13139.99</v>
      </c>
      <c r="H612">
        <v>0</v>
      </c>
      <c r="I612" t="s">
        <v>271</v>
      </c>
      <c r="J612" t="s">
        <v>34</v>
      </c>
      <c r="K612" t="s">
        <v>15</v>
      </c>
    </row>
    <row r="613" spans="1:11" hidden="1" x14ac:dyDescent="0.35">
      <c r="A613" t="s">
        <v>31</v>
      </c>
      <c r="B613" t="s">
        <v>32</v>
      </c>
      <c r="C613">
        <v>27851</v>
      </c>
      <c r="D613">
        <v>37687</v>
      </c>
      <c r="E613" s="12">
        <v>45618</v>
      </c>
      <c r="F613" s="12">
        <v>45783</v>
      </c>
      <c r="G613" s="10">
        <v>2584.44</v>
      </c>
      <c r="H613">
        <v>0</v>
      </c>
      <c r="I613" t="s">
        <v>1452</v>
      </c>
      <c r="J613" t="s">
        <v>34</v>
      </c>
      <c r="K613" t="s">
        <v>15</v>
      </c>
    </row>
    <row r="614" spans="1:11" hidden="1" x14ac:dyDescent="0.35">
      <c r="A614" t="s">
        <v>31</v>
      </c>
      <c r="B614" t="s">
        <v>32</v>
      </c>
      <c r="C614">
        <v>27850</v>
      </c>
      <c r="D614">
        <v>37686</v>
      </c>
      <c r="E614" s="12">
        <v>45618</v>
      </c>
      <c r="F614" s="12">
        <v>45783</v>
      </c>
      <c r="G614" s="10">
        <v>3413.33</v>
      </c>
      <c r="H614">
        <v>0</v>
      </c>
      <c r="I614" t="s">
        <v>873</v>
      </c>
      <c r="J614" t="s">
        <v>34</v>
      </c>
      <c r="K614" t="s">
        <v>15</v>
      </c>
    </row>
    <row r="615" spans="1:11" hidden="1" x14ac:dyDescent="0.35">
      <c r="A615" t="s">
        <v>31</v>
      </c>
      <c r="B615" t="s">
        <v>32</v>
      </c>
      <c r="C615">
        <v>28538</v>
      </c>
      <c r="D615">
        <v>38555</v>
      </c>
      <c r="E615" s="12">
        <v>45678</v>
      </c>
      <c r="F615" s="12">
        <v>45783</v>
      </c>
      <c r="G615" s="10">
        <v>1813.33</v>
      </c>
      <c r="H615">
        <v>0</v>
      </c>
      <c r="I615" t="s">
        <v>271</v>
      </c>
      <c r="J615" t="s">
        <v>34</v>
      </c>
      <c r="K615" t="s">
        <v>15</v>
      </c>
    </row>
    <row r="616" spans="1:11" hidden="1" x14ac:dyDescent="0.35">
      <c r="A616" t="s">
        <v>31</v>
      </c>
      <c r="B616" t="s">
        <v>32</v>
      </c>
      <c r="C616">
        <v>29110</v>
      </c>
      <c r="D616">
        <v>39271</v>
      </c>
      <c r="E616" s="12">
        <v>45723</v>
      </c>
      <c r="F616" s="12">
        <v>45783</v>
      </c>
      <c r="G616" s="10">
        <v>753.33</v>
      </c>
      <c r="H616">
        <v>0</v>
      </c>
      <c r="I616" t="s">
        <v>271</v>
      </c>
      <c r="J616" t="s">
        <v>34</v>
      </c>
      <c r="K616" t="s">
        <v>15</v>
      </c>
    </row>
    <row r="617" spans="1:11" hidden="1" x14ac:dyDescent="0.35">
      <c r="A617" t="s">
        <v>31</v>
      </c>
      <c r="B617" t="s">
        <v>32</v>
      </c>
      <c r="C617">
        <v>29109</v>
      </c>
      <c r="D617">
        <v>39270</v>
      </c>
      <c r="E617" s="12">
        <v>45723</v>
      </c>
      <c r="F617" s="12">
        <v>45783</v>
      </c>
      <c r="G617" s="10">
        <v>5866.66</v>
      </c>
      <c r="H617">
        <v>0</v>
      </c>
      <c r="I617" t="s">
        <v>271</v>
      </c>
      <c r="J617" t="s">
        <v>34</v>
      </c>
      <c r="K617" t="s">
        <v>15</v>
      </c>
    </row>
    <row r="618" spans="1:11" hidden="1" x14ac:dyDescent="0.35">
      <c r="A618" t="s">
        <v>309</v>
      </c>
      <c r="B618" t="s">
        <v>310</v>
      </c>
      <c r="C618">
        <v>27315</v>
      </c>
      <c r="D618">
        <v>37032</v>
      </c>
      <c r="E618" s="12">
        <v>45573</v>
      </c>
      <c r="F618" s="12">
        <v>45783</v>
      </c>
      <c r="G618" s="10">
        <v>2822.4</v>
      </c>
      <c r="H618">
        <v>0</v>
      </c>
      <c r="I618" t="s">
        <v>1133</v>
      </c>
      <c r="J618" t="s">
        <v>312</v>
      </c>
      <c r="K618" t="s">
        <v>15</v>
      </c>
    </row>
    <row r="619" spans="1:11" hidden="1" x14ac:dyDescent="0.35">
      <c r="A619" t="s">
        <v>31</v>
      </c>
      <c r="B619" t="s">
        <v>32</v>
      </c>
      <c r="C619">
        <v>29111</v>
      </c>
      <c r="D619">
        <v>39272</v>
      </c>
      <c r="E619" s="12">
        <v>45723</v>
      </c>
      <c r="F619" s="12">
        <v>45783</v>
      </c>
      <c r="G619" s="10">
        <v>2436.66</v>
      </c>
      <c r="H619">
        <v>0</v>
      </c>
      <c r="I619" t="s">
        <v>271</v>
      </c>
      <c r="J619" t="s">
        <v>34</v>
      </c>
      <c r="K619" t="s">
        <v>15</v>
      </c>
    </row>
    <row r="620" spans="1:11" hidden="1" x14ac:dyDescent="0.35">
      <c r="A620" t="s">
        <v>31</v>
      </c>
      <c r="B620" t="s">
        <v>32</v>
      </c>
      <c r="C620">
        <v>29108</v>
      </c>
      <c r="D620">
        <v>39269</v>
      </c>
      <c r="E620" s="12">
        <v>45723</v>
      </c>
      <c r="F620" s="12">
        <v>45783</v>
      </c>
      <c r="G620" s="10">
        <v>7822.21</v>
      </c>
      <c r="H620">
        <v>0</v>
      </c>
      <c r="I620" t="s">
        <v>271</v>
      </c>
      <c r="J620" t="s">
        <v>34</v>
      </c>
      <c r="K620" t="s">
        <v>15</v>
      </c>
    </row>
    <row r="621" spans="1:11" hidden="1" x14ac:dyDescent="0.35">
      <c r="A621" t="s">
        <v>31</v>
      </c>
      <c r="B621" t="s">
        <v>32</v>
      </c>
      <c r="C621">
        <v>27852</v>
      </c>
      <c r="D621">
        <v>37688</v>
      </c>
      <c r="E621" s="12">
        <v>45618</v>
      </c>
      <c r="F621" s="12">
        <v>45783</v>
      </c>
      <c r="G621" s="10">
        <v>1386.67</v>
      </c>
      <c r="H621">
        <v>0</v>
      </c>
      <c r="I621" t="s">
        <v>271</v>
      </c>
      <c r="J621" t="s">
        <v>34</v>
      </c>
      <c r="K621" t="s">
        <v>15</v>
      </c>
    </row>
    <row r="622" spans="1:11" hidden="1" x14ac:dyDescent="0.35">
      <c r="A622" t="s">
        <v>31</v>
      </c>
      <c r="B622" t="s">
        <v>32</v>
      </c>
      <c r="C622">
        <v>27853</v>
      </c>
      <c r="D622">
        <v>37689</v>
      </c>
      <c r="E622" s="12">
        <v>45618</v>
      </c>
      <c r="F622" s="12">
        <v>45783</v>
      </c>
      <c r="G622" s="10">
        <v>1386.67</v>
      </c>
      <c r="H622">
        <v>0</v>
      </c>
      <c r="I622" t="s">
        <v>357</v>
      </c>
      <c r="J622" t="s">
        <v>34</v>
      </c>
      <c r="K622" t="s">
        <v>15</v>
      </c>
    </row>
    <row r="623" spans="1:11" hidden="1" x14ac:dyDescent="0.35">
      <c r="A623" t="s">
        <v>31</v>
      </c>
      <c r="B623" t="s">
        <v>32</v>
      </c>
      <c r="C623">
        <v>28539</v>
      </c>
      <c r="D623">
        <v>38556</v>
      </c>
      <c r="E623" s="12">
        <v>45678</v>
      </c>
      <c r="F623" s="12">
        <v>45783</v>
      </c>
      <c r="G623" s="10">
        <v>3413.33</v>
      </c>
      <c r="H623">
        <v>0</v>
      </c>
      <c r="I623" t="s">
        <v>271</v>
      </c>
      <c r="J623" t="s">
        <v>34</v>
      </c>
      <c r="K623" t="s">
        <v>15</v>
      </c>
    </row>
    <row r="624" spans="1:11" hidden="1" x14ac:dyDescent="0.35">
      <c r="A624" t="s">
        <v>169</v>
      </c>
      <c r="B624" t="s">
        <v>170</v>
      </c>
      <c r="C624">
        <v>28802</v>
      </c>
      <c r="D624">
        <v>38887</v>
      </c>
      <c r="E624" s="12">
        <v>45693</v>
      </c>
      <c r="F624" s="12">
        <v>45783</v>
      </c>
      <c r="G624" s="10">
        <v>6665.18</v>
      </c>
      <c r="H624">
        <v>0</v>
      </c>
      <c r="I624" t="s">
        <v>171</v>
      </c>
      <c r="J624" t="s">
        <v>30</v>
      </c>
      <c r="K624" t="s">
        <v>15</v>
      </c>
    </row>
    <row r="625" spans="1:11" hidden="1" x14ac:dyDescent="0.35">
      <c r="A625" t="s">
        <v>667</v>
      </c>
      <c r="B625" t="s">
        <v>668</v>
      </c>
      <c r="C625">
        <v>29112</v>
      </c>
      <c r="D625">
        <v>39273</v>
      </c>
      <c r="E625" s="12">
        <v>45723</v>
      </c>
      <c r="F625" s="12">
        <v>45783</v>
      </c>
      <c r="G625" s="10">
        <v>31169.71</v>
      </c>
      <c r="H625">
        <v>0</v>
      </c>
      <c r="I625" t="s">
        <v>1640</v>
      </c>
      <c r="J625" t="s">
        <v>26</v>
      </c>
      <c r="K625" t="s">
        <v>15</v>
      </c>
    </row>
    <row r="626" spans="1:11" hidden="1" x14ac:dyDescent="0.35">
      <c r="A626" t="s">
        <v>265</v>
      </c>
      <c r="B626" t="s">
        <v>266</v>
      </c>
      <c r="C626">
        <v>28314</v>
      </c>
      <c r="D626">
        <v>38294</v>
      </c>
      <c r="E626" s="12">
        <v>45664</v>
      </c>
      <c r="F626" s="12">
        <v>45784</v>
      </c>
      <c r="G626" s="10">
        <v>25215.45</v>
      </c>
      <c r="H626">
        <v>0</v>
      </c>
      <c r="I626" t="s">
        <v>267</v>
      </c>
      <c r="J626" t="s">
        <v>44</v>
      </c>
      <c r="K626" t="s">
        <v>15</v>
      </c>
    </row>
    <row r="627" spans="1:11" hidden="1" x14ac:dyDescent="0.35">
      <c r="A627" t="s">
        <v>1072</v>
      </c>
      <c r="B627" t="s">
        <v>1073</v>
      </c>
      <c r="C627">
        <v>28811</v>
      </c>
      <c r="D627">
        <v>38895</v>
      </c>
      <c r="E627" s="12">
        <v>45694</v>
      </c>
      <c r="F627" s="12">
        <v>45784</v>
      </c>
      <c r="G627" s="10">
        <v>13149</v>
      </c>
      <c r="H627">
        <v>0</v>
      </c>
      <c r="I627" t="s">
        <v>1074</v>
      </c>
      <c r="J627" t="s">
        <v>48</v>
      </c>
      <c r="K627" t="s">
        <v>15</v>
      </c>
    </row>
    <row r="628" spans="1:11" hidden="1" x14ac:dyDescent="0.35">
      <c r="A628" t="s">
        <v>42</v>
      </c>
      <c r="B628" t="s">
        <v>43</v>
      </c>
      <c r="C628">
        <v>27337</v>
      </c>
      <c r="D628">
        <v>37056</v>
      </c>
      <c r="E628" s="12">
        <v>45574</v>
      </c>
      <c r="F628" s="12">
        <v>45784</v>
      </c>
      <c r="G628" s="10">
        <v>6363.9</v>
      </c>
      <c r="H628">
        <v>0</v>
      </c>
      <c r="I628" t="s">
        <v>1282</v>
      </c>
      <c r="J628" t="s">
        <v>44</v>
      </c>
      <c r="K628" t="s">
        <v>15</v>
      </c>
    </row>
    <row r="629" spans="1:11" hidden="1" x14ac:dyDescent="0.35">
      <c r="A629" t="s">
        <v>42</v>
      </c>
      <c r="B629" t="s">
        <v>43</v>
      </c>
      <c r="C629">
        <v>28044</v>
      </c>
      <c r="D629">
        <v>37952</v>
      </c>
      <c r="E629" s="12">
        <v>45635</v>
      </c>
      <c r="F629" s="12">
        <v>45785</v>
      </c>
      <c r="G629" s="10">
        <v>31972.5</v>
      </c>
      <c r="H629">
        <v>0</v>
      </c>
      <c r="I629" t="s">
        <v>1454</v>
      </c>
      <c r="J629" t="s">
        <v>44</v>
      </c>
      <c r="K629" t="s">
        <v>15</v>
      </c>
    </row>
    <row r="630" spans="1:11" hidden="1" x14ac:dyDescent="0.35">
      <c r="A630" t="s">
        <v>397</v>
      </c>
      <c r="B630" t="s">
        <v>398</v>
      </c>
      <c r="C630">
        <v>28329</v>
      </c>
      <c r="D630">
        <v>38313</v>
      </c>
      <c r="E630" s="12">
        <v>45665</v>
      </c>
      <c r="F630" s="12">
        <v>45785</v>
      </c>
      <c r="G630" s="10">
        <v>120487.5</v>
      </c>
      <c r="H630">
        <v>0</v>
      </c>
      <c r="I630" t="s">
        <v>557</v>
      </c>
      <c r="J630" t="s">
        <v>48</v>
      </c>
      <c r="K630" t="s">
        <v>15</v>
      </c>
    </row>
    <row r="631" spans="1:11" hidden="1" x14ac:dyDescent="0.35">
      <c r="A631" t="s">
        <v>42</v>
      </c>
      <c r="B631" t="s">
        <v>43</v>
      </c>
      <c r="C631">
        <v>28043</v>
      </c>
      <c r="D631">
        <v>37951</v>
      </c>
      <c r="E631" s="12">
        <v>45635</v>
      </c>
      <c r="F631" s="12">
        <v>45785</v>
      </c>
      <c r="G631" s="10">
        <v>82215</v>
      </c>
      <c r="H631">
        <v>0</v>
      </c>
      <c r="I631" t="s">
        <v>380</v>
      </c>
      <c r="J631" t="s">
        <v>44</v>
      </c>
      <c r="K631" t="s">
        <v>15</v>
      </c>
    </row>
    <row r="632" spans="1:11" hidden="1" x14ac:dyDescent="0.35">
      <c r="A632" t="s">
        <v>42</v>
      </c>
      <c r="B632" t="s">
        <v>43</v>
      </c>
      <c r="C632">
        <v>28042</v>
      </c>
      <c r="D632">
        <v>37950</v>
      </c>
      <c r="E632" s="12">
        <v>45635</v>
      </c>
      <c r="F632" s="12">
        <v>45785</v>
      </c>
      <c r="G632" s="10">
        <v>68512.5</v>
      </c>
      <c r="H632">
        <v>0</v>
      </c>
      <c r="I632" t="s">
        <v>751</v>
      </c>
      <c r="J632" t="s">
        <v>44</v>
      </c>
      <c r="K632" t="s">
        <v>15</v>
      </c>
    </row>
    <row r="633" spans="1:11" hidden="1" x14ac:dyDescent="0.35">
      <c r="A633" t="s">
        <v>55</v>
      </c>
      <c r="B633" t="s">
        <v>56</v>
      </c>
      <c r="C633">
        <v>28341</v>
      </c>
      <c r="D633">
        <v>38325</v>
      </c>
      <c r="E633" s="12">
        <v>45666</v>
      </c>
      <c r="F633" s="12">
        <v>45786</v>
      </c>
      <c r="G633" s="10">
        <v>14910</v>
      </c>
      <c r="H633">
        <v>0</v>
      </c>
      <c r="I633" t="s">
        <v>809</v>
      </c>
      <c r="J633" t="s">
        <v>58</v>
      </c>
      <c r="K633" t="s">
        <v>15</v>
      </c>
    </row>
    <row r="634" spans="1:11" hidden="1" x14ac:dyDescent="0.35">
      <c r="A634" t="s">
        <v>285</v>
      </c>
      <c r="B634" t="s">
        <v>286</v>
      </c>
      <c r="C634">
        <v>28342</v>
      </c>
      <c r="D634">
        <v>38326</v>
      </c>
      <c r="E634" s="12">
        <v>45666</v>
      </c>
      <c r="F634" s="12">
        <v>45786</v>
      </c>
      <c r="G634" s="10">
        <v>8536.5</v>
      </c>
      <c r="H634">
        <v>0</v>
      </c>
      <c r="I634" t="s">
        <v>881</v>
      </c>
      <c r="J634" t="s">
        <v>58</v>
      </c>
      <c r="K634" t="s">
        <v>15</v>
      </c>
    </row>
    <row r="635" spans="1:11" hidden="1" x14ac:dyDescent="0.35">
      <c r="A635" t="s">
        <v>55</v>
      </c>
      <c r="B635" t="s">
        <v>56</v>
      </c>
      <c r="C635">
        <v>28343</v>
      </c>
      <c r="D635">
        <v>38328</v>
      </c>
      <c r="E635" s="12">
        <v>45666</v>
      </c>
      <c r="F635" s="12">
        <v>45786</v>
      </c>
      <c r="G635" s="10">
        <v>41720</v>
      </c>
      <c r="H635">
        <v>0</v>
      </c>
      <c r="I635" t="s">
        <v>1409</v>
      </c>
      <c r="J635" t="s">
        <v>58</v>
      </c>
      <c r="K635" t="s">
        <v>15</v>
      </c>
    </row>
    <row r="636" spans="1:11" hidden="1" x14ac:dyDescent="0.35">
      <c r="A636" t="s">
        <v>288</v>
      </c>
      <c r="B636" t="s">
        <v>289</v>
      </c>
      <c r="C636">
        <v>28338</v>
      </c>
      <c r="D636">
        <v>38321</v>
      </c>
      <c r="E636" s="12">
        <v>45666</v>
      </c>
      <c r="F636" s="12">
        <v>45786</v>
      </c>
      <c r="G636" s="10">
        <v>38815.599999999999</v>
      </c>
      <c r="H636">
        <v>0</v>
      </c>
      <c r="I636" t="s">
        <v>365</v>
      </c>
      <c r="J636" t="s">
        <v>34</v>
      </c>
      <c r="K636" t="s">
        <v>15</v>
      </c>
    </row>
    <row r="637" spans="1:11" hidden="1" x14ac:dyDescent="0.35">
      <c r="A637" t="s">
        <v>498</v>
      </c>
      <c r="B637" t="s">
        <v>499</v>
      </c>
      <c r="C637">
        <v>28356</v>
      </c>
      <c r="D637">
        <v>38343</v>
      </c>
      <c r="E637" s="12">
        <v>45666</v>
      </c>
      <c r="F637" s="12">
        <v>45786</v>
      </c>
      <c r="G637" s="10">
        <v>35679.199999999997</v>
      </c>
      <c r="H637">
        <v>0</v>
      </c>
      <c r="I637" t="s">
        <v>500</v>
      </c>
      <c r="J637" t="s">
        <v>48</v>
      </c>
      <c r="K637" t="s">
        <v>15</v>
      </c>
    </row>
    <row r="638" spans="1:11" hidden="1" x14ac:dyDescent="0.35">
      <c r="A638" t="s">
        <v>667</v>
      </c>
      <c r="B638" t="s">
        <v>668</v>
      </c>
      <c r="C638">
        <v>29135</v>
      </c>
      <c r="D638">
        <v>39298</v>
      </c>
      <c r="E638" s="12">
        <v>45727</v>
      </c>
      <c r="F638" s="12">
        <v>45787</v>
      </c>
      <c r="G638" s="10">
        <v>110871.5</v>
      </c>
      <c r="H638">
        <v>0</v>
      </c>
      <c r="I638" t="s">
        <v>1564</v>
      </c>
      <c r="J638" t="s">
        <v>26</v>
      </c>
      <c r="K638" t="s">
        <v>15</v>
      </c>
    </row>
    <row r="639" spans="1:11" hidden="1" x14ac:dyDescent="0.35">
      <c r="A639" t="s">
        <v>108</v>
      </c>
      <c r="B639" t="s">
        <v>109</v>
      </c>
      <c r="C639">
        <v>28359</v>
      </c>
      <c r="D639">
        <v>38349</v>
      </c>
      <c r="E639" s="12">
        <v>45667</v>
      </c>
      <c r="F639" s="12">
        <v>45788</v>
      </c>
      <c r="G639" s="10">
        <v>17386.25</v>
      </c>
      <c r="H639">
        <v>0</v>
      </c>
      <c r="I639" t="s">
        <v>661</v>
      </c>
      <c r="J639" t="s">
        <v>111</v>
      </c>
      <c r="K639" t="s">
        <v>15</v>
      </c>
    </row>
    <row r="640" spans="1:11" hidden="1" x14ac:dyDescent="0.35">
      <c r="A640" t="s">
        <v>49</v>
      </c>
      <c r="B640" t="s">
        <v>50</v>
      </c>
      <c r="C640">
        <v>28063</v>
      </c>
      <c r="D640">
        <v>37985</v>
      </c>
      <c r="E640" s="12">
        <v>45638</v>
      </c>
      <c r="F640" s="12">
        <v>45788</v>
      </c>
      <c r="G640" s="10">
        <v>54810</v>
      </c>
      <c r="H640">
        <v>0</v>
      </c>
      <c r="I640" t="s">
        <v>1472</v>
      </c>
      <c r="J640" t="s">
        <v>44</v>
      </c>
      <c r="K640" t="s">
        <v>15</v>
      </c>
    </row>
    <row r="641" spans="1:11" hidden="1" x14ac:dyDescent="0.35">
      <c r="A641" t="s">
        <v>322</v>
      </c>
      <c r="B641" t="s">
        <v>36</v>
      </c>
      <c r="C641">
        <v>26630</v>
      </c>
      <c r="D641">
        <v>36278</v>
      </c>
      <c r="E641" s="12">
        <v>45532</v>
      </c>
      <c r="F641" s="12">
        <v>45789</v>
      </c>
      <c r="G641" s="10">
        <v>31600</v>
      </c>
      <c r="H641">
        <v>0</v>
      </c>
      <c r="I641" t="s">
        <v>691</v>
      </c>
      <c r="J641" t="s">
        <v>22</v>
      </c>
      <c r="K641" t="s">
        <v>15</v>
      </c>
    </row>
    <row r="642" spans="1:11" hidden="1" x14ac:dyDescent="0.35">
      <c r="A642" t="s">
        <v>16</v>
      </c>
      <c r="B642" t="s">
        <v>17</v>
      </c>
      <c r="C642">
        <v>27098</v>
      </c>
      <c r="D642">
        <v>36795</v>
      </c>
      <c r="E642" s="12">
        <v>45561</v>
      </c>
      <c r="F642" s="12">
        <v>45789</v>
      </c>
      <c r="G642" s="10">
        <v>27576</v>
      </c>
      <c r="H642">
        <v>0</v>
      </c>
      <c r="I642" t="s">
        <v>693</v>
      </c>
      <c r="J642" t="s">
        <v>18</v>
      </c>
      <c r="K642" t="s">
        <v>15</v>
      </c>
    </row>
    <row r="643" spans="1:11" hidden="1" x14ac:dyDescent="0.35">
      <c r="A643" t="s">
        <v>42</v>
      </c>
      <c r="B643" t="s">
        <v>43</v>
      </c>
      <c r="C643">
        <v>27757</v>
      </c>
      <c r="D643">
        <v>37564</v>
      </c>
      <c r="E643" s="12">
        <v>45608</v>
      </c>
      <c r="F643" s="12">
        <v>45789</v>
      </c>
      <c r="G643" s="10">
        <v>650</v>
      </c>
      <c r="H643">
        <v>0</v>
      </c>
      <c r="I643" t="s">
        <v>700</v>
      </c>
      <c r="J643" t="s">
        <v>44</v>
      </c>
      <c r="K643" t="s">
        <v>15</v>
      </c>
    </row>
    <row r="644" spans="1:11" hidden="1" x14ac:dyDescent="0.35">
      <c r="A644" t="s">
        <v>45</v>
      </c>
      <c r="B644" t="s">
        <v>46</v>
      </c>
      <c r="C644">
        <v>27773</v>
      </c>
      <c r="D644">
        <v>37586</v>
      </c>
      <c r="E644" s="12">
        <v>45609</v>
      </c>
      <c r="F644" s="12">
        <v>45789</v>
      </c>
      <c r="G644" s="10">
        <v>14132.8</v>
      </c>
      <c r="H644">
        <v>0</v>
      </c>
      <c r="I644" t="s">
        <v>47</v>
      </c>
      <c r="J644" t="s">
        <v>48</v>
      </c>
      <c r="K644" t="s">
        <v>15</v>
      </c>
    </row>
    <row r="645" spans="1:11" hidden="1" x14ac:dyDescent="0.35">
      <c r="A645" t="s">
        <v>322</v>
      </c>
      <c r="B645" t="s">
        <v>36</v>
      </c>
      <c r="C645">
        <v>26629</v>
      </c>
      <c r="D645">
        <v>36277</v>
      </c>
      <c r="E645" s="12">
        <v>45532</v>
      </c>
      <c r="F645" s="12">
        <v>45789</v>
      </c>
      <c r="G645" s="10">
        <v>233720</v>
      </c>
      <c r="H645">
        <v>0</v>
      </c>
      <c r="I645" t="s">
        <v>323</v>
      </c>
      <c r="J645" t="s">
        <v>22</v>
      </c>
      <c r="K645" t="s">
        <v>15</v>
      </c>
    </row>
    <row r="646" spans="1:11" hidden="1" x14ac:dyDescent="0.35">
      <c r="A646" t="s">
        <v>16</v>
      </c>
      <c r="B646" t="s">
        <v>17</v>
      </c>
      <c r="C646">
        <v>27047</v>
      </c>
      <c r="D646">
        <v>36740</v>
      </c>
      <c r="E646" s="12">
        <v>45559</v>
      </c>
      <c r="F646" s="12">
        <v>45789</v>
      </c>
      <c r="G646" s="10">
        <v>332873</v>
      </c>
      <c r="H646">
        <v>0</v>
      </c>
      <c r="I646" t="s">
        <v>330</v>
      </c>
      <c r="J646" t="s">
        <v>18</v>
      </c>
      <c r="K646" t="s">
        <v>15</v>
      </c>
    </row>
    <row r="647" spans="1:11" hidden="1" x14ac:dyDescent="0.35">
      <c r="A647" t="s">
        <v>42</v>
      </c>
      <c r="B647" t="s">
        <v>43</v>
      </c>
      <c r="C647">
        <v>27751</v>
      </c>
      <c r="D647">
        <v>37557</v>
      </c>
      <c r="E647" s="12">
        <v>45608</v>
      </c>
      <c r="F647" s="12">
        <v>45789</v>
      </c>
      <c r="G647" s="10">
        <v>49145.15</v>
      </c>
      <c r="H647">
        <v>0</v>
      </c>
      <c r="I647" t="s">
        <v>336</v>
      </c>
      <c r="J647" t="s">
        <v>44</v>
      </c>
      <c r="K647" t="s">
        <v>15</v>
      </c>
    </row>
    <row r="648" spans="1:11" hidden="1" x14ac:dyDescent="0.35">
      <c r="A648" t="s">
        <v>68</v>
      </c>
      <c r="B648" t="s">
        <v>69</v>
      </c>
      <c r="C648">
        <v>28076</v>
      </c>
      <c r="D648">
        <v>37998</v>
      </c>
      <c r="E648" s="12">
        <v>45638</v>
      </c>
      <c r="F648" s="12">
        <v>45789</v>
      </c>
      <c r="G648" s="10">
        <v>3240.67</v>
      </c>
      <c r="H648">
        <v>0</v>
      </c>
      <c r="I648" t="s">
        <v>342</v>
      </c>
      <c r="J648" t="s">
        <v>14</v>
      </c>
      <c r="K648" t="s">
        <v>15</v>
      </c>
    </row>
    <row r="649" spans="1:11" hidden="1" x14ac:dyDescent="0.35">
      <c r="A649" t="s">
        <v>205</v>
      </c>
      <c r="B649" t="s">
        <v>56</v>
      </c>
      <c r="C649">
        <v>27745</v>
      </c>
      <c r="D649">
        <v>37550</v>
      </c>
      <c r="E649" s="12">
        <v>45608</v>
      </c>
      <c r="F649" s="12">
        <v>45789</v>
      </c>
      <c r="G649" s="10">
        <v>37740</v>
      </c>
      <c r="H649">
        <v>0</v>
      </c>
      <c r="I649" t="s">
        <v>967</v>
      </c>
      <c r="J649" t="s">
        <v>58</v>
      </c>
      <c r="K649" t="s">
        <v>15</v>
      </c>
    </row>
    <row r="650" spans="1:11" hidden="1" x14ac:dyDescent="0.35">
      <c r="A650" t="s">
        <v>654</v>
      </c>
      <c r="B650" t="s">
        <v>655</v>
      </c>
      <c r="C650">
        <v>26915</v>
      </c>
      <c r="D650">
        <v>36594</v>
      </c>
      <c r="E650" s="12">
        <v>45553</v>
      </c>
      <c r="F650" s="12">
        <v>45789</v>
      </c>
      <c r="G650" s="10">
        <v>117254</v>
      </c>
      <c r="H650">
        <v>0</v>
      </c>
      <c r="I650" t="s">
        <v>1086</v>
      </c>
      <c r="J650" t="s">
        <v>30</v>
      </c>
      <c r="K650" t="s">
        <v>15</v>
      </c>
    </row>
    <row r="651" spans="1:11" hidden="1" x14ac:dyDescent="0.35">
      <c r="A651" t="s">
        <v>654</v>
      </c>
      <c r="B651" t="s">
        <v>655</v>
      </c>
      <c r="C651">
        <v>26914</v>
      </c>
      <c r="D651">
        <v>36593</v>
      </c>
      <c r="E651" s="12">
        <v>45553</v>
      </c>
      <c r="F651" s="12">
        <v>45789</v>
      </c>
      <c r="G651" s="10">
        <v>19788</v>
      </c>
      <c r="H651">
        <v>0</v>
      </c>
      <c r="I651" t="s">
        <v>1223</v>
      </c>
      <c r="J651" t="s">
        <v>30</v>
      </c>
      <c r="K651" t="s">
        <v>15</v>
      </c>
    </row>
    <row r="652" spans="1:11" hidden="1" x14ac:dyDescent="0.35">
      <c r="A652" t="s">
        <v>174</v>
      </c>
      <c r="B652" t="s">
        <v>175</v>
      </c>
      <c r="C652">
        <v>27750</v>
      </c>
      <c r="D652">
        <v>37556</v>
      </c>
      <c r="E652" s="12">
        <v>45608</v>
      </c>
      <c r="F652" s="12">
        <v>45789</v>
      </c>
      <c r="G652" s="10">
        <v>6284.6</v>
      </c>
      <c r="H652">
        <v>0</v>
      </c>
      <c r="I652" t="s">
        <v>1229</v>
      </c>
      <c r="J652" t="s">
        <v>58</v>
      </c>
      <c r="K652" t="s">
        <v>15</v>
      </c>
    </row>
    <row r="653" spans="1:11" hidden="1" x14ac:dyDescent="0.35">
      <c r="A653" t="s">
        <v>713</v>
      </c>
      <c r="B653" t="s">
        <v>36</v>
      </c>
      <c r="C653">
        <v>26612</v>
      </c>
      <c r="D653">
        <v>36261</v>
      </c>
      <c r="E653" s="12">
        <v>45531</v>
      </c>
      <c r="F653" s="12">
        <v>45789</v>
      </c>
      <c r="G653" s="10">
        <v>97010</v>
      </c>
      <c r="H653">
        <v>0</v>
      </c>
      <c r="I653" t="s">
        <v>1050</v>
      </c>
      <c r="J653" t="s">
        <v>22</v>
      </c>
    </row>
    <row r="654" spans="1:11" hidden="1" x14ac:dyDescent="0.35">
      <c r="A654" t="s">
        <v>713</v>
      </c>
      <c r="B654" t="s">
        <v>36</v>
      </c>
      <c r="C654">
        <v>26613</v>
      </c>
      <c r="D654">
        <v>36262</v>
      </c>
      <c r="E654" s="12">
        <v>45531</v>
      </c>
      <c r="F654" s="12">
        <v>45789</v>
      </c>
      <c r="G654" s="10">
        <v>19500</v>
      </c>
      <c r="H654">
        <v>0</v>
      </c>
      <c r="I654" t="s">
        <v>714</v>
      </c>
      <c r="J654" t="s">
        <v>22</v>
      </c>
    </row>
    <row r="655" spans="1:11" hidden="1" x14ac:dyDescent="0.35">
      <c r="A655" t="s">
        <v>725</v>
      </c>
      <c r="B655" t="s">
        <v>726</v>
      </c>
      <c r="C655">
        <v>28833</v>
      </c>
      <c r="D655">
        <v>38919</v>
      </c>
      <c r="E655" s="12">
        <v>45698</v>
      </c>
      <c r="F655" s="12">
        <v>45789</v>
      </c>
      <c r="G655" s="10">
        <v>12459.99</v>
      </c>
      <c r="H655">
        <v>0</v>
      </c>
      <c r="I655" t="s">
        <v>727</v>
      </c>
      <c r="J655" t="s">
        <v>111</v>
      </c>
      <c r="K655" t="s">
        <v>15</v>
      </c>
    </row>
    <row r="656" spans="1:11" hidden="1" x14ac:dyDescent="0.35">
      <c r="A656" t="s">
        <v>42</v>
      </c>
      <c r="B656" t="s">
        <v>43</v>
      </c>
      <c r="C656">
        <v>27753</v>
      </c>
      <c r="D656">
        <v>37559</v>
      </c>
      <c r="E656" s="12">
        <v>45608</v>
      </c>
      <c r="F656" s="12">
        <v>45789</v>
      </c>
      <c r="G656" s="10">
        <v>9291.68</v>
      </c>
      <c r="H656">
        <v>0</v>
      </c>
      <c r="I656" t="s">
        <v>410</v>
      </c>
      <c r="J656" t="s">
        <v>44</v>
      </c>
      <c r="K656" t="s">
        <v>15</v>
      </c>
    </row>
    <row r="657" spans="1:11" hidden="1" x14ac:dyDescent="0.35">
      <c r="A657" t="s">
        <v>42</v>
      </c>
      <c r="B657" t="s">
        <v>43</v>
      </c>
      <c r="C657">
        <v>27743</v>
      </c>
      <c r="D657">
        <v>37547</v>
      </c>
      <c r="E657" s="12">
        <v>45607</v>
      </c>
      <c r="F657" s="12">
        <v>45789</v>
      </c>
      <c r="G657" s="10">
        <v>72433.48</v>
      </c>
      <c r="H657">
        <v>0</v>
      </c>
      <c r="I657" t="s">
        <v>806</v>
      </c>
      <c r="J657" t="s">
        <v>44</v>
      </c>
      <c r="K657" t="s">
        <v>15</v>
      </c>
    </row>
    <row r="658" spans="1:11" hidden="1" x14ac:dyDescent="0.35">
      <c r="A658" t="s">
        <v>42</v>
      </c>
      <c r="B658" t="s">
        <v>43</v>
      </c>
      <c r="C658">
        <v>27752</v>
      </c>
      <c r="D658">
        <v>37558</v>
      </c>
      <c r="E658" s="12">
        <v>45608</v>
      </c>
      <c r="F658" s="12">
        <v>45789</v>
      </c>
      <c r="G658" s="10">
        <v>1000</v>
      </c>
      <c r="H658">
        <v>0</v>
      </c>
      <c r="I658" t="s">
        <v>901</v>
      </c>
      <c r="J658" t="s">
        <v>44</v>
      </c>
      <c r="K658" t="s">
        <v>15</v>
      </c>
    </row>
    <row r="659" spans="1:11" hidden="1" x14ac:dyDescent="0.35">
      <c r="A659" t="s">
        <v>725</v>
      </c>
      <c r="B659" t="s">
        <v>726</v>
      </c>
      <c r="C659">
        <v>28841</v>
      </c>
      <c r="D659">
        <v>38931</v>
      </c>
      <c r="E659" s="12">
        <v>45699</v>
      </c>
      <c r="F659" s="12">
        <v>45789</v>
      </c>
      <c r="G659" s="10">
        <v>18333.32</v>
      </c>
      <c r="H659">
        <v>0</v>
      </c>
      <c r="I659" t="s">
        <v>906</v>
      </c>
      <c r="J659" t="s">
        <v>111</v>
      </c>
      <c r="K659" t="s">
        <v>15</v>
      </c>
    </row>
    <row r="660" spans="1:11" hidden="1" x14ac:dyDescent="0.35">
      <c r="A660" t="s">
        <v>68</v>
      </c>
      <c r="B660" t="s">
        <v>69</v>
      </c>
      <c r="C660">
        <v>28072</v>
      </c>
      <c r="D660">
        <v>37994</v>
      </c>
      <c r="E660" s="12">
        <v>45638</v>
      </c>
      <c r="F660" s="12">
        <v>45789</v>
      </c>
      <c r="G660" s="10">
        <v>11000.02</v>
      </c>
      <c r="H660">
        <v>0</v>
      </c>
      <c r="I660" t="s">
        <v>291</v>
      </c>
      <c r="J660" t="s">
        <v>14</v>
      </c>
      <c r="K660" t="s">
        <v>15</v>
      </c>
    </row>
    <row r="661" spans="1:11" hidden="1" x14ac:dyDescent="0.35">
      <c r="A661" t="s">
        <v>713</v>
      </c>
      <c r="B661" t="s">
        <v>36</v>
      </c>
      <c r="C661">
        <v>26631</v>
      </c>
      <c r="D661">
        <v>36279</v>
      </c>
      <c r="E661" s="12">
        <v>45532</v>
      </c>
      <c r="F661" s="12">
        <v>45789</v>
      </c>
      <c r="G661" s="10">
        <v>386650</v>
      </c>
      <c r="H661">
        <v>0</v>
      </c>
      <c r="I661" t="s">
        <v>780</v>
      </c>
      <c r="J661" t="s">
        <v>22</v>
      </c>
    </row>
    <row r="662" spans="1:11" hidden="1" x14ac:dyDescent="0.35">
      <c r="A662" t="s">
        <v>597</v>
      </c>
      <c r="B662" t="s">
        <v>598</v>
      </c>
      <c r="C662">
        <v>29156</v>
      </c>
      <c r="D662">
        <v>39324</v>
      </c>
      <c r="E662" s="12">
        <v>45729</v>
      </c>
      <c r="F662" s="12">
        <v>45789</v>
      </c>
      <c r="G662" s="10">
        <v>1891.66</v>
      </c>
      <c r="H662">
        <v>0</v>
      </c>
      <c r="I662" t="s">
        <v>599</v>
      </c>
      <c r="J662" t="s">
        <v>194</v>
      </c>
      <c r="K662" t="s">
        <v>15</v>
      </c>
    </row>
    <row r="663" spans="1:11" hidden="1" x14ac:dyDescent="0.35">
      <c r="A663" t="s">
        <v>322</v>
      </c>
      <c r="B663" t="s">
        <v>36</v>
      </c>
      <c r="C663">
        <v>26625</v>
      </c>
      <c r="D663">
        <v>36273</v>
      </c>
      <c r="E663" s="12">
        <v>45531</v>
      </c>
      <c r="F663" s="12">
        <v>45789</v>
      </c>
      <c r="G663" s="10">
        <v>390236</v>
      </c>
      <c r="H663">
        <v>0</v>
      </c>
      <c r="I663" t="s">
        <v>1237</v>
      </c>
      <c r="J663" t="s">
        <v>22</v>
      </c>
      <c r="K663" t="s">
        <v>15</v>
      </c>
    </row>
    <row r="664" spans="1:11" hidden="1" x14ac:dyDescent="0.35">
      <c r="A664" t="s">
        <v>677</v>
      </c>
      <c r="B664" t="s">
        <v>553</v>
      </c>
      <c r="C664">
        <v>28058</v>
      </c>
      <c r="D664">
        <v>37977</v>
      </c>
      <c r="E664" s="12">
        <v>45638</v>
      </c>
      <c r="F664" s="12">
        <v>45789</v>
      </c>
      <c r="G664" s="10">
        <v>15999.98</v>
      </c>
      <c r="H664">
        <v>0</v>
      </c>
      <c r="I664" t="s">
        <v>1137</v>
      </c>
      <c r="J664" t="s">
        <v>58</v>
      </c>
      <c r="K664" t="s">
        <v>15</v>
      </c>
    </row>
    <row r="665" spans="1:11" hidden="1" x14ac:dyDescent="0.35">
      <c r="A665" t="s">
        <v>42</v>
      </c>
      <c r="B665" t="s">
        <v>43</v>
      </c>
      <c r="C665">
        <v>28085</v>
      </c>
      <c r="D665">
        <v>38008</v>
      </c>
      <c r="E665" s="12">
        <v>45639</v>
      </c>
      <c r="F665" s="12">
        <v>45789</v>
      </c>
      <c r="G665" s="10">
        <v>45208.42</v>
      </c>
      <c r="H665">
        <v>0</v>
      </c>
      <c r="I665" t="s">
        <v>1301</v>
      </c>
      <c r="J665" t="s">
        <v>44</v>
      </c>
      <c r="K665" t="s">
        <v>15</v>
      </c>
    </row>
    <row r="666" spans="1:11" hidden="1" x14ac:dyDescent="0.35">
      <c r="A666" t="s">
        <v>725</v>
      </c>
      <c r="B666" t="s">
        <v>726</v>
      </c>
      <c r="C666">
        <v>28832</v>
      </c>
      <c r="D666">
        <v>38918</v>
      </c>
      <c r="E666" s="12">
        <v>45698</v>
      </c>
      <c r="F666" s="12">
        <v>45789</v>
      </c>
      <c r="G666" s="10">
        <v>3936</v>
      </c>
      <c r="H666">
        <v>0</v>
      </c>
      <c r="I666" t="s">
        <v>727</v>
      </c>
      <c r="J666" t="s">
        <v>111</v>
      </c>
      <c r="K666" t="s">
        <v>15</v>
      </c>
    </row>
    <row r="667" spans="1:11" hidden="1" x14ac:dyDescent="0.35">
      <c r="A667" t="s">
        <v>713</v>
      </c>
      <c r="B667" t="s">
        <v>36</v>
      </c>
      <c r="C667">
        <v>26636</v>
      </c>
      <c r="D667">
        <v>36284</v>
      </c>
      <c r="E667" s="12">
        <v>45532</v>
      </c>
      <c r="F667" s="12">
        <v>45789</v>
      </c>
      <c r="G667" s="10">
        <v>84800</v>
      </c>
      <c r="H667">
        <v>0</v>
      </c>
      <c r="I667" t="s">
        <v>886</v>
      </c>
      <c r="J667" t="s">
        <v>22</v>
      </c>
    </row>
    <row r="668" spans="1:11" hidden="1" x14ac:dyDescent="0.35">
      <c r="A668" t="s">
        <v>713</v>
      </c>
      <c r="B668" t="s">
        <v>36</v>
      </c>
      <c r="C668">
        <v>26614</v>
      </c>
      <c r="D668">
        <v>36263</v>
      </c>
      <c r="E668" s="12">
        <v>45531</v>
      </c>
      <c r="F668" s="12">
        <v>45789</v>
      </c>
      <c r="G668" s="10">
        <v>88004</v>
      </c>
      <c r="H668">
        <v>0</v>
      </c>
      <c r="I668" t="s">
        <v>1372</v>
      </c>
      <c r="J668" t="s">
        <v>22</v>
      </c>
    </row>
    <row r="669" spans="1:11" hidden="1" x14ac:dyDescent="0.35">
      <c r="A669" t="s">
        <v>322</v>
      </c>
      <c r="B669" t="s">
        <v>36</v>
      </c>
      <c r="C669">
        <v>26626</v>
      </c>
      <c r="D669">
        <v>36274</v>
      </c>
      <c r="E669" s="12">
        <v>45531</v>
      </c>
      <c r="F669" s="12">
        <v>45789</v>
      </c>
      <c r="G669" s="10">
        <v>154000</v>
      </c>
      <c r="H669">
        <v>0</v>
      </c>
      <c r="I669" t="s">
        <v>1005</v>
      </c>
      <c r="J669" t="s">
        <v>22</v>
      </c>
      <c r="K669" t="s">
        <v>15</v>
      </c>
    </row>
    <row r="670" spans="1:11" hidden="1" x14ac:dyDescent="0.35">
      <c r="A670" t="s">
        <v>68</v>
      </c>
      <c r="B670" t="s">
        <v>69</v>
      </c>
      <c r="C670">
        <v>27384</v>
      </c>
      <c r="D670">
        <v>37110</v>
      </c>
      <c r="E670" s="12">
        <v>45579</v>
      </c>
      <c r="F670" s="12">
        <v>45789</v>
      </c>
      <c r="G670" s="10">
        <v>35515.339999999997</v>
      </c>
      <c r="H670">
        <v>0</v>
      </c>
      <c r="I670" t="s">
        <v>315</v>
      </c>
      <c r="J670" t="s">
        <v>14</v>
      </c>
      <c r="K670" t="s">
        <v>15</v>
      </c>
    </row>
    <row r="671" spans="1:11" hidden="1" x14ac:dyDescent="0.35">
      <c r="A671" t="s">
        <v>42</v>
      </c>
      <c r="B671" t="s">
        <v>43</v>
      </c>
      <c r="C671">
        <v>28086</v>
      </c>
      <c r="D671">
        <v>38009</v>
      </c>
      <c r="E671" s="12">
        <v>45639</v>
      </c>
      <c r="F671" s="12">
        <v>45789</v>
      </c>
      <c r="G671" s="10">
        <v>2199.46</v>
      </c>
      <c r="H671">
        <v>0</v>
      </c>
      <c r="I671" t="s">
        <v>494</v>
      </c>
      <c r="J671" t="s">
        <v>44</v>
      </c>
      <c r="K671" t="s">
        <v>15</v>
      </c>
    </row>
    <row r="672" spans="1:11" hidden="1" x14ac:dyDescent="0.35">
      <c r="A672" t="s">
        <v>108</v>
      </c>
      <c r="B672" t="s">
        <v>109</v>
      </c>
      <c r="C672">
        <v>28361</v>
      </c>
      <c r="D672">
        <v>38352</v>
      </c>
      <c r="E672" s="12">
        <v>45667</v>
      </c>
      <c r="F672" s="12">
        <v>45789</v>
      </c>
      <c r="G672" s="10">
        <v>184900</v>
      </c>
      <c r="H672">
        <v>0</v>
      </c>
      <c r="I672" t="s">
        <v>447</v>
      </c>
      <c r="J672" t="s">
        <v>111</v>
      </c>
      <c r="K672" t="s">
        <v>15</v>
      </c>
    </row>
    <row r="673" spans="1:11" hidden="1" x14ac:dyDescent="0.35">
      <c r="A673" t="s">
        <v>108</v>
      </c>
      <c r="B673" t="s">
        <v>109</v>
      </c>
      <c r="C673">
        <v>28360</v>
      </c>
      <c r="D673">
        <v>38350</v>
      </c>
      <c r="E673" s="12">
        <v>45667</v>
      </c>
      <c r="F673" s="12">
        <v>45789</v>
      </c>
      <c r="G673" s="10">
        <v>257205</v>
      </c>
      <c r="H673">
        <v>0</v>
      </c>
      <c r="I673" t="s">
        <v>753</v>
      </c>
      <c r="J673" t="s">
        <v>111</v>
      </c>
      <c r="K673" t="s">
        <v>15</v>
      </c>
    </row>
    <row r="674" spans="1:11" hidden="1" x14ac:dyDescent="0.35">
      <c r="A674" t="s">
        <v>16</v>
      </c>
      <c r="B674" t="s">
        <v>17</v>
      </c>
      <c r="C674">
        <v>27287</v>
      </c>
      <c r="D674">
        <v>37001</v>
      </c>
      <c r="E674" s="12">
        <v>45569</v>
      </c>
      <c r="F674" s="12">
        <v>45789</v>
      </c>
      <c r="G674" s="10">
        <v>864</v>
      </c>
      <c r="H674">
        <v>0</v>
      </c>
      <c r="I674" t="s">
        <v>1588</v>
      </c>
      <c r="J674" t="s">
        <v>18</v>
      </c>
      <c r="K674" t="s">
        <v>15</v>
      </c>
    </row>
    <row r="675" spans="1:11" hidden="1" x14ac:dyDescent="0.35">
      <c r="A675" t="s">
        <v>42</v>
      </c>
      <c r="B675" t="s">
        <v>43</v>
      </c>
      <c r="C675">
        <v>28087</v>
      </c>
      <c r="D675">
        <v>38010</v>
      </c>
      <c r="E675" s="12">
        <v>45639</v>
      </c>
      <c r="F675" s="12">
        <v>45789</v>
      </c>
      <c r="G675" s="10">
        <v>36166.74</v>
      </c>
      <c r="H675">
        <v>0</v>
      </c>
      <c r="I675" t="s">
        <v>1592</v>
      </c>
      <c r="J675" t="s">
        <v>44</v>
      </c>
      <c r="K675" t="s">
        <v>15</v>
      </c>
    </row>
    <row r="676" spans="1:11" hidden="1" x14ac:dyDescent="0.35">
      <c r="A676" t="s">
        <v>42</v>
      </c>
      <c r="B676" t="s">
        <v>43</v>
      </c>
      <c r="C676">
        <v>28088</v>
      </c>
      <c r="D676">
        <v>38011</v>
      </c>
      <c r="E676" s="12">
        <v>45639</v>
      </c>
      <c r="F676" s="12">
        <v>45789</v>
      </c>
      <c r="G676" s="10">
        <v>2528.7399999999998</v>
      </c>
      <c r="H676">
        <v>0</v>
      </c>
      <c r="I676" t="s">
        <v>1331</v>
      </c>
      <c r="J676" t="s">
        <v>44</v>
      </c>
      <c r="K676" t="s">
        <v>15</v>
      </c>
    </row>
    <row r="677" spans="1:11" hidden="1" x14ac:dyDescent="0.35">
      <c r="A677" t="s">
        <v>31</v>
      </c>
      <c r="B677" t="s">
        <v>32</v>
      </c>
      <c r="C677">
        <v>29045</v>
      </c>
      <c r="D677">
        <v>39176</v>
      </c>
      <c r="E677" s="12">
        <v>45713</v>
      </c>
      <c r="F677" s="12">
        <v>45789</v>
      </c>
      <c r="G677" s="10">
        <v>13436.25</v>
      </c>
      <c r="H677">
        <v>0</v>
      </c>
      <c r="I677" t="s">
        <v>271</v>
      </c>
      <c r="J677" t="s">
        <v>34</v>
      </c>
      <c r="K677" t="s">
        <v>15</v>
      </c>
    </row>
    <row r="678" spans="1:11" hidden="1" x14ac:dyDescent="0.35">
      <c r="A678" t="s">
        <v>31</v>
      </c>
      <c r="B678" t="s">
        <v>32</v>
      </c>
      <c r="C678">
        <v>29154</v>
      </c>
      <c r="D678">
        <v>39322</v>
      </c>
      <c r="E678" s="12">
        <v>45728</v>
      </c>
      <c r="F678" s="12">
        <v>45789</v>
      </c>
      <c r="G678" s="10">
        <v>14305.54</v>
      </c>
      <c r="H678">
        <v>0</v>
      </c>
      <c r="I678" t="s">
        <v>1459</v>
      </c>
      <c r="J678" t="s">
        <v>34</v>
      </c>
      <c r="K678" t="s">
        <v>15</v>
      </c>
    </row>
    <row r="679" spans="1:11" hidden="1" x14ac:dyDescent="0.35">
      <c r="A679" t="s">
        <v>31</v>
      </c>
      <c r="B679" t="s">
        <v>32</v>
      </c>
      <c r="C679">
        <v>29153</v>
      </c>
      <c r="D679">
        <v>39321</v>
      </c>
      <c r="E679" s="12">
        <v>45728</v>
      </c>
      <c r="F679" s="12">
        <v>45789</v>
      </c>
      <c r="G679" s="10">
        <v>6866.66</v>
      </c>
      <c r="H679">
        <v>0</v>
      </c>
      <c r="I679" t="s">
        <v>1518</v>
      </c>
      <c r="J679" t="s">
        <v>34</v>
      </c>
      <c r="K679" t="s">
        <v>15</v>
      </c>
    </row>
    <row r="680" spans="1:11" hidden="1" x14ac:dyDescent="0.35">
      <c r="A680" t="s">
        <v>434</v>
      </c>
      <c r="B680" t="s">
        <v>435</v>
      </c>
      <c r="C680">
        <v>26615</v>
      </c>
      <c r="D680">
        <v>36264</v>
      </c>
      <c r="E680" s="12">
        <v>45531</v>
      </c>
      <c r="F680" s="12">
        <v>45789</v>
      </c>
      <c r="G680" s="10">
        <v>476956</v>
      </c>
      <c r="H680">
        <v>0</v>
      </c>
      <c r="I680" t="s">
        <v>1628</v>
      </c>
      <c r="J680" t="s">
        <v>22</v>
      </c>
      <c r="K680" t="s">
        <v>15</v>
      </c>
    </row>
    <row r="681" spans="1:11" hidden="1" x14ac:dyDescent="0.35">
      <c r="A681" t="s">
        <v>31</v>
      </c>
      <c r="B681" t="s">
        <v>32</v>
      </c>
      <c r="C681">
        <v>29044</v>
      </c>
      <c r="D681">
        <v>39175</v>
      </c>
      <c r="E681" s="12">
        <v>45713</v>
      </c>
      <c r="F681" s="12">
        <v>45789</v>
      </c>
      <c r="G681" s="10">
        <v>7734.7</v>
      </c>
      <c r="H681">
        <v>0</v>
      </c>
      <c r="I681" t="s">
        <v>271</v>
      </c>
      <c r="J681" t="s">
        <v>34</v>
      </c>
      <c r="K681" t="s">
        <v>15</v>
      </c>
    </row>
    <row r="682" spans="1:11" hidden="1" x14ac:dyDescent="0.35">
      <c r="A682" t="s">
        <v>677</v>
      </c>
      <c r="B682" t="s">
        <v>553</v>
      </c>
      <c r="C682">
        <v>28059</v>
      </c>
      <c r="D682">
        <v>37978</v>
      </c>
      <c r="E682" s="12">
        <v>45638</v>
      </c>
      <c r="F682" s="12">
        <v>45789</v>
      </c>
      <c r="G682" s="10">
        <v>65600</v>
      </c>
      <c r="H682">
        <v>0</v>
      </c>
      <c r="I682" t="s">
        <v>1539</v>
      </c>
      <c r="J682" t="s">
        <v>58</v>
      </c>
      <c r="K682" t="s">
        <v>15</v>
      </c>
    </row>
    <row r="683" spans="1:11" hidden="1" x14ac:dyDescent="0.35">
      <c r="A683" t="s">
        <v>31</v>
      </c>
      <c r="B683" t="s">
        <v>32</v>
      </c>
      <c r="C683">
        <v>27921</v>
      </c>
      <c r="D683">
        <v>37789</v>
      </c>
      <c r="E683" s="12">
        <v>45625</v>
      </c>
      <c r="F683" s="12">
        <v>45790</v>
      </c>
      <c r="G683" s="10">
        <v>17999.98</v>
      </c>
      <c r="H683">
        <v>0</v>
      </c>
      <c r="I683" t="s">
        <v>628</v>
      </c>
      <c r="J683" t="s">
        <v>34</v>
      </c>
      <c r="K683" t="s">
        <v>15</v>
      </c>
    </row>
    <row r="684" spans="1:11" hidden="1" x14ac:dyDescent="0.35">
      <c r="A684" t="s">
        <v>68</v>
      </c>
      <c r="B684" t="s">
        <v>69</v>
      </c>
      <c r="C684">
        <v>28389</v>
      </c>
      <c r="D684">
        <v>38386</v>
      </c>
      <c r="E684" s="12">
        <v>45670</v>
      </c>
      <c r="F684" s="12">
        <v>45790</v>
      </c>
      <c r="G684" s="10">
        <v>41125.08</v>
      </c>
      <c r="H684">
        <v>0</v>
      </c>
      <c r="I684" t="s">
        <v>636</v>
      </c>
      <c r="J684" t="s">
        <v>14</v>
      </c>
      <c r="K684" t="s">
        <v>15</v>
      </c>
    </row>
    <row r="685" spans="1:11" hidden="1" x14ac:dyDescent="0.35">
      <c r="A685" t="s">
        <v>218</v>
      </c>
      <c r="B685" t="s">
        <v>219</v>
      </c>
      <c r="C685">
        <v>28880</v>
      </c>
      <c r="D685">
        <v>38981</v>
      </c>
      <c r="E685" s="12">
        <v>45700</v>
      </c>
      <c r="F685" s="12">
        <v>45790</v>
      </c>
      <c r="G685" s="10">
        <v>3672.72</v>
      </c>
      <c r="H685">
        <v>0</v>
      </c>
      <c r="I685" t="s">
        <v>220</v>
      </c>
      <c r="J685" t="s">
        <v>152</v>
      </c>
      <c r="K685" t="s">
        <v>15</v>
      </c>
    </row>
    <row r="686" spans="1:11" hidden="1" x14ac:dyDescent="0.35">
      <c r="A686" t="s">
        <v>31</v>
      </c>
      <c r="B686" t="s">
        <v>32</v>
      </c>
      <c r="C686">
        <v>28678</v>
      </c>
      <c r="D686">
        <v>38719</v>
      </c>
      <c r="E686" s="12">
        <v>45685</v>
      </c>
      <c r="F686" s="12">
        <v>45790</v>
      </c>
      <c r="G686" s="10">
        <v>8138.84</v>
      </c>
      <c r="H686">
        <v>0</v>
      </c>
      <c r="I686" t="s">
        <v>271</v>
      </c>
      <c r="J686" t="s">
        <v>34</v>
      </c>
      <c r="K686" t="s">
        <v>15</v>
      </c>
    </row>
    <row r="687" spans="1:11" hidden="1" x14ac:dyDescent="0.35">
      <c r="A687" t="s">
        <v>218</v>
      </c>
      <c r="B687" t="s">
        <v>219</v>
      </c>
      <c r="C687">
        <v>28877</v>
      </c>
      <c r="D687">
        <v>38978</v>
      </c>
      <c r="E687" s="12">
        <v>45700</v>
      </c>
      <c r="F687" s="12">
        <v>45790</v>
      </c>
      <c r="G687" s="10">
        <v>31284.799999999999</v>
      </c>
      <c r="H687">
        <v>0</v>
      </c>
      <c r="I687" t="s">
        <v>220</v>
      </c>
      <c r="J687" t="s">
        <v>152</v>
      </c>
      <c r="K687" t="s">
        <v>15</v>
      </c>
    </row>
    <row r="688" spans="1:11" hidden="1" x14ac:dyDescent="0.35">
      <c r="A688" t="s">
        <v>815</v>
      </c>
      <c r="B688" t="s">
        <v>150</v>
      </c>
      <c r="C688">
        <v>28879</v>
      </c>
      <c r="D688">
        <v>38980</v>
      </c>
      <c r="E688" s="12">
        <v>45700</v>
      </c>
      <c r="F688" s="12">
        <v>45790</v>
      </c>
      <c r="G688" s="10">
        <v>3032.64</v>
      </c>
      <c r="H688">
        <v>0</v>
      </c>
      <c r="I688" t="s">
        <v>816</v>
      </c>
      <c r="J688" t="s">
        <v>152</v>
      </c>
      <c r="K688" t="s">
        <v>15</v>
      </c>
    </row>
    <row r="689" spans="1:11" hidden="1" x14ac:dyDescent="0.35">
      <c r="A689" t="s">
        <v>815</v>
      </c>
      <c r="B689" t="s">
        <v>150</v>
      </c>
      <c r="C689">
        <v>28876</v>
      </c>
      <c r="D689">
        <v>38977</v>
      </c>
      <c r="E689" s="12">
        <v>45700</v>
      </c>
      <c r="F689" s="12">
        <v>45790</v>
      </c>
      <c r="G689" s="10">
        <v>31403.7</v>
      </c>
      <c r="H689">
        <v>0</v>
      </c>
      <c r="I689" t="s">
        <v>816</v>
      </c>
      <c r="J689" t="s">
        <v>152</v>
      </c>
      <c r="K689" t="s">
        <v>15</v>
      </c>
    </row>
    <row r="690" spans="1:11" hidden="1" x14ac:dyDescent="0.35">
      <c r="A690" t="s">
        <v>68</v>
      </c>
      <c r="B690" t="s">
        <v>69</v>
      </c>
      <c r="C690">
        <v>28381</v>
      </c>
      <c r="D690">
        <v>38373</v>
      </c>
      <c r="E690" s="12">
        <v>45670</v>
      </c>
      <c r="F690" s="12">
        <v>45790</v>
      </c>
      <c r="G690" s="10">
        <v>90168.75</v>
      </c>
      <c r="H690">
        <v>0</v>
      </c>
      <c r="I690" t="s">
        <v>1449</v>
      </c>
      <c r="J690" t="s">
        <v>14</v>
      </c>
      <c r="K690" t="s">
        <v>15</v>
      </c>
    </row>
    <row r="691" spans="1:11" hidden="1" x14ac:dyDescent="0.35">
      <c r="A691" t="s">
        <v>288</v>
      </c>
      <c r="B691" t="s">
        <v>289</v>
      </c>
      <c r="C691">
        <v>29167</v>
      </c>
      <c r="D691">
        <v>39337</v>
      </c>
      <c r="E691" s="12">
        <v>45730</v>
      </c>
      <c r="F691" s="12">
        <v>45790</v>
      </c>
      <c r="G691" s="10">
        <v>65575.199999999997</v>
      </c>
      <c r="H691">
        <v>0</v>
      </c>
      <c r="I691" t="s">
        <v>996</v>
      </c>
      <c r="J691" t="s">
        <v>34</v>
      </c>
      <c r="K691" t="s">
        <v>15</v>
      </c>
    </row>
    <row r="692" spans="1:11" hidden="1" x14ac:dyDescent="0.35">
      <c r="A692" t="s">
        <v>725</v>
      </c>
      <c r="B692" t="s">
        <v>726</v>
      </c>
      <c r="C692">
        <v>28860</v>
      </c>
      <c r="D692">
        <v>38953</v>
      </c>
      <c r="E692" s="12">
        <v>45700</v>
      </c>
      <c r="F692" s="12">
        <v>45790</v>
      </c>
      <c r="G692" s="10">
        <v>22801.64</v>
      </c>
      <c r="H692">
        <v>0</v>
      </c>
      <c r="I692" t="s">
        <v>727</v>
      </c>
      <c r="J692" t="s">
        <v>111</v>
      </c>
      <c r="K692" t="s">
        <v>15</v>
      </c>
    </row>
    <row r="693" spans="1:11" hidden="1" x14ac:dyDescent="0.35">
      <c r="A693" t="s">
        <v>677</v>
      </c>
      <c r="B693" t="s">
        <v>553</v>
      </c>
      <c r="C693">
        <v>28376</v>
      </c>
      <c r="D693">
        <v>38368</v>
      </c>
      <c r="E693" s="12">
        <v>45670</v>
      </c>
      <c r="F693" s="12">
        <v>45790</v>
      </c>
      <c r="G693" s="10">
        <v>20999.98</v>
      </c>
      <c r="H693">
        <v>0</v>
      </c>
      <c r="I693" t="s">
        <v>1638</v>
      </c>
      <c r="J693" t="s">
        <v>58</v>
      </c>
      <c r="K693" t="s">
        <v>15</v>
      </c>
    </row>
    <row r="694" spans="1:11" hidden="1" x14ac:dyDescent="0.35">
      <c r="A694" t="s">
        <v>946</v>
      </c>
      <c r="B694" t="s">
        <v>947</v>
      </c>
      <c r="C694">
        <v>28394</v>
      </c>
      <c r="D694">
        <v>38391</v>
      </c>
      <c r="E694" s="12">
        <v>45670</v>
      </c>
      <c r="F694" s="12">
        <v>45790</v>
      </c>
      <c r="G694" s="10">
        <v>70945</v>
      </c>
      <c r="H694">
        <v>0</v>
      </c>
      <c r="I694" t="s">
        <v>1172</v>
      </c>
      <c r="J694" t="s">
        <v>949</v>
      </c>
      <c r="K694" t="s">
        <v>15</v>
      </c>
    </row>
    <row r="695" spans="1:11" hidden="1" x14ac:dyDescent="0.35">
      <c r="A695" t="s">
        <v>31</v>
      </c>
      <c r="B695" t="s">
        <v>32</v>
      </c>
      <c r="C695">
        <v>28677</v>
      </c>
      <c r="D695">
        <v>38718</v>
      </c>
      <c r="E695" s="12">
        <v>45685</v>
      </c>
      <c r="F695" s="12">
        <v>45790</v>
      </c>
      <c r="G695" s="10">
        <v>9583.2800000000007</v>
      </c>
      <c r="H695">
        <v>0</v>
      </c>
      <c r="I695" t="s">
        <v>271</v>
      </c>
      <c r="J695" t="s">
        <v>34</v>
      </c>
      <c r="K695" t="s">
        <v>15</v>
      </c>
    </row>
    <row r="696" spans="1:11" hidden="1" x14ac:dyDescent="0.35">
      <c r="A696" t="s">
        <v>31</v>
      </c>
      <c r="B696" t="s">
        <v>32</v>
      </c>
      <c r="C696">
        <v>27963</v>
      </c>
      <c r="D696">
        <v>37831</v>
      </c>
      <c r="E696" s="12">
        <v>45626</v>
      </c>
      <c r="F696" s="12">
        <v>45791</v>
      </c>
      <c r="G696" s="10">
        <v>17999.98</v>
      </c>
      <c r="H696">
        <v>0</v>
      </c>
      <c r="I696" t="s">
        <v>1216</v>
      </c>
      <c r="J696" t="s">
        <v>34</v>
      </c>
      <c r="K696" t="s">
        <v>15</v>
      </c>
    </row>
    <row r="697" spans="1:11" hidden="1" x14ac:dyDescent="0.35">
      <c r="A697" t="s">
        <v>203</v>
      </c>
      <c r="B697" t="s">
        <v>56</v>
      </c>
      <c r="C697">
        <v>28441</v>
      </c>
      <c r="D697">
        <v>38438</v>
      </c>
      <c r="E697" s="12">
        <v>45671</v>
      </c>
      <c r="F697" s="12">
        <v>45791</v>
      </c>
      <c r="G697" s="10">
        <v>21246.75</v>
      </c>
      <c r="H697">
        <v>0</v>
      </c>
      <c r="I697" t="s">
        <v>1411</v>
      </c>
      <c r="J697" t="s">
        <v>58</v>
      </c>
      <c r="K697" t="s">
        <v>15</v>
      </c>
    </row>
    <row r="698" spans="1:11" hidden="1" x14ac:dyDescent="0.35">
      <c r="A698" t="s">
        <v>68</v>
      </c>
      <c r="B698" t="s">
        <v>69</v>
      </c>
      <c r="C698">
        <v>28425</v>
      </c>
      <c r="D698">
        <v>38419</v>
      </c>
      <c r="E698" s="12">
        <v>45671</v>
      </c>
      <c r="F698" s="12">
        <v>45791</v>
      </c>
      <c r="G698" s="10">
        <v>20055.04</v>
      </c>
      <c r="H698">
        <v>0</v>
      </c>
      <c r="I698" t="s">
        <v>950</v>
      </c>
      <c r="J698" t="s">
        <v>14</v>
      </c>
      <c r="K698" t="s">
        <v>15</v>
      </c>
    </row>
    <row r="699" spans="1:11" hidden="1" x14ac:dyDescent="0.35">
      <c r="A699" t="s">
        <v>68</v>
      </c>
      <c r="B699" t="s">
        <v>69</v>
      </c>
      <c r="C699">
        <v>28424</v>
      </c>
      <c r="D699">
        <v>38418</v>
      </c>
      <c r="E699" s="12">
        <v>45671</v>
      </c>
      <c r="F699" s="12">
        <v>45791</v>
      </c>
      <c r="G699" s="10">
        <v>44651.25</v>
      </c>
      <c r="H699">
        <v>0</v>
      </c>
      <c r="I699" t="s">
        <v>501</v>
      </c>
      <c r="J699" t="s">
        <v>14</v>
      </c>
      <c r="K699" t="s">
        <v>15</v>
      </c>
    </row>
    <row r="700" spans="1:11" hidden="1" x14ac:dyDescent="0.35">
      <c r="A700" t="s">
        <v>174</v>
      </c>
      <c r="B700" t="s">
        <v>175</v>
      </c>
      <c r="C700">
        <v>28439</v>
      </c>
      <c r="D700">
        <v>38436</v>
      </c>
      <c r="E700" s="12">
        <v>45671</v>
      </c>
      <c r="F700" s="12">
        <v>45791</v>
      </c>
      <c r="G700" s="10">
        <v>46408</v>
      </c>
      <c r="H700">
        <v>0</v>
      </c>
      <c r="I700" t="s">
        <v>1360</v>
      </c>
      <c r="J700" t="s">
        <v>58</v>
      </c>
      <c r="K700" t="s">
        <v>15</v>
      </c>
    </row>
    <row r="701" spans="1:11" hidden="1" x14ac:dyDescent="0.35">
      <c r="A701" t="s">
        <v>937</v>
      </c>
      <c r="B701" t="s">
        <v>286</v>
      </c>
      <c r="C701">
        <v>27408</v>
      </c>
      <c r="D701">
        <v>37152</v>
      </c>
      <c r="E701" s="12">
        <v>45581</v>
      </c>
      <c r="F701" s="12">
        <v>45791</v>
      </c>
      <c r="G701" s="10">
        <v>12226.5</v>
      </c>
      <c r="H701">
        <v>0</v>
      </c>
      <c r="I701" t="s">
        <v>1633</v>
      </c>
      <c r="J701" t="s">
        <v>58</v>
      </c>
      <c r="K701" t="s">
        <v>15</v>
      </c>
    </row>
    <row r="702" spans="1:11" hidden="1" x14ac:dyDescent="0.35">
      <c r="A702" t="s">
        <v>203</v>
      </c>
      <c r="B702" t="s">
        <v>56</v>
      </c>
      <c r="C702">
        <v>28433</v>
      </c>
      <c r="D702">
        <v>38430</v>
      </c>
      <c r="E702" s="12">
        <v>45671</v>
      </c>
      <c r="F702" s="12">
        <v>45791</v>
      </c>
      <c r="G702" s="10">
        <v>123120</v>
      </c>
      <c r="H702">
        <v>0</v>
      </c>
      <c r="I702" t="s">
        <v>1644</v>
      </c>
      <c r="J702" t="s">
        <v>58</v>
      </c>
      <c r="K702" t="s">
        <v>15</v>
      </c>
    </row>
    <row r="703" spans="1:11" hidden="1" x14ac:dyDescent="0.35">
      <c r="A703" t="s">
        <v>236</v>
      </c>
      <c r="B703" t="s">
        <v>237</v>
      </c>
      <c r="C703">
        <v>27266</v>
      </c>
      <c r="D703">
        <v>36973</v>
      </c>
      <c r="E703" s="12">
        <v>45568</v>
      </c>
      <c r="F703" s="12">
        <v>45792</v>
      </c>
      <c r="G703" s="10">
        <v>1266</v>
      </c>
      <c r="H703">
        <v>0</v>
      </c>
      <c r="I703" t="s">
        <v>695</v>
      </c>
      <c r="J703" t="s">
        <v>41</v>
      </c>
      <c r="K703" t="s">
        <v>15</v>
      </c>
    </row>
    <row r="704" spans="1:11" hidden="1" x14ac:dyDescent="0.35">
      <c r="A704" t="s">
        <v>191</v>
      </c>
      <c r="B704" t="s">
        <v>192</v>
      </c>
      <c r="C704">
        <v>27411</v>
      </c>
      <c r="D704">
        <v>37155</v>
      </c>
      <c r="E704" s="12">
        <v>45582</v>
      </c>
      <c r="F704" s="12">
        <v>45792</v>
      </c>
      <c r="G704" s="10">
        <v>2709</v>
      </c>
      <c r="H704">
        <v>0</v>
      </c>
      <c r="I704" t="s">
        <v>193</v>
      </c>
      <c r="J704" t="s">
        <v>194</v>
      </c>
      <c r="K704" t="s">
        <v>15</v>
      </c>
    </row>
    <row r="705" spans="1:11" hidden="1" x14ac:dyDescent="0.35">
      <c r="A705" t="s">
        <v>31</v>
      </c>
      <c r="B705" t="s">
        <v>32</v>
      </c>
      <c r="C705">
        <v>28894</v>
      </c>
      <c r="D705">
        <v>38999</v>
      </c>
      <c r="E705" s="12">
        <v>45702</v>
      </c>
      <c r="F705" s="12">
        <v>45792</v>
      </c>
      <c r="G705" s="10">
        <v>2520</v>
      </c>
      <c r="H705">
        <v>0</v>
      </c>
      <c r="I705" t="s">
        <v>271</v>
      </c>
      <c r="J705" t="s">
        <v>34</v>
      </c>
      <c r="K705" t="s">
        <v>15</v>
      </c>
    </row>
    <row r="706" spans="1:11" hidden="1" x14ac:dyDescent="0.35">
      <c r="A706" t="s">
        <v>55</v>
      </c>
      <c r="B706" t="s">
        <v>56</v>
      </c>
      <c r="C706">
        <v>28445</v>
      </c>
      <c r="D706">
        <v>38443</v>
      </c>
      <c r="E706" s="12">
        <v>45672</v>
      </c>
      <c r="F706" s="12">
        <v>45792</v>
      </c>
      <c r="G706" s="10">
        <v>227850</v>
      </c>
      <c r="H706">
        <v>0</v>
      </c>
      <c r="I706" t="s">
        <v>1467</v>
      </c>
      <c r="J706" t="s">
        <v>58</v>
      </c>
      <c r="K706" t="s">
        <v>15</v>
      </c>
    </row>
    <row r="707" spans="1:11" hidden="1" x14ac:dyDescent="0.35">
      <c r="A707" t="s">
        <v>236</v>
      </c>
      <c r="B707" t="s">
        <v>237</v>
      </c>
      <c r="C707">
        <v>27485</v>
      </c>
      <c r="D707">
        <v>37251</v>
      </c>
      <c r="E707" s="12">
        <v>45588</v>
      </c>
      <c r="F707" s="12">
        <v>45792</v>
      </c>
      <c r="G707" s="10">
        <v>5555</v>
      </c>
      <c r="H707">
        <v>0</v>
      </c>
      <c r="I707" t="s">
        <v>523</v>
      </c>
      <c r="J707" t="s">
        <v>41</v>
      </c>
      <c r="K707" t="s">
        <v>15</v>
      </c>
    </row>
    <row r="708" spans="1:11" hidden="1" x14ac:dyDescent="0.35">
      <c r="A708" t="s">
        <v>562</v>
      </c>
      <c r="B708" t="s">
        <v>563</v>
      </c>
      <c r="C708">
        <v>28125</v>
      </c>
      <c r="D708">
        <v>38058</v>
      </c>
      <c r="E708" s="12">
        <v>45642</v>
      </c>
      <c r="F708" s="12">
        <v>45792</v>
      </c>
      <c r="G708" s="10">
        <v>47349.599999999999</v>
      </c>
      <c r="H708">
        <v>0</v>
      </c>
      <c r="I708" t="s">
        <v>583</v>
      </c>
      <c r="J708" t="s">
        <v>111</v>
      </c>
      <c r="K708" t="s">
        <v>15</v>
      </c>
    </row>
    <row r="709" spans="1:11" hidden="1" x14ac:dyDescent="0.35">
      <c r="A709" t="s">
        <v>174</v>
      </c>
      <c r="B709" t="s">
        <v>175</v>
      </c>
      <c r="C709">
        <v>28446</v>
      </c>
      <c r="D709">
        <v>38444</v>
      </c>
      <c r="E709" s="12">
        <v>45672</v>
      </c>
      <c r="F709" s="12">
        <v>45792</v>
      </c>
      <c r="G709" s="10">
        <v>227850</v>
      </c>
      <c r="H709">
        <v>0</v>
      </c>
      <c r="I709" t="s">
        <v>973</v>
      </c>
      <c r="J709" t="s">
        <v>58</v>
      </c>
      <c r="K709" t="s">
        <v>15</v>
      </c>
    </row>
    <row r="710" spans="1:11" hidden="1" x14ac:dyDescent="0.35">
      <c r="A710" t="s">
        <v>725</v>
      </c>
      <c r="B710" t="s">
        <v>726</v>
      </c>
      <c r="C710">
        <v>28116</v>
      </c>
      <c r="D710">
        <v>38048</v>
      </c>
      <c r="E710" s="12">
        <v>45642</v>
      </c>
      <c r="F710" s="12">
        <v>45792</v>
      </c>
      <c r="G710" s="10">
        <v>5300.02</v>
      </c>
      <c r="H710">
        <v>0</v>
      </c>
      <c r="I710" t="s">
        <v>1231</v>
      </c>
      <c r="J710" t="s">
        <v>111</v>
      </c>
      <c r="K710" t="s">
        <v>15</v>
      </c>
    </row>
    <row r="711" spans="1:11" hidden="1" x14ac:dyDescent="0.35">
      <c r="A711" t="s">
        <v>68</v>
      </c>
      <c r="B711" t="s">
        <v>69</v>
      </c>
      <c r="C711">
        <v>28452</v>
      </c>
      <c r="D711">
        <v>38449</v>
      </c>
      <c r="E711" s="12">
        <v>45672</v>
      </c>
      <c r="F711" s="12">
        <v>45792</v>
      </c>
      <c r="G711" s="10">
        <v>5732.02</v>
      </c>
      <c r="H711">
        <v>0</v>
      </c>
      <c r="I711" t="s">
        <v>810</v>
      </c>
      <c r="J711" t="s">
        <v>14</v>
      </c>
      <c r="K711" t="s">
        <v>15</v>
      </c>
    </row>
    <row r="712" spans="1:11" hidden="1" x14ac:dyDescent="0.35">
      <c r="A712" t="s">
        <v>236</v>
      </c>
      <c r="B712" t="s">
        <v>237</v>
      </c>
      <c r="C712">
        <v>27643</v>
      </c>
      <c r="D712">
        <v>37416</v>
      </c>
      <c r="E712" s="12">
        <v>45596</v>
      </c>
      <c r="F712" s="12">
        <v>45792</v>
      </c>
      <c r="G712" s="10">
        <v>5555</v>
      </c>
      <c r="H712">
        <v>0</v>
      </c>
      <c r="I712" t="s">
        <v>825</v>
      </c>
      <c r="J712" t="s">
        <v>41</v>
      </c>
      <c r="K712" t="s">
        <v>15</v>
      </c>
    </row>
    <row r="713" spans="1:11" hidden="1" x14ac:dyDescent="0.35">
      <c r="A713" t="s">
        <v>236</v>
      </c>
      <c r="B713" t="s">
        <v>237</v>
      </c>
      <c r="C713">
        <v>27263</v>
      </c>
      <c r="D713">
        <v>36970</v>
      </c>
      <c r="E713" s="12">
        <v>45568</v>
      </c>
      <c r="F713" s="12">
        <v>45792</v>
      </c>
      <c r="G713" s="10">
        <v>17110</v>
      </c>
      <c r="H713">
        <v>0</v>
      </c>
      <c r="I713" t="s">
        <v>238</v>
      </c>
      <c r="J713" t="s">
        <v>41</v>
      </c>
      <c r="K713" t="s">
        <v>15</v>
      </c>
    </row>
    <row r="714" spans="1:11" hidden="1" x14ac:dyDescent="0.35">
      <c r="A714" t="s">
        <v>236</v>
      </c>
      <c r="B714" t="s">
        <v>237</v>
      </c>
      <c r="C714">
        <v>27486</v>
      </c>
      <c r="D714">
        <v>37252</v>
      </c>
      <c r="E714" s="12">
        <v>45588</v>
      </c>
      <c r="F714" s="12">
        <v>45792</v>
      </c>
      <c r="G714" s="10">
        <v>40040</v>
      </c>
      <c r="H714">
        <v>0</v>
      </c>
      <c r="I714" t="s">
        <v>467</v>
      </c>
      <c r="J714" t="s">
        <v>41</v>
      </c>
      <c r="K714" t="s">
        <v>15</v>
      </c>
    </row>
    <row r="715" spans="1:11" hidden="1" x14ac:dyDescent="0.35">
      <c r="A715" t="s">
        <v>31</v>
      </c>
      <c r="B715" t="s">
        <v>32</v>
      </c>
      <c r="C715">
        <v>28896</v>
      </c>
      <c r="D715">
        <v>39001</v>
      </c>
      <c r="E715" s="12">
        <v>45702</v>
      </c>
      <c r="F715" s="12">
        <v>45792</v>
      </c>
      <c r="G715" s="10">
        <v>387.78</v>
      </c>
      <c r="H715">
        <v>0</v>
      </c>
      <c r="I715" t="s">
        <v>271</v>
      </c>
      <c r="J715" t="s">
        <v>34</v>
      </c>
      <c r="K715" t="s">
        <v>15</v>
      </c>
    </row>
    <row r="716" spans="1:11" hidden="1" x14ac:dyDescent="0.35">
      <c r="A716" t="s">
        <v>999</v>
      </c>
      <c r="B716" t="s">
        <v>1000</v>
      </c>
      <c r="C716">
        <v>28443</v>
      </c>
      <c r="D716">
        <v>38440</v>
      </c>
      <c r="E716" s="12">
        <v>45672</v>
      </c>
      <c r="F716" s="12">
        <v>45792</v>
      </c>
      <c r="G716" s="10">
        <v>18000</v>
      </c>
      <c r="H716">
        <v>0</v>
      </c>
      <c r="I716" t="s">
        <v>1001</v>
      </c>
      <c r="J716" t="s">
        <v>18</v>
      </c>
      <c r="K716" t="s">
        <v>15</v>
      </c>
    </row>
    <row r="717" spans="1:11" hidden="1" x14ac:dyDescent="0.35">
      <c r="A717" t="s">
        <v>236</v>
      </c>
      <c r="B717" t="s">
        <v>237</v>
      </c>
      <c r="C717">
        <v>27262</v>
      </c>
      <c r="D717">
        <v>36969</v>
      </c>
      <c r="E717" s="12">
        <v>45568</v>
      </c>
      <c r="F717" s="12">
        <v>45792</v>
      </c>
      <c r="G717" s="10">
        <v>74801.600000000006</v>
      </c>
      <c r="H717">
        <v>0</v>
      </c>
      <c r="I717" t="s">
        <v>1008</v>
      </c>
      <c r="J717" t="s">
        <v>41</v>
      </c>
      <c r="K717" t="s">
        <v>15</v>
      </c>
    </row>
    <row r="718" spans="1:11" hidden="1" x14ac:dyDescent="0.35">
      <c r="A718" t="s">
        <v>725</v>
      </c>
      <c r="B718" t="s">
        <v>726</v>
      </c>
      <c r="C718">
        <v>28115</v>
      </c>
      <c r="D718">
        <v>38047</v>
      </c>
      <c r="E718" s="12">
        <v>45642</v>
      </c>
      <c r="F718" s="12">
        <v>45792</v>
      </c>
      <c r="G718" s="10">
        <v>23628.880000000001</v>
      </c>
      <c r="H718">
        <v>0</v>
      </c>
      <c r="I718" t="s">
        <v>1015</v>
      </c>
      <c r="J718" t="s">
        <v>111</v>
      </c>
      <c r="K718" t="s">
        <v>15</v>
      </c>
    </row>
    <row r="719" spans="1:11" hidden="1" x14ac:dyDescent="0.35">
      <c r="A719" t="s">
        <v>31</v>
      </c>
      <c r="B719" t="s">
        <v>32</v>
      </c>
      <c r="C719">
        <v>28895</v>
      </c>
      <c r="D719">
        <v>39000</v>
      </c>
      <c r="E719" s="12">
        <v>45702</v>
      </c>
      <c r="F719" s="12">
        <v>45792</v>
      </c>
      <c r="G719" s="10">
        <v>1915</v>
      </c>
      <c r="H719">
        <v>0</v>
      </c>
      <c r="I719" t="s">
        <v>271</v>
      </c>
      <c r="J719" t="s">
        <v>34</v>
      </c>
      <c r="K719" t="s">
        <v>15</v>
      </c>
    </row>
    <row r="720" spans="1:11" hidden="1" x14ac:dyDescent="0.35">
      <c r="A720" t="s">
        <v>288</v>
      </c>
      <c r="B720" t="s">
        <v>289</v>
      </c>
      <c r="C720">
        <v>28897</v>
      </c>
      <c r="D720">
        <v>39002</v>
      </c>
      <c r="E720" s="12">
        <v>45702</v>
      </c>
      <c r="F720" s="12">
        <v>45792</v>
      </c>
      <c r="G720" s="10">
        <v>6096</v>
      </c>
      <c r="H720">
        <v>0</v>
      </c>
      <c r="I720" t="s">
        <v>996</v>
      </c>
      <c r="J720" t="s">
        <v>34</v>
      </c>
      <c r="K720" t="s">
        <v>15</v>
      </c>
    </row>
    <row r="721" spans="1:11" hidden="1" x14ac:dyDescent="0.35">
      <c r="A721" t="s">
        <v>562</v>
      </c>
      <c r="B721" t="s">
        <v>563</v>
      </c>
      <c r="C721">
        <v>28166</v>
      </c>
      <c r="D721">
        <v>38099</v>
      </c>
      <c r="E721" s="12">
        <v>45643</v>
      </c>
      <c r="F721" s="12">
        <v>45793</v>
      </c>
      <c r="G721" s="10">
        <v>1433.6</v>
      </c>
      <c r="H721">
        <v>0</v>
      </c>
      <c r="I721" t="s">
        <v>703</v>
      </c>
      <c r="J721" t="s">
        <v>111</v>
      </c>
      <c r="K721" t="s">
        <v>15</v>
      </c>
    </row>
    <row r="722" spans="1:11" hidden="1" x14ac:dyDescent="0.35">
      <c r="A722" t="s">
        <v>606</v>
      </c>
      <c r="B722" t="s">
        <v>607</v>
      </c>
      <c r="C722">
        <v>26894</v>
      </c>
      <c r="D722">
        <v>36574</v>
      </c>
      <c r="E722" s="12">
        <v>45552</v>
      </c>
      <c r="F722" s="12">
        <v>45793</v>
      </c>
      <c r="G722" s="10">
        <v>396384</v>
      </c>
      <c r="H722">
        <v>0</v>
      </c>
      <c r="I722" t="s">
        <v>608</v>
      </c>
      <c r="J722" t="s">
        <v>26</v>
      </c>
      <c r="K722" t="s">
        <v>15</v>
      </c>
    </row>
    <row r="723" spans="1:11" hidden="1" x14ac:dyDescent="0.35">
      <c r="A723" t="s">
        <v>594</v>
      </c>
      <c r="B723" t="s">
        <v>595</v>
      </c>
      <c r="C723">
        <v>28130</v>
      </c>
      <c r="D723">
        <v>38067</v>
      </c>
      <c r="E723" s="12">
        <v>45643</v>
      </c>
      <c r="F723" s="12">
        <v>45793</v>
      </c>
      <c r="G723" s="10">
        <v>45100</v>
      </c>
      <c r="H723">
        <v>0</v>
      </c>
      <c r="I723" t="s">
        <v>612</v>
      </c>
      <c r="J723" t="s">
        <v>58</v>
      </c>
      <c r="K723" t="s">
        <v>15</v>
      </c>
    </row>
    <row r="724" spans="1:11" hidden="1" x14ac:dyDescent="0.35">
      <c r="A724" t="s">
        <v>42</v>
      </c>
      <c r="B724" t="s">
        <v>43</v>
      </c>
      <c r="C724">
        <v>28164</v>
      </c>
      <c r="D724">
        <v>38097</v>
      </c>
      <c r="E724" s="12">
        <v>45643</v>
      </c>
      <c r="F724" s="12">
        <v>45793</v>
      </c>
      <c r="G724" s="10">
        <v>6333.33</v>
      </c>
      <c r="H724">
        <v>0</v>
      </c>
      <c r="I724" t="s">
        <v>1198</v>
      </c>
      <c r="J724" t="s">
        <v>44</v>
      </c>
      <c r="K724" t="s">
        <v>15</v>
      </c>
    </row>
    <row r="725" spans="1:11" hidden="1" x14ac:dyDescent="0.35">
      <c r="A725" t="s">
        <v>169</v>
      </c>
      <c r="B725" t="s">
        <v>170</v>
      </c>
      <c r="C725">
        <v>29177</v>
      </c>
      <c r="D725">
        <v>39347</v>
      </c>
      <c r="E725" s="12">
        <v>45733</v>
      </c>
      <c r="F725" s="12">
        <v>45793</v>
      </c>
      <c r="G725" s="10">
        <v>1096.83</v>
      </c>
      <c r="H725">
        <v>0</v>
      </c>
      <c r="I725" t="s">
        <v>171</v>
      </c>
      <c r="J725" t="s">
        <v>30</v>
      </c>
      <c r="K725" t="s">
        <v>15</v>
      </c>
    </row>
    <row r="726" spans="1:11" hidden="1" x14ac:dyDescent="0.35">
      <c r="A726" t="s">
        <v>562</v>
      </c>
      <c r="B726" t="s">
        <v>563</v>
      </c>
      <c r="C726">
        <v>28465</v>
      </c>
      <c r="D726">
        <v>38465</v>
      </c>
      <c r="E726" s="12">
        <v>45673</v>
      </c>
      <c r="F726" s="12">
        <v>45793</v>
      </c>
      <c r="G726" s="10">
        <v>2877.4</v>
      </c>
      <c r="H726">
        <v>0</v>
      </c>
      <c r="I726" t="s">
        <v>564</v>
      </c>
      <c r="J726" t="s">
        <v>111</v>
      </c>
      <c r="K726" t="s">
        <v>15</v>
      </c>
    </row>
    <row r="727" spans="1:11" hidden="1" x14ac:dyDescent="0.35">
      <c r="A727" t="s">
        <v>725</v>
      </c>
      <c r="B727" t="s">
        <v>726</v>
      </c>
      <c r="C727">
        <v>28466</v>
      </c>
      <c r="D727">
        <v>38466</v>
      </c>
      <c r="E727" s="12">
        <v>45673</v>
      </c>
      <c r="F727" s="12">
        <v>45793</v>
      </c>
      <c r="G727" s="10">
        <v>2464</v>
      </c>
      <c r="H727">
        <v>0</v>
      </c>
      <c r="I727" t="s">
        <v>830</v>
      </c>
      <c r="J727" t="s">
        <v>111</v>
      </c>
      <c r="K727" t="s">
        <v>15</v>
      </c>
    </row>
    <row r="728" spans="1:11" hidden="1" x14ac:dyDescent="0.35">
      <c r="A728" t="s">
        <v>763</v>
      </c>
      <c r="B728" t="s">
        <v>764</v>
      </c>
      <c r="C728">
        <v>28162</v>
      </c>
      <c r="D728">
        <v>38095</v>
      </c>
      <c r="E728" s="12">
        <v>45643</v>
      </c>
      <c r="F728" s="12">
        <v>45793</v>
      </c>
      <c r="G728" s="10">
        <v>7369.6</v>
      </c>
      <c r="H728">
        <v>0</v>
      </c>
      <c r="I728" t="s">
        <v>1246</v>
      </c>
      <c r="J728" t="s">
        <v>44</v>
      </c>
      <c r="K728" t="s">
        <v>15</v>
      </c>
    </row>
    <row r="729" spans="1:11" hidden="1" x14ac:dyDescent="0.35">
      <c r="A729" t="s">
        <v>200</v>
      </c>
      <c r="B729" t="s">
        <v>56</v>
      </c>
      <c r="C729">
        <v>28476</v>
      </c>
      <c r="D729">
        <v>38476</v>
      </c>
      <c r="E729" s="12">
        <v>45673</v>
      </c>
      <c r="F729" s="12">
        <v>45793</v>
      </c>
      <c r="G729" s="10">
        <v>106680</v>
      </c>
      <c r="H729">
        <v>0</v>
      </c>
      <c r="I729" t="s">
        <v>1265</v>
      </c>
      <c r="J729" t="s">
        <v>44</v>
      </c>
      <c r="K729" t="s">
        <v>15</v>
      </c>
    </row>
    <row r="730" spans="1:11" hidden="1" x14ac:dyDescent="0.35">
      <c r="A730" t="s">
        <v>49</v>
      </c>
      <c r="B730" t="s">
        <v>50</v>
      </c>
      <c r="C730">
        <v>28158</v>
      </c>
      <c r="D730">
        <v>38091</v>
      </c>
      <c r="E730" s="12">
        <v>45643</v>
      </c>
      <c r="F730" s="12">
        <v>45793</v>
      </c>
      <c r="G730" s="10">
        <v>36540</v>
      </c>
      <c r="H730">
        <v>0</v>
      </c>
      <c r="I730" t="s">
        <v>1108</v>
      </c>
      <c r="J730" t="s">
        <v>44</v>
      </c>
      <c r="K730" t="s">
        <v>15</v>
      </c>
    </row>
    <row r="731" spans="1:11" hidden="1" x14ac:dyDescent="0.35">
      <c r="A731" t="s">
        <v>1023</v>
      </c>
      <c r="B731" t="s">
        <v>1024</v>
      </c>
      <c r="C731">
        <v>29178</v>
      </c>
      <c r="D731">
        <v>39348</v>
      </c>
      <c r="E731" s="12">
        <v>45733</v>
      </c>
      <c r="F731" s="12">
        <v>45793</v>
      </c>
      <c r="G731" s="10">
        <v>145915.28</v>
      </c>
      <c r="H731">
        <v>0</v>
      </c>
      <c r="I731" t="s">
        <v>1315</v>
      </c>
      <c r="J731" t="s">
        <v>95</v>
      </c>
      <c r="K731" t="s">
        <v>15</v>
      </c>
    </row>
    <row r="732" spans="1:11" hidden="1" x14ac:dyDescent="0.35">
      <c r="A732" t="s">
        <v>677</v>
      </c>
      <c r="B732" t="s">
        <v>553</v>
      </c>
      <c r="C732">
        <v>28473</v>
      </c>
      <c r="D732">
        <v>38472</v>
      </c>
      <c r="E732" s="12">
        <v>45673</v>
      </c>
      <c r="F732" s="12">
        <v>45793</v>
      </c>
      <c r="G732" s="10">
        <v>296205</v>
      </c>
      <c r="H732">
        <v>0</v>
      </c>
      <c r="I732" t="s">
        <v>1361</v>
      </c>
      <c r="J732" t="s">
        <v>58</v>
      </c>
      <c r="K732" t="s">
        <v>15</v>
      </c>
    </row>
    <row r="733" spans="1:11" hidden="1" x14ac:dyDescent="0.35">
      <c r="A733" t="s">
        <v>169</v>
      </c>
      <c r="B733" t="s">
        <v>170</v>
      </c>
      <c r="C733">
        <v>29176</v>
      </c>
      <c r="D733">
        <v>39346</v>
      </c>
      <c r="E733" s="12">
        <v>45733</v>
      </c>
      <c r="F733" s="12">
        <v>45793</v>
      </c>
      <c r="G733" s="10">
        <v>7575.16</v>
      </c>
      <c r="H733">
        <v>0</v>
      </c>
      <c r="I733" t="s">
        <v>171</v>
      </c>
      <c r="J733" t="s">
        <v>30</v>
      </c>
      <c r="K733" t="s">
        <v>15</v>
      </c>
    </row>
    <row r="734" spans="1:11" hidden="1" x14ac:dyDescent="0.35">
      <c r="A734" t="s">
        <v>144</v>
      </c>
      <c r="B734" t="s">
        <v>145</v>
      </c>
      <c r="C734">
        <v>29191</v>
      </c>
      <c r="D734">
        <v>39364</v>
      </c>
      <c r="E734" s="12">
        <v>45733</v>
      </c>
      <c r="F734" s="12">
        <v>45793</v>
      </c>
      <c r="G734" s="10">
        <v>24571.4</v>
      </c>
      <c r="H734">
        <v>0</v>
      </c>
      <c r="I734" t="s">
        <v>1616</v>
      </c>
      <c r="J734" t="s">
        <v>48</v>
      </c>
      <c r="K734" t="s">
        <v>15</v>
      </c>
    </row>
    <row r="735" spans="1:11" hidden="1" x14ac:dyDescent="0.35">
      <c r="A735" t="s">
        <v>594</v>
      </c>
      <c r="B735" t="s">
        <v>595</v>
      </c>
      <c r="C735">
        <v>28502</v>
      </c>
      <c r="D735">
        <v>38503</v>
      </c>
      <c r="E735" s="12">
        <v>45674</v>
      </c>
      <c r="F735" s="12">
        <v>45794</v>
      </c>
      <c r="G735" s="10">
        <v>159495</v>
      </c>
      <c r="H735">
        <v>0</v>
      </c>
      <c r="I735" t="s">
        <v>663</v>
      </c>
      <c r="J735" t="s">
        <v>58</v>
      </c>
      <c r="K735" t="s">
        <v>15</v>
      </c>
    </row>
    <row r="736" spans="1:11" hidden="1" x14ac:dyDescent="0.35">
      <c r="A736" t="s">
        <v>382</v>
      </c>
      <c r="B736" t="s">
        <v>383</v>
      </c>
      <c r="C736">
        <v>28530</v>
      </c>
      <c r="D736">
        <v>38534</v>
      </c>
      <c r="E736" s="12">
        <v>45674</v>
      </c>
      <c r="F736" s="12">
        <v>45794</v>
      </c>
      <c r="G736" s="10">
        <v>91350</v>
      </c>
      <c r="H736">
        <v>0</v>
      </c>
      <c r="I736" t="s">
        <v>1021</v>
      </c>
      <c r="J736" t="s">
        <v>44</v>
      </c>
      <c r="K736" t="s">
        <v>15</v>
      </c>
    </row>
    <row r="737" spans="1:11" hidden="1" x14ac:dyDescent="0.35">
      <c r="A737" t="s">
        <v>622</v>
      </c>
      <c r="B737" t="s">
        <v>623</v>
      </c>
      <c r="C737">
        <v>27451</v>
      </c>
      <c r="D737">
        <v>37212</v>
      </c>
      <c r="E737" s="12">
        <v>45586</v>
      </c>
      <c r="F737" s="12">
        <v>45796</v>
      </c>
      <c r="G737" s="10">
        <v>115000</v>
      </c>
      <c r="H737">
        <v>0</v>
      </c>
      <c r="I737" t="s">
        <v>624</v>
      </c>
      <c r="J737" t="s">
        <v>122</v>
      </c>
      <c r="K737" t="s">
        <v>15</v>
      </c>
    </row>
    <row r="738" spans="1:11" hidden="1" x14ac:dyDescent="0.35">
      <c r="A738" t="s">
        <v>49</v>
      </c>
      <c r="B738" t="s">
        <v>50</v>
      </c>
      <c r="C738">
        <v>27817</v>
      </c>
      <c r="D738">
        <v>37640</v>
      </c>
      <c r="E738" s="12">
        <v>45615</v>
      </c>
      <c r="F738" s="12">
        <v>45796</v>
      </c>
      <c r="G738" s="10">
        <v>17539.3</v>
      </c>
      <c r="H738">
        <v>0</v>
      </c>
      <c r="I738" t="s">
        <v>51</v>
      </c>
      <c r="J738" t="s">
        <v>44</v>
      </c>
      <c r="K738" t="s">
        <v>15</v>
      </c>
    </row>
    <row r="739" spans="1:11" hidden="1" x14ac:dyDescent="0.35">
      <c r="A739" t="s">
        <v>31</v>
      </c>
      <c r="B739" t="s">
        <v>32</v>
      </c>
      <c r="C739">
        <v>28206</v>
      </c>
      <c r="D739">
        <v>38148</v>
      </c>
      <c r="E739" s="12">
        <v>45646</v>
      </c>
      <c r="F739" s="12">
        <v>45796</v>
      </c>
      <c r="G739" s="10">
        <v>3413.33</v>
      </c>
      <c r="H739">
        <v>0</v>
      </c>
      <c r="I739" t="s">
        <v>271</v>
      </c>
      <c r="J739" t="s">
        <v>34</v>
      </c>
      <c r="K739" t="s">
        <v>15</v>
      </c>
    </row>
    <row r="740" spans="1:11" hidden="1" x14ac:dyDescent="0.35">
      <c r="A740" t="s">
        <v>108</v>
      </c>
      <c r="B740" t="s">
        <v>109</v>
      </c>
      <c r="C740">
        <v>28519</v>
      </c>
      <c r="D740">
        <v>38522</v>
      </c>
      <c r="E740" s="12">
        <v>45674</v>
      </c>
      <c r="F740" s="12">
        <v>45796</v>
      </c>
      <c r="G740" s="10">
        <v>80115</v>
      </c>
      <c r="H740">
        <v>0</v>
      </c>
      <c r="I740" t="s">
        <v>1155</v>
      </c>
      <c r="J740" t="s">
        <v>111</v>
      </c>
      <c r="K740" t="s">
        <v>15</v>
      </c>
    </row>
    <row r="741" spans="1:11" hidden="1" x14ac:dyDescent="0.35">
      <c r="A741" t="s">
        <v>49</v>
      </c>
      <c r="B741" t="s">
        <v>50</v>
      </c>
      <c r="C741">
        <v>27816</v>
      </c>
      <c r="D741">
        <v>37639</v>
      </c>
      <c r="E741" s="12">
        <v>45615</v>
      </c>
      <c r="F741" s="12">
        <v>45796</v>
      </c>
      <c r="G741" s="10">
        <v>3832</v>
      </c>
      <c r="H741">
        <v>0</v>
      </c>
      <c r="I741" t="s">
        <v>51</v>
      </c>
      <c r="J741" t="s">
        <v>44</v>
      </c>
      <c r="K741" t="s">
        <v>15</v>
      </c>
    </row>
    <row r="742" spans="1:11" hidden="1" x14ac:dyDescent="0.35">
      <c r="A742" t="s">
        <v>31</v>
      </c>
      <c r="B742" t="s">
        <v>32</v>
      </c>
      <c r="C742">
        <v>28207</v>
      </c>
      <c r="D742">
        <v>38149</v>
      </c>
      <c r="E742" s="12">
        <v>45646</v>
      </c>
      <c r="F742" s="12">
        <v>45796</v>
      </c>
      <c r="G742" s="10">
        <v>7355.99</v>
      </c>
      <c r="H742">
        <v>0</v>
      </c>
      <c r="I742" t="s">
        <v>59</v>
      </c>
      <c r="J742" t="s">
        <v>34</v>
      </c>
      <c r="K742" t="s">
        <v>15</v>
      </c>
    </row>
    <row r="743" spans="1:11" hidden="1" x14ac:dyDescent="0.35">
      <c r="A743" t="s">
        <v>31</v>
      </c>
      <c r="B743" t="s">
        <v>32</v>
      </c>
      <c r="C743">
        <v>28190</v>
      </c>
      <c r="D743">
        <v>38130</v>
      </c>
      <c r="E743" s="12">
        <v>45645</v>
      </c>
      <c r="F743" s="12">
        <v>45796</v>
      </c>
      <c r="G743" s="10">
        <v>1197.78</v>
      </c>
      <c r="H743">
        <v>0</v>
      </c>
      <c r="I743" t="s">
        <v>81</v>
      </c>
      <c r="J743" t="s">
        <v>34</v>
      </c>
      <c r="K743" t="s">
        <v>15</v>
      </c>
    </row>
    <row r="744" spans="1:11" hidden="1" x14ac:dyDescent="0.35">
      <c r="A744" t="s">
        <v>31</v>
      </c>
      <c r="B744" t="s">
        <v>32</v>
      </c>
      <c r="C744">
        <v>28208</v>
      </c>
      <c r="D744">
        <v>38150</v>
      </c>
      <c r="E744" s="12">
        <v>45646</v>
      </c>
      <c r="F744" s="12">
        <v>45796</v>
      </c>
      <c r="G744" s="10">
        <v>1705.33</v>
      </c>
      <c r="H744">
        <v>0</v>
      </c>
      <c r="I744" t="s">
        <v>1455</v>
      </c>
      <c r="J744" t="s">
        <v>34</v>
      </c>
      <c r="K744" t="s">
        <v>15</v>
      </c>
    </row>
    <row r="745" spans="1:11" hidden="1" x14ac:dyDescent="0.35">
      <c r="A745" t="s">
        <v>791</v>
      </c>
      <c r="B745" t="s">
        <v>56</v>
      </c>
      <c r="C745">
        <v>27813</v>
      </c>
      <c r="D745">
        <v>37636</v>
      </c>
      <c r="E745" s="12">
        <v>45615</v>
      </c>
      <c r="F745" s="12">
        <v>45796</v>
      </c>
      <c r="G745" s="10">
        <v>23228</v>
      </c>
      <c r="H745">
        <v>0</v>
      </c>
      <c r="I745" t="s">
        <v>1156</v>
      </c>
      <c r="J745" t="s">
        <v>44</v>
      </c>
      <c r="K745" t="s">
        <v>15</v>
      </c>
    </row>
    <row r="746" spans="1:11" hidden="1" x14ac:dyDescent="0.35">
      <c r="A746" t="s">
        <v>31</v>
      </c>
      <c r="B746" t="s">
        <v>32</v>
      </c>
      <c r="C746">
        <v>28192</v>
      </c>
      <c r="D746">
        <v>38132</v>
      </c>
      <c r="E746" s="12">
        <v>45645</v>
      </c>
      <c r="F746" s="12">
        <v>45796</v>
      </c>
      <c r="G746" s="10">
        <v>8064.13</v>
      </c>
      <c r="H746">
        <v>0</v>
      </c>
      <c r="I746" t="s">
        <v>863</v>
      </c>
      <c r="J746" t="s">
        <v>34</v>
      </c>
      <c r="K746" t="s">
        <v>15</v>
      </c>
    </row>
    <row r="747" spans="1:11" hidden="1" x14ac:dyDescent="0.35">
      <c r="A747" t="s">
        <v>31</v>
      </c>
      <c r="B747" t="s">
        <v>32</v>
      </c>
      <c r="C747">
        <v>28209</v>
      </c>
      <c r="D747">
        <v>38151</v>
      </c>
      <c r="E747" s="12">
        <v>45646</v>
      </c>
      <c r="F747" s="12">
        <v>45796</v>
      </c>
      <c r="G747" s="10">
        <v>2243.2199999999998</v>
      </c>
      <c r="H747">
        <v>0</v>
      </c>
      <c r="I747" t="s">
        <v>876</v>
      </c>
      <c r="J747" t="s">
        <v>34</v>
      </c>
      <c r="K747" t="s">
        <v>15</v>
      </c>
    </row>
    <row r="748" spans="1:11" hidden="1" x14ac:dyDescent="0.35">
      <c r="A748" t="s">
        <v>31</v>
      </c>
      <c r="B748" t="s">
        <v>32</v>
      </c>
      <c r="C748">
        <v>28217</v>
      </c>
      <c r="D748">
        <v>38159</v>
      </c>
      <c r="E748" s="12">
        <v>45646</v>
      </c>
      <c r="F748" s="12">
        <v>45796</v>
      </c>
      <c r="G748" s="10">
        <v>1600</v>
      </c>
      <c r="H748">
        <v>0</v>
      </c>
      <c r="I748" t="s">
        <v>878</v>
      </c>
      <c r="J748" t="s">
        <v>34</v>
      </c>
      <c r="K748" t="s">
        <v>15</v>
      </c>
    </row>
    <row r="749" spans="1:11" hidden="1" x14ac:dyDescent="0.35">
      <c r="A749" t="s">
        <v>550</v>
      </c>
      <c r="B749" t="s">
        <v>56</v>
      </c>
      <c r="C749">
        <v>27812</v>
      </c>
      <c r="D749">
        <v>37635</v>
      </c>
      <c r="E749" s="12">
        <v>45615</v>
      </c>
      <c r="F749" s="12">
        <v>45796</v>
      </c>
      <c r="G749" s="10">
        <v>28034.799999999999</v>
      </c>
      <c r="H749">
        <v>0</v>
      </c>
      <c r="I749" t="s">
        <v>551</v>
      </c>
      <c r="J749" t="s">
        <v>44</v>
      </c>
    </row>
    <row r="750" spans="1:11" hidden="1" x14ac:dyDescent="0.35">
      <c r="A750" t="s">
        <v>55</v>
      </c>
      <c r="B750" t="s">
        <v>56</v>
      </c>
      <c r="C750">
        <v>27803</v>
      </c>
      <c r="D750">
        <v>37626</v>
      </c>
      <c r="E750" s="12">
        <v>45615</v>
      </c>
      <c r="F750" s="12">
        <v>45796</v>
      </c>
      <c r="G750" s="10">
        <v>14617</v>
      </c>
      <c r="H750">
        <v>0</v>
      </c>
      <c r="I750" t="s">
        <v>208</v>
      </c>
      <c r="J750" t="s">
        <v>58</v>
      </c>
      <c r="K750" t="s">
        <v>15</v>
      </c>
    </row>
    <row r="751" spans="1:11" hidden="1" x14ac:dyDescent="0.35">
      <c r="A751" t="s">
        <v>200</v>
      </c>
      <c r="B751" t="s">
        <v>56</v>
      </c>
      <c r="C751">
        <v>27822</v>
      </c>
      <c r="D751">
        <v>37645</v>
      </c>
      <c r="E751" s="12">
        <v>45615</v>
      </c>
      <c r="F751" s="12">
        <v>45796</v>
      </c>
      <c r="G751" s="10">
        <v>19050</v>
      </c>
      <c r="H751">
        <v>0</v>
      </c>
      <c r="I751" t="s">
        <v>513</v>
      </c>
      <c r="J751" t="s">
        <v>44</v>
      </c>
      <c r="K751" t="s">
        <v>15</v>
      </c>
    </row>
    <row r="752" spans="1:11" hidden="1" x14ac:dyDescent="0.35">
      <c r="A752" t="s">
        <v>31</v>
      </c>
      <c r="B752" t="s">
        <v>32</v>
      </c>
      <c r="C752">
        <v>28205</v>
      </c>
      <c r="D752">
        <v>38147</v>
      </c>
      <c r="E752" s="12">
        <v>45646</v>
      </c>
      <c r="F752" s="12">
        <v>45796</v>
      </c>
      <c r="G752" s="10">
        <v>3239.29</v>
      </c>
      <c r="H752">
        <v>0</v>
      </c>
      <c r="I752" t="s">
        <v>271</v>
      </c>
      <c r="J752" t="s">
        <v>34</v>
      </c>
      <c r="K752" t="s">
        <v>15</v>
      </c>
    </row>
    <row r="753" spans="1:11" hidden="1" x14ac:dyDescent="0.35">
      <c r="A753" t="s">
        <v>285</v>
      </c>
      <c r="B753" t="s">
        <v>286</v>
      </c>
      <c r="C753">
        <v>27821</v>
      </c>
      <c r="D753">
        <v>37644</v>
      </c>
      <c r="E753" s="12">
        <v>45615</v>
      </c>
      <c r="F753" s="12">
        <v>45796</v>
      </c>
      <c r="G753" s="10">
        <v>31170</v>
      </c>
      <c r="H753">
        <v>0</v>
      </c>
      <c r="I753" t="s">
        <v>287</v>
      </c>
      <c r="J753" t="s">
        <v>58</v>
      </c>
      <c r="K753" t="s">
        <v>15</v>
      </c>
    </row>
    <row r="754" spans="1:11" hidden="1" x14ac:dyDescent="0.35">
      <c r="A754" t="s">
        <v>174</v>
      </c>
      <c r="B754" t="s">
        <v>175</v>
      </c>
      <c r="C754">
        <v>28223</v>
      </c>
      <c r="D754">
        <v>38166</v>
      </c>
      <c r="E754" s="12">
        <v>45646</v>
      </c>
      <c r="F754" s="12">
        <v>45796</v>
      </c>
      <c r="G754" s="10">
        <v>24008.400000000001</v>
      </c>
      <c r="H754">
        <v>0</v>
      </c>
      <c r="I754" t="s">
        <v>294</v>
      </c>
      <c r="J754" t="s">
        <v>58</v>
      </c>
      <c r="K754" t="s">
        <v>15</v>
      </c>
    </row>
    <row r="755" spans="1:11" hidden="1" x14ac:dyDescent="0.35">
      <c r="A755" t="s">
        <v>31</v>
      </c>
      <c r="B755" t="s">
        <v>32</v>
      </c>
      <c r="C755">
        <v>28194</v>
      </c>
      <c r="D755">
        <v>38134</v>
      </c>
      <c r="E755" s="12">
        <v>45645</v>
      </c>
      <c r="F755" s="12">
        <v>45796</v>
      </c>
      <c r="G755" s="10">
        <v>666.67</v>
      </c>
      <c r="H755">
        <v>0</v>
      </c>
      <c r="I755" t="s">
        <v>271</v>
      </c>
      <c r="J755" t="s">
        <v>34</v>
      </c>
      <c r="K755" t="s">
        <v>15</v>
      </c>
    </row>
    <row r="756" spans="1:11" hidden="1" x14ac:dyDescent="0.35">
      <c r="A756" t="s">
        <v>742</v>
      </c>
      <c r="B756" t="s">
        <v>743</v>
      </c>
      <c r="C756">
        <v>28228</v>
      </c>
      <c r="D756">
        <v>38171</v>
      </c>
      <c r="E756" s="12">
        <v>45646</v>
      </c>
      <c r="F756" s="12">
        <v>45796</v>
      </c>
      <c r="G756" s="10">
        <v>1766.4</v>
      </c>
      <c r="H756">
        <v>0</v>
      </c>
      <c r="I756" t="s">
        <v>927</v>
      </c>
      <c r="J756" t="s">
        <v>44</v>
      </c>
      <c r="K756" t="s">
        <v>15</v>
      </c>
    </row>
    <row r="757" spans="1:11" hidden="1" x14ac:dyDescent="0.35">
      <c r="A757" t="s">
        <v>474</v>
      </c>
      <c r="B757" t="s">
        <v>475</v>
      </c>
      <c r="C757">
        <v>27808</v>
      </c>
      <c r="D757">
        <v>37631</v>
      </c>
      <c r="E757" s="12">
        <v>45615</v>
      </c>
      <c r="F757" s="12">
        <v>45796</v>
      </c>
      <c r="G757" s="10">
        <v>20736.759999999998</v>
      </c>
      <c r="H757">
        <v>0</v>
      </c>
      <c r="I757" t="s">
        <v>476</v>
      </c>
      <c r="J757" t="s">
        <v>44</v>
      </c>
      <c r="K757" t="s">
        <v>15</v>
      </c>
    </row>
    <row r="758" spans="1:11" hidden="1" x14ac:dyDescent="0.35">
      <c r="A758" t="s">
        <v>317</v>
      </c>
      <c r="B758" t="s">
        <v>56</v>
      </c>
      <c r="C758">
        <v>27814</v>
      </c>
      <c r="D758">
        <v>37637</v>
      </c>
      <c r="E758" s="12">
        <v>45615</v>
      </c>
      <c r="F758" s="12">
        <v>45796</v>
      </c>
      <c r="G758" s="10">
        <v>23228</v>
      </c>
      <c r="H758">
        <v>0</v>
      </c>
      <c r="I758" t="s">
        <v>1442</v>
      </c>
      <c r="J758" t="s">
        <v>44</v>
      </c>
    </row>
    <row r="759" spans="1:11" hidden="1" x14ac:dyDescent="0.35">
      <c r="A759" t="s">
        <v>362</v>
      </c>
      <c r="B759" t="s">
        <v>363</v>
      </c>
      <c r="C759">
        <v>27825</v>
      </c>
      <c r="D759">
        <v>37651</v>
      </c>
      <c r="E759" s="12">
        <v>45615</v>
      </c>
      <c r="F759" s="12">
        <v>45796</v>
      </c>
      <c r="G759" s="10">
        <v>106792.37</v>
      </c>
      <c r="H759">
        <v>0</v>
      </c>
      <c r="I759" t="s">
        <v>653</v>
      </c>
      <c r="J759" t="s">
        <v>48</v>
      </c>
      <c r="K759" t="s">
        <v>15</v>
      </c>
    </row>
    <row r="760" spans="1:11" hidden="1" x14ac:dyDescent="0.35">
      <c r="A760" t="s">
        <v>491</v>
      </c>
      <c r="B760" t="s">
        <v>492</v>
      </c>
      <c r="C760">
        <v>28893</v>
      </c>
      <c r="D760">
        <v>38998</v>
      </c>
      <c r="E760" s="12">
        <v>45702</v>
      </c>
      <c r="F760" s="12">
        <v>45796</v>
      </c>
      <c r="G760" s="10">
        <v>94999.91</v>
      </c>
      <c r="H760">
        <v>0</v>
      </c>
      <c r="I760" t="s">
        <v>493</v>
      </c>
      <c r="J760" t="s">
        <v>91</v>
      </c>
      <c r="K760" t="s">
        <v>15</v>
      </c>
    </row>
    <row r="761" spans="1:11" hidden="1" x14ac:dyDescent="0.35">
      <c r="A761" t="s">
        <v>55</v>
      </c>
      <c r="B761" t="s">
        <v>56</v>
      </c>
      <c r="C761">
        <v>28222</v>
      </c>
      <c r="D761">
        <v>38165</v>
      </c>
      <c r="E761" s="12">
        <v>45646</v>
      </c>
      <c r="F761" s="12">
        <v>45796</v>
      </c>
      <c r="G761" s="10">
        <v>26800</v>
      </c>
      <c r="H761">
        <v>0</v>
      </c>
      <c r="I761" t="s">
        <v>1332</v>
      </c>
      <c r="J761" t="s">
        <v>58</v>
      </c>
      <c r="K761" t="s">
        <v>15</v>
      </c>
    </row>
    <row r="762" spans="1:11" hidden="1" x14ac:dyDescent="0.35">
      <c r="A762" t="s">
        <v>288</v>
      </c>
      <c r="B762" t="s">
        <v>289</v>
      </c>
      <c r="C762">
        <v>27801</v>
      </c>
      <c r="D762">
        <v>37623</v>
      </c>
      <c r="E762" s="12">
        <v>45614</v>
      </c>
      <c r="F762" s="12">
        <v>45796</v>
      </c>
      <c r="G762" s="10">
        <v>54952.6</v>
      </c>
      <c r="H762">
        <v>0</v>
      </c>
      <c r="I762" t="s">
        <v>1634</v>
      </c>
      <c r="J762" t="s">
        <v>34</v>
      </c>
      <c r="K762" t="s">
        <v>15</v>
      </c>
    </row>
    <row r="763" spans="1:11" hidden="1" x14ac:dyDescent="0.35">
      <c r="A763" t="s">
        <v>31</v>
      </c>
      <c r="B763" t="s">
        <v>32</v>
      </c>
      <c r="C763">
        <v>28193</v>
      </c>
      <c r="D763">
        <v>38133</v>
      </c>
      <c r="E763" s="12">
        <v>45645</v>
      </c>
      <c r="F763" s="12">
        <v>45796</v>
      </c>
      <c r="G763" s="10">
        <v>5212.13</v>
      </c>
      <c r="H763">
        <v>0</v>
      </c>
      <c r="I763" t="s">
        <v>1641</v>
      </c>
      <c r="J763" t="s">
        <v>34</v>
      </c>
      <c r="K763" t="s">
        <v>15</v>
      </c>
    </row>
    <row r="764" spans="1:11" hidden="1" x14ac:dyDescent="0.35">
      <c r="A764" t="s">
        <v>31</v>
      </c>
      <c r="B764" t="s">
        <v>32</v>
      </c>
      <c r="C764">
        <v>28191</v>
      </c>
      <c r="D764">
        <v>38131</v>
      </c>
      <c r="E764" s="12">
        <v>45645</v>
      </c>
      <c r="F764" s="12">
        <v>45796</v>
      </c>
      <c r="G764" s="10">
        <v>2722.22</v>
      </c>
      <c r="H764">
        <v>0</v>
      </c>
      <c r="I764" t="s">
        <v>1673</v>
      </c>
      <c r="J764" t="s">
        <v>34</v>
      </c>
      <c r="K764" t="s">
        <v>15</v>
      </c>
    </row>
    <row r="765" spans="1:11" hidden="1" x14ac:dyDescent="0.35">
      <c r="A765" t="s">
        <v>205</v>
      </c>
      <c r="B765" t="s">
        <v>56</v>
      </c>
      <c r="C765">
        <v>28515</v>
      </c>
      <c r="D765">
        <v>38518</v>
      </c>
      <c r="E765" s="12">
        <v>45674</v>
      </c>
      <c r="F765" s="12">
        <v>45796</v>
      </c>
      <c r="G765" s="10">
        <v>200080</v>
      </c>
      <c r="H765">
        <v>0</v>
      </c>
      <c r="I765" t="s">
        <v>1577</v>
      </c>
      <c r="J765" t="s">
        <v>58</v>
      </c>
      <c r="K765" t="s">
        <v>15</v>
      </c>
    </row>
    <row r="766" spans="1:11" hidden="1" x14ac:dyDescent="0.35">
      <c r="A766" t="s">
        <v>205</v>
      </c>
      <c r="B766" t="s">
        <v>56</v>
      </c>
      <c r="C766">
        <v>28536</v>
      </c>
      <c r="D766">
        <v>38544</v>
      </c>
      <c r="E766" s="12">
        <v>45677</v>
      </c>
      <c r="F766" s="12">
        <v>45797</v>
      </c>
      <c r="G766" s="10">
        <v>425670</v>
      </c>
      <c r="H766">
        <v>0</v>
      </c>
      <c r="I766" t="s">
        <v>708</v>
      </c>
      <c r="J766" t="s">
        <v>58</v>
      </c>
      <c r="K766" t="s">
        <v>15</v>
      </c>
    </row>
    <row r="767" spans="1:11" hidden="1" x14ac:dyDescent="0.35">
      <c r="A767" t="s">
        <v>528</v>
      </c>
      <c r="B767" t="s">
        <v>529</v>
      </c>
      <c r="C767">
        <v>27936</v>
      </c>
      <c r="D767">
        <v>37804</v>
      </c>
      <c r="E767" s="12">
        <v>45625</v>
      </c>
      <c r="F767" s="12">
        <v>45797</v>
      </c>
      <c r="G767" s="10">
        <v>9536.7999999999993</v>
      </c>
      <c r="H767">
        <v>0</v>
      </c>
      <c r="I767" t="s">
        <v>530</v>
      </c>
      <c r="J767" t="s">
        <v>18</v>
      </c>
      <c r="K767" t="s">
        <v>15</v>
      </c>
    </row>
    <row r="768" spans="1:11" hidden="1" x14ac:dyDescent="0.35">
      <c r="A768" t="s">
        <v>442</v>
      </c>
      <c r="B768" t="s">
        <v>443</v>
      </c>
      <c r="C768">
        <v>26659</v>
      </c>
      <c r="D768">
        <v>36312</v>
      </c>
      <c r="E768" s="12">
        <v>45537</v>
      </c>
      <c r="F768" s="12">
        <v>45797</v>
      </c>
      <c r="G768" s="10">
        <v>24000</v>
      </c>
      <c r="H768">
        <v>0</v>
      </c>
      <c r="I768" t="s">
        <v>1206</v>
      </c>
      <c r="J768" t="s">
        <v>115</v>
      </c>
      <c r="K768" t="s">
        <v>15</v>
      </c>
    </row>
    <row r="769" spans="1:11" hidden="1" x14ac:dyDescent="0.35">
      <c r="A769" t="s">
        <v>1088</v>
      </c>
      <c r="B769" t="s">
        <v>1089</v>
      </c>
      <c r="C769">
        <v>27322</v>
      </c>
      <c r="D769">
        <v>37039</v>
      </c>
      <c r="E769" s="12">
        <v>45574</v>
      </c>
      <c r="F769" s="12">
        <v>45797</v>
      </c>
      <c r="G769" s="10">
        <v>57245</v>
      </c>
      <c r="H769">
        <v>0</v>
      </c>
      <c r="I769" t="s">
        <v>1090</v>
      </c>
      <c r="J769" t="s">
        <v>77</v>
      </c>
      <c r="K769" t="s">
        <v>15</v>
      </c>
    </row>
    <row r="770" spans="1:11" hidden="1" x14ac:dyDescent="0.35">
      <c r="A770" t="s">
        <v>528</v>
      </c>
      <c r="B770" t="s">
        <v>529</v>
      </c>
      <c r="C770">
        <v>28277</v>
      </c>
      <c r="D770">
        <v>38236</v>
      </c>
      <c r="E770" s="12">
        <v>45653</v>
      </c>
      <c r="F770" s="12">
        <v>45797</v>
      </c>
      <c r="G770" s="10">
        <v>2987.2</v>
      </c>
      <c r="H770">
        <v>0</v>
      </c>
      <c r="I770" t="s">
        <v>1063</v>
      </c>
      <c r="J770" t="s">
        <v>18</v>
      </c>
      <c r="K770" t="s">
        <v>15</v>
      </c>
    </row>
    <row r="771" spans="1:11" hidden="1" x14ac:dyDescent="0.35">
      <c r="A771" t="s">
        <v>921</v>
      </c>
      <c r="B771" t="s">
        <v>922</v>
      </c>
      <c r="C771">
        <v>26950</v>
      </c>
      <c r="D771">
        <v>36634</v>
      </c>
      <c r="E771" s="12">
        <v>45554</v>
      </c>
      <c r="F771" s="12">
        <v>45797</v>
      </c>
      <c r="G771" s="10">
        <v>107294</v>
      </c>
      <c r="H771">
        <v>0</v>
      </c>
      <c r="I771" t="s">
        <v>1277</v>
      </c>
      <c r="J771" t="s">
        <v>41</v>
      </c>
      <c r="K771" t="s">
        <v>15</v>
      </c>
    </row>
    <row r="772" spans="1:11" hidden="1" x14ac:dyDescent="0.35">
      <c r="A772" t="s">
        <v>31</v>
      </c>
      <c r="B772" t="s">
        <v>32</v>
      </c>
      <c r="C772">
        <v>27837</v>
      </c>
      <c r="D772">
        <v>37669</v>
      </c>
      <c r="E772" s="12">
        <v>45617</v>
      </c>
      <c r="F772" s="12">
        <v>45797</v>
      </c>
      <c r="G772" s="10">
        <v>7356.08</v>
      </c>
      <c r="H772">
        <v>0</v>
      </c>
      <c r="I772" t="s">
        <v>1285</v>
      </c>
      <c r="J772" t="s">
        <v>34</v>
      </c>
      <c r="K772" t="s">
        <v>15</v>
      </c>
    </row>
    <row r="773" spans="1:11" hidden="1" x14ac:dyDescent="0.35">
      <c r="A773" t="s">
        <v>85</v>
      </c>
      <c r="B773" t="s">
        <v>86</v>
      </c>
      <c r="C773">
        <v>27956</v>
      </c>
      <c r="D773">
        <v>37824</v>
      </c>
      <c r="E773" s="12">
        <v>45625</v>
      </c>
      <c r="F773" s="12">
        <v>45797</v>
      </c>
      <c r="G773" s="10">
        <v>62920</v>
      </c>
      <c r="H773">
        <v>0</v>
      </c>
      <c r="I773" t="s">
        <v>515</v>
      </c>
      <c r="J773" t="s">
        <v>41</v>
      </c>
      <c r="K773" t="s">
        <v>15</v>
      </c>
    </row>
    <row r="774" spans="1:11" hidden="1" x14ac:dyDescent="0.35">
      <c r="A774" t="s">
        <v>442</v>
      </c>
      <c r="B774" t="s">
        <v>443</v>
      </c>
      <c r="C774">
        <v>27905</v>
      </c>
      <c r="D774">
        <v>37773</v>
      </c>
      <c r="E774" s="12">
        <v>45625</v>
      </c>
      <c r="F774" s="12">
        <v>45797</v>
      </c>
      <c r="G774" s="10">
        <v>96000</v>
      </c>
      <c r="H774">
        <v>0</v>
      </c>
      <c r="I774" t="s">
        <v>902</v>
      </c>
      <c r="J774" t="s">
        <v>115</v>
      </c>
      <c r="K774" t="s">
        <v>15</v>
      </c>
    </row>
    <row r="775" spans="1:11" hidden="1" x14ac:dyDescent="0.35">
      <c r="A775" t="s">
        <v>453</v>
      </c>
      <c r="B775" t="s">
        <v>454</v>
      </c>
      <c r="C775">
        <v>26335</v>
      </c>
      <c r="D775">
        <v>35955</v>
      </c>
      <c r="E775" s="12">
        <v>45509</v>
      </c>
      <c r="F775" s="12">
        <v>45797</v>
      </c>
      <c r="G775" s="10">
        <v>10656</v>
      </c>
      <c r="H775">
        <v>0</v>
      </c>
      <c r="I775" t="s">
        <v>455</v>
      </c>
      <c r="J775" t="s">
        <v>41</v>
      </c>
      <c r="K775" t="s">
        <v>15</v>
      </c>
    </row>
    <row r="776" spans="1:11" hidden="1" x14ac:dyDescent="0.35">
      <c r="A776" t="s">
        <v>442</v>
      </c>
      <c r="B776" t="s">
        <v>443</v>
      </c>
      <c r="C776">
        <v>27471</v>
      </c>
      <c r="D776">
        <v>37238</v>
      </c>
      <c r="E776" s="12">
        <v>45588</v>
      </c>
      <c r="F776" s="12">
        <v>45797</v>
      </c>
      <c r="G776" s="10">
        <v>80000</v>
      </c>
      <c r="H776">
        <v>0</v>
      </c>
      <c r="I776" t="s">
        <v>466</v>
      </c>
      <c r="J776" t="s">
        <v>115</v>
      </c>
      <c r="K776" t="s">
        <v>15</v>
      </c>
    </row>
    <row r="777" spans="1:11" hidden="1" x14ac:dyDescent="0.35">
      <c r="A777" t="s">
        <v>288</v>
      </c>
      <c r="B777" t="s">
        <v>289</v>
      </c>
      <c r="C777">
        <v>27836</v>
      </c>
      <c r="D777">
        <v>37668</v>
      </c>
      <c r="E777" s="12">
        <v>45617</v>
      </c>
      <c r="F777" s="12">
        <v>45797</v>
      </c>
      <c r="G777" s="10">
        <v>18480</v>
      </c>
      <c r="H777">
        <v>0</v>
      </c>
      <c r="I777" t="s">
        <v>290</v>
      </c>
      <c r="J777" t="s">
        <v>34</v>
      </c>
      <c r="K777" t="s">
        <v>15</v>
      </c>
    </row>
    <row r="778" spans="1:11" hidden="1" x14ac:dyDescent="0.35">
      <c r="A778" t="s">
        <v>205</v>
      </c>
      <c r="B778" t="s">
        <v>56</v>
      </c>
      <c r="C778">
        <v>28535</v>
      </c>
      <c r="D778">
        <v>38543</v>
      </c>
      <c r="E778" s="12">
        <v>45677</v>
      </c>
      <c r="F778" s="12">
        <v>45797</v>
      </c>
      <c r="G778" s="10">
        <v>69480</v>
      </c>
      <c r="H778">
        <v>0</v>
      </c>
      <c r="I778" t="s">
        <v>679</v>
      </c>
      <c r="J778" t="s">
        <v>58</v>
      </c>
      <c r="K778" t="s">
        <v>15</v>
      </c>
    </row>
    <row r="779" spans="1:11" hidden="1" x14ac:dyDescent="0.35">
      <c r="A779" t="s">
        <v>442</v>
      </c>
      <c r="B779" t="s">
        <v>443</v>
      </c>
      <c r="C779">
        <v>27833</v>
      </c>
      <c r="D779">
        <v>37665</v>
      </c>
      <c r="E779" s="12">
        <v>45617</v>
      </c>
      <c r="F779" s="12">
        <v>45797</v>
      </c>
      <c r="G779" s="10">
        <v>12000</v>
      </c>
      <c r="H779">
        <v>0</v>
      </c>
      <c r="I779" t="s">
        <v>1136</v>
      </c>
      <c r="J779" t="s">
        <v>115</v>
      </c>
      <c r="K779" t="s">
        <v>15</v>
      </c>
    </row>
    <row r="780" spans="1:11" hidden="1" x14ac:dyDescent="0.35">
      <c r="A780" t="s">
        <v>528</v>
      </c>
      <c r="B780" t="s">
        <v>529</v>
      </c>
      <c r="C780">
        <v>27309</v>
      </c>
      <c r="D780">
        <v>37025</v>
      </c>
      <c r="E780" s="12">
        <v>45573</v>
      </c>
      <c r="F780" s="12">
        <v>45797</v>
      </c>
      <c r="G780" s="10">
        <v>187521.8</v>
      </c>
      <c r="H780">
        <v>0</v>
      </c>
      <c r="I780" t="s">
        <v>917</v>
      </c>
      <c r="J780" t="s">
        <v>18</v>
      </c>
      <c r="K780" t="s">
        <v>15</v>
      </c>
    </row>
    <row r="781" spans="1:11" hidden="1" x14ac:dyDescent="0.35">
      <c r="A781" t="s">
        <v>144</v>
      </c>
      <c r="B781" t="s">
        <v>145</v>
      </c>
      <c r="C781">
        <v>29242</v>
      </c>
      <c r="D781">
        <v>39425</v>
      </c>
      <c r="E781" s="12">
        <v>45737</v>
      </c>
      <c r="F781" s="12">
        <v>45797</v>
      </c>
      <c r="G781" s="10">
        <v>11195.99</v>
      </c>
      <c r="H781">
        <v>0</v>
      </c>
      <c r="I781" t="s">
        <v>1616</v>
      </c>
      <c r="J781" t="s">
        <v>48</v>
      </c>
      <c r="K781" t="s">
        <v>15</v>
      </c>
    </row>
    <row r="782" spans="1:11" hidden="1" x14ac:dyDescent="0.35">
      <c r="A782" t="s">
        <v>442</v>
      </c>
      <c r="B782" t="s">
        <v>443</v>
      </c>
      <c r="C782">
        <v>28064</v>
      </c>
      <c r="D782">
        <v>37986</v>
      </c>
      <c r="E782" s="12">
        <v>45638</v>
      </c>
      <c r="F782" s="12">
        <v>45797</v>
      </c>
      <c r="G782" s="10">
        <v>44000</v>
      </c>
      <c r="H782">
        <v>0</v>
      </c>
      <c r="I782" t="s">
        <v>1039</v>
      </c>
      <c r="J782" t="s">
        <v>115</v>
      </c>
      <c r="K782" t="s">
        <v>15</v>
      </c>
    </row>
    <row r="783" spans="1:11" hidden="1" x14ac:dyDescent="0.35">
      <c r="A783" t="s">
        <v>989</v>
      </c>
      <c r="B783" t="s">
        <v>990</v>
      </c>
      <c r="C783">
        <v>27841</v>
      </c>
      <c r="D783">
        <v>37673</v>
      </c>
      <c r="E783" s="12">
        <v>45617</v>
      </c>
      <c r="F783" s="12">
        <v>45797</v>
      </c>
      <c r="G783" s="10">
        <v>161977.5</v>
      </c>
      <c r="H783">
        <v>0</v>
      </c>
      <c r="I783" t="s">
        <v>991</v>
      </c>
      <c r="J783" t="s">
        <v>18</v>
      </c>
      <c r="K783" t="s">
        <v>15</v>
      </c>
    </row>
    <row r="784" spans="1:11" hidden="1" x14ac:dyDescent="0.35">
      <c r="A784" t="s">
        <v>442</v>
      </c>
      <c r="B784" t="s">
        <v>443</v>
      </c>
      <c r="C784">
        <v>27057</v>
      </c>
      <c r="D784">
        <v>36749</v>
      </c>
      <c r="E784" s="12">
        <v>45559</v>
      </c>
      <c r="F784" s="12">
        <v>45797</v>
      </c>
      <c r="G784" s="10">
        <v>93600</v>
      </c>
      <c r="H784">
        <v>0</v>
      </c>
      <c r="I784" t="s">
        <v>649</v>
      </c>
      <c r="J784" t="s">
        <v>115</v>
      </c>
      <c r="K784" t="s">
        <v>15</v>
      </c>
    </row>
    <row r="785" spans="1:11" hidden="1" x14ac:dyDescent="0.35">
      <c r="A785" t="s">
        <v>453</v>
      </c>
      <c r="B785" t="s">
        <v>454</v>
      </c>
      <c r="C785">
        <v>26776</v>
      </c>
      <c r="D785">
        <v>36436</v>
      </c>
      <c r="E785" s="12">
        <v>45545</v>
      </c>
      <c r="F785" s="12">
        <v>45797</v>
      </c>
      <c r="G785" s="10">
        <v>6474</v>
      </c>
      <c r="H785">
        <v>0</v>
      </c>
      <c r="I785" t="s">
        <v>1006</v>
      </c>
      <c r="J785" t="s">
        <v>41</v>
      </c>
      <c r="K785" t="s">
        <v>15</v>
      </c>
    </row>
    <row r="786" spans="1:11" hidden="1" x14ac:dyDescent="0.35">
      <c r="A786" t="s">
        <v>488</v>
      </c>
      <c r="B786" t="s">
        <v>489</v>
      </c>
      <c r="C786">
        <v>28861</v>
      </c>
      <c r="D786">
        <v>38955</v>
      </c>
      <c r="E786" s="12">
        <v>45700</v>
      </c>
      <c r="F786" s="12">
        <v>45797</v>
      </c>
      <c r="G786" s="10">
        <v>30680</v>
      </c>
      <c r="H786">
        <v>0</v>
      </c>
      <c r="I786" t="s">
        <v>490</v>
      </c>
      <c r="J786" t="s">
        <v>41</v>
      </c>
      <c r="K786" t="s">
        <v>15</v>
      </c>
    </row>
    <row r="787" spans="1:11" hidden="1" x14ac:dyDescent="0.35">
      <c r="A787" t="s">
        <v>667</v>
      </c>
      <c r="B787" t="s">
        <v>668</v>
      </c>
      <c r="C787">
        <v>29239</v>
      </c>
      <c r="D787">
        <v>39422</v>
      </c>
      <c r="E787" s="12">
        <v>45737</v>
      </c>
      <c r="F787" s="12">
        <v>45797</v>
      </c>
      <c r="G787" s="10">
        <v>103308</v>
      </c>
      <c r="H787">
        <v>0</v>
      </c>
      <c r="I787" t="s">
        <v>1465</v>
      </c>
      <c r="J787" t="s">
        <v>26</v>
      </c>
      <c r="K787" t="s">
        <v>15</v>
      </c>
    </row>
    <row r="788" spans="1:11" hidden="1" x14ac:dyDescent="0.35">
      <c r="A788" t="s">
        <v>667</v>
      </c>
      <c r="B788" t="s">
        <v>668</v>
      </c>
      <c r="C788">
        <v>29240</v>
      </c>
      <c r="D788">
        <v>39423</v>
      </c>
      <c r="E788" s="12">
        <v>45737</v>
      </c>
      <c r="F788" s="12">
        <v>45797</v>
      </c>
      <c r="G788" s="10">
        <v>93519.6</v>
      </c>
      <c r="H788">
        <v>0</v>
      </c>
      <c r="I788" t="s">
        <v>1627</v>
      </c>
      <c r="J788" t="s">
        <v>26</v>
      </c>
      <c r="K788" t="s">
        <v>15</v>
      </c>
    </row>
    <row r="789" spans="1:11" hidden="1" x14ac:dyDescent="0.35">
      <c r="A789" t="s">
        <v>78</v>
      </c>
      <c r="B789" t="s">
        <v>79</v>
      </c>
      <c r="C789">
        <v>27493</v>
      </c>
      <c r="D789">
        <v>37258</v>
      </c>
      <c r="E789" s="12">
        <v>45588</v>
      </c>
      <c r="F789" s="12">
        <v>45797</v>
      </c>
      <c r="G789" s="10">
        <v>25230</v>
      </c>
      <c r="H789">
        <v>0</v>
      </c>
      <c r="I789" t="s">
        <v>1390</v>
      </c>
      <c r="J789" t="s">
        <v>41</v>
      </c>
      <c r="K789" t="s">
        <v>15</v>
      </c>
    </row>
    <row r="790" spans="1:11" hidden="1" x14ac:dyDescent="0.35">
      <c r="A790" t="s">
        <v>442</v>
      </c>
      <c r="B790" t="s">
        <v>443</v>
      </c>
      <c r="C790">
        <v>27662</v>
      </c>
      <c r="D790">
        <v>37440</v>
      </c>
      <c r="E790" s="12">
        <v>45596</v>
      </c>
      <c r="F790" s="12">
        <v>45797</v>
      </c>
      <c r="G790" s="10">
        <v>24000</v>
      </c>
      <c r="H790">
        <v>0</v>
      </c>
      <c r="I790" t="s">
        <v>1392</v>
      </c>
      <c r="J790" t="s">
        <v>115</v>
      </c>
      <c r="K790" t="s">
        <v>15</v>
      </c>
    </row>
    <row r="791" spans="1:11" hidden="1" x14ac:dyDescent="0.35">
      <c r="A791" t="s">
        <v>528</v>
      </c>
      <c r="B791" t="s">
        <v>529</v>
      </c>
      <c r="C791">
        <v>28276</v>
      </c>
      <c r="D791">
        <v>38235</v>
      </c>
      <c r="E791" s="12">
        <v>45653</v>
      </c>
      <c r="F791" s="12">
        <v>45797</v>
      </c>
      <c r="G791" s="10">
        <v>1362.4</v>
      </c>
      <c r="H791">
        <v>0</v>
      </c>
      <c r="I791" t="s">
        <v>1608</v>
      </c>
      <c r="J791" t="s">
        <v>18</v>
      </c>
      <c r="K791" t="s">
        <v>15</v>
      </c>
    </row>
    <row r="792" spans="1:11" hidden="1" x14ac:dyDescent="0.35">
      <c r="A792" t="s">
        <v>442</v>
      </c>
      <c r="B792" t="s">
        <v>443</v>
      </c>
      <c r="C792">
        <v>27661</v>
      </c>
      <c r="D792">
        <v>37439</v>
      </c>
      <c r="E792" s="12">
        <v>45596</v>
      </c>
      <c r="F792" s="12">
        <v>45797</v>
      </c>
      <c r="G792" s="10">
        <v>60000</v>
      </c>
      <c r="H792">
        <v>0</v>
      </c>
      <c r="I792" t="s">
        <v>1573</v>
      </c>
      <c r="J792" t="s">
        <v>115</v>
      </c>
      <c r="K792" t="s">
        <v>15</v>
      </c>
    </row>
    <row r="793" spans="1:11" hidden="1" x14ac:dyDescent="0.35">
      <c r="A793" t="s">
        <v>85</v>
      </c>
      <c r="B793" t="s">
        <v>86</v>
      </c>
      <c r="C793">
        <v>27998</v>
      </c>
      <c r="D793">
        <v>37894</v>
      </c>
      <c r="E793" s="12">
        <v>45631</v>
      </c>
      <c r="F793" s="12">
        <v>45797</v>
      </c>
      <c r="G793" s="10">
        <v>19314</v>
      </c>
      <c r="H793">
        <v>0</v>
      </c>
      <c r="I793" t="s">
        <v>1575</v>
      </c>
      <c r="J793" t="s">
        <v>41</v>
      </c>
      <c r="K793" t="s">
        <v>15</v>
      </c>
    </row>
    <row r="794" spans="1:11" hidden="1" x14ac:dyDescent="0.35">
      <c r="A794" t="s">
        <v>224</v>
      </c>
      <c r="B794" t="s">
        <v>225</v>
      </c>
      <c r="C794">
        <v>29016</v>
      </c>
      <c r="D794">
        <v>39138</v>
      </c>
      <c r="E794" s="12">
        <v>45708</v>
      </c>
      <c r="F794" s="12">
        <v>45798</v>
      </c>
      <c r="G794" s="10">
        <v>9528.66</v>
      </c>
      <c r="H794">
        <v>0</v>
      </c>
      <c r="I794" t="s">
        <v>226</v>
      </c>
      <c r="J794" t="s">
        <v>194</v>
      </c>
      <c r="K794" t="s">
        <v>15</v>
      </c>
    </row>
    <row r="795" spans="1:11" hidden="1" x14ac:dyDescent="0.35">
      <c r="A795" t="s">
        <v>68</v>
      </c>
      <c r="B795" t="s">
        <v>69</v>
      </c>
      <c r="C795">
        <v>27488</v>
      </c>
      <c r="D795">
        <v>37254</v>
      </c>
      <c r="E795" s="12">
        <v>45588</v>
      </c>
      <c r="F795" s="12">
        <v>45798</v>
      </c>
      <c r="G795" s="10">
        <v>1620.34</v>
      </c>
      <c r="H795">
        <v>0</v>
      </c>
      <c r="I795" t="s">
        <v>70</v>
      </c>
      <c r="J795" t="s">
        <v>14</v>
      </c>
      <c r="K795" t="s">
        <v>15</v>
      </c>
    </row>
    <row r="796" spans="1:11" hidden="1" x14ac:dyDescent="0.35">
      <c r="A796" t="s">
        <v>591</v>
      </c>
      <c r="B796" t="s">
        <v>592</v>
      </c>
      <c r="C796">
        <v>28559</v>
      </c>
      <c r="D796">
        <v>38577</v>
      </c>
      <c r="E796" s="12">
        <v>45678</v>
      </c>
      <c r="F796" s="12">
        <v>45798</v>
      </c>
      <c r="G796" s="10">
        <v>30791.88</v>
      </c>
      <c r="H796">
        <v>0</v>
      </c>
      <c r="I796" t="s">
        <v>593</v>
      </c>
      <c r="J796" t="s">
        <v>194</v>
      </c>
      <c r="K796" t="s">
        <v>15</v>
      </c>
    </row>
    <row r="797" spans="1:11" hidden="1" x14ac:dyDescent="0.35">
      <c r="A797" t="s">
        <v>31</v>
      </c>
      <c r="B797" t="s">
        <v>32</v>
      </c>
      <c r="C797">
        <v>28547</v>
      </c>
      <c r="D797">
        <v>38565</v>
      </c>
      <c r="E797" s="12">
        <v>45678</v>
      </c>
      <c r="F797" s="12">
        <v>45798</v>
      </c>
      <c r="G797" s="10">
        <v>13139.99</v>
      </c>
      <c r="H797">
        <v>0</v>
      </c>
      <c r="I797" t="s">
        <v>271</v>
      </c>
      <c r="J797" t="s">
        <v>34</v>
      </c>
      <c r="K797" t="s">
        <v>15</v>
      </c>
    </row>
    <row r="798" spans="1:11" hidden="1" x14ac:dyDescent="0.35">
      <c r="A798" t="s">
        <v>31</v>
      </c>
      <c r="B798" t="s">
        <v>32</v>
      </c>
      <c r="C798">
        <v>27851</v>
      </c>
      <c r="D798">
        <v>37687</v>
      </c>
      <c r="E798" s="12">
        <v>45618</v>
      </c>
      <c r="F798" s="12">
        <v>45798</v>
      </c>
      <c r="G798" s="10">
        <v>2584.48</v>
      </c>
      <c r="H798">
        <v>0</v>
      </c>
      <c r="I798" t="s">
        <v>1452</v>
      </c>
      <c r="J798" t="s">
        <v>34</v>
      </c>
      <c r="K798" t="s">
        <v>15</v>
      </c>
    </row>
    <row r="799" spans="1:11" hidden="1" x14ac:dyDescent="0.35">
      <c r="A799" t="s">
        <v>68</v>
      </c>
      <c r="B799" t="s">
        <v>69</v>
      </c>
      <c r="C799">
        <v>27492</v>
      </c>
      <c r="D799">
        <v>37257</v>
      </c>
      <c r="E799" s="12">
        <v>45588</v>
      </c>
      <c r="F799" s="12">
        <v>45798</v>
      </c>
      <c r="G799" s="10">
        <v>952.5</v>
      </c>
      <c r="H799">
        <v>0</v>
      </c>
      <c r="I799" t="s">
        <v>720</v>
      </c>
      <c r="J799" t="s">
        <v>14</v>
      </c>
      <c r="K799" t="s">
        <v>15</v>
      </c>
    </row>
    <row r="800" spans="1:11" hidden="1" x14ac:dyDescent="0.35">
      <c r="A800" t="s">
        <v>31</v>
      </c>
      <c r="B800" t="s">
        <v>32</v>
      </c>
      <c r="C800">
        <v>27850</v>
      </c>
      <c r="D800">
        <v>37686</v>
      </c>
      <c r="E800" s="12">
        <v>45618</v>
      </c>
      <c r="F800" s="12">
        <v>45798</v>
      </c>
      <c r="G800" s="10">
        <v>3413.36</v>
      </c>
      <c r="H800">
        <v>0</v>
      </c>
      <c r="I800" t="s">
        <v>873</v>
      </c>
      <c r="J800" t="s">
        <v>34</v>
      </c>
      <c r="K800" t="s">
        <v>15</v>
      </c>
    </row>
    <row r="801" spans="1:11" hidden="1" x14ac:dyDescent="0.35">
      <c r="A801" t="s">
        <v>245</v>
      </c>
      <c r="B801" t="s">
        <v>246</v>
      </c>
      <c r="C801">
        <v>28541</v>
      </c>
      <c r="D801">
        <v>38558</v>
      </c>
      <c r="E801" s="12">
        <v>45678</v>
      </c>
      <c r="F801" s="12">
        <v>45798</v>
      </c>
      <c r="G801" s="10">
        <v>81276.899999999994</v>
      </c>
      <c r="H801">
        <v>0</v>
      </c>
      <c r="I801" t="s">
        <v>1126</v>
      </c>
      <c r="J801" t="s">
        <v>34</v>
      </c>
      <c r="K801" t="s">
        <v>15</v>
      </c>
    </row>
    <row r="802" spans="1:11" hidden="1" x14ac:dyDescent="0.35">
      <c r="A802" t="s">
        <v>591</v>
      </c>
      <c r="B802" t="s">
        <v>592</v>
      </c>
      <c r="C802">
        <v>29011</v>
      </c>
      <c r="D802">
        <v>39133</v>
      </c>
      <c r="E802" s="12">
        <v>45708</v>
      </c>
      <c r="F802" s="12">
        <v>45798</v>
      </c>
      <c r="G802" s="10">
        <v>3867.67</v>
      </c>
      <c r="H802">
        <v>0</v>
      </c>
      <c r="I802" t="s">
        <v>593</v>
      </c>
      <c r="J802" t="s">
        <v>194</v>
      </c>
      <c r="K802" t="s">
        <v>15</v>
      </c>
    </row>
    <row r="803" spans="1:11" hidden="1" x14ac:dyDescent="0.35">
      <c r="A803" t="s">
        <v>108</v>
      </c>
      <c r="B803" t="s">
        <v>109</v>
      </c>
      <c r="C803">
        <v>28996</v>
      </c>
      <c r="D803">
        <v>39118</v>
      </c>
      <c r="E803" s="12">
        <v>45708</v>
      </c>
      <c r="F803" s="12">
        <v>45798</v>
      </c>
      <c r="G803" s="10">
        <v>118757</v>
      </c>
      <c r="H803">
        <v>0</v>
      </c>
      <c r="I803" t="s">
        <v>110</v>
      </c>
      <c r="J803" t="s">
        <v>111</v>
      </c>
      <c r="K803" t="s">
        <v>15</v>
      </c>
    </row>
    <row r="804" spans="1:11" hidden="1" x14ac:dyDescent="0.35">
      <c r="A804" t="s">
        <v>31</v>
      </c>
      <c r="B804" t="s">
        <v>32</v>
      </c>
      <c r="C804">
        <v>29110</v>
      </c>
      <c r="D804">
        <v>39271</v>
      </c>
      <c r="E804" s="12">
        <v>45723</v>
      </c>
      <c r="F804" s="12">
        <v>45798</v>
      </c>
      <c r="G804" s="10">
        <v>753.33</v>
      </c>
      <c r="H804">
        <v>0</v>
      </c>
      <c r="I804" t="s">
        <v>271</v>
      </c>
      <c r="J804" t="s">
        <v>34</v>
      </c>
      <c r="K804" t="s">
        <v>15</v>
      </c>
    </row>
    <row r="805" spans="1:11" hidden="1" x14ac:dyDescent="0.35">
      <c r="A805" t="s">
        <v>288</v>
      </c>
      <c r="B805" t="s">
        <v>289</v>
      </c>
      <c r="C805">
        <v>27849</v>
      </c>
      <c r="D805">
        <v>37685</v>
      </c>
      <c r="E805" s="12">
        <v>45618</v>
      </c>
      <c r="F805" s="12">
        <v>45798</v>
      </c>
      <c r="G805" s="10">
        <v>2898</v>
      </c>
      <c r="H805">
        <v>0</v>
      </c>
      <c r="I805" t="s">
        <v>789</v>
      </c>
      <c r="J805" t="s">
        <v>34</v>
      </c>
      <c r="K805" t="s">
        <v>15</v>
      </c>
    </row>
    <row r="806" spans="1:11" hidden="1" x14ac:dyDescent="0.35">
      <c r="A806" t="s">
        <v>245</v>
      </c>
      <c r="B806" t="s">
        <v>246</v>
      </c>
      <c r="C806">
        <v>28548</v>
      </c>
      <c r="D806">
        <v>38566</v>
      </c>
      <c r="E806" s="12">
        <v>45678</v>
      </c>
      <c r="F806" s="12">
        <v>45798</v>
      </c>
      <c r="G806" s="10">
        <v>8122.5</v>
      </c>
      <c r="H806">
        <v>0</v>
      </c>
      <c r="I806" t="s">
        <v>1126</v>
      </c>
      <c r="J806" t="s">
        <v>34</v>
      </c>
      <c r="K806" t="s">
        <v>15</v>
      </c>
    </row>
    <row r="807" spans="1:11" hidden="1" x14ac:dyDescent="0.35">
      <c r="A807" t="s">
        <v>31</v>
      </c>
      <c r="B807" t="s">
        <v>32</v>
      </c>
      <c r="C807">
        <v>29109</v>
      </c>
      <c r="D807">
        <v>39270</v>
      </c>
      <c r="E807" s="12">
        <v>45723</v>
      </c>
      <c r="F807" s="12">
        <v>45798</v>
      </c>
      <c r="G807" s="10">
        <v>5866.66</v>
      </c>
      <c r="H807">
        <v>0</v>
      </c>
      <c r="I807" t="s">
        <v>271</v>
      </c>
      <c r="J807" t="s">
        <v>34</v>
      </c>
      <c r="K807" t="s">
        <v>15</v>
      </c>
    </row>
    <row r="808" spans="1:11" hidden="1" x14ac:dyDescent="0.35">
      <c r="A808" t="s">
        <v>31</v>
      </c>
      <c r="B808" t="s">
        <v>32</v>
      </c>
      <c r="C808">
        <v>29111</v>
      </c>
      <c r="D808">
        <v>39272</v>
      </c>
      <c r="E808" s="12">
        <v>45723</v>
      </c>
      <c r="F808" s="12">
        <v>45798</v>
      </c>
      <c r="G808" s="10">
        <v>2436.66</v>
      </c>
      <c r="H808">
        <v>0</v>
      </c>
      <c r="I808" t="s">
        <v>271</v>
      </c>
      <c r="J808" t="s">
        <v>34</v>
      </c>
      <c r="K808" t="s">
        <v>15</v>
      </c>
    </row>
    <row r="809" spans="1:11" hidden="1" x14ac:dyDescent="0.35">
      <c r="A809" t="s">
        <v>362</v>
      </c>
      <c r="B809" t="s">
        <v>363</v>
      </c>
      <c r="C809">
        <v>28557</v>
      </c>
      <c r="D809">
        <v>38575</v>
      </c>
      <c r="E809" s="12">
        <v>45678</v>
      </c>
      <c r="F809" s="12">
        <v>45798</v>
      </c>
      <c r="G809" s="10">
        <v>29250</v>
      </c>
      <c r="H809">
        <v>0</v>
      </c>
      <c r="I809" t="s">
        <v>1461</v>
      </c>
      <c r="J809" t="s">
        <v>48</v>
      </c>
      <c r="K809" t="s">
        <v>15</v>
      </c>
    </row>
    <row r="810" spans="1:11" hidden="1" x14ac:dyDescent="0.35">
      <c r="A810" t="s">
        <v>1413</v>
      </c>
      <c r="B810" t="s">
        <v>1414</v>
      </c>
      <c r="C810">
        <v>28543</v>
      </c>
      <c r="D810">
        <v>38560</v>
      </c>
      <c r="E810" s="12">
        <v>45678</v>
      </c>
      <c r="F810" s="12">
        <v>45798</v>
      </c>
      <c r="G810" s="10">
        <v>20018.400000000001</v>
      </c>
      <c r="H810">
        <v>0</v>
      </c>
      <c r="I810" t="s">
        <v>1415</v>
      </c>
      <c r="J810" t="s">
        <v>91</v>
      </c>
      <c r="K810" t="s">
        <v>15</v>
      </c>
    </row>
    <row r="811" spans="1:11" hidden="1" x14ac:dyDescent="0.35">
      <c r="A811" t="s">
        <v>31</v>
      </c>
      <c r="B811" t="s">
        <v>32</v>
      </c>
      <c r="C811">
        <v>28538</v>
      </c>
      <c r="D811">
        <v>38555</v>
      </c>
      <c r="E811" s="12">
        <v>45678</v>
      </c>
      <c r="F811" s="12">
        <v>45798</v>
      </c>
      <c r="G811" s="10">
        <v>1813.33</v>
      </c>
      <c r="H811">
        <v>0</v>
      </c>
      <c r="I811" t="s">
        <v>271</v>
      </c>
      <c r="J811" t="s">
        <v>34</v>
      </c>
      <c r="K811" t="s">
        <v>15</v>
      </c>
    </row>
    <row r="812" spans="1:11" hidden="1" x14ac:dyDescent="0.35">
      <c r="A812" t="s">
        <v>31</v>
      </c>
      <c r="B812" t="s">
        <v>32</v>
      </c>
      <c r="C812">
        <v>27852</v>
      </c>
      <c r="D812">
        <v>37688</v>
      </c>
      <c r="E812" s="12">
        <v>45618</v>
      </c>
      <c r="F812" s="12">
        <v>45798</v>
      </c>
      <c r="G812" s="10">
        <v>1386.64</v>
      </c>
      <c r="H812">
        <v>0</v>
      </c>
      <c r="I812" t="s">
        <v>271</v>
      </c>
      <c r="J812" t="s">
        <v>34</v>
      </c>
      <c r="K812" t="s">
        <v>15</v>
      </c>
    </row>
    <row r="813" spans="1:11" hidden="1" x14ac:dyDescent="0.35">
      <c r="A813" t="s">
        <v>31</v>
      </c>
      <c r="B813" t="s">
        <v>32</v>
      </c>
      <c r="C813">
        <v>27853</v>
      </c>
      <c r="D813">
        <v>37689</v>
      </c>
      <c r="E813" s="12">
        <v>45618</v>
      </c>
      <c r="F813" s="12">
        <v>45798</v>
      </c>
      <c r="G813" s="10">
        <v>1386.64</v>
      </c>
      <c r="H813">
        <v>0</v>
      </c>
      <c r="I813" t="s">
        <v>357</v>
      </c>
      <c r="J813" t="s">
        <v>34</v>
      </c>
      <c r="K813" t="s">
        <v>15</v>
      </c>
    </row>
    <row r="814" spans="1:11" hidden="1" x14ac:dyDescent="0.35">
      <c r="A814" t="s">
        <v>31</v>
      </c>
      <c r="B814" t="s">
        <v>32</v>
      </c>
      <c r="C814">
        <v>28539</v>
      </c>
      <c r="D814">
        <v>38556</v>
      </c>
      <c r="E814" s="12">
        <v>45678</v>
      </c>
      <c r="F814" s="12">
        <v>45798</v>
      </c>
      <c r="G814" s="10">
        <v>3413.33</v>
      </c>
      <c r="H814">
        <v>0</v>
      </c>
      <c r="I814" t="s">
        <v>271</v>
      </c>
      <c r="J814" t="s">
        <v>34</v>
      </c>
      <c r="K814" t="s">
        <v>15</v>
      </c>
    </row>
    <row r="815" spans="1:11" hidden="1" x14ac:dyDescent="0.35">
      <c r="A815" t="s">
        <v>108</v>
      </c>
      <c r="B815" t="s">
        <v>109</v>
      </c>
      <c r="C815">
        <v>28995</v>
      </c>
      <c r="D815">
        <v>39117</v>
      </c>
      <c r="E815" s="12">
        <v>45708</v>
      </c>
      <c r="F815" s="12">
        <v>45798</v>
      </c>
      <c r="G815" s="10">
        <v>52300</v>
      </c>
      <c r="H815">
        <v>0</v>
      </c>
      <c r="I815" t="s">
        <v>110</v>
      </c>
      <c r="J815" t="s">
        <v>111</v>
      </c>
      <c r="K815" t="s">
        <v>15</v>
      </c>
    </row>
    <row r="816" spans="1:11" hidden="1" x14ac:dyDescent="0.35">
      <c r="A816" t="s">
        <v>31</v>
      </c>
      <c r="B816" t="s">
        <v>32</v>
      </c>
      <c r="C816">
        <v>29108</v>
      </c>
      <c r="D816">
        <v>39269</v>
      </c>
      <c r="E816" s="12">
        <v>45723</v>
      </c>
      <c r="F816" s="12">
        <v>45798</v>
      </c>
      <c r="G816" s="10">
        <v>7822.21</v>
      </c>
      <c r="H816">
        <v>0</v>
      </c>
      <c r="I816" t="s">
        <v>271</v>
      </c>
      <c r="J816" t="s">
        <v>34</v>
      </c>
      <c r="K816" t="s">
        <v>15</v>
      </c>
    </row>
    <row r="817" spans="1:11" hidden="1" x14ac:dyDescent="0.35">
      <c r="A817" t="s">
        <v>591</v>
      </c>
      <c r="B817" t="s">
        <v>592</v>
      </c>
      <c r="C817">
        <v>28558</v>
      </c>
      <c r="D817">
        <v>38576</v>
      </c>
      <c r="E817" s="12">
        <v>45678</v>
      </c>
      <c r="F817" s="12">
        <v>45798</v>
      </c>
      <c r="G817" s="10">
        <v>1250</v>
      </c>
      <c r="H817">
        <v>0</v>
      </c>
      <c r="I817" t="s">
        <v>593</v>
      </c>
      <c r="J817" t="s">
        <v>194</v>
      </c>
      <c r="K817" t="s">
        <v>15</v>
      </c>
    </row>
    <row r="818" spans="1:11" hidden="1" x14ac:dyDescent="0.35">
      <c r="A818" t="s">
        <v>1151</v>
      </c>
      <c r="B818" t="s">
        <v>246</v>
      </c>
      <c r="C818">
        <v>28540</v>
      </c>
      <c r="D818">
        <v>38557</v>
      </c>
      <c r="E818" s="12">
        <v>45678</v>
      </c>
      <c r="F818" s="12">
        <v>45798</v>
      </c>
      <c r="G818" s="10">
        <v>5128</v>
      </c>
      <c r="H818">
        <v>0</v>
      </c>
      <c r="I818" t="s">
        <v>1585</v>
      </c>
      <c r="J818" t="s">
        <v>34</v>
      </c>
      <c r="K818" t="s">
        <v>15</v>
      </c>
    </row>
    <row r="819" spans="1:11" hidden="1" x14ac:dyDescent="0.35">
      <c r="A819" t="s">
        <v>281</v>
      </c>
      <c r="B819" t="s">
        <v>282</v>
      </c>
      <c r="C819">
        <v>27504</v>
      </c>
      <c r="D819">
        <v>37270</v>
      </c>
      <c r="E819" s="12">
        <v>45589</v>
      </c>
      <c r="F819" s="12">
        <v>45799</v>
      </c>
      <c r="G819" s="10">
        <v>168535</v>
      </c>
      <c r="H819">
        <v>0</v>
      </c>
      <c r="I819" t="s">
        <v>403</v>
      </c>
      <c r="J819" t="s">
        <v>194</v>
      </c>
      <c r="K819" t="s">
        <v>15</v>
      </c>
    </row>
    <row r="820" spans="1:11" hidden="1" x14ac:dyDescent="0.35">
      <c r="A820" t="s">
        <v>191</v>
      </c>
      <c r="B820" t="s">
        <v>192</v>
      </c>
      <c r="C820">
        <v>27499</v>
      </c>
      <c r="D820">
        <v>37265</v>
      </c>
      <c r="E820" s="12">
        <v>45589</v>
      </c>
      <c r="F820" s="12">
        <v>45799</v>
      </c>
      <c r="G820" s="10">
        <v>29928.2</v>
      </c>
      <c r="H820">
        <v>0</v>
      </c>
      <c r="I820" t="s">
        <v>786</v>
      </c>
      <c r="J820" t="s">
        <v>194</v>
      </c>
      <c r="K820" t="s">
        <v>15</v>
      </c>
    </row>
    <row r="821" spans="1:11" hidden="1" x14ac:dyDescent="0.35">
      <c r="A821" t="s">
        <v>591</v>
      </c>
      <c r="B821" t="s">
        <v>592</v>
      </c>
      <c r="C821">
        <v>28567</v>
      </c>
      <c r="D821">
        <v>38585</v>
      </c>
      <c r="E821" s="12">
        <v>45679</v>
      </c>
      <c r="F821" s="12">
        <v>45799</v>
      </c>
      <c r="G821" s="10">
        <v>3681.01</v>
      </c>
      <c r="H821">
        <v>0</v>
      </c>
      <c r="I821" t="s">
        <v>593</v>
      </c>
      <c r="J821" t="s">
        <v>194</v>
      </c>
      <c r="K821" t="s">
        <v>15</v>
      </c>
    </row>
    <row r="822" spans="1:11" hidden="1" x14ac:dyDescent="0.35">
      <c r="A822" t="s">
        <v>288</v>
      </c>
      <c r="B822" t="s">
        <v>289</v>
      </c>
      <c r="C822">
        <v>29019</v>
      </c>
      <c r="D822">
        <v>39143</v>
      </c>
      <c r="E822" s="12">
        <v>45709</v>
      </c>
      <c r="F822" s="12">
        <v>45799</v>
      </c>
      <c r="G822" s="10">
        <v>66959.240000000005</v>
      </c>
      <c r="H822">
        <v>0</v>
      </c>
      <c r="I822" t="s">
        <v>996</v>
      </c>
      <c r="J822" t="s">
        <v>34</v>
      </c>
      <c r="K822" t="s">
        <v>15</v>
      </c>
    </row>
    <row r="823" spans="1:11" hidden="1" x14ac:dyDescent="0.35">
      <c r="A823" t="s">
        <v>954</v>
      </c>
      <c r="B823" t="s">
        <v>955</v>
      </c>
      <c r="C823">
        <v>28568</v>
      </c>
      <c r="D823">
        <v>38586</v>
      </c>
      <c r="E823" s="12">
        <v>45679</v>
      </c>
      <c r="F823" s="12">
        <v>45799</v>
      </c>
      <c r="G823" s="10">
        <v>42216</v>
      </c>
      <c r="H823">
        <v>0</v>
      </c>
      <c r="I823" t="s">
        <v>956</v>
      </c>
      <c r="J823" t="s">
        <v>34</v>
      </c>
      <c r="K823" t="s">
        <v>15</v>
      </c>
    </row>
    <row r="824" spans="1:11" hidden="1" x14ac:dyDescent="0.35">
      <c r="A824" t="s">
        <v>55</v>
      </c>
      <c r="B824" t="s">
        <v>56</v>
      </c>
      <c r="C824">
        <v>28564</v>
      </c>
      <c r="D824">
        <v>38582</v>
      </c>
      <c r="E824" s="12">
        <v>45679</v>
      </c>
      <c r="F824" s="12">
        <v>45799</v>
      </c>
      <c r="G824" s="10">
        <v>61976</v>
      </c>
      <c r="H824">
        <v>0</v>
      </c>
      <c r="I824" t="s">
        <v>208</v>
      </c>
      <c r="J824" t="s">
        <v>58</v>
      </c>
      <c r="K824" t="s">
        <v>15</v>
      </c>
    </row>
    <row r="825" spans="1:11" hidden="1" x14ac:dyDescent="0.35">
      <c r="A825" t="s">
        <v>31</v>
      </c>
      <c r="B825" t="s">
        <v>32</v>
      </c>
      <c r="C825">
        <v>29245</v>
      </c>
      <c r="D825">
        <v>39430</v>
      </c>
      <c r="E825" s="12">
        <v>45740</v>
      </c>
      <c r="F825" s="12">
        <v>45800</v>
      </c>
      <c r="G825" s="10">
        <v>1931.22</v>
      </c>
      <c r="H825">
        <v>0</v>
      </c>
      <c r="I825" t="s">
        <v>271</v>
      </c>
      <c r="J825" t="s">
        <v>34</v>
      </c>
      <c r="K825" t="s">
        <v>15</v>
      </c>
    </row>
    <row r="826" spans="1:11" hidden="1" x14ac:dyDescent="0.35">
      <c r="A826" t="s">
        <v>937</v>
      </c>
      <c r="B826" t="s">
        <v>286</v>
      </c>
      <c r="C826">
        <v>26598</v>
      </c>
      <c r="D826">
        <v>36246</v>
      </c>
      <c r="E826" s="12">
        <v>45530</v>
      </c>
      <c r="F826" s="12">
        <v>45800</v>
      </c>
      <c r="G826" s="10">
        <v>12188</v>
      </c>
      <c r="H826">
        <v>0</v>
      </c>
      <c r="I826" t="s">
        <v>938</v>
      </c>
      <c r="J826" t="s">
        <v>58</v>
      </c>
      <c r="K826" t="s">
        <v>15</v>
      </c>
    </row>
    <row r="827" spans="1:11" hidden="1" x14ac:dyDescent="0.35">
      <c r="A827" t="s">
        <v>285</v>
      </c>
      <c r="B827" t="s">
        <v>286</v>
      </c>
      <c r="C827">
        <v>26599</v>
      </c>
      <c r="D827">
        <v>36247</v>
      </c>
      <c r="E827" s="12">
        <v>45530</v>
      </c>
      <c r="F827" s="12">
        <v>45800</v>
      </c>
      <c r="G827" s="10">
        <v>12402</v>
      </c>
      <c r="H827">
        <v>0</v>
      </c>
      <c r="I827" t="s">
        <v>302</v>
      </c>
      <c r="J827" t="s">
        <v>58</v>
      </c>
      <c r="K827" t="s">
        <v>15</v>
      </c>
    </row>
    <row r="828" spans="1:11" hidden="1" x14ac:dyDescent="0.35">
      <c r="A828" t="s">
        <v>31</v>
      </c>
      <c r="B828" t="s">
        <v>32</v>
      </c>
      <c r="C828">
        <v>29246</v>
      </c>
      <c r="D828">
        <v>39431</v>
      </c>
      <c r="E828" s="12">
        <v>45740</v>
      </c>
      <c r="F828" s="12">
        <v>45800</v>
      </c>
      <c r="G828" s="10">
        <v>1931.22</v>
      </c>
      <c r="H828">
        <v>0</v>
      </c>
      <c r="I828" t="s">
        <v>271</v>
      </c>
      <c r="J828" t="s">
        <v>34</v>
      </c>
      <c r="K828" t="s">
        <v>15</v>
      </c>
    </row>
    <row r="829" spans="1:11" hidden="1" x14ac:dyDescent="0.35">
      <c r="A829" t="s">
        <v>31</v>
      </c>
      <c r="B829" t="s">
        <v>32</v>
      </c>
      <c r="C829">
        <v>29244</v>
      </c>
      <c r="D829">
        <v>39429</v>
      </c>
      <c r="E829" s="12">
        <v>45740</v>
      </c>
      <c r="F829" s="12">
        <v>45800</v>
      </c>
      <c r="G829" s="10">
        <v>20324.14</v>
      </c>
      <c r="H829">
        <v>0</v>
      </c>
      <c r="I829" t="s">
        <v>271</v>
      </c>
      <c r="J829" t="s">
        <v>34</v>
      </c>
      <c r="K829" t="s">
        <v>15</v>
      </c>
    </row>
    <row r="830" spans="1:11" hidden="1" x14ac:dyDescent="0.35">
      <c r="A830" t="s">
        <v>954</v>
      </c>
      <c r="B830" t="s">
        <v>955</v>
      </c>
      <c r="C830">
        <v>29262</v>
      </c>
      <c r="D830">
        <v>39451</v>
      </c>
      <c r="E830" s="12">
        <v>45742</v>
      </c>
      <c r="F830" s="12">
        <v>45802</v>
      </c>
      <c r="G830" s="10">
        <v>35558.400000000001</v>
      </c>
      <c r="H830">
        <v>0</v>
      </c>
      <c r="I830" t="s">
        <v>1652</v>
      </c>
      <c r="J830" t="s">
        <v>34</v>
      </c>
      <c r="K830" t="s">
        <v>15</v>
      </c>
    </row>
    <row r="831" spans="1:11" hidden="1" x14ac:dyDescent="0.35">
      <c r="A831" t="s">
        <v>594</v>
      </c>
      <c r="B831" t="s">
        <v>595</v>
      </c>
      <c r="C831">
        <v>28593</v>
      </c>
      <c r="D831">
        <v>38618</v>
      </c>
      <c r="E831" s="12">
        <v>45681</v>
      </c>
      <c r="F831" s="12">
        <v>45803</v>
      </c>
      <c r="G831" s="10">
        <v>75240</v>
      </c>
      <c r="H831">
        <v>0</v>
      </c>
      <c r="I831" t="s">
        <v>596</v>
      </c>
      <c r="J831" t="s">
        <v>58</v>
      </c>
      <c r="K831" t="s">
        <v>15</v>
      </c>
    </row>
    <row r="832" spans="1:11" hidden="1" x14ac:dyDescent="0.35">
      <c r="A832" t="s">
        <v>594</v>
      </c>
      <c r="B832" t="s">
        <v>595</v>
      </c>
      <c r="C832">
        <v>27881</v>
      </c>
      <c r="D832">
        <v>37729</v>
      </c>
      <c r="E832" s="12">
        <v>45622</v>
      </c>
      <c r="F832" s="12">
        <v>45803</v>
      </c>
      <c r="G832" s="10">
        <v>34475.06</v>
      </c>
      <c r="H832">
        <v>0</v>
      </c>
      <c r="I832" t="s">
        <v>1197</v>
      </c>
      <c r="J832" t="s">
        <v>58</v>
      </c>
      <c r="K832" t="s">
        <v>15</v>
      </c>
    </row>
    <row r="833" spans="1:11" hidden="1" x14ac:dyDescent="0.35">
      <c r="A833" t="s">
        <v>397</v>
      </c>
      <c r="B833" t="s">
        <v>398</v>
      </c>
      <c r="C833">
        <v>26603</v>
      </c>
      <c r="D833">
        <v>36252</v>
      </c>
      <c r="E833" s="12">
        <v>45531</v>
      </c>
      <c r="F833" s="12">
        <v>45803</v>
      </c>
      <c r="G833" s="10">
        <v>349564</v>
      </c>
      <c r="H833">
        <v>0</v>
      </c>
      <c r="I833" t="s">
        <v>800</v>
      </c>
      <c r="J833" t="s">
        <v>48</v>
      </c>
      <c r="K833" t="s">
        <v>15</v>
      </c>
    </row>
    <row r="834" spans="1:11" hidden="1" x14ac:dyDescent="0.35">
      <c r="A834" t="s">
        <v>227</v>
      </c>
      <c r="B834" t="s">
        <v>228</v>
      </c>
      <c r="C834">
        <v>26605</v>
      </c>
      <c r="D834">
        <v>36254</v>
      </c>
      <c r="E834" s="12">
        <v>45531</v>
      </c>
      <c r="F834" s="12">
        <v>45803</v>
      </c>
      <c r="G834" s="10">
        <v>60680</v>
      </c>
      <c r="H834">
        <v>0</v>
      </c>
      <c r="I834" t="s">
        <v>801</v>
      </c>
      <c r="J834" t="s">
        <v>48</v>
      </c>
      <c r="K834" t="s">
        <v>15</v>
      </c>
    </row>
    <row r="835" spans="1:11" hidden="1" x14ac:dyDescent="0.35">
      <c r="A835" t="s">
        <v>288</v>
      </c>
      <c r="B835" t="s">
        <v>289</v>
      </c>
      <c r="C835">
        <v>28250</v>
      </c>
      <c r="D835">
        <v>38204</v>
      </c>
      <c r="E835" s="12">
        <v>45652</v>
      </c>
      <c r="F835" s="12">
        <v>45803</v>
      </c>
      <c r="G835" s="10">
        <v>4670.4399999999996</v>
      </c>
      <c r="H835">
        <v>0</v>
      </c>
      <c r="I835" t="s">
        <v>996</v>
      </c>
      <c r="J835" t="s">
        <v>34</v>
      </c>
      <c r="K835" t="s">
        <v>15</v>
      </c>
    </row>
    <row r="836" spans="1:11" hidden="1" x14ac:dyDescent="0.35">
      <c r="A836" t="s">
        <v>594</v>
      </c>
      <c r="B836" t="s">
        <v>595</v>
      </c>
      <c r="C836">
        <v>28591</v>
      </c>
      <c r="D836">
        <v>38616</v>
      </c>
      <c r="E836" s="12">
        <v>45681</v>
      </c>
      <c r="F836" s="12">
        <v>45803</v>
      </c>
      <c r="G836" s="10">
        <v>21059.98</v>
      </c>
      <c r="H836">
        <v>0</v>
      </c>
      <c r="I836" t="s">
        <v>596</v>
      </c>
      <c r="J836" t="s">
        <v>58</v>
      </c>
      <c r="K836" t="s">
        <v>15</v>
      </c>
    </row>
    <row r="837" spans="1:11" hidden="1" x14ac:dyDescent="0.35">
      <c r="A837" t="s">
        <v>31</v>
      </c>
      <c r="B837" t="s">
        <v>32</v>
      </c>
      <c r="C837">
        <v>29260</v>
      </c>
      <c r="D837">
        <v>39448</v>
      </c>
      <c r="E837" s="12">
        <v>45741</v>
      </c>
      <c r="F837" s="12">
        <v>45803</v>
      </c>
      <c r="G837" s="10">
        <v>97.4</v>
      </c>
      <c r="H837">
        <v>0</v>
      </c>
      <c r="I837" t="s">
        <v>271</v>
      </c>
      <c r="J837" t="s">
        <v>34</v>
      </c>
      <c r="K837" t="s">
        <v>15</v>
      </c>
    </row>
    <row r="838" spans="1:11" hidden="1" x14ac:dyDescent="0.35">
      <c r="A838" t="s">
        <v>288</v>
      </c>
      <c r="B838" t="s">
        <v>289</v>
      </c>
      <c r="C838">
        <v>29025</v>
      </c>
      <c r="D838">
        <v>39153</v>
      </c>
      <c r="E838" s="12">
        <v>45712</v>
      </c>
      <c r="F838" s="12">
        <v>45803</v>
      </c>
      <c r="G838" s="10">
        <v>19080</v>
      </c>
      <c r="H838">
        <v>0</v>
      </c>
      <c r="I838" t="s">
        <v>996</v>
      </c>
      <c r="J838" t="s">
        <v>34</v>
      </c>
      <c r="K838" t="s">
        <v>15</v>
      </c>
    </row>
    <row r="839" spans="1:11" hidden="1" x14ac:dyDescent="0.35">
      <c r="A839" t="s">
        <v>31</v>
      </c>
      <c r="B839" t="s">
        <v>32</v>
      </c>
      <c r="C839">
        <v>29258</v>
      </c>
      <c r="D839">
        <v>39446</v>
      </c>
      <c r="E839" s="12">
        <v>45741</v>
      </c>
      <c r="F839" s="12">
        <v>45803</v>
      </c>
      <c r="G839" s="10">
        <v>353.33</v>
      </c>
      <c r="H839">
        <v>0</v>
      </c>
      <c r="I839" t="s">
        <v>271</v>
      </c>
      <c r="J839" t="s">
        <v>34</v>
      </c>
      <c r="K839" t="s">
        <v>15</v>
      </c>
    </row>
    <row r="840" spans="1:11" hidden="1" x14ac:dyDescent="0.35">
      <c r="A840" t="s">
        <v>31</v>
      </c>
      <c r="B840" t="s">
        <v>32</v>
      </c>
      <c r="C840">
        <v>29045</v>
      </c>
      <c r="D840">
        <v>39176</v>
      </c>
      <c r="E840" s="12">
        <v>45713</v>
      </c>
      <c r="F840" s="12">
        <v>45803</v>
      </c>
      <c r="G840" s="10">
        <v>13436.25</v>
      </c>
      <c r="H840">
        <v>0</v>
      </c>
      <c r="I840" t="s">
        <v>271</v>
      </c>
      <c r="J840" t="s">
        <v>34</v>
      </c>
      <c r="K840" t="s">
        <v>15</v>
      </c>
    </row>
    <row r="841" spans="1:11" hidden="1" x14ac:dyDescent="0.35">
      <c r="A841" t="s">
        <v>31</v>
      </c>
      <c r="B841" t="s">
        <v>32</v>
      </c>
      <c r="C841">
        <v>29154</v>
      </c>
      <c r="D841">
        <v>39322</v>
      </c>
      <c r="E841" s="12">
        <v>45728</v>
      </c>
      <c r="F841" s="12">
        <v>45803</v>
      </c>
      <c r="G841" s="10">
        <v>14305.54</v>
      </c>
      <c r="H841">
        <v>0</v>
      </c>
      <c r="I841" t="s">
        <v>1459</v>
      </c>
      <c r="J841" t="s">
        <v>34</v>
      </c>
      <c r="K841" t="s">
        <v>15</v>
      </c>
    </row>
    <row r="842" spans="1:11" hidden="1" x14ac:dyDescent="0.35">
      <c r="A842" t="s">
        <v>770</v>
      </c>
      <c r="B842" t="s">
        <v>771</v>
      </c>
      <c r="C842">
        <v>29023</v>
      </c>
      <c r="D842">
        <v>39151</v>
      </c>
      <c r="E842" s="12">
        <v>45712</v>
      </c>
      <c r="F842" s="12">
        <v>45803</v>
      </c>
      <c r="G842" s="10">
        <v>29039.97</v>
      </c>
      <c r="H842">
        <v>0</v>
      </c>
      <c r="I842" t="s">
        <v>1572</v>
      </c>
      <c r="J842" t="s">
        <v>44</v>
      </c>
      <c r="K842" t="s">
        <v>15</v>
      </c>
    </row>
    <row r="843" spans="1:11" hidden="1" x14ac:dyDescent="0.35">
      <c r="A843" t="s">
        <v>31</v>
      </c>
      <c r="B843" t="s">
        <v>32</v>
      </c>
      <c r="C843">
        <v>29259</v>
      </c>
      <c r="D843">
        <v>39447</v>
      </c>
      <c r="E843" s="12">
        <v>45741</v>
      </c>
      <c r="F843" s="12">
        <v>45803</v>
      </c>
      <c r="G843" s="10">
        <v>1965.44</v>
      </c>
      <c r="H843">
        <v>0</v>
      </c>
      <c r="I843" t="s">
        <v>271</v>
      </c>
      <c r="J843" t="s">
        <v>34</v>
      </c>
      <c r="K843" t="s">
        <v>15</v>
      </c>
    </row>
    <row r="844" spans="1:11" hidden="1" x14ac:dyDescent="0.35">
      <c r="A844" t="s">
        <v>31</v>
      </c>
      <c r="B844" t="s">
        <v>32</v>
      </c>
      <c r="C844">
        <v>29153</v>
      </c>
      <c r="D844">
        <v>39321</v>
      </c>
      <c r="E844" s="12">
        <v>45728</v>
      </c>
      <c r="F844" s="12">
        <v>45803</v>
      </c>
      <c r="G844" s="10">
        <v>6866.66</v>
      </c>
      <c r="H844">
        <v>0</v>
      </c>
      <c r="I844" t="s">
        <v>1518</v>
      </c>
      <c r="J844" t="s">
        <v>34</v>
      </c>
      <c r="K844" t="s">
        <v>15</v>
      </c>
    </row>
    <row r="845" spans="1:11" hidden="1" x14ac:dyDescent="0.35">
      <c r="A845" t="s">
        <v>1555</v>
      </c>
      <c r="B845" t="s">
        <v>1556</v>
      </c>
      <c r="C845">
        <v>29267</v>
      </c>
      <c r="D845">
        <v>39458</v>
      </c>
      <c r="E845" s="12">
        <v>45743</v>
      </c>
      <c r="F845" s="12">
        <v>45803</v>
      </c>
      <c r="G845" s="10">
        <v>29360</v>
      </c>
      <c r="H845">
        <v>0</v>
      </c>
      <c r="I845" t="s">
        <v>1557</v>
      </c>
      <c r="J845" t="s">
        <v>41</v>
      </c>
      <c r="K845" t="s">
        <v>15</v>
      </c>
    </row>
    <row r="846" spans="1:11" hidden="1" x14ac:dyDescent="0.35">
      <c r="A846" t="s">
        <v>288</v>
      </c>
      <c r="B846" t="s">
        <v>289</v>
      </c>
      <c r="C846">
        <v>29251</v>
      </c>
      <c r="D846">
        <v>39437</v>
      </c>
      <c r="E846" s="12">
        <v>45741</v>
      </c>
      <c r="F846" s="12">
        <v>45803</v>
      </c>
      <c r="G846" s="10">
        <v>14223.84</v>
      </c>
      <c r="H846">
        <v>0</v>
      </c>
      <c r="I846" t="s">
        <v>996</v>
      </c>
      <c r="J846" t="s">
        <v>34</v>
      </c>
      <c r="K846" t="s">
        <v>15</v>
      </c>
    </row>
    <row r="847" spans="1:11" hidden="1" x14ac:dyDescent="0.35">
      <c r="A847" t="s">
        <v>31</v>
      </c>
      <c r="B847" t="s">
        <v>32</v>
      </c>
      <c r="C847">
        <v>29044</v>
      </c>
      <c r="D847">
        <v>39175</v>
      </c>
      <c r="E847" s="12">
        <v>45713</v>
      </c>
      <c r="F847" s="12">
        <v>45803</v>
      </c>
      <c r="G847" s="10">
        <v>7734.7</v>
      </c>
      <c r="H847">
        <v>0</v>
      </c>
      <c r="I847" t="s">
        <v>271</v>
      </c>
      <c r="J847" t="s">
        <v>34</v>
      </c>
      <c r="K847" t="s">
        <v>15</v>
      </c>
    </row>
    <row r="848" spans="1:11" hidden="1" x14ac:dyDescent="0.35">
      <c r="A848" t="s">
        <v>31</v>
      </c>
      <c r="B848" t="s">
        <v>32</v>
      </c>
      <c r="C848">
        <v>29261</v>
      </c>
      <c r="D848">
        <v>39449</v>
      </c>
      <c r="E848" s="12">
        <v>45741</v>
      </c>
      <c r="F848" s="12">
        <v>45803</v>
      </c>
      <c r="G848" s="10">
        <v>2271.66</v>
      </c>
      <c r="H848">
        <v>0</v>
      </c>
      <c r="I848" t="s">
        <v>271</v>
      </c>
      <c r="J848" t="s">
        <v>34</v>
      </c>
      <c r="K848" t="s">
        <v>15</v>
      </c>
    </row>
    <row r="849" spans="1:11" hidden="1" x14ac:dyDescent="0.35">
      <c r="A849" t="s">
        <v>191</v>
      </c>
      <c r="B849" t="s">
        <v>192</v>
      </c>
      <c r="C849">
        <v>27599</v>
      </c>
      <c r="D849">
        <v>37367</v>
      </c>
      <c r="E849" s="12">
        <v>45594</v>
      </c>
      <c r="F849" s="12">
        <v>45804</v>
      </c>
      <c r="G849" s="10">
        <v>2709</v>
      </c>
      <c r="H849">
        <v>0</v>
      </c>
      <c r="I849" t="s">
        <v>748</v>
      </c>
      <c r="J849" t="s">
        <v>194</v>
      </c>
      <c r="K849" t="s">
        <v>15</v>
      </c>
    </row>
    <row r="850" spans="1:11" hidden="1" x14ac:dyDescent="0.35">
      <c r="A850" t="s">
        <v>725</v>
      </c>
      <c r="B850" t="s">
        <v>726</v>
      </c>
      <c r="C850">
        <v>29071</v>
      </c>
      <c r="D850">
        <v>39213</v>
      </c>
      <c r="E850" s="12">
        <v>45714</v>
      </c>
      <c r="F850" s="12">
        <v>45804</v>
      </c>
      <c r="G850" s="10">
        <v>4000</v>
      </c>
      <c r="H850">
        <v>0</v>
      </c>
      <c r="I850" t="s">
        <v>727</v>
      </c>
      <c r="J850" t="s">
        <v>111</v>
      </c>
      <c r="K850" t="s">
        <v>15</v>
      </c>
    </row>
    <row r="851" spans="1:11" hidden="1" x14ac:dyDescent="0.35">
      <c r="A851" t="s">
        <v>149</v>
      </c>
      <c r="B851" t="s">
        <v>150</v>
      </c>
      <c r="C851">
        <v>29063</v>
      </c>
      <c r="D851">
        <v>39203</v>
      </c>
      <c r="E851" s="12">
        <v>45714</v>
      </c>
      <c r="F851" s="12">
        <v>45804</v>
      </c>
      <c r="G851" s="10">
        <v>5597.55</v>
      </c>
      <c r="H851">
        <v>0</v>
      </c>
      <c r="I851" t="s">
        <v>1376</v>
      </c>
      <c r="J851" t="s">
        <v>152</v>
      </c>
    </row>
    <row r="852" spans="1:11" hidden="1" x14ac:dyDescent="0.35">
      <c r="A852" t="s">
        <v>31</v>
      </c>
      <c r="B852" t="s">
        <v>32</v>
      </c>
      <c r="C852">
        <v>27921</v>
      </c>
      <c r="D852">
        <v>37789</v>
      </c>
      <c r="E852" s="12">
        <v>45625</v>
      </c>
      <c r="F852" s="12">
        <v>45805</v>
      </c>
      <c r="G852" s="10">
        <v>18000.16</v>
      </c>
      <c r="H852">
        <v>0</v>
      </c>
      <c r="I852" t="s">
        <v>628</v>
      </c>
      <c r="J852" t="s">
        <v>34</v>
      </c>
      <c r="K852" t="s">
        <v>15</v>
      </c>
    </row>
    <row r="853" spans="1:11" hidden="1" x14ac:dyDescent="0.35">
      <c r="A853" t="s">
        <v>285</v>
      </c>
      <c r="B853" t="s">
        <v>286</v>
      </c>
      <c r="C853">
        <v>27915</v>
      </c>
      <c r="D853">
        <v>37783</v>
      </c>
      <c r="E853" s="12">
        <v>45625</v>
      </c>
      <c r="F853" s="12">
        <v>45805</v>
      </c>
      <c r="G853" s="10">
        <v>23314</v>
      </c>
      <c r="H853">
        <v>0</v>
      </c>
      <c r="I853" t="s">
        <v>339</v>
      </c>
      <c r="J853" t="s">
        <v>58</v>
      </c>
      <c r="K853" t="s">
        <v>15</v>
      </c>
    </row>
    <row r="854" spans="1:11" hidden="1" x14ac:dyDescent="0.35">
      <c r="A854" t="s">
        <v>587</v>
      </c>
      <c r="B854" t="s">
        <v>588</v>
      </c>
      <c r="C854">
        <v>27899</v>
      </c>
      <c r="D854">
        <v>37765</v>
      </c>
      <c r="E854" s="12">
        <v>45625</v>
      </c>
      <c r="F854" s="12">
        <v>45805</v>
      </c>
      <c r="G854" s="10">
        <v>3314.84</v>
      </c>
      <c r="H854">
        <v>0</v>
      </c>
      <c r="I854" t="s">
        <v>731</v>
      </c>
      <c r="J854" t="s">
        <v>44</v>
      </c>
      <c r="K854" t="s">
        <v>15</v>
      </c>
    </row>
    <row r="855" spans="1:11" hidden="1" x14ac:dyDescent="0.35">
      <c r="A855" t="s">
        <v>31</v>
      </c>
      <c r="B855" t="s">
        <v>32</v>
      </c>
      <c r="C855">
        <v>28678</v>
      </c>
      <c r="D855">
        <v>38719</v>
      </c>
      <c r="E855" s="12">
        <v>45685</v>
      </c>
      <c r="F855" s="12">
        <v>45805</v>
      </c>
      <c r="G855" s="10">
        <v>8138.84</v>
      </c>
      <c r="H855">
        <v>0</v>
      </c>
      <c r="I855" t="s">
        <v>271</v>
      </c>
      <c r="J855" t="s">
        <v>34</v>
      </c>
      <c r="K855" t="s">
        <v>15</v>
      </c>
    </row>
    <row r="856" spans="1:11" hidden="1" x14ac:dyDescent="0.35">
      <c r="A856" t="s">
        <v>174</v>
      </c>
      <c r="B856" t="s">
        <v>175</v>
      </c>
      <c r="C856">
        <v>27911</v>
      </c>
      <c r="D856">
        <v>37779</v>
      </c>
      <c r="E856" s="12">
        <v>45625</v>
      </c>
      <c r="F856" s="12">
        <v>45805</v>
      </c>
      <c r="G856" s="10">
        <v>5078</v>
      </c>
      <c r="H856">
        <v>0</v>
      </c>
      <c r="I856" t="s">
        <v>1012</v>
      </c>
      <c r="J856" t="s">
        <v>58</v>
      </c>
      <c r="K856" t="s">
        <v>15</v>
      </c>
    </row>
    <row r="857" spans="1:11" hidden="1" x14ac:dyDescent="0.35">
      <c r="A857" t="s">
        <v>31</v>
      </c>
      <c r="B857" t="s">
        <v>32</v>
      </c>
      <c r="C857">
        <v>28677</v>
      </c>
      <c r="D857">
        <v>38718</v>
      </c>
      <c r="E857" s="12">
        <v>45685</v>
      </c>
      <c r="F857" s="12">
        <v>45805</v>
      </c>
      <c r="G857" s="10">
        <v>9583.2800000000007</v>
      </c>
      <c r="H857">
        <v>0</v>
      </c>
      <c r="I857" t="s">
        <v>271</v>
      </c>
      <c r="J857" t="s">
        <v>34</v>
      </c>
      <c r="K857" t="s">
        <v>15</v>
      </c>
    </row>
    <row r="858" spans="1:11" hidden="1" x14ac:dyDescent="0.35">
      <c r="A858" t="s">
        <v>474</v>
      </c>
      <c r="B858" t="s">
        <v>475</v>
      </c>
      <c r="C858">
        <v>27914</v>
      </c>
      <c r="D858">
        <v>37782</v>
      </c>
      <c r="E858" s="12">
        <v>45625</v>
      </c>
      <c r="F858" s="12">
        <v>45805</v>
      </c>
      <c r="G858" s="10">
        <v>18010</v>
      </c>
      <c r="H858">
        <v>0</v>
      </c>
      <c r="I858" t="s">
        <v>1354</v>
      </c>
      <c r="J858" t="s">
        <v>44</v>
      </c>
      <c r="K858" t="s">
        <v>15</v>
      </c>
    </row>
    <row r="859" spans="1:11" hidden="1" x14ac:dyDescent="0.35">
      <c r="A859" t="s">
        <v>533</v>
      </c>
      <c r="B859" t="s">
        <v>36</v>
      </c>
      <c r="C859">
        <v>28663</v>
      </c>
      <c r="D859">
        <v>38701</v>
      </c>
      <c r="E859" s="12">
        <v>45685</v>
      </c>
      <c r="F859" s="12">
        <v>45805</v>
      </c>
      <c r="G859" s="10">
        <v>7200</v>
      </c>
      <c r="H859">
        <v>0</v>
      </c>
      <c r="I859" t="s">
        <v>1482</v>
      </c>
      <c r="J859" t="s">
        <v>22</v>
      </c>
    </row>
    <row r="860" spans="1:11" hidden="1" x14ac:dyDescent="0.35">
      <c r="A860" t="s">
        <v>249</v>
      </c>
      <c r="B860" t="s">
        <v>36</v>
      </c>
      <c r="C860">
        <v>28664</v>
      </c>
      <c r="D860">
        <v>38702</v>
      </c>
      <c r="E860" s="12">
        <v>45685</v>
      </c>
      <c r="F860" s="12">
        <v>45805</v>
      </c>
      <c r="G860" s="10">
        <v>8176</v>
      </c>
      <c r="H860">
        <v>0</v>
      </c>
      <c r="I860" t="s">
        <v>1363</v>
      </c>
      <c r="J860" t="s">
        <v>22</v>
      </c>
      <c r="K860" t="s">
        <v>15</v>
      </c>
    </row>
    <row r="861" spans="1:11" hidden="1" x14ac:dyDescent="0.35">
      <c r="A861" t="s">
        <v>411</v>
      </c>
      <c r="B861" t="s">
        <v>412</v>
      </c>
      <c r="C861">
        <v>27665</v>
      </c>
      <c r="D861">
        <v>37443</v>
      </c>
      <c r="E861" s="12">
        <v>45596</v>
      </c>
      <c r="F861" s="12">
        <v>45806</v>
      </c>
      <c r="G861" s="10">
        <v>15642</v>
      </c>
      <c r="H861">
        <v>0</v>
      </c>
      <c r="I861" t="s">
        <v>1149</v>
      </c>
      <c r="J861" t="s">
        <v>194</v>
      </c>
      <c r="K861" t="s">
        <v>15</v>
      </c>
    </row>
    <row r="862" spans="1:11" hidden="1" x14ac:dyDescent="0.35">
      <c r="A862" t="s">
        <v>31</v>
      </c>
      <c r="B862" t="s">
        <v>32</v>
      </c>
      <c r="C862">
        <v>27963</v>
      </c>
      <c r="D862">
        <v>37831</v>
      </c>
      <c r="E862" s="12">
        <v>45626</v>
      </c>
      <c r="F862" s="12">
        <v>45806</v>
      </c>
      <c r="G862" s="10">
        <v>18000.16</v>
      </c>
      <c r="H862">
        <v>0</v>
      </c>
      <c r="I862" t="s">
        <v>1216</v>
      </c>
      <c r="J862" t="s">
        <v>34</v>
      </c>
      <c r="K862" t="s">
        <v>15</v>
      </c>
    </row>
    <row r="863" spans="1:11" hidden="1" x14ac:dyDescent="0.35">
      <c r="A863" t="s">
        <v>281</v>
      </c>
      <c r="B863" t="s">
        <v>282</v>
      </c>
      <c r="C863">
        <v>27678</v>
      </c>
      <c r="D863">
        <v>37456</v>
      </c>
      <c r="E863" s="12">
        <v>45596</v>
      </c>
      <c r="F863" s="12">
        <v>45806</v>
      </c>
      <c r="G863" s="10">
        <v>32320</v>
      </c>
      <c r="H863">
        <v>0</v>
      </c>
      <c r="I863" t="s">
        <v>919</v>
      </c>
      <c r="J863" t="s">
        <v>194</v>
      </c>
      <c r="K863" t="s">
        <v>15</v>
      </c>
    </row>
    <row r="864" spans="1:11" hidden="1" x14ac:dyDescent="0.35">
      <c r="A864" t="s">
        <v>374</v>
      </c>
      <c r="B864" t="s">
        <v>310</v>
      </c>
      <c r="C864">
        <v>27632</v>
      </c>
      <c r="D864">
        <v>37406</v>
      </c>
      <c r="E864" s="12">
        <v>45596</v>
      </c>
      <c r="F864" s="12">
        <v>45806</v>
      </c>
      <c r="G864" s="10">
        <v>222300</v>
      </c>
      <c r="H864">
        <v>0</v>
      </c>
      <c r="I864" t="s">
        <v>651</v>
      </c>
      <c r="J864" t="s">
        <v>312</v>
      </c>
      <c r="K864" t="s">
        <v>15</v>
      </c>
    </row>
    <row r="865" spans="1:11" hidden="1" x14ac:dyDescent="0.35">
      <c r="A865" t="s">
        <v>411</v>
      </c>
      <c r="B865" t="s">
        <v>412</v>
      </c>
      <c r="C865">
        <v>27628</v>
      </c>
      <c r="D865">
        <v>37402</v>
      </c>
      <c r="E865" s="12">
        <v>45596</v>
      </c>
      <c r="F865" s="12">
        <v>45806</v>
      </c>
      <c r="G865" s="10">
        <v>24400</v>
      </c>
      <c r="H865">
        <v>0</v>
      </c>
      <c r="I865" t="s">
        <v>1348</v>
      </c>
      <c r="J865" t="s">
        <v>194</v>
      </c>
      <c r="K865" t="s">
        <v>15</v>
      </c>
    </row>
    <row r="866" spans="1:11" hidden="1" x14ac:dyDescent="0.35">
      <c r="A866" t="s">
        <v>96</v>
      </c>
      <c r="B866" t="s">
        <v>97</v>
      </c>
      <c r="C866">
        <v>27657</v>
      </c>
      <c r="D866">
        <v>37435</v>
      </c>
      <c r="E866" s="12">
        <v>45596</v>
      </c>
      <c r="F866" s="12">
        <v>45807</v>
      </c>
      <c r="G866" s="10">
        <v>14416</v>
      </c>
      <c r="H866">
        <v>0</v>
      </c>
      <c r="I866" t="s">
        <v>697</v>
      </c>
      <c r="J866" t="s">
        <v>99</v>
      </c>
      <c r="K866" t="s">
        <v>15</v>
      </c>
    </row>
    <row r="867" spans="1:11" hidden="1" x14ac:dyDescent="0.35">
      <c r="A867" t="s">
        <v>360</v>
      </c>
      <c r="B867" t="s">
        <v>20</v>
      </c>
      <c r="C867">
        <v>27666</v>
      </c>
      <c r="D867">
        <v>37444</v>
      </c>
      <c r="E867" s="12">
        <v>45596</v>
      </c>
      <c r="F867" s="12">
        <v>45807</v>
      </c>
      <c r="G867" s="10">
        <v>140300</v>
      </c>
      <c r="H867">
        <v>0</v>
      </c>
      <c r="I867" t="s">
        <v>698</v>
      </c>
      <c r="J867" t="s">
        <v>22</v>
      </c>
      <c r="K867" t="s">
        <v>15</v>
      </c>
    </row>
    <row r="868" spans="1:11" hidden="1" x14ac:dyDescent="0.35">
      <c r="A868" t="s">
        <v>360</v>
      </c>
      <c r="B868" t="s">
        <v>20</v>
      </c>
      <c r="C868">
        <v>26700</v>
      </c>
      <c r="D868">
        <v>36351</v>
      </c>
      <c r="E868" s="12">
        <v>45539</v>
      </c>
      <c r="F868" s="12">
        <v>45807</v>
      </c>
      <c r="G868" s="10">
        <v>369840</v>
      </c>
      <c r="H868">
        <v>0</v>
      </c>
      <c r="I868" t="s">
        <v>620</v>
      </c>
      <c r="J868" t="s">
        <v>22</v>
      </c>
      <c r="K868" t="s">
        <v>15</v>
      </c>
    </row>
    <row r="869" spans="1:11" hidden="1" x14ac:dyDescent="0.35">
      <c r="A869" t="s">
        <v>71</v>
      </c>
      <c r="B869" t="s">
        <v>72</v>
      </c>
      <c r="C869">
        <v>27568</v>
      </c>
      <c r="D869">
        <v>37332</v>
      </c>
      <c r="E869" s="12">
        <v>45593</v>
      </c>
      <c r="F869" s="12">
        <v>45807</v>
      </c>
      <c r="G869" s="10">
        <v>124260</v>
      </c>
      <c r="H869">
        <v>0</v>
      </c>
      <c r="I869" t="s">
        <v>625</v>
      </c>
      <c r="J869" t="s">
        <v>18</v>
      </c>
      <c r="K869" t="s">
        <v>15</v>
      </c>
    </row>
    <row r="870" spans="1:11" hidden="1" x14ac:dyDescent="0.35">
      <c r="A870" t="s">
        <v>16</v>
      </c>
      <c r="B870" t="s">
        <v>17</v>
      </c>
      <c r="C870">
        <v>28038</v>
      </c>
      <c r="D870">
        <v>37940</v>
      </c>
      <c r="E870" s="12">
        <v>45632</v>
      </c>
      <c r="F870" s="12">
        <v>45807</v>
      </c>
      <c r="G870" s="10">
        <v>26245.200000000001</v>
      </c>
      <c r="H870">
        <v>0</v>
      </c>
      <c r="I870" t="s">
        <v>630</v>
      </c>
      <c r="J870" t="s">
        <v>18</v>
      </c>
      <c r="K870" t="s">
        <v>15</v>
      </c>
    </row>
    <row r="871" spans="1:11" hidden="1" x14ac:dyDescent="0.35">
      <c r="A871" t="s">
        <v>180</v>
      </c>
      <c r="B871" t="s">
        <v>181</v>
      </c>
      <c r="C871">
        <v>26811</v>
      </c>
      <c r="D871">
        <v>36475</v>
      </c>
      <c r="E871" s="12">
        <v>45547</v>
      </c>
      <c r="F871" s="12">
        <v>45807</v>
      </c>
      <c r="G871" s="10">
        <v>120000</v>
      </c>
      <c r="H871">
        <v>0</v>
      </c>
      <c r="I871" t="s">
        <v>182</v>
      </c>
      <c r="J871" t="s">
        <v>99</v>
      </c>
      <c r="K871" t="s">
        <v>15</v>
      </c>
    </row>
    <row r="872" spans="1:11" hidden="1" x14ac:dyDescent="0.35">
      <c r="A872" t="s">
        <v>16</v>
      </c>
      <c r="B872" t="s">
        <v>17</v>
      </c>
      <c r="C872">
        <v>27093</v>
      </c>
      <c r="D872">
        <v>36791</v>
      </c>
      <c r="E872" s="12">
        <v>45561</v>
      </c>
      <c r="F872" s="12">
        <v>45807</v>
      </c>
      <c r="G872" s="10">
        <v>69785.2</v>
      </c>
      <c r="H872">
        <v>0</v>
      </c>
      <c r="I872" t="s">
        <v>186</v>
      </c>
      <c r="J872" t="s">
        <v>18</v>
      </c>
      <c r="K872" t="s">
        <v>15</v>
      </c>
    </row>
    <row r="873" spans="1:11" x14ac:dyDescent="0.35">
      <c r="A873" t="s">
        <v>139</v>
      </c>
      <c r="B873" t="s">
        <v>140</v>
      </c>
      <c r="C873">
        <v>27194</v>
      </c>
      <c r="D873">
        <v>36884</v>
      </c>
      <c r="E873" s="12">
        <v>45565</v>
      </c>
      <c r="F873" s="12">
        <v>45807</v>
      </c>
      <c r="G873" s="10">
        <v>187680</v>
      </c>
      <c r="H873">
        <v>0</v>
      </c>
      <c r="I873" t="s">
        <v>187</v>
      </c>
      <c r="J873" t="s">
        <v>26</v>
      </c>
      <c r="K873" t="s">
        <v>15</v>
      </c>
    </row>
    <row r="874" spans="1:11" hidden="1" x14ac:dyDescent="0.35">
      <c r="A874" t="s">
        <v>195</v>
      </c>
      <c r="B874" t="s">
        <v>196</v>
      </c>
      <c r="C874">
        <v>27562</v>
      </c>
      <c r="D874">
        <v>37325</v>
      </c>
      <c r="E874" s="12">
        <v>45593</v>
      </c>
      <c r="F874" s="12">
        <v>45807</v>
      </c>
      <c r="G874" s="10">
        <v>9499.24</v>
      </c>
      <c r="H874">
        <v>0</v>
      </c>
      <c r="I874" t="s">
        <v>199</v>
      </c>
      <c r="J874" t="s">
        <v>22</v>
      </c>
      <c r="K874" t="s">
        <v>15</v>
      </c>
    </row>
    <row r="875" spans="1:11" hidden="1" x14ac:dyDescent="0.35">
      <c r="A875" t="s">
        <v>85</v>
      </c>
      <c r="B875" t="s">
        <v>86</v>
      </c>
      <c r="C875">
        <v>27844</v>
      </c>
      <c r="D875">
        <v>37677</v>
      </c>
      <c r="E875" s="12">
        <v>45618</v>
      </c>
      <c r="F875" s="12">
        <v>45807</v>
      </c>
      <c r="G875" s="10">
        <v>104230</v>
      </c>
      <c r="H875">
        <v>0</v>
      </c>
      <c r="I875" t="s">
        <v>202</v>
      </c>
      <c r="J875" t="s">
        <v>41</v>
      </c>
      <c r="K875" t="s">
        <v>15</v>
      </c>
    </row>
    <row r="876" spans="1:11" hidden="1" x14ac:dyDescent="0.35">
      <c r="A876" t="s">
        <v>212</v>
      </c>
      <c r="B876" t="s">
        <v>213</v>
      </c>
      <c r="C876">
        <v>28730</v>
      </c>
      <c r="D876">
        <v>38778</v>
      </c>
      <c r="E876" s="12">
        <v>45687</v>
      </c>
      <c r="F876" s="12">
        <v>45807</v>
      </c>
      <c r="G876" s="10">
        <v>7596</v>
      </c>
      <c r="H876">
        <v>0</v>
      </c>
      <c r="I876" t="s">
        <v>214</v>
      </c>
      <c r="J876" t="s">
        <v>14</v>
      </c>
      <c r="K876" t="s">
        <v>15</v>
      </c>
    </row>
    <row r="877" spans="1:11" hidden="1" x14ac:dyDescent="0.35">
      <c r="A877" t="s">
        <v>258</v>
      </c>
      <c r="B877" t="s">
        <v>259</v>
      </c>
      <c r="C877">
        <v>26688</v>
      </c>
      <c r="D877">
        <v>36340</v>
      </c>
      <c r="E877" s="12">
        <v>45538</v>
      </c>
      <c r="F877" s="12">
        <v>45807</v>
      </c>
      <c r="G877" s="10">
        <v>648200</v>
      </c>
      <c r="H877">
        <v>0</v>
      </c>
      <c r="I877" t="s">
        <v>835</v>
      </c>
      <c r="J877" t="s">
        <v>18</v>
      </c>
      <c r="K877" t="s">
        <v>15</v>
      </c>
    </row>
    <row r="878" spans="1:11" hidden="1" x14ac:dyDescent="0.35">
      <c r="A878" t="s">
        <v>123</v>
      </c>
      <c r="B878" t="s">
        <v>124</v>
      </c>
      <c r="C878">
        <v>26731</v>
      </c>
      <c r="D878">
        <v>36389</v>
      </c>
      <c r="E878" s="12">
        <v>45540</v>
      </c>
      <c r="F878" s="12">
        <v>45807</v>
      </c>
      <c r="G878" s="10">
        <v>3600</v>
      </c>
      <c r="H878">
        <v>0</v>
      </c>
      <c r="I878" t="s">
        <v>836</v>
      </c>
      <c r="J878" t="s">
        <v>18</v>
      </c>
      <c r="K878" t="s">
        <v>15</v>
      </c>
    </row>
    <row r="879" spans="1:11" hidden="1" x14ac:dyDescent="0.35">
      <c r="A879" t="s">
        <v>306</v>
      </c>
      <c r="B879" t="s">
        <v>307</v>
      </c>
      <c r="C879">
        <v>27174</v>
      </c>
      <c r="D879">
        <v>36863</v>
      </c>
      <c r="E879" s="12">
        <v>45565</v>
      </c>
      <c r="F879" s="12">
        <v>45807</v>
      </c>
      <c r="G879" s="10">
        <v>80360</v>
      </c>
      <c r="H879">
        <v>0</v>
      </c>
      <c r="I879" t="s">
        <v>840</v>
      </c>
      <c r="J879" t="s">
        <v>18</v>
      </c>
      <c r="K879" t="s">
        <v>15</v>
      </c>
    </row>
    <row r="880" spans="1:11" hidden="1" x14ac:dyDescent="0.35">
      <c r="A880" t="s">
        <v>82</v>
      </c>
      <c r="B880" t="s">
        <v>83</v>
      </c>
      <c r="C880">
        <v>27506</v>
      </c>
      <c r="D880">
        <v>37272</v>
      </c>
      <c r="E880" s="12">
        <v>45589</v>
      </c>
      <c r="F880" s="12">
        <v>45807</v>
      </c>
      <c r="G880" s="10">
        <v>37125</v>
      </c>
      <c r="H880">
        <v>0</v>
      </c>
      <c r="I880" t="s">
        <v>844</v>
      </c>
      <c r="J880" t="s">
        <v>77</v>
      </c>
      <c r="K880" t="s">
        <v>15</v>
      </c>
    </row>
    <row r="881" spans="1:11" hidden="1" x14ac:dyDescent="0.35">
      <c r="A881" t="s">
        <v>360</v>
      </c>
      <c r="B881" t="s">
        <v>20</v>
      </c>
      <c r="C881">
        <v>26683</v>
      </c>
      <c r="D881">
        <v>36335</v>
      </c>
      <c r="E881" s="12">
        <v>45538</v>
      </c>
      <c r="F881" s="12">
        <v>45807</v>
      </c>
      <c r="G881" s="10">
        <v>7700</v>
      </c>
      <c r="H881">
        <v>0</v>
      </c>
      <c r="I881" t="s">
        <v>671</v>
      </c>
      <c r="J881" t="s">
        <v>22</v>
      </c>
      <c r="K881" t="s">
        <v>15</v>
      </c>
    </row>
    <row r="882" spans="1:11" hidden="1" x14ac:dyDescent="0.35">
      <c r="A882" t="s">
        <v>673</v>
      </c>
      <c r="B882" t="s">
        <v>674</v>
      </c>
      <c r="C882">
        <v>26866</v>
      </c>
      <c r="D882">
        <v>36538</v>
      </c>
      <c r="E882" s="12">
        <v>45548</v>
      </c>
      <c r="F882" s="12">
        <v>45807</v>
      </c>
      <c r="G882" s="10">
        <v>121602</v>
      </c>
      <c r="H882">
        <v>0</v>
      </c>
      <c r="I882" t="s">
        <v>675</v>
      </c>
      <c r="J882" t="s">
        <v>26</v>
      </c>
      <c r="K882" t="s">
        <v>15</v>
      </c>
    </row>
    <row r="883" spans="1:11" hidden="1" x14ac:dyDescent="0.35">
      <c r="A883" t="s">
        <v>85</v>
      </c>
      <c r="B883" t="s">
        <v>86</v>
      </c>
      <c r="C883">
        <v>27855</v>
      </c>
      <c r="D883">
        <v>37691</v>
      </c>
      <c r="E883" s="12">
        <v>45618</v>
      </c>
      <c r="F883" s="12">
        <v>45807</v>
      </c>
      <c r="G883" s="10">
        <v>32190</v>
      </c>
      <c r="H883">
        <v>0</v>
      </c>
      <c r="I883" t="s">
        <v>680</v>
      </c>
      <c r="J883" t="s">
        <v>41</v>
      </c>
      <c r="K883" t="s">
        <v>15</v>
      </c>
    </row>
    <row r="884" spans="1:11" hidden="1" x14ac:dyDescent="0.35">
      <c r="A884" t="s">
        <v>434</v>
      </c>
      <c r="B884" t="s">
        <v>435</v>
      </c>
      <c r="C884">
        <v>27079</v>
      </c>
      <c r="D884">
        <v>36773</v>
      </c>
      <c r="E884" s="12">
        <v>45560</v>
      </c>
      <c r="F884" s="12">
        <v>45807</v>
      </c>
      <c r="G884" s="10">
        <v>15800</v>
      </c>
      <c r="H884">
        <v>0</v>
      </c>
      <c r="I884" t="s">
        <v>1148</v>
      </c>
      <c r="J884" t="s">
        <v>22</v>
      </c>
      <c r="K884" t="s">
        <v>15</v>
      </c>
    </row>
    <row r="885" spans="1:11" hidden="1" x14ac:dyDescent="0.35">
      <c r="A885" t="s">
        <v>411</v>
      </c>
      <c r="B885" t="s">
        <v>412</v>
      </c>
      <c r="C885">
        <v>28626</v>
      </c>
      <c r="D885">
        <v>38658</v>
      </c>
      <c r="E885" s="12">
        <v>45684</v>
      </c>
      <c r="F885" s="12">
        <v>45807</v>
      </c>
      <c r="G885" s="10">
        <v>36390</v>
      </c>
      <c r="H885">
        <v>0</v>
      </c>
      <c r="I885" t="s">
        <v>450</v>
      </c>
      <c r="J885" t="s">
        <v>194</v>
      </c>
      <c r="K885" t="s">
        <v>15</v>
      </c>
    </row>
    <row r="886" spans="1:11" hidden="1" x14ac:dyDescent="0.35">
      <c r="A886" t="s">
        <v>31</v>
      </c>
      <c r="B886" t="s">
        <v>32</v>
      </c>
      <c r="C886">
        <v>28894</v>
      </c>
      <c r="D886">
        <v>38999</v>
      </c>
      <c r="E886" s="12">
        <v>45702</v>
      </c>
      <c r="F886" s="12">
        <v>45807</v>
      </c>
      <c r="G886" s="10">
        <v>2520</v>
      </c>
      <c r="H886">
        <v>0</v>
      </c>
      <c r="I886" t="s">
        <v>271</v>
      </c>
      <c r="J886" t="s">
        <v>34</v>
      </c>
      <c r="K886" t="s">
        <v>15</v>
      </c>
    </row>
    <row r="887" spans="1:11" hidden="1" x14ac:dyDescent="0.35">
      <c r="A887" t="s">
        <v>19</v>
      </c>
      <c r="B887" t="s">
        <v>20</v>
      </c>
      <c r="C887">
        <v>26739</v>
      </c>
      <c r="D887">
        <v>36403</v>
      </c>
      <c r="E887" s="12">
        <v>45544</v>
      </c>
      <c r="F887" s="12">
        <v>45807</v>
      </c>
      <c r="G887" s="10">
        <v>107460</v>
      </c>
      <c r="H887">
        <v>0</v>
      </c>
      <c r="I887" t="s">
        <v>21</v>
      </c>
      <c r="J887" t="s">
        <v>22</v>
      </c>
      <c r="K887" t="s">
        <v>15</v>
      </c>
    </row>
    <row r="888" spans="1:11" hidden="1" x14ac:dyDescent="0.35">
      <c r="A888" t="s">
        <v>23</v>
      </c>
      <c r="B888" t="s">
        <v>24</v>
      </c>
      <c r="C888">
        <v>27014</v>
      </c>
      <c r="D888">
        <v>36708</v>
      </c>
      <c r="E888" s="12">
        <v>45558</v>
      </c>
      <c r="F888" s="12">
        <v>45807</v>
      </c>
      <c r="G888" s="10">
        <v>5400</v>
      </c>
      <c r="H888">
        <v>0</v>
      </c>
      <c r="I888" t="s">
        <v>25</v>
      </c>
      <c r="J888" t="s">
        <v>26</v>
      </c>
      <c r="K888" t="s">
        <v>15</v>
      </c>
    </row>
    <row r="889" spans="1:11" hidden="1" x14ac:dyDescent="0.35">
      <c r="A889" t="s">
        <v>16</v>
      </c>
      <c r="B889" t="s">
        <v>17</v>
      </c>
      <c r="C889">
        <v>28752</v>
      </c>
      <c r="D889">
        <v>38830</v>
      </c>
      <c r="E889" s="12">
        <v>45692</v>
      </c>
      <c r="F889" s="12">
        <v>45807</v>
      </c>
      <c r="G889" s="10">
        <v>65461.5</v>
      </c>
      <c r="H889">
        <v>0</v>
      </c>
      <c r="I889" t="s">
        <v>609</v>
      </c>
      <c r="J889" t="s">
        <v>18</v>
      </c>
      <c r="K889" t="s">
        <v>15</v>
      </c>
    </row>
    <row r="890" spans="1:11" hidden="1" x14ac:dyDescent="0.35">
      <c r="A890" t="s">
        <v>71</v>
      </c>
      <c r="B890" t="s">
        <v>72</v>
      </c>
      <c r="C890">
        <v>27586</v>
      </c>
      <c r="D890">
        <v>37352</v>
      </c>
      <c r="E890" s="12">
        <v>45594</v>
      </c>
      <c r="F890" s="12">
        <v>45807</v>
      </c>
      <c r="G890" s="10">
        <v>16340</v>
      </c>
      <c r="H890">
        <v>0</v>
      </c>
      <c r="I890" t="s">
        <v>73</v>
      </c>
      <c r="J890" t="s">
        <v>18</v>
      </c>
      <c r="K890" t="s">
        <v>15</v>
      </c>
    </row>
    <row r="891" spans="1:11" hidden="1" x14ac:dyDescent="0.35">
      <c r="A891" t="s">
        <v>78</v>
      </c>
      <c r="B891" t="s">
        <v>79</v>
      </c>
      <c r="C891">
        <v>28156</v>
      </c>
      <c r="D891">
        <v>38089</v>
      </c>
      <c r="E891" s="12">
        <v>45643</v>
      </c>
      <c r="F891" s="12">
        <v>45807</v>
      </c>
      <c r="G891" s="10">
        <v>204760</v>
      </c>
      <c r="H891">
        <v>0</v>
      </c>
      <c r="I891" t="s">
        <v>80</v>
      </c>
      <c r="J891" t="s">
        <v>41</v>
      </c>
      <c r="K891" t="s">
        <v>15</v>
      </c>
    </row>
    <row r="892" spans="1:11" hidden="1" x14ac:dyDescent="0.35">
      <c r="A892" t="s">
        <v>82</v>
      </c>
      <c r="B892" t="s">
        <v>83</v>
      </c>
      <c r="C892">
        <v>28237</v>
      </c>
      <c r="D892">
        <v>38182</v>
      </c>
      <c r="E892" s="12">
        <v>45646</v>
      </c>
      <c r="F892" s="12">
        <v>45807</v>
      </c>
      <c r="G892" s="10">
        <v>26400</v>
      </c>
      <c r="H892">
        <v>0</v>
      </c>
      <c r="I892" t="s">
        <v>84</v>
      </c>
      <c r="J892" t="s">
        <v>77</v>
      </c>
      <c r="K892" t="s">
        <v>15</v>
      </c>
    </row>
    <row r="893" spans="1:11" hidden="1" x14ac:dyDescent="0.35">
      <c r="A893" t="s">
        <v>96</v>
      </c>
      <c r="B893" t="s">
        <v>97</v>
      </c>
      <c r="C893">
        <v>26868</v>
      </c>
      <c r="D893">
        <v>36541</v>
      </c>
      <c r="E893" s="12">
        <v>45548</v>
      </c>
      <c r="F893" s="12">
        <v>45807</v>
      </c>
      <c r="G893" s="10">
        <v>166916.79999999999</v>
      </c>
      <c r="H893">
        <v>0</v>
      </c>
      <c r="I893" t="s">
        <v>520</v>
      </c>
      <c r="J893" t="s">
        <v>99</v>
      </c>
      <c r="K893" t="s">
        <v>15</v>
      </c>
    </row>
    <row r="894" spans="1:11" hidden="1" x14ac:dyDescent="0.35">
      <c r="A894" t="s">
        <v>180</v>
      </c>
      <c r="B894" t="s">
        <v>181</v>
      </c>
      <c r="C894">
        <v>27902</v>
      </c>
      <c r="D894">
        <v>37768</v>
      </c>
      <c r="E894" s="12">
        <v>45625</v>
      </c>
      <c r="F894" s="12">
        <v>45807</v>
      </c>
      <c r="G894" s="10">
        <v>171608</v>
      </c>
      <c r="H894">
        <v>0</v>
      </c>
      <c r="I894" t="s">
        <v>527</v>
      </c>
      <c r="J894" t="s">
        <v>99</v>
      </c>
      <c r="K894" t="s">
        <v>15</v>
      </c>
    </row>
    <row r="895" spans="1:11" hidden="1" x14ac:dyDescent="0.35">
      <c r="A895" t="s">
        <v>227</v>
      </c>
      <c r="B895" t="s">
        <v>228</v>
      </c>
      <c r="C895">
        <v>27515</v>
      </c>
      <c r="D895">
        <v>37281</v>
      </c>
      <c r="E895" s="12">
        <v>45589</v>
      </c>
      <c r="F895" s="12">
        <v>45807</v>
      </c>
      <c r="G895" s="10">
        <v>20970</v>
      </c>
      <c r="H895">
        <v>0</v>
      </c>
      <c r="I895" t="s">
        <v>334</v>
      </c>
      <c r="J895" t="s">
        <v>48</v>
      </c>
      <c r="K895" t="s">
        <v>15</v>
      </c>
    </row>
    <row r="896" spans="1:11" hidden="1" x14ac:dyDescent="0.35">
      <c r="A896" t="s">
        <v>85</v>
      </c>
      <c r="B896" t="s">
        <v>86</v>
      </c>
      <c r="C896">
        <v>27540</v>
      </c>
      <c r="D896">
        <v>37305</v>
      </c>
      <c r="E896" s="12">
        <v>45590</v>
      </c>
      <c r="F896" s="12">
        <v>45807</v>
      </c>
      <c r="G896" s="10">
        <v>9400</v>
      </c>
      <c r="H896">
        <v>0</v>
      </c>
      <c r="I896" t="s">
        <v>335</v>
      </c>
      <c r="J896" t="s">
        <v>41</v>
      </c>
      <c r="K896" t="s">
        <v>15</v>
      </c>
    </row>
    <row r="897" spans="1:11" hidden="1" x14ac:dyDescent="0.35">
      <c r="A897" t="s">
        <v>180</v>
      </c>
      <c r="B897" t="s">
        <v>181</v>
      </c>
      <c r="C897">
        <v>27765</v>
      </c>
      <c r="D897">
        <v>37573</v>
      </c>
      <c r="E897" s="12">
        <v>45609</v>
      </c>
      <c r="F897" s="12">
        <v>45807</v>
      </c>
      <c r="G897" s="10">
        <v>38000</v>
      </c>
      <c r="H897">
        <v>0</v>
      </c>
      <c r="I897" t="s">
        <v>337</v>
      </c>
      <c r="J897" t="s">
        <v>99</v>
      </c>
      <c r="K897" t="s">
        <v>15</v>
      </c>
    </row>
    <row r="898" spans="1:11" hidden="1" x14ac:dyDescent="0.35">
      <c r="A898" t="s">
        <v>166</v>
      </c>
      <c r="B898" t="s">
        <v>167</v>
      </c>
      <c r="C898">
        <v>27940</v>
      </c>
      <c r="D898">
        <v>37808</v>
      </c>
      <c r="E898" s="12">
        <v>45625</v>
      </c>
      <c r="F898" s="12">
        <v>45807</v>
      </c>
      <c r="G898" s="10">
        <v>4964</v>
      </c>
      <c r="H898">
        <v>0</v>
      </c>
      <c r="I898" t="s">
        <v>340</v>
      </c>
      <c r="J898" t="s">
        <v>18</v>
      </c>
      <c r="K898" t="s">
        <v>15</v>
      </c>
    </row>
    <row r="899" spans="1:11" hidden="1" x14ac:dyDescent="0.35">
      <c r="A899" t="s">
        <v>258</v>
      </c>
      <c r="B899" t="s">
        <v>259</v>
      </c>
      <c r="C899">
        <v>26721</v>
      </c>
      <c r="D899">
        <v>36374</v>
      </c>
      <c r="E899" s="12">
        <v>45540</v>
      </c>
      <c r="F899" s="12">
        <v>45807</v>
      </c>
      <c r="G899" s="10">
        <v>212080</v>
      </c>
      <c r="H899">
        <v>0</v>
      </c>
      <c r="I899" t="s">
        <v>570</v>
      </c>
      <c r="J899" t="s">
        <v>18</v>
      </c>
      <c r="K899" t="s">
        <v>15</v>
      </c>
    </row>
    <row r="900" spans="1:11" hidden="1" x14ac:dyDescent="0.35">
      <c r="A900" t="s">
        <v>295</v>
      </c>
      <c r="B900" t="s">
        <v>36</v>
      </c>
      <c r="C900">
        <v>27021</v>
      </c>
      <c r="D900">
        <v>36715</v>
      </c>
      <c r="E900" s="12">
        <v>45558</v>
      </c>
      <c r="F900" s="12">
        <v>45807</v>
      </c>
      <c r="G900" s="10">
        <v>29760</v>
      </c>
      <c r="H900">
        <v>0</v>
      </c>
      <c r="I900" t="s">
        <v>572</v>
      </c>
      <c r="J900" t="s">
        <v>22</v>
      </c>
      <c r="K900" t="s">
        <v>15</v>
      </c>
    </row>
    <row r="901" spans="1:11" hidden="1" x14ac:dyDescent="0.35">
      <c r="A901" t="s">
        <v>462</v>
      </c>
      <c r="B901" t="s">
        <v>463</v>
      </c>
      <c r="C901">
        <v>27166</v>
      </c>
      <c r="D901">
        <v>36857</v>
      </c>
      <c r="E901" s="12">
        <v>45565</v>
      </c>
      <c r="F901" s="12">
        <v>45807</v>
      </c>
      <c r="G901" s="10">
        <v>57200</v>
      </c>
      <c r="H901">
        <v>0</v>
      </c>
      <c r="I901" t="s">
        <v>573</v>
      </c>
      <c r="J901" t="s">
        <v>18</v>
      </c>
      <c r="K901" t="s">
        <v>15</v>
      </c>
    </row>
    <row r="902" spans="1:11" hidden="1" x14ac:dyDescent="0.35">
      <c r="A902" t="s">
        <v>349</v>
      </c>
      <c r="B902" t="s">
        <v>350</v>
      </c>
      <c r="C902">
        <v>27196</v>
      </c>
      <c r="D902">
        <v>36886</v>
      </c>
      <c r="E902" s="12">
        <v>45565</v>
      </c>
      <c r="F902" s="12">
        <v>45807</v>
      </c>
      <c r="G902" s="10">
        <v>23460</v>
      </c>
      <c r="H902">
        <v>0</v>
      </c>
      <c r="I902" t="s">
        <v>574</v>
      </c>
      <c r="J902" t="s">
        <v>26</v>
      </c>
      <c r="K902" t="s">
        <v>15</v>
      </c>
    </row>
    <row r="903" spans="1:11" hidden="1" x14ac:dyDescent="0.35">
      <c r="A903" t="s">
        <v>166</v>
      </c>
      <c r="B903" t="s">
        <v>167</v>
      </c>
      <c r="C903">
        <v>27200</v>
      </c>
      <c r="D903">
        <v>36890</v>
      </c>
      <c r="E903" s="12">
        <v>45565</v>
      </c>
      <c r="F903" s="12">
        <v>45807</v>
      </c>
      <c r="G903" s="10">
        <v>268999.59999999998</v>
      </c>
      <c r="H903">
        <v>0</v>
      </c>
      <c r="I903" t="s">
        <v>575</v>
      </c>
      <c r="J903" t="s">
        <v>18</v>
      </c>
      <c r="K903" t="s">
        <v>15</v>
      </c>
    </row>
    <row r="904" spans="1:11" hidden="1" x14ac:dyDescent="0.35">
      <c r="A904" t="s">
        <v>166</v>
      </c>
      <c r="B904" t="s">
        <v>167</v>
      </c>
      <c r="C904">
        <v>27466</v>
      </c>
      <c r="D904">
        <v>37233</v>
      </c>
      <c r="E904" s="12">
        <v>45588</v>
      </c>
      <c r="F904" s="12">
        <v>45807</v>
      </c>
      <c r="G904" s="10">
        <v>238993.8</v>
      </c>
      <c r="H904">
        <v>0</v>
      </c>
      <c r="I904" t="s">
        <v>577</v>
      </c>
      <c r="J904" t="s">
        <v>18</v>
      </c>
      <c r="K904" t="s">
        <v>15</v>
      </c>
    </row>
    <row r="905" spans="1:11" hidden="1" x14ac:dyDescent="0.35">
      <c r="A905" t="s">
        <v>180</v>
      </c>
      <c r="B905" t="s">
        <v>181</v>
      </c>
      <c r="C905">
        <v>26810</v>
      </c>
      <c r="D905">
        <v>36474</v>
      </c>
      <c r="E905" s="12">
        <v>45547</v>
      </c>
      <c r="F905" s="12">
        <v>45807</v>
      </c>
      <c r="G905" s="10">
        <v>37000</v>
      </c>
      <c r="H905">
        <v>0</v>
      </c>
      <c r="I905" t="s">
        <v>962</v>
      </c>
      <c r="J905" t="s">
        <v>99</v>
      </c>
      <c r="K905" t="s">
        <v>15</v>
      </c>
    </row>
    <row r="906" spans="1:11" hidden="1" x14ac:dyDescent="0.35">
      <c r="A906" t="s">
        <v>133</v>
      </c>
      <c r="B906" t="s">
        <v>134</v>
      </c>
      <c r="C906">
        <v>27210</v>
      </c>
      <c r="D906">
        <v>36901</v>
      </c>
      <c r="E906" s="12">
        <v>45565</v>
      </c>
      <c r="F906" s="12">
        <v>45807</v>
      </c>
      <c r="G906" s="10">
        <v>36945</v>
      </c>
      <c r="H906">
        <v>0</v>
      </c>
      <c r="I906" t="s">
        <v>965</v>
      </c>
      <c r="J906" t="s">
        <v>77</v>
      </c>
      <c r="K906" t="s">
        <v>15</v>
      </c>
    </row>
    <row r="907" spans="1:11" hidden="1" x14ac:dyDescent="0.35">
      <c r="A907" t="s">
        <v>180</v>
      </c>
      <c r="B907" t="s">
        <v>181</v>
      </c>
      <c r="C907">
        <v>27764</v>
      </c>
      <c r="D907">
        <v>37572</v>
      </c>
      <c r="E907" s="12">
        <v>45609</v>
      </c>
      <c r="F907" s="12">
        <v>45807</v>
      </c>
      <c r="G907" s="10">
        <v>12060</v>
      </c>
      <c r="H907">
        <v>0</v>
      </c>
      <c r="I907" t="s">
        <v>968</v>
      </c>
      <c r="J907" t="s">
        <v>99</v>
      </c>
      <c r="K907" t="s">
        <v>15</v>
      </c>
    </row>
    <row r="908" spans="1:11" hidden="1" x14ac:dyDescent="0.35">
      <c r="A908" t="s">
        <v>23</v>
      </c>
      <c r="B908" t="s">
        <v>24</v>
      </c>
      <c r="C908">
        <v>26660</v>
      </c>
      <c r="D908">
        <v>36313</v>
      </c>
      <c r="E908" s="12">
        <v>45537</v>
      </c>
      <c r="F908" s="12">
        <v>45807</v>
      </c>
      <c r="G908" s="10">
        <v>240260</v>
      </c>
      <c r="H908">
        <v>0</v>
      </c>
      <c r="I908" t="s">
        <v>1207</v>
      </c>
      <c r="J908" t="s">
        <v>26</v>
      </c>
      <c r="K908" t="s">
        <v>15</v>
      </c>
    </row>
    <row r="909" spans="1:11" hidden="1" x14ac:dyDescent="0.35">
      <c r="A909" t="s">
        <v>482</v>
      </c>
      <c r="B909" t="s">
        <v>483</v>
      </c>
      <c r="C909">
        <v>26709</v>
      </c>
      <c r="D909">
        <v>36360</v>
      </c>
      <c r="E909" s="12">
        <v>45539</v>
      </c>
      <c r="F909" s="12">
        <v>45807</v>
      </c>
      <c r="G909" s="10">
        <v>54120</v>
      </c>
      <c r="H909">
        <v>0</v>
      </c>
      <c r="I909" t="s">
        <v>1208</v>
      </c>
      <c r="J909" t="s">
        <v>18</v>
      </c>
      <c r="K909" t="s">
        <v>15</v>
      </c>
    </row>
    <row r="910" spans="1:11" hidden="1" x14ac:dyDescent="0.35">
      <c r="A910" t="s">
        <v>360</v>
      </c>
      <c r="B910" t="s">
        <v>20</v>
      </c>
      <c r="C910">
        <v>26727</v>
      </c>
      <c r="D910">
        <v>36384</v>
      </c>
      <c r="E910" s="12">
        <v>45540</v>
      </c>
      <c r="F910" s="12">
        <v>45807</v>
      </c>
      <c r="G910" s="10">
        <v>384790</v>
      </c>
      <c r="H910">
        <v>0</v>
      </c>
      <c r="I910" t="s">
        <v>1209</v>
      </c>
      <c r="J910" t="s">
        <v>22</v>
      </c>
      <c r="K910" t="s">
        <v>15</v>
      </c>
    </row>
    <row r="911" spans="1:11" hidden="1" x14ac:dyDescent="0.35">
      <c r="A911" t="s">
        <v>78</v>
      </c>
      <c r="B911" t="s">
        <v>79</v>
      </c>
      <c r="C911">
        <v>27845</v>
      </c>
      <c r="D911">
        <v>37678</v>
      </c>
      <c r="E911" s="12">
        <v>45618</v>
      </c>
      <c r="F911" s="12">
        <v>45807</v>
      </c>
      <c r="G911" s="10">
        <v>41768</v>
      </c>
      <c r="H911">
        <v>0</v>
      </c>
      <c r="I911" t="s">
        <v>1215</v>
      </c>
      <c r="J911" t="s">
        <v>41</v>
      </c>
      <c r="K911" t="s">
        <v>15</v>
      </c>
    </row>
    <row r="912" spans="1:11" hidden="1" x14ac:dyDescent="0.35">
      <c r="A912" t="s">
        <v>349</v>
      </c>
      <c r="B912" t="s">
        <v>350</v>
      </c>
      <c r="C912">
        <v>27981</v>
      </c>
      <c r="D912">
        <v>37874</v>
      </c>
      <c r="E912" s="12">
        <v>45630</v>
      </c>
      <c r="F912" s="12">
        <v>45807</v>
      </c>
      <c r="G912" s="10">
        <v>16500</v>
      </c>
      <c r="H912">
        <v>0</v>
      </c>
      <c r="I912" t="s">
        <v>1217</v>
      </c>
      <c r="J912" t="s">
        <v>26</v>
      </c>
      <c r="K912" t="s">
        <v>15</v>
      </c>
    </row>
    <row r="913" spans="1:11" hidden="1" x14ac:dyDescent="0.35">
      <c r="A913" t="s">
        <v>85</v>
      </c>
      <c r="B913" t="s">
        <v>86</v>
      </c>
      <c r="C913">
        <v>27947</v>
      </c>
      <c r="D913">
        <v>37815</v>
      </c>
      <c r="E913" s="12">
        <v>45625</v>
      </c>
      <c r="F913" s="12">
        <v>45807</v>
      </c>
      <c r="G913" s="10">
        <v>51504</v>
      </c>
      <c r="H913">
        <v>0</v>
      </c>
      <c r="I913" t="s">
        <v>610</v>
      </c>
      <c r="J913" t="s">
        <v>41</v>
      </c>
      <c r="K913" t="s">
        <v>15</v>
      </c>
    </row>
    <row r="914" spans="1:11" hidden="1" x14ac:dyDescent="0.35">
      <c r="A914" t="s">
        <v>252</v>
      </c>
      <c r="B914" t="s">
        <v>253</v>
      </c>
      <c r="C914">
        <v>26729</v>
      </c>
      <c r="D914">
        <v>36387</v>
      </c>
      <c r="E914" s="12">
        <v>45540</v>
      </c>
      <c r="F914" s="12">
        <v>45807</v>
      </c>
      <c r="G914" s="10">
        <v>18000</v>
      </c>
      <c r="H914">
        <v>0</v>
      </c>
      <c r="I914" t="s">
        <v>1085</v>
      </c>
      <c r="J914" t="s">
        <v>18</v>
      </c>
      <c r="K914" t="s">
        <v>15</v>
      </c>
    </row>
    <row r="915" spans="1:11" hidden="1" x14ac:dyDescent="0.35">
      <c r="A915" t="s">
        <v>82</v>
      </c>
      <c r="B915" t="s">
        <v>83</v>
      </c>
      <c r="C915">
        <v>27583</v>
      </c>
      <c r="D915">
        <v>37349</v>
      </c>
      <c r="E915" s="12">
        <v>45594</v>
      </c>
      <c r="F915" s="12">
        <v>45807</v>
      </c>
      <c r="G915" s="10">
        <v>285376</v>
      </c>
      <c r="H915">
        <v>0</v>
      </c>
      <c r="I915" t="s">
        <v>1094</v>
      </c>
      <c r="J915" t="s">
        <v>77</v>
      </c>
      <c r="K915" t="s">
        <v>15</v>
      </c>
    </row>
    <row r="916" spans="1:11" hidden="1" x14ac:dyDescent="0.35">
      <c r="A916" t="s">
        <v>558</v>
      </c>
      <c r="B916" t="s">
        <v>559</v>
      </c>
      <c r="C916">
        <v>26710</v>
      </c>
      <c r="D916">
        <v>36361</v>
      </c>
      <c r="E916" s="12">
        <v>45539</v>
      </c>
      <c r="F916" s="12">
        <v>45807</v>
      </c>
      <c r="G916" s="10">
        <v>103800</v>
      </c>
      <c r="H916">
        <v>0</v>
      </c>
      <c r="I916" t="s">
        <v>1185</v>
      </c>
      <c r="J916" t="s">
        <v>18</v>
      </c>
      <c r="K916" t="s">
        <v>15</v>
      </c>
    </row>
    <row r="917" spans="1:11" hidden="1" x14ac:dyDescent="0.35">
      <c r="A917" t="s">
        <v>23</v>
      </c>
      <c r="B917" t="s">
        <v>24</v>
      </c>
      <c r="C917">
        <v>27328</v>
      </c>
      <c r="D917">
        <v>37045</v>
      </c>
      <c r="E917" s="12">
        <v>45574</v>
      </c>
      <c r="F917" s="12">
        <v>45807</v>
      </c>
      <c r="G917" s="10">
        <v>343080</v>
      </c>
      <c r="H917">
        <v>0</v>
      </c>
      <c r="I917" t="s">
        <v>1192</v>
      </c>
      <c r="J917" t="s">
        <v>26</v>
      </c>
      <c r="K917" t="s">
        <v>15</v>
      </c>
    </row>
    <row r="918" spans="1:11" hidden="1" x14ac:dyDescent="0.35">
      <c r="A918" t="s">
        <v>85</v>
      </c>
      <c r="B918" t="s">
        <v>86</v>
      </c>
      <c r="C918">
        <v>27539</v>
      </c>
      <c r="D918">
        <v>37304</v>
      </c>
      <c r="E918" s="12">
        <v>45590</v>
      </c>
      <c r="F918" s="12">
        <v>45807</v>
      </c>
      <c r="G918" s="10">
        <v>12876</v>
      </c>
      <c r="H918">
        <v>0</v>
      </c>
      <c r="I918" t="s">
        <v>1226</v>
      </c>
      <c r="J918" t="s">
        <v>41</v>
      </c>
      <c r="K918" t="s">
        <v>15</v>
      </c>
    </row>
    <row r="919" spans="1:11" hidden="1" x14ac:dyDescent="0.35">
      <c r="A919" t="s">
        <v>770</v>
      </c>
      <c r="B919" t="s">
        <v>771</v>
      </c>
      <c r="C919">
        <v>28718</v>
      </c>
      <c r="D919">
        <v>38762</v>
      </c>
      <c r="E919" s="12">
        <v>45687</v>
      </c>
      <c r="F919" s="12">
        <v>45807</v>
      </c>
      <c r="G919" s="10">
        <v>3171.5</v>
      </c>
      <c r="H919">
        <v>0</v>
      </c>
      <c r="I919" t="s">
        <v>772</v>
      </c>
      <c r="J919" t="s">
        <v>44</v>
      </c>
      <c r="K919" t="s">
        <v>15</v>
      </c>
    </row>
    <row r="920" spans="1:11" hidden="1" x14ac:dyDescent="0.35">
      <c r="A920" t="s">
        <v>71</v>
      </c>
      <c r="B920" t="s">
        <v>72</v>
      </c>
      <c r="C920">
        <v>27718</v>
      </c>
      <c r="D920">
        <v>37517</v>
      </c>
      <c r="E920" s="12">
        <v>45604</v>
      </c>
      <c r="F920" s="12">
        <v>45807</v>
      </c>
      <c r="G920" s="10">
        <v>7980</v>
      </c>
      <c r="H920">
        <v>0</v>
      </c>
      <c r="I920" t="s">
        <v>1060</v>
      </c>
      <c r="J920" t="s">
        <v>18</v>
      </c>
      <c r="K920" t="s">
        <v>15</v>
      </c>
    </row>
    <row r="921" spans="1:11" hidden="1" x14ac:dyDescent="0.35">
      <c r="A921" t="s">
        <v>180</v>
      </c>
      <c r="B921" t="s">
        <v>181</v>
      </c>
      <c r="C921">
        <v>28150</v>
      </c>
      <c r="D921">
        <v>38083</v>
      </c>
      <c r="E921" s="12">
        <v>45643</v>
      </c>
      <c r="F921" s="12">
        <v>45807</v>
      </c>
      <c r="G921" s="10">
        <v>18392</v>
      </c>
      <c r="H921">
        <v>0</v>
      </c>
      <c r="I921" t="s">
        <v>1061</v>
      </c>
      <c r="J921" t="s">
        <v>99</v>
      </c>
      <c r="K921" t="s">
        <v>15</v>
      </c>
    </row>
    <row r="922" spans="1:11" hidden="1" x14ac:dyDescent="0.35">
      <c r="A922" t="s">
        <v>203</v>
      </c>
      <c r="B922" t="s">
        <v>56</v>
      </c>
      <c r="C922">
        <v>28720</v>
      </c>
      <c r="D922">
        <v>38764</v>
      </c>
      <c r="E922" s="12">
        <v>45687</v>
      </c>
      <c r="F922" s="12">
        <v>45807</v>
      </c>
      <c r="G922" s="10">
        <v>81240</v>
      </c>
      <c r="H922">
        <v>0</v>
      </c>
      <c r="I922" t="s">
        <v>907</v>
      </c>
      <c r="J922" t="s">
        <v>58</v>
      </c>
      <c r="K922" t="s">
        <v>15</v>
      </c>
    </row>
    <row r="923" spans="1:11" hidden="1" x14ac:dyDescent="0.35">
      <c r="A923" t="s">
        <v>227</v>
      </c>
      <c r="B923" t="s">
        <v>228</v>
      </c>
      <c r="C923">
        <v>26656</v>
      </c>
      <c r="D923">
        <v>36308</v>
      </c>
      <c r="E923" s="12">
        <v>45537</v>
      </c>
      <c r="F923" s="12">
        <v>45807</v>
      </c>
      <c r="G923" s="10">
        <v>150000</v>
      </c>
      <c r="H923">
        <v>0</v>
      </c>
      <c r="I923" t="s">
        <v>715</v>
      </c>
      <c r="J923" t="s">
        <v>48</v>
      </c>
      <c r="K923" t="s">
        <v>15</v>
      </c>
    </row>
    <row r="924" spans="1:11" hidden="1" x14ac:dyDescent="0.35">
      <c r="A924" t="s">
        <v>129</v>
      </c>
      <c r="B924" t="s">
        <v>130</v>
      </c>
      <c r="C924">
        <v>27299</v>
      </c>
      <c r="D924">
        <v>37013</v>
      </c>
      <c r="E924" s="12">
        <v>45569</v>
      </c>
      <c r="F924" s="12">
        <v>45807</v>
      </c>
      <c r="G924" s="10">
        <v>37200</v>
      </c>
      <c r="H924">
        <v>0</v>
      </c>
      <c r="I924" t="s">
        <v>718</v>
      </c>
      <c r="J924" t="s">
        <v>99</v>
      </c>
      <c r="K924" t="s">
        <v>15</v>
      </c>
    </row>
    <row r="925" spans="1:11" hidden="1" x14ac:dyDescent="0.35">
      <c r="A925" t="s">
        <v>180</v>
      </c>
      <c r="B925" t="s">
        <v>181</v>
      </c>
      <c r="C925">
        <v>27656</v>
      </c>
      <c r="D925">
        <v>37434</v>
      </c>
      <c r="E925" s="12">
        <v>45596</v>
      </c>
      <c r="F925" s="12">
        <v>45807</v>
      </c>
      <c r="G925" s="10">
        <v>45200</v>
      </c>
      <c r="H925">
        <v>0</v>
      </c>
      <c r="I925" t="s">
        <v>728</v>
      </c>
      <c r="J925" t="s">
        <v>99</v>
      </c>
      <c r="K925" t="s">
        <v>15</v>
      </c>
    </row>
    <row r="926" spans="1:11" hidden="1" x14ac:dyDescent="0.35">
      <c r="A926" t="s">
        <v>96</v>
      </c>
      <c r="B926" t="s">
        <v>97</v>
      </c>
      <c r="C926">
        <v>26870</v>
      </c>
      <c r="D926">
        <v>36543</v>
      </c>
      <c r="E926" s="12">
        <v>45548</v>
      </c>
      <c r="F926" s="12">
        <v>45807</v>
      </c>
      <c r="G926" s="10">
        <v>30100</v>
      </c>
      <c r="H926">
        <v>0</v>
      </c>
      <c r="I926" t="s">
        <v>855</v>
      </c>
      <c r="J926" t="s">
        <v>99</v>
      </c>
      <c r="K926" t="s">
        <v>15</v>
      </c>
    </row>
    <row r="927" spans="1:11" hidden="1" x14ac:dyDescent="0.35">
      <c r="A927" t="s">
        <v>277</v>
      </c>
      <c r="B927" t="s">
        <v>278</v>
      </c>
      <c r="C927">
        <v>27306</v>
      </c>
      <c r="D927">
        <v>37023</v>
      </c>
      <c r="E927" s="12">
        <v>45573</v>
      </c>
      <c r="F927" s="12">
        <v>45807</v>
      </c>
      <c r="G927" s="10">
        <v>35580</v>
      </c>
      <c r="H927">
        <v>0</v>
      </c>
      <c r="I927" t="s">
        <v>857</v>
      </c>
      <c r="J927" t="s">
        <v>77</v>
      </c>
    </row>
    <row r="928" spans="1:11" hidden="1" x14ac:dyDescent="0.35">
      <c r="A928" t="s">
        <v>180</v>
      </c>
      <c r="B928" t="s">
        <v>181</v>
      </c>
      <c r="C928">
        <v>26812</v>
      </c>
      <c r="D928">
        <v>36476</v>
      </c>
      <c r="E928" s="12">
        <v>45547</v>
      </c>
      <c r="F928" s="12">
        <v>45807</v>
      </c>
      <c r="G928" s="10">
        <v>203105</v>
      </c>
      <c r="H928">
        <v>0</v>
      </c>
      <c r="I928" t="s">
        <v>869</v>
      </c>
      <c r="J928" t="s">
        <v>99</v>
      </c>
      <c r="K928" t="s">
        <v>15</v>
      </c>
    </row>
    <row r="929" spans="1:11" x14ac:dyDescent="0.35">
      <c r="A929" t="s">
        <v>139</v>
      </c>
      <c r="B929" t="s">
        <v>140</v>
      </c>
      <c r="C929">
        <v>27948</v>
      </c>
      <c r="D929">
        <v>37816</v>
      </c>
      <c r="E929" s="12">
        <v>45625</v>
      </c>
      <c r="F929" s="12">
        <v>45807</v>
      </c>
      <c r="G929" s="10">
        <v>222500</v>
      </c>
      <c r="H929">
        <v>0</v>
      </c>
      <c r="I929" t="s">
        <v>874</v>
      </c>
      <c r="J929" t="s">
        <v>26</v>
      </c>
      <c r="K929" t="s">
        <v>15</v>
      </c>
    </row>
    <row r="930" spans="1:11" hidden="1" x14ac:dyDescent="0.35">
      <c r="A930" t="s">
        <v>78</v>
      </c>
      <c r="B930" t="s">
        <v>79</v>
      </c>
      <c r="C930">
        <v>28152</v>
      </c>
      <c r="D930">
        <v>38085</v>
      </c>
      <c r="E930" s="12">
        <v>45643</v>
      </c>
      <c r="F930" s="12">
        <v>45807</v>
      </c>
      <c r="G930" s="10">
        <v>35378</v>
      </c>
      <c r="H930">
        <v>0</v>
      </c>
      <c r="I930" t="s">
        <v>875</v>
      </c>
      <c r="J930" t="s">
        <v>41</v>
      </c>
      <c r="K930" t="s">
        <v>15</v>
      </c>
    </row>
    <row r="931" spans="1:11" hidden="1" x14ac:dyDescent="0.35">
      <c r="A931" t="s">
        <v>391</v>
      </c>
      <c r="B931" t="s">
        <v>392</v>
      </c>
      <c r="C931">
        <v>26968</v>
      </c>
      <c r="D931">
        <v>36653</v>
      </c>
      <c r="E931" s="12">
        <v>45554</v>
      </c>
      <c r="F931" s="12">
        <v>45807</v>
      </c>
      <c r="G931" s="10">
        <v>62281.8</v>
      </c>
      <c r="H931">
        <v>0</v>
      </c>
      <c r="I931" t="s">
        <v>393</v>
      </c>
      <c r="J931" t="s">
        <v>18</v>
      </c>
      <c r="K931" t="s">
        <v>15</v>
      </c>
    </row>
    <row r="932" spans="1:11" hidden="1" x14ac:dyDescent="0.35">
      <c r="A932" t="s">
        <v>405</v>
      </c>
      <c r="B932" t="s">
        <v>406</v>
      </c>
      <c r="C932">
        <v>27570</v>
      </c>
      <c r="D932">
        <v>37334</v>
      </c>
      <c r="E932" s="12">
        <v>45593</v>
      </c>
      <c r="F932" s="12">
        <v>45807</v>
      </c>
      <c r="G932" s="10">
        <v>52780</v>
      </c>
      <c r="H932">
        <v>0</v>
      </c>
      <c r="I932" t="s">
        <v>407</v>
      </c>
      <c r="J932" t="s">
        <v>18</v>
      </c>
      <c r="K932" t="s">
        <v>15</v>
      </c>
    </row>
    <row r="933" spans="1:11" hidden="1" x14ac:dyDescent="0.35">
      <c r="A933" t="s">
        <v>405</v>
      </c>
      <c r="B933" t="s">
        <v>406</v>
      </c>
      <c r="C933">
        <v>27587</v>
      </c>
      <c r="D933">
        <v>37353</v>
      </c>
      <c r="E933" s="12">
        <v>45594</v>
      </c>
      <c r="F933" s="12">
        <v>45807</v>
      </c>
      <c r="G933" s="10">
        <v>6840</v>
      </c>
      <c r="H933">
        <v>0</v>
      </c>
      <c r="I933" t="s">
        <v>408</v>
      </c>
      <c r="J933" t="s">
        <v>18</v>
      </c>
      <c r="K933" t="s">
        <v>15</v>
      </c>
    </row>
    <row r="934" spans="1:11" hidden="1" x14ac:dyDescent="0.35">
      <c r="A934" t="s">
        <v>166</v>
      </c>
      <c r="B934" t="s">
        <v>167</v>
      </c>
      <c r="C934">
        <v>27721</v>
      </c>
      <c r="D934">
        <v>37520</v>
      </c>
      <c r="E934" s="12">
        <v>45604</v>
      </c>
      <c r="F934" s="12">
        <v>45807</v>
      </c>
      <c r="G934" s="10">
        <v>16197</v>
      </c>
      <c r="H934">
        <v>0</v>
      </c>
      <c r="I934" t="s">
        <v>409</v>
      </c>
      <c r="J934" t="s">
        <v>18</v>
      </c>
      <c r="K934" t="s">
        <v>15</v>
      </c>
    </row>
    <row r="935" spans="1:11" hidden="1" x14ac:dyDescent="0.35">
      <c r="A935" t="s">
        <v>411</v>
      </c>
      <c r="B935" t="s">
        <v>412</v>
      </c>
      <c r="C935">
        <v>27872</v>
      </c>
      <c r="D935">
        <v>37719</v>
      </c>
      <c r="E935" s="12">
        <v>45621</v>
      </c>
      <c r="F935" s="12">
        <v>45807</v>
      </c>
      <c r="G935" s="10">
        <v>326723</v>
      </c>
      <c r="H935">
        <v>0</v>
      </c>
      <c r="I935" t="s">
        <v>413</v>
      </c>
      <c r="J935" t="s">
        <v>194</v>
      </c>
      <c r="K935" t="s">
        <v>15</v>
      </c>
    </row>
    <row r="936" spans="1:11" hidden="1" x14ac:dyDescent="0.35">
      <c r="A936" t="s">
        <v>322</v>
      </c>
      <c r="B936" t="s">
        <v>36</v>
      </c>
      <c r="C936">
        <v>27018</v>
      </c>
      <c r="D936">
        <v>36712</v>
      </c>
      <c r="E936" s="12">
        <v>45558</v>
      </c>
      <c r="F936" s="12">
        <v>45807</v>
      </c>
      <c r="G936" s="10">
        <v>16000</v>
      </c>
      <c r="H936">
        <v>0</v>
      </c>
      <c r="I936" t="s">
        <v>1116</v>
      </c>
      <c r="J936" t="s">
        <v>22</v>
      </c>
      <c r="K936" t="s">
        <v>15</v>
      </c>
    </row>
    <row r="937" spans="1:11" hidden="1" x14ac:dyDescent="0.35">
      <c r="A937" t="s">
        <v>82</v>
      </c>
      <c r="B937" t="s">
        <v>83</v>
      </c>
      <c r="C937">
        <v>27635</v>
      </c>
      <c r="D937">
        <v>37408</v>
      </c>
      <c r="E937" s="12">
        <v>45596</v>
      </c>
      <c r="F937" s="12">
        <v>45807</v>
      </c>
      <c r="G937" s="10">
        <v>204624</v>
      </c>
      <c r="H937">
        <v>0</v>
      </c>
      <c r="I937" t="s">
        <v>1120</v>
      </c>
      <c r="J937" t="s">
        <v>77</v>
      </c>
      <c r="K937" t="s">
        <v>15</v>
      </c>
    </row>
    <row r="938" spans="1:11" hidden="1" x14ac:dyDescent="0.35">
      <c r="A938" t="s">
        <v>96</v>
      </c>
      <c r="B938" t="s">
        <v>97</v>
      </c>
      <c r="C938">
        <v>27771</v>
      </c>
      <c r="D938">
        <v>37579</v>
      </c>
      <c r="E938" s="12">
        <v>45609</v>
      </c>
      <c r="F938" s="12">
        <v>45807</v>
      </c>
      <c r="G938" s="10">
        <v>9744</v>
      </c>
      <c r="H938">
        <v>0</v>
      </c>
      <c r="I938" t="s">
        <v>1121</v>
      </c>
      <c r="J938" t="s">
        <v>99</v>
      </c>
      <c r="K938" t="s">
        <v>15</v>
      </c>
    </row>
    <row r="939" spans="1:11" hidden="1" x14ac:dyDescent="0.35">
      <c r="A939" t="s">
        <v>96</v>
      </c>
      <c r="B939" t="s">
        <v>97</v>
      </c>
      <c r="C939">
        <v>27312</v>
      </c>
      <c r="D939">
        <v>37029</v>
      </c>
      <c r="E939" s="12">
        <v>45573</v>
      </c>
      <c r="F939" s="12">
        <v>45807</v>
      </c>
      <c r="G939" s="10">
        <v>15120</v>
      </c>
      <c r="H939">
        <v>0</v>
      </c>
      <c r="I939" t="s">
        <v>547</v>
      </c>
      <c r="J939" t="s">
        <v>99</v>
      </c>
      <c r="K939" t="s">
        <v>15</v>
      </c>
    </row>
    <row r="940" spans="1:11" hidden="1" x14ac:dyDescent="0.35">
      <c r="A940" t="s">
        <v>360</v>
      </c>
      <c r="B940" t="s">
        <v>20</v>
      </c>
      <c r="C940">
        <v>26703</v>
      </c>
      <c r="D940">
        <v>36354</v>
      </c>
      <c r="E940" s="12">
        <v>45539</v>
      </c>
      <c r="F940" s="12">
        <v>45807</v>
      </c>
      <c r="G940" s="10">
        <v>222000</v>
      </c>
      <c r="H940">
        <v>0</v>
      </c>
      <c r="I940" t="s">
        <v>671</v>
      </c>
      <c r="J940" t="s">
        <v>22</v>
      </c>
      <c r="K940" t="s">
        <v>15</v>
      </c>
    </row>
    <row r="941" spans="1:11" hidden="1" x14ac:dyDescent="0.35">
      <c r="A941" t="s">
        <v>322</v>
      </c>
      <c r="B941" t="s">
        <v>36</v>
      </c>
      <c r="C941">
        <v>27016</v>
      </c>
      <c r="D941">
        <v>36710</v>
      </c>
      <c r="E941" s="12">
        <v>45558</v>
      </c>
      <c r="F941" s="12">
        <v>45807</v>
      </c>
      <c r="G941" s="10">
        <v>5200</v>
      </c>
      <c r="H941">
        <v>0</v>
      </c>
      <c r="I941" t="s">
        <v>805</v>
      </c>
      <c r="J941" t="s">
        <v>22</v>
      </c>
      <c r="K941" t="s">
        <v>15</v>
      </c>
    </row>
    <row r="942" spans="1:11" hidden="1" x14ac:dyDescent="0.35">
      <c r="A942" t="s">
        <v>82</v>
      </c>
      <c r="B942" t="s">
        <v>83</v>
      </c>
      <c r="C942">
        <v>27505</v>
      </c>
      <c r="D942">
        <v>37271</v>
      </c>
      <c r="E942" s="12">
        <v>45589</v>
      </c>
      <c r="F942" s="12">
        <v>45807</v>
      </c>
      <c r="G942" s="10">
        <v>144794.4</v>
      </c>
      <c r="H942">
        <v>0</v>
      </c>
      <c r="I942" t="s">
        <v>1283</v>
      </c>
      <c r="J942" t="s">
        <v>77</v>
      </c>
      <c r="K942" t="s">
        <v>15</v>
      </c>
    </row>
    <row r="943" spans="1:11" hidden="1" x14ac:dyDescent="0.35">
      <c r="A943" t="s">
        <v>78</v>
      </c>
      <c r="B943" t="s">
        <v>79</v>
      </c>
      <c r="C943">
        <v>27937</v>
      </c>
      <c r="D943">
        <v>37805</v>
      </c>
      <c r="E943" s="12">
        <v>45625</v>
      </c>
      <c r="F943" s="12">
        <v>45807</v>
      </c>
      <c r="G943" s="10">
        <v>46615</v>
      </c>
      <c r="H943">
        <v>0</v>
      </c>
      <c r="I943" t="s">
        <v>1288</v>
      </c>
      <c r="J943" t="s">
        <v>41</v>
      </c>
      <c r="K943" t="s">
        <v>15</v>
      </c>
    </row>
    <row r="944" spans="1:11" hidden="1" x14ac:dyDescent="0.35">
      <c r="A944" t="s">
        <v>60</v>
      </c>
      <c r="B944" t="s">
        <v>20</v>
      </c>
      <c r="C944">
        <v>26733</v>
      </c>
      <c r="D944">
        <v>36391</v>
      </c>
      <c r="E944" s="12">
        <v>45541</v>
      </c>
      <c r="F944" s="12">
        <v>45807</v>
      </c>
      <c r="G944" s="10">
        <v>110780</v>
      </c>
      <c r="H944">
        <v>0</v>
      </c>
      <c r="I944" t="s">
        <v>507</v>
      </c>
      <c r="J944" t="s">
        <v>22</v>
      </c>
      <c r="K944" t="s">
        <v>15</v>
      </c>
    </row>
    <row r="945" spans="1:11" hidden="1" x14ac:dyDescent="0.35">
      <c r="A945" t="s">
        <v>349</v>
      </c>
      <c r="B945" t="s">
        <v>350</v>
      </c>
      <c r="C945">
        <v>26867</v>
      </c>
      <c r="D945">
        <v>36539</v>
      </c>
      <c r="E945" s="12">
        <v>45548</v>
      </c>
      <c r="F945" s="12">
        <v>45807</v>
      </c>
      <c r="G945" s="10">
        <v>36825</v>
      </c>
      <c r="H945">
        <v>0</v>
      </c>
      <c r="I945" t="s">
        <v>509</v>
      </c>
      <c r="J945" t="s">
        <v>26</v>
      </c>
      <c r="K945" t="s">
        <v>15</v>
      </c>
    </row>
    <row r="946" spans="1:11" hidden="1" x14ac:dyDescent="0.35">
      <c r="A946" t="s">
        <v>166</v>
      </c>
      <c r="B946" t="s">
        <v>167</v>
      </c>
      <c r="C946">
        <v>27720</v>
      </c>
      <c r="D946">
        <v>37519</v>
      </c>
      <c r="E946" s="12">
        <v>45604</v>
      </c>
      <c r="F946" s="12">
        <v>45807</v>
      </c>
      <c r="G946" s="10">
        <v>31062</v>
      </c>
      <c r="H946">
        <v>0</v>
      </c>
      <c r="I946" t="s">
        <v>899</v>
      </c>
      <c r="J946" t="s">
        <v>18</v>
      </c>
      <c r="K946" t="s">
        <v>15</v>
      </c>
    </row>
    <row r="947" spans="1:11" hidden="1" x14ac:dyDescent="0.35">
      <c r="A947" t="s">
        <v>295</v>
      </c>
      <c r="B947" t="s">
        <v>36</v>
      </c>
      <c r="C947">
        <v>26744</v>
      </c>
      <c r="D947">
        <v>36406</v>
      </c>
      <c r="E947" s="12">
        <v>45544</v>
      </c>
      <c r="F947" s="12">
        <v>45807</v>
      </c>
      <c r="G947" s="10">
        <v>129460</v>
      </c>
      <c r="H947">
        <v>0</v>
      </c>
      <c r="I947" t="s">
        <v>822</v>
      </c>
      <c r="J947" t="s">
        <v>22</v>
      </c>
      <c r="K947" t="s">
        <v>15</v>
      </c>
    </row>
    <row r="948" spans="1:11" hidden="1" x14ac:dyDescent="0.35">
      <c r="A948" t="s">
        <v>60</v>
      </c>
      <c r="B948" t="s">
        <v>20</v>
      </c>
      <c r="C948">
        <v>27025</v>
      </c>
      <c r="D948">
        <v>36719</v>
      </c>
      <c r="E948" s="12">
        <v>45558</v>
      </c>
      <c r="F948" s="12">
        <v>45807</v>
      </c>
      <c r="G948" s="10">
        <v>23000</v>
      </c>
      <c r="H948">
        <v>0</v>
      </c>
      <c r="I948" t="s">
        <v>823</v>
      </c>
      <c r="J948" t="s">
        <v>22</v>
      </c>
      <c r="K948" t="s">
        <v>15</v>
      </c>
    </row>
    <row r="949" spans="1:11" hidden="1" x14ac:dyDescent="0.35">
      <c r="A949" t="s">
        <v>85</v>
      </c>
      <c r="B949" t="s">
        <v>86</v>
      </c>
      <c r="C949">
        <v>27780</v>
      </c>
      <c r="D949">
        <v>37597</v>
      </c>
      <c r="E949" s="12">
        <v>45610</v>
      </c>
      <c r="F949" s="12">
        <v>45807</v>
      </c>
      <c r="G949" s="10">
        <v>12300</v>
      </c>
      <c r="H949">
        <v>0</v>
      </c>
      <c r="I949" t="s">
        <v>826</v>
      </c>
      <c r="J949" t="s">
        <v>41</v>
      </c>
      <c r="K949" t="s">
        <v>15</v>
      </c>
    </row>
    <row r="950" spans="1:11" x14ac:dyDescent="0.35">
      <c r="A950" t="s">
        <v>139</v>
      </c>
      <c r="B950" t="s">
        <v>140</v>
      </c>
      <c r="C950">
        <v>27980</v>
      </c>
      <c r="D950">
        <v>37873</v>
      </c>
      <c r="E950" s="12">
        <v>45630</v>
      </c>
      <c r="F950" s="12">
        <v>45807</v>
      </c>
      <c r="G950" s="10">
        <v>33000</v>
      </c>
      <c r="H950">
        <v>0</v>
      </c>
      <c r="I950" t="s">
        <v>827</v>
      </c>
      <c r="J950" t="s">
        <v>26</v>
      </c>
      <c r="K950" t="s">
        <v>15</v>
      </c>
    </row>
    <row r="951" spans="1:11" hidden="1" x14ac:dyDescent="0.35">
      <c r="A951" t="s">
        <v>227</v>
      </c>
      <c r="B951" t="s">
        <v>228</v>
      </c>
      <c r="C951">
        <v>26327</v>
      </c>
      <c r="D951">
        <v>35949</v>
      </c>
      <c r="E951" s="12">
        <v>45509</v>
      </c>
      <c r="F951" s="12">
        <v>45807</v>
      </c>
      <c r="G951" s="10">
        <v>175000</v>
      </c>
      <c r="H951">
        <v>0</v>
      </c>
      <c r="I951" t="s">
        <v>229</v>
      </c>
      <c r="J951" t="s">
        <v>48</v>
      </c>
      <c r="K951" t="s">
        <v>15</v>
      </c>
    </row>
    <row r="952" spans="1:11" hidden="1" x14ac:dyDescent="0.35">
      <c r="A952" t="s">
        <v>233</v>
      </c>
      <c r="B952" t="s">
        <v>234</v>
      </c>
      <c r="C952">
        <v>27206</v>
      </c>
      <c r="D952">
        <v>36897</v>
      </c>
      <c r="E952" s="12">
        <v>45565</v>
      </c>
      <c r="F952" s="12">
        <v>45807</v>
      </c>
      <c r="G952" s="10">
        <v>150000</v>
      </c>
      <c r="H952">
        <v>0</v>
      </c>
      <c r="I952" t="s">
        <v>235</v>
      </c>
      <c r="J952" t="s">
        <v>77</v>
      </c>
      <c r="K952" t="s">
        <v>15</v>
      </c>
    </row>
    <row r="953" spans="1:11" hidden="1" x14ac:dyDescent="0.35">
      <c r="A953" t="s">
        <v>82</v>
      </c>
      <c r="B953" t="s">
        <v>83</v>
      </c>
      <c r="C953">
        <v>27556</v>
      </c>
      <c r="D953">
        <v>37318</v>
      </c>
      <c r="E953" s="12">
        <v>45590</v>
      </c>
      <c r="F953" s="12">
        <v>45807</v>
      </c>
      <c r="G953" s="10">
        <v>1316</v>
      </c>
      <c r="H953">
        <v>0</v>
      </c>
      <c r="I953" t="s">
        <v>240</v>
      </c>
      <c r="J953" t="s">
        <v>77</v>
      </c>
      <c r="K953" t="s">
        <v>15</v>
      </c>
    </row>
    <row r="954" spans="1:11" hidden="1" x14ac:dyDescent="0.35">
      <c r="A954" t="s">
        <v>180</v>
      </c>
      <c r="B954" t="s">
        <v>181</v>
      </c>
      <c r="C954">
        <v>28124</v>
      </c>
      <c r="D954">
        <v>38057</v>
      </c>
      <c r="E954" s="12">
        <v>45642</v>
      </c>
      <c r="F954" s="12">
        <v>45807</v>
      </c>
      <c r="G954" s="10">
        <v>25080</v>
      </c>
      <c r="H954">
        <v>0</v>
      </c>
      <c r="I954" t="s">
        <v>241</v>
      </c>
      <c r="J954" t="s">
        <v>99</v>
      </c>
      <c r="K954" t="s">
        <v>15</v>
      </c>
    </row>
    <row r="955" spans="1:11" hidden="1" x14ac:dyDescent="0.35">
      <c r="A955" t="s">
        <v>19</v>
      </c>
      <c r="B955" t="s">
        <v>20</v>
      </c>
      <c r="C955">
        <v>26803</v>
      </c>
      <c r="D955">
        <v>36467</v>
      </c>
      <c r="E955" s="12">
        <v>45547</v>
      </c>
      <c r="F955" s="12">
        <v>45807</v>
      </c>
      <c r="G955" s="10">
        <v>65912.72</v>
      </c>
      <c r="H955">
        <v>0</v>
      </c>
      <c r="I955" t="s">
        <v>458</v>
      </c>
      <c r="J955" t="s">
        <v>22</v>
      </c>
      <c r="K955" t="s">
        <v>15</v>
      </c>
    </row>
    <row r="956" spans="1:11" hidden="1" x14ac:dyDescent="0.35">
      <c r="A956" t="s">
        <v>462</v>
      </c>
      <c r="B956" t="s">
        <v>463</v>
      </c>
      <c r="C956">
        <v>27167</v>
      </c>
      <c r="D956">
        <v>36858</v>
      </c>
      <c r="E956" s="12">
        <v>45565</v>
      </c>
      <c r="F956" s="12">
        <v>45807</v>
      </c>
      <c r="G956" s="10">
        <v>9900</v>
      </c>
      <c r="H956">
        <v>0</v>
      </c>
      <c r="I956" t="s">
        <v>464</v>
      </c>
      <c r="J956" t="s">
        <v>18</v>
      </c>
      <c r="K956" t="s">
        <v>15</v>
      </c>
    </row>
    <row r="957" spans="1:11" hidden="1" x14ac:dyDescent="0.35">
      <c r="A957" t="s">
        <v>397</v>
      </c>
      <c r="B957" t="s">
        <v>398</v>
      </c>
      <c r="C957">
        <v>28354</v>
      </c>
      <c r="D957">
        <v>38341</v>
      </c>
      <c r="E957" s="12">
        <v>45666</v>
      </c>
      <c r="F957" s="12">
        <v>45807</v>
      </c>
      <c r="G957" s="10">
        <v>25740.799999999999</v>
      </c>
      <c r="H957">
        <v>0</v>
      </c>
      <c r="I957" t="s">
        <v>481</v>
      </c>
      <c r="J957" t="s">
        <v>48</v>
      </c>
      <c r="K957" t="s">
        <v>15</v>
      </c>
    </row>
    <row r="958" spans="1:11" hidden="1" x14ac:dyDescent="0.35">
      <c r="A958" t="s">
        <v>277</v>
      </c>
      <c r="B958" t="s">
        <v>278</v>
      </c>
      <c r="C958">
        <v>27319</v>
      </c>
      <c r="D958">
        <v>37036</v>
      </c>
      <c r="E958" s="12">
        <v>45574</v>
      </c>
      <c r="F958" s="12">
        <v>45807</v>
      </c>
      <c r="G958" s="10">
        <v>31320</v>
      </c>
      <c r="H958">
        <v>0</v>
      </c>
      <c r="I958" t="s">
        <v>279</v>
      </c>
      <c r="J958" t="s">
        <v>77</v>
      </c>
    </row>
    <row r="959" spans="1:11" hidden="1" x14ac:dyDescent="0.35">
      <c r="A959" t="s">
        <v>96</v>
      </c>
      <c r="B959" t="s">
        <v>97</v>
      </c>
      <c r="C959">
        <v>27770</v>
      </c>
      <c r="D959">
        <v>37578</v>
      </c>
      <c r="E959" s="12">
        <v>45609</v>
      </c>
      <c r="F959" s="12">
        <v>45807</v>
      </c>
      <c r="G959" s="10">
        <v>187589.6</v>
      </c>
      <c r="H959">
        <v>0</v>
      </c>
      <c r="I959" t="s">
        <v>284</v>
      </c>
      <c r="J959" t="s">
        <v>99</v>
      </c>
      <c r="K959" t="s">
        <v>15</v>
      </c>
    </row>
    <row r="960" spans="1:11" hidden="1" x14ac:dyDescent="0.35">
      <c r="A960" t="s">
        <v>236</v>
      </c>
      <c r="B960" t="s">
        <v>237</v>
      </c>
      <c r="C960">
        <v>28155</v>
      </c>
      <c r="D960">
        <v>38088</v>
      </c>
      <c r="E960" s="12">
        <v>45643</v>
      </c>
      <c r="F960" s="12">
        <v>45807</v>
      </c>
      <c r="G960" s="10">
        <v>35903</v>
      </c>
      <c r="H960">
        <v>0</v>
      </c>
      <c r="I960" t="s">
        <v>293</v>
      </c>
      <c r="J960" t="s">
        <v>41</v>
      </c>
      <c r="K960" t="s">
        <v>15</v>
      </c>
    </row>
    <row r="961" spans="1:11" hidden="1" x14ac:dyDescent="0.35">
      <c r="A961" t="s">
        <v>205</v>
      </c>
      <c r="B961" t="s">
        <v>56</v>
      </c>
      <c r="C961">
        <v>28724</v>
      </c>
      <c r="D961">
        <v>38769</v>
      </c>
      <c r="E961" s="12">
        <v>45687</v>
      </c>
      <c r="F961" s="12">
        <v>45807</v>
      </c>
      <c r="G961" s="10">
        <v>66840</v>
      </c>
      <c r="H961">
        <v>0</v>
      </c>
      <c r="I961" t="s">
        <v>679</v>
      </c>
      <c r="J961" t="s">
        <v>58</v>
      </c>
      <c r="K961" t="s">
        <v>15</v>
      </c>
    </row>
    <row r="962" spans="1:11" x14ac:dyDescent="0.35">
      <c r="A962" t="s">
        <v>139</v>
      </c>
      <c r="B962" t="s">
        <v>140</v>
      </c>
      <c r="C962">
        <v>27949</v>
      </c>
      <c r="D962">
        <v>37817</v>
      </c>
      <c r="E962" s="12">
        <v>45625</v>
      </c>
      <c r="F962" s="12">
        <v>45807</v>
      </c>
      <c r="G962" s="10">
        <v>157900</v>
      </c>
      <c r="H962">
        <v>0</v>
      </c>
      <c r="I962" t="s">
        <v>790</v>
      </c>
      <c r="J962" t="s">
        <v>26</v>
      </c>
      <c r="K962" t="s">
        <v>15</v>
      </c>
    </row>
    <row r="963" spans="1:11" hidden="1" x14ac:dyDescent="0.35">
      <c r="A963" t="s">
        <v>770</v>
      </c>
      <c r="B963" t="s">
        <v>771</v>
      </c>
      <c r="C963">
        <v>28717</v>
      </c>
      <c r="D963">
        <v>38761</v>
      </c>
      <c r="E963" s="12">
        <v>45687</v>
      </c>
      <c r="F963" s="12">
        <v>45807</v>
      </c>
      <c r="G963" s="10">
        <v>1276</v>
      </c>
      <c r="H963">
        <v>0</v>
      </c>
      <c r="I963" t="s">
        <v>772</v>
      </c>
      <c r="J963" t="s">
        <v>44</v>
      </c>
      <c r="K963" t="s">
        <v>15</v>
      </c>
    </row>
    <row r="964" spans="1:11" hidden="1" x14ac:dyDescent="0.35">
      <c r="A964" t="s">
        <v>23</v>
      </c>
      <c r="B964" t="s">
        <v>24</v>
      </c>
      <c r="C964">
        <v>27329</v>
      </c>
      <c r="D964">
        <v>37046</v>
      </c>
      <c r="E964" s="12">
        <v>45574</v>
      </c>
      <c r="F964" s="12">
        <v>45807</v>
      </c>
      <c r="G964" s="10">
        <v>242500</v>
      </c>
      <c r="H964">
        <v>0</v>
      </c>
      <c r="I964" t="s">
        <v>1240</v>
      </c>
      <c r="J964" t="s">
        <v>26</v>
      </c>
      <c r="K964" t="s">
        <v>15</v>
      </c>
    </row>
    <row r="965" spans="1:11" hidden="1" x14ac:dyDescent="0.35">
      <c r="A965" t="s">
        <v>227</v>
      </c>
      <c r="B965" t="s">
        <v>228</v>
      </c>
      <c r="C965">
        <v>27696</v>
      </c>
      <c r="D965">
        <v>37490</v>
      </c>
      <c r="E965" s="12">
        <v>45602</v>
      </c>
      <c r="F965" s="12">
        <v>45807</v>
      </c>
      <c r="G965" s="10">
        <v>9480</v>
      </c>
      <c r="H965">
        <v>0</v>
      </c>
      <c r="I965" t="s">
        <v>920</v>
      </c>
      <c r="J965" t="s">
        <v>48</v>
      </c>
      <c r="K965" t="s">
        <v>15</v>
      </c>
    </row>
    <row r="966" spans="1:11" hidden="1" x14ac:dyDescent="0.35">
      <c r="A966" t="s">
        <v>129</v>
      </c>
      <c r="B966" t="s">
        <v>130</v>
      </c>
      <c r="C966">
        <v>26872</v>
      </c>
      <c r="D966">
        <v>36545</v>
      </c>
      <c r="E966" s="12">
        <v>45548</v>
      </c>
      <c r="F966" s="12">
        <v>45807</v>
      </c>
      <c r="G966" s="10">
        <v>65850</v>
      </c>
      <c r="H966">
        <v>0</v>
      </c>
      <c r="I966" t="s">
        <v>1256</v>
      </c>
      <c r="J966" t="s">
        <v>99</v>
      </c>
      <c r="K966" t="s">
        <v>15</v>
      </c>
    </row>
    <row r="967" spans="1:11" hidden="1" x14ac:dyDescent="0.35">
      <c r="A967" t="s">
        <v>713</v>
      </c>
      <c r="B967" t="s">
        <v>36</v>
      </c>
      <c r="C967">
        <v>27022</v>
      </c>
      <c r="D967">
        <v>36716</v>
      </c>
      <c r="E967" s="12">
        <v>45558</v>
      </c>
      <c r="F967" s="12">
        <v>45807</v>
      </c>
      <c r="G967" s="10">
        <v>125400</v>
      </c>
      <c r="H967">
        <v>0</v>
      </c>
      <c r="I967" t="s">
        <v>1257</v>
      </c>
      <c r="J967" t="s">
        <v>22</v>
      </c>
    </row>
    <row r="968" spans="1:11" hidden="1" x14ac:dyDescent="0.35">
      <c r="A968" t="s">
        <v>360</v>
      </c>
      <c r="B968" t="s">
        <v>20</v>
      </c>
      <c r="C968">
        <v>27297</v>
      </c>
      <c r="D968">
        <v>37011</v>
      </c>
      <c r="E968" s="12">
        <v>45569</v>
      </c>
      <c r="F968" s="12">
        <v>45807</v>
      </c>
      <c r="G968" s="10">
        <v>173500</v>
      </c>
      <c r="H968">
        <v>0</v>
      </c>
      <c r="I968" t="s">
        <v>1258</v>
      </c>
      <c r="J968" t="s">
        <v>22</v>
      </c>
      <c r="K968" t="s">
        <v>15</v>
      </c>
    </row>
    <row r="969" spans="1:11" hidden="1" x14ac:dyDescent="0.35">
      <c r="A969" t="s">
        <v>411</v>
      </c>
      <c r="B969" t="s">
        <v>412</v>
      </c>
      <c r="C969">
        <v>27597</v>
      </c>
      <c r="D969">
        <v>37365</v>
      </c>
      <c r="E969" s="12">
        <v>45594</v>
      </c>
      <c r="F969" s="12">
        <v>45807</v>
      </c>
      <c r="G969" s="10">
        <v>84600</v>
      </c>
      <c r="H969">
        <v>0</v>
      </c>
      <c r="I969" t="s">
        <v>1259</v>
      </c>
      <c r="J969" t="s">
        <v>194</v>
      </c>
      <c r="K969" t="s">
        <v>15</v>
      </c>
    </row>
    <row r="970" spans="1:11" x14ac:dyDescent="0.35">
      <c r="A970" t="s">
        <v>139</v>
      </c>
      <c r="B970" t="s">
        <v>140</v>
      </c>
      <c r="C970">
        <v>27858</v>
      </c>
      <c r="D970">
        <v>37694</v>
      </c>
      <c r="E970" s="12">
        <v>45618</v>
      </c>
      <c r="F970" s="12">
        <v>45807</v>
      </c>
      <c r="G970" s="10">
        <v>13300</v>
      </c>
      <c r="H970">
        <v>0</v>
      </c>
      <c r="I970" t="s">
        <v>1260</v>
      </c>
      <c r="J970" t="s">
        <v>26</v>
      </c>
      <c r="K970" t="s">
        <v>15</v>
      </c>
    </row>
    <row r="971" spans="1:11" hidden="1" x14ac:dyDescent="0.35">
      <c r="A971" t="s">
        <v>306</v>
      </c>
      <c r="B971" t="s">
        <v>307</v>
      </c>
      <c r="C971">
        <v>27170</v>
      </c>
      <c r="D971">
        <v>36860</v>
      </c>
      <c r="E971" s="12">
        <v>45565</v>
      </c>
      <c r="F971" s="12">
        <v>45807</v>
      </c>
      <c r="G971" s="10">
        <v>14850</v>
      </c>
      <c r="H971">
        <v>0</v>
      </c>
      <c r="I971" t="s">
        <v>1682</v>
      </c>
      <c r="J971" t="s">
        <v>18</v>
      </c>
      <c r="K971" t="s">
        <v>15</v>
      </c>
    </row>
    <row r="972" spans="1:11" hidden="1" x14ac:dyDescent="0.35">
      <c r="A972" t="s">
        <v>166</v>
      </c>
      <c r="B972" t="s">
        <v>167</v>
      </c>
      <c r="C972">
        <v>27719</v>
      </c>
      <c r="D972">
        <v>37518</v>
      </c>
      <c r="E972" s="12">
        <v>45604</v>
      </c>
      <c r="F972" s="12">
        <v>45807</v>
      </c>
      <c r="G972" s="10">
        <v>64170</v>
      </c>
      <c r="H972">
        <v>0</v>
      </c>
      <c r="I972" t="s">
        <v>1684</v>
      </c>
      <c r="J972" t="s">
        <v>18</v>
      </c>
      <c r="K972" t="s">
        <v>15</v>
      </c>
    </row>
    <row r="973" spans="1:11" hidden="1" x14ac:dyDescent="0.35">
      <c r="A973" t="s">
        <v>23</v>
      </c>
      <c r="B973" t="s">
        <v>24</v>
      </c>
      <c r="C973">
        <v>27013</v>
      </c>
      <c r="D973">
        <v>36707</v>
      </c>
      <c r="E973" s="12">
        <v>45558</v>
      </c>
      <c r="F973" s="12">
        <v>45807</v>
      </c>
      <c r="G973" s="10">
        <v>93980</v>
      </c>
      <c r="H973">
        <v>0</v>
      </c>
      <c r="I973" t="s">
        <v>1297</v>
      </c>
      <c r="J973" t="s">
        <v>26</v>
      </c>
      <c r="K973" t="s">
        <v>15</v>
      </c>
    </row>
    <row r="974" spans="1:11" hidden="1" x14ac:dyDescent="0.35">
      <c r="A974" t="s">
        <v>411</v>
      </c>
      <c r="B974" t="s">
        <v>412</v>
      </c>
      <c r="C974">
        <v>28174</v>
      </c>
      <c r="D974">
        <v>38111</v>
      </c>
      <c r="E974" s="12">
        <v>45644</v>
      </c>
      <c r="F974" s="12">
        <v>45807</v>
      </c>
      <c r="G974" s="10">
        <v>55840</v>
      </c>
      <c r="H974">
        <v>0</v>
      </c>
      <c r="I974" t="s">
        <v>1302</v>
      </c>
      <c r="J974" t="s">
        <v>194</v>
      </c>
      <c r="K974" t="s">
        <v>15</v>
      </c>
    </row>
    <row r="975" spans="1:11" hidden="1" x14ac:dyDescent="0.35">
      <c r="A975" t="s">
        <v>31</v>
      </c>
      <c r="B975" t="s">
        <v>32</v>
      </c>
      <c r="C975">
        <v>28896</v>
      </c>
      <c r="D975">
        <v>39001</v>
      </c>
      <c r="E975" s="12">
        <v>45702</v>
      </c>
      <c r="F975" s="12">
        <v>45807</v>
      </c>
      <c r="G975" s="10">
        <v>387.78</v>
      </c>
      <c r="H975">
        <v>0</v>
      </c>
      <c r="I975" t="s">
        <v>271</v>
      </c>
      <c r="J975" t="s">
        <v>34</v>
      </c>
      <c r="K975" t="s">
        <v>15</v>
      </c>
    </row>
    <row r="976" spans="1:11" hidden="1" x14ac:dyDescent="0.35">
      <c r="A976" t="s">
        <v>261</v>
      </c>
      <c r="B976" t="s">
        <v>262</v>
      </c>
      <c r="C976">
        <v>26759</v>
      </c>
      <c r="D976">
        <v>36422</v>
      </c>
      <c r="E976" s="12">
        <v>45545</v>
      </c>
      <c r="F976" s="12">
        <v>45807</v>
      </c>
      <c r="G976" s="10">
        <v>283540</v>
      </c>
      <c r="H976">
        <v>0</v>
      </c>
      <c r="I976" t="s">
        <v>1034</v>
      </c>
      <c r="J976" t="s">
        <v>18</v>
      </c>
      <c r="K976" t="s">
        <v>15</v>
      </c>
    </row>
    <row r="977" spans="1:11" hidden="1" x14ac:dyDescent="0.35">
      <c r="A977" t="s">
        <v>16</v>
      </c>
      <c r="B977" t="s">
        <v>17</v>
      </c>
      <c r="C977">
        <v>27060</v>
      </c>
      <c r="D977">
        <v>36753</v>
      </c>
      <c r="E977" s="12">
        <v>45559</v>
      </c>
      <c r="F977" s="12">
        <v>45807</v>
      </c>
      <c r="G977" s="10">
        <v>166981.79999999999</v>
      </c>
      <c r="H977">
        <v>0</v>
      </c>
      <c r="I977" t="s">
        <v>1036</v>
      </c>
      <c r="J977" t="s">
        <v>18</v>
      </c>
      <c r="K977" t="s">
        <v>15</v>
      </c>
    </row>
    <row r="978" spans="1:11" hidden="1" x14ac:dyDescent="0.35">
      <c r="A978" t="s">
        <v>673</v>
      </c>
      <c r="B978" t="s">
        <v>674</v>
      </c>
      <c r="C978">
        <v>27195</v>
      </c>
      <c r="D978">
        <v>36885</v>
      </c>
      <c r="E978" s="12">
        <v>45565</v>
      </c>
      <c r="F978" s="12">
        <v>45807</v>
      </c>
      <c r="G978" s="10">
        <v>75072</v>
      </c>
      <c r="H978">
        <v>0</v>
      </c>
      <c r="I978" t="s">
        <v>1037</v>
      </c>
      <c r="J978" t="s">
        <v>26</v>
      </c>
      <c r="K978" t="s">
        <v>15</v>
      </c>
    </row>
    <row r="979" spans="1:11" hidden="1" x14ac:dyDescent="0.35">
      <c r="A979" t="s">
        <v>360</v>
      </c>
      <c r="B979" t="s">
        <v>20</v>
      </c>
      <c r="C979">
        <v>27677</v>
      </c>
      <c r="D979">
        <v>37455</v>
      </c>
      <c r="E979" s="12">
        <v>45596</v>
      </c>
      <c r="F979" s="12">
        <v>45807</v>
      </c>
      <c r="G979" s="10">
        <v>27550</v>
      </c>
      <c r="H979">
        <v>0</v>
      </c>
      <c r="I979" t="s">
        <v>1038</v>
      </c>
      <c r="J979" t="s">
        <v>22</v>
      </c>
      <c r="K979" t="s">
        <v>15</v>
      </c>
    </row>
    <row r="980" spans="1:11" hidden="1" x14ac:dyDescent="0.35">
      <c r="A980" t="s">
        <v>360</v>
      </c>
      <c r="B980" t="s">
        <v>20</v>
      </c>
      <c r="C980">
        <v>28245</v>
      </c>
      <c r="D980">
        <v>38196</v>
      </c>
      <c r="E980" s="12">
        <v>45652</v>
      </c>
      <c r="F980" s="12">
        <v>45807</v>
      </c>
      <c r="G980" s="10">
        <v>117060</v>
      </c>
      <c r="H980">
        <v>0</v>
      </c>
      <c r="I980" t="s">
        <v>1042</v>
      </c>
      <c r="J980" t="s">
        <v>22</v>
      </c>
      <c r="K980" t="s">
        <v>15</v>
      </c>
    </row>
    <row r="981" spans="1:11" hidden="1" x14ac:dyDescent="0.35">
      <c r="A981" t="s">
        <v>689</v>
      </c>
      <c r="B981" t="s">
        <v>668</v>
      </c>
      <c r="C981">
        <v>28999</v>
      </c>
      <c r="D981">
        <v>39121</v>
      </c>
      <c r="E981" s="12">
        <v>45708</v>
      </c>
      <c r="F981" s="12">
        <v>45807</v>
      </c>
      <c r="G981" s="10">
        <v>7130</v>
      </c>
      <c r="H981">
        <v>0</v>
      </c>
      <c r="I981" t="s">
        <v>1075</v>
      </c>
      <c r="J981" t="s">
        <v>26</v>
      </c>
      <c r="K981" t="s">
        <v>15</v>
      </c>
    </row>
    <row r="982" spans="1:11" hidden="1" x14ac:dyDescent="0.35">
      <c r="A982" t="s">
        <v>306</v>
      </c>
      <c r="B982" t="s">
        <v>307</v>
      </c>
      <c r="C982">
        <v>27173</v>
      </c>
      <c r="D982">
        <v>36862</v>
      </c>
      <c r="E982" s="12">
        <v>45565</v>
      </c>
      <c r="F982" s="12">
        <v>45807</v>
      </c>
      <c r="G982" s="10">
        <v>13500</v>
      </c>
      <c r="H982">
        <v>0</v>
      </c>
      <c r="I982" t="s">
        <v>983</v>
      </c>
      <c r="J982" t="s">
        <v>18</v>
      </c>
      <c r="K982" t="s">
        <v>15</v>
      </c>
    </row>
    <row r="983" spans="1:11" hidden="1" x14ac:dyDescent="0.35">
      <c r="A983" t="s">
        <v>984</v>
      </c>
      <c r="B983" t="s">
        <v>985</v>
      </c>
      <c r="C983">
        <v>27205</v>
      </c>
      <c r="D983">
        <v>36896</v>
      </c>
      <c r="E983" s="12">
        <v>45565</v>
      </c>
      <c r="F983" s="12">
        <v>45807</v>
      </c>
      <c r="G983" s="10">
        <v>36000</v>
      </c>
      <c r="H983">
        <v>0</v>
      </c>
      <c r="I983" t="s">
        <v>986</v>
      </c>
      <c r="J983" t="s">
        <v>77</v>
      </c>
      <c r="K983" t="s">
        <v>15</v>
      </c>
    </row>
    <row r="984" spans="1:11" hidden="1" x14ac:dyDescent="0.35">
      <c r="A984" t="s">
        <v>360</v>
      </c>
      <c r="B984" t="s">
        <v>20</v>
      </c>
      <c r="C984">
        <v>28016</v>
      </c>
      <c r="D984">
        <v>37918</v>
      </c>
      <c r="E984" s="12">
        <v>45631</v>
      </c>
      <c r="F984" s="12">
        <v>45807</v>
      </c>
      <c r="G984" s="10">
        <v>9787.5</v>
      </c>
      <c r="H984">
        <v>0</v>
      </c>
      <c r="I984" t="s">
        <v>993</v>
      </c>
      <c r="J984" t="s">
        <v>22</v>
      </c>
      <c r="K984" t="s">
        <v>15</v>
      </c>
    </row>
    <row r="985" spans="1:11" hidden="1" x14ac:dyDescent="0.35">
      <c r="A985" t="s">
        <v>23</v>
      </c>
      <c r="B985" t="s">
        <v>24</v>
      </c>
      <c r="C985">
        <v>26354</v>
      </c>
      <c r="D985">
        <v>35975</v>
      </c>
      <c r="E985" s="12">
        <v>45510</v>
      </c>
      <c r="F985" s="12">
        <v>45807</v>
      </c>
      <c r="G985" s="10">
        <v>348682</v>
      </c>
      <c r="H985">
        <v>0</v>
      </c>
      <c r="I985" t="s">
        <v>1097</v>
      </c>
      <c r="J985" t="s">
        <v>26</v>
      </c>
      <c r="K985" t="s">
        <v>15</v>
      </c>
    </row>
    <row r="986" spans="1:11" hidden="1" x14ac:dyDescent="0.35">
      <c r="A986" t="s">
        <v>227</v>
      </c>
      <c r="B986" t="s">
        <v>228</v>
      </c>
      <c r="C986">
        <v>26604</v>
      </c>
      <c r="D986">
        <v>36253</v>
      </c>
      <c r="E986" s="12">
        <v>45531</v>
      </c>
      <c r="F986" s="12">
        <v>45807</v>
      </c>
      <c r="G986" s="10">
        <v>37500</v>
      </c>
      <c r="H986">
        <v>0</v>
      </c>
      <c r="I986" t="s">
        <v>1099</v>
      </c>
      <c r="J986" t="s">
        <v>48</v>
      </c>
      <c r="K986" t="s">
        <v>15</v>
      </c>
    </row>
    <row r="987" spans="1:11" hidden="1" x14ac:dyDescent="0.35">
      <c r="A987" t="s">
        <v>96</v>
      </c>
      <c r="B987" t="s">
        <v>97</v>
      </c>
      <c r="C987">
        <v>27658</v>
      </c>
      <c r="D987">
        <v>37436</v>
      </c>
      <c r="E987" s="12">
        <v>45596</v>
      </c>
      <c r="F987" s="12">
        <v>45807</v>
      </c>
      <c r="G987" s="10">
        <v>9744</v>
      </c>
      <c r="H987">
        <v>0</v>
      </c>
      <c r="I987" t="s">
        <v>1104</v>
      </c>
      <c r="J987" t="s">
        <v>99</v>
      </c>
      <c r="K987" t="s">
        <v>15</v>
      </c>
    </row>
    <row r="988" spans="1:11" hidden="1" x14ac:dyDescent="0.35">
      <c r="A988" t="s">
        <v>60</v>
      </c>
      <c r="B988" t="s">
        <v>20</v>
      </c>
      <c r="C988">
        <v>26741</v>
      </c>
      <c r="D988">
        <v>36404</v>
      </c>
      <c r="E988" s="12">
        <v>45544</v>
      </c>
      <c r="F988" s="12">
        <v>45807</v>
      </c>
      <c r="G988" s="10">
        <v>122610</v>
      </c>
      <c r="H988">
        <v>0</v>
      </c>
      <c r="I988" t="s">
        <v>1436</v>
      </c>
      <c r="J988" t="s">
        <v>22</v>
      </c>
      <c r="K988" t="s">
        <v>15</v>
      </c>
    </row>
    <row r="989" spans="1:11" hidden="1" x14ac:dyDescent="0.35">
      <c r="A989" t="s">
        <v>16</v>
      </c>
      <c r="B989" t="s">
        <v>17</v>
      </c>
      <c r="C989">
        <v>27045</v>
      </c>
      <c r="D989">
        <v>36738</v>
      </c>
      <c r="E989" s="12">
        <v>45559</v>
      </c>
      <c r="F989" s="12">
        <v>45807</v>
      </c>
      <c r="G989" s="10">
        <v>162990.39999999999</v>
      </c>
      <c r="H989">
        <v>0</v>
      </c>
      <c r="I989" t="s">
        <v>1437</v>
      </c>
      <c r="J989" t="s">
        <v>18</v>
      </c>
      <c r="K989" t="s">
        <v>15</v>
      </c>
    </row>
    <row r="990" spans="1:11" hidden="1" x14ac:dyDescent="0.35">
      <c r="A990" t="s">
        <v>713</v>
      </c>
      <c r="B990" t="s">
        <v>36</v>
      </c>
      <c r="C990">
        <v>27078</v>
      </c>
      <c r="D990">
        <v>36772</v>
      </c>
      <c r="E990" s="12">
        <v>45560</v>
      </c>
      <c r="F990" s="12">
        <v>45807</v>
      </c>
      <c r="G990" s="10">
        <v>189600</v>
      </c>
      <c r="H990">
        <v>0</v>
      </c>
      <c r="I990" t="s">
        <v>1438</v>
      </c>
      <c r="J990" t="s">
        <v>22</v>
      </c>
    </row>
    <row r="991" spans="1:11" x14ac:dyDescent="0.35">
      <c r="A991" t="s">
        <v>139</v>
      </c>
      <c r="B991" t="s">
        <v>140</v>
      </c>
      <c r="C991">
        <v>27395</v>
      </c>
      <c r="D991">
        <v>37128</v>
      </c>
      <c r="E991" s="12">
        <v>45580</v>
      </c>
      <c r="F991" s="12">
        <v>45807</v>
      </c>
      <c r="G991" s="10">
        <v>13000</v>
      </c>
      <c r="H991">
        <v>0</v>
      </c>
      <c r="I991" t="s">
        <v>1439</v>
      </c>
      <c r="J991" t="s">
        <v>26</v>
      </c>
      <c r="K991" t="s">
        <v>15</v>
      </c>
    </row>
    <row r="992" spans="1:11" hidden="1" x14ac:dyDescent="0.35">
      <c r="A992" t="s">
        <v>16</v>
      </c>
      <c r="B992" t="s">
        <v>17</v>
      </c>
      <c r="C992">
        <v>27230</v>
      </c>
      <c r="D992">
        <v>36922</v>
      </c>
      <c r="E992" s="12">
        <v>45566</v>
      </c>
      <c r="F992" s="12">
        <v>45807</v>
      </c>
      <c r="G992" s="10">
        <v>2531.7600000000002</v>
      </c>
      <c r="H992">
        <v>0</v>
      </c>
      <c r="I992" t="s">
        <v>650</v>
      </c>
      <c r="J992" t="s">
        <v>18</v>
      </c>
      <c r="K992" t="s">
        <v>15</v>
      </c>
    </row>
    <row r="993" spans="1:11" hidden="1" x14ac:dyDescent="0.35">
      <c r="A993" t="s">
        <v>174</v>
      </c>
      <c r="B993" t="s">
        <v>175</v>
      </c>
      <c r="C993">
        <v>28721</v>
      </c>
      <c r="D993">
        <v>38765</v>
      </c>
      <c r="E993" s="12">
        <v>45687</v>
      </c>
      <c r="F993" s="12">
        <v>45807</v>
      </c>
      <c r="G993" s="10">
        <v>35748</v>
      </c>
      <c r="H993">
        <v>0</v>
      </c>
      <c r="I993" t="s">
        <v>1418</v>
      </c>
      <c r="J993" t="s">
        <v>58</v>
      </c>
      <c r="K993" t="s">
        <v>15</v>
      </c>
    </row>
    <row r="994" spans="1:11" hidden="1" x14ac:dyDescent="0.35">
      <c r="A994" t="s">
        <v>123</v>
      </c>
      <c r="B994" t="s">
        <v>124</v>
      </c>
      <c r="C994">
        <v>26730</v>
      </c>
      <c r="D994">
        <v>36388</v>
      </c>
      <c r="E994" s="12">
        <v>45540</v>
      </c>
      <c r="F994" s="12">
        <v>45807</v>
      </c>
      <c r="G994" s="10">
        <v>63760</v>
      </c>
      <c r="H994">
        <v>0</v>
      </c>
      <c r="I994" t="s">
        <v>125</v>
      </c>
      <c r="J994" t="s">
        <v>18</v>
      </c>
      <c r="K994" t="s">
        <v>15</v>
      </c>
    </row>
    <row r="995" spans="1:11" hidden="1" x14ac:dyDescent="0.35">
      <c r="A995" t="s">
        <v>129</v>
      </c>
      <c r="B995" t="s">
        <v>130</v>
      </c>
      <c r="C995">
        <v>27298</v>
      </c>
      <c r="D995">
        <v>37012</v>
      </c>
      <c r="E995" s="12">
        <v>45569</v>
      </c>
      <c r="F995" s="12">
        <v>45807</v>
      </c>
      <c r="G995" s="10">
        <v>49600</v>
      </c>
      <c r="H995">
        <v>0</v>
      </c>
      <c r="I995" t="s">
        <v>131</v>
      </c>
      <c r="J995" t="s">
        <v>99</v>
      </c>
      <c r="K995" t="s">
        <v>15</v>
      </c>
    </row>
    <row r="996" spans="1:11" hidden="1" x14ac:dyDescent="0.35">
      <c r="A996" t="s">
        <v>23</v>
      </c>
      <c r="B996" t="s">
        <v>24</v>
      </c>
      <c r="C996">
        <v>27330</v>
      </c>
      <c r="D996">
        <v>37047</v>
      </c>
      <c r="E996" s="12">
        <v>45574</v>
      </c>
      <c r="F996" s="12">
        <v>45807</v>
      </c>
      <c r="G996" s="10">
        <v>46020</v>
      </c>
      <c r="H996">
        <v>0</v>
      </c>
      <c r="I996" t="s">
        <v>132</v>
      </c>
      <c r="J996" t="s">
        <v>26</v>
      </c>
      <c r="K996" t="s">
        <v>15</v>
      </c>
    </row>
    <row r="997" spans="1:11" x14ac:dyDescent="0.35">
      <c r="A997" t="s">
        <v>139</v>
      </c>
      <c r="B997" t="s">
        <v>140</v>
      </c>
      <c r="C997">
        <v>27859</v>
      </c>
      <c r="D997">
        <v>37695</v>
      </c>
      <c r="E997" s="12">
        <v>45618</v>
      </c>
      <c r="F997" s="12">
        <v>45807</v>
      </c>
      <c r="G997" s="10">
        <v>532</v>
      </c>
      <c r="H997">
        <v>0</v>
      </c>
      <c r="I997" t="s">
        <v>141</v>
      </c>
      <c r="J997" t="s">
        <v>26</v>
      </c>
      <c r="K997" t="s">
        <v>15</v>
      </c>
    </row>
    <row r="998" spans="1:11" hidden="1" x14ac:dyDescent="0.35">
      <c r="A998" t="s">
        <v>123</v>
      </c>
      <c r="B998" t="s">
        <v>124</v>
      </c>
      <c r="C998">
        <v>28620</v>
      </c>
      <c r="D998">
        <v>38653</v>
      </c>
      <c r="E998" s="12">
        <v>45684</v>
      </c>
      <c r="F998" s="12">
        <v>45807</v>
      </c>
      <c r="G998" s="10">
        <v>1541.6</v>
      </c>
      <c r="H998">
        <v>0</v>
      </c>
      <c r="I998" t="s">
        <v>448</v>
      </c>
      <c r="J998" t="s">
        <v>18</v>
      </c>
      <c r="K998" t="s">
        <v>15</v>
      </c>
    </row>
    <row r="999" spans="1:11" hidden="1" x14ac:dyDescent="0.35">
      <c r="A999" t="s">
        <v>261</v>
      </c>
      <c r="B999" t="s">
        <v>262</v>
      </c>
      <c r="C999">
        <v>26794</v>
      </c>
      <c r="D999">
        <v>36455</v>
      </c>
      <c r="E999" s="12">
        <v>45546</v>
      </c>
      <c r="F999" s="12">
        <v>45807</v>
      </c>
      <c r="G999" s="10">
        <v>197930</v>
      </c>
      <c r="H999">
        <v>0</v>
      </c>
      <c r="I999" t="s">
        <v>1007</v>
      </c>
      <c r="J999" t="s">
        <v>18</v>
      </c>
      <c r="K999" t="s">
        <v>15</v>
      </c>
    </row>
    <row r="1000" spans="1:11" hidden="1" x14ac:dyDescent="0.35">
      <c r="A1000" t="s">
        <v>397</v>
      </c>
      <c r="B1000" t="s">
        <v>398</v>
      </c>
      <c r="C1000">
        <v>28129</v>
      </c>
      <c r="D1000">
        <v>38062</v>
      </c>
      <c r="E1000" s="12">
        <v>45642</v>
      </c>
      <c r="F1000" s="12">
        <v>45807</v>
      </c>
      <c r="G1000" s="10">
        <v>19308</v>
      </c>
      <c r="H1000">
        <v>0</v>
      </c>
      <c r="I1000" t="s">
        <v>1016</v>
      </c>
      <c r="J1000" t="s">
        <v>48</v>
      </c>
      <c r="K1000" t="s">
        <v>15</v>
      </c>
    </row>
    <row r="1001" spans="1:11" hidden="1" x14ac:dyDescent="0.35">
      <c r="A1001" t="s">
        <v>23</v>
      </c>
      <c r="B1001" t="s">
        <v>24</v>
      </c>
      <c r="C1001">
        <v>26533</v>
      </c>
      <c r="D1001">
        <v>36172</v>
      </c>
      <c r="E1001" s="12">
        <v>45524</v>
      </c>
      <c r="F1001" s="12">
        <v>45807</v>
      </c>
      <c r="G1001" s="10">
        <v>45580</v>
      </c>
      <c r="H1001">
        <v>0</v>
      </c>
      <c r="I1001" t="s">
        <v>301</v>
      </c>
      <c r="J1001" t="s">
        <v>26</v>
      </c>
      <c r="K1001" t="s">
        <v>15</v>
      </c>
    </row>
    <row r="1002" spans="1:11" hidden="1" x14ac:dyDescent="0.35">
      <c r="A1002" t="s">
        <v>306</v>
      </c>
      <c r="B1002" t="s">
        <v>307</v>
      </c>
      <c r="C1002">
        <v>27169</v>
      </c>
      <c r="D1002">
        <v>36859</v>
      </c>
      <c r="E1002" s="12">
        <v>45565</v>
      </c>
      <c r="F1002" s="12">
        <v>45807</v>
      </c>
      <c r="G1002" s="10">
        <v>85800</v>
      </c>
      <c r="H1002">
        <v>0</v>
      </c>
      <c r="I1002" t="s">
        <v>308</v>
      </c>
      <c r="J1002" t="s">
        <v>18</v>
      </c>
      <c r="K1002" t="s">
        <v>15</v>
      </c>
    </row>
    <row r="1003" spans="1:11" hidden="1" x14ac:dyDescent="0.35">
      <c r="A1003" t="s">
        <v>166</v>
      </c>
      <c r="B1003" t="s">
        <v>167</v>
      </c>
      <c r="C1003">
        <v>27284</v>
      </c>
      <c r="D1003">
        <v>36996</v>
      </c>
      <c r="E1003" s="12">
        <v>45569</v>
      </c>
      <c r="F1003" s="12">
        <v>45807</v>
      </c>
      <c r="G1003" s="10">
        <v>53802</v>
      </c>
      <c r="H1003">
        <v>0</v>
      </c>
      <c r="I1003" t="s">
        <v>313</v>
      </c>
      <c r="J1003" t="s">
        <v>18</v>
      </c>
      <c r="K1003" t="s">
        <v>15</v>
      </c>
    </row>
    <row r="1004" spans="1:11" hidden="1" x14ac:dyDescent="0.35">
      <c r="A1004" t="s">
        <v>71</v>
      </c>
      <c r="B1004" t="s">
        <v>72</v>
      </c>
      <c r="C1004">
        <v>27569</v>
      </c>
      <c r="D1004">
        <v>37333</v>
      </c>
      <c r="E1004" s="12">
        <v>45593</v>
      </c>
      <c r="F1004" s="12">
        <v>45807</v>
      </c>
      <c r="G1004" s="10">
        <v>56250</v>
      </c>
      <c r="H1004">
        <v>0</v>
      </c>
      <c r="I1004" t="s">
        <v>316</v>
      </c>
      <c r="J1004" t="s">
        <v>18</v>
      </c>
      <c r="K1004" t="s">
        <v>15</v>
      </c>
    </row>
    <row r="1005" spans="1:11" hidden="1" x14ac:dyDescent="0.35">
      <c r="A1005" t="s">
        <v>295</v>
      </c>
      <c r="B1005" t="s">
        <v>36</v>
      </c>
      <c r="C1005">
        <v>27017</v>
      </c>
      <c r="D1005">
        <v>36711</v>
      </c>
      <c r="E1005" s="12">
        <v>45558</v>
      </c>
      <c r="F1005" s="12">
        <v>45807</v>
      </c>
      <c r="G1005" s="10">
        <v>24240</v>
      </c>
      <c r="H1005">
        <v>0</v>
      </c>
      <c r="I1005" t="s">
        <v>345</v>
      </c>
      <c r="J1005" t="s">
        <v>22</v>
      </c>
      <c r="K1005" t="s">
        <v>15</v>
      </c>
    </row>
    <row r="1006" spans="1:11" hidden="1" x14ac:dyDescent="0.35">
      <c r="A1006" t="s">
        <v>166</v>
      </c>
      <c r="B1006" t="s">
        <v>167</v>
      </c>
      <c r="C1006">
        <v>27217</v>
      </c>
      <c r="D1006">
        <v>36908</v>
      </c>
      <c r="E1006" s="12">
        <v>45565</v>
      </c>
      <c r="F1006" s="12">
        <v>45807</v>
      </c>
      <c r="G1006" s="10">
        <v>15779</v>
      </c>
      <c r="H1006">
        <v>0</v>
      </c>
      <c r="I1006" t="s">
        <v>346</v>
      </c>
      <c r="J1006" t="s">
        <v>18</v>
      </c>
      <c r="K1006" t="s">
        <v>15</v>
      </c>
    </row>
    <row r="1007" spans="1:11" hidden="1" x14ac:dyDescent="0.35">
      <c r="A1007" t="s">
        <v>349</v>
      </c>
      <c r="B1007" t="s">
        <v>350</v>
      </c>
      <c r="C1007">
        <v>27302</v>
      </c>
      <c r="D1007">
        <v>37017</v>
      </c>
      <c r="E1007" s="12">
        <v>45569</v>
      </c>
      <c r="F1007" s="12">
        <v>45807</v>
      </c>
      <c r="G1007" s="10">
        <v>82785</v>
      </c>
      <c r="H1007">
        <v>0</v>
      </c>
      <c r="I1007" t="s">
        <v>351</v>
      </c>
      <c r="J1007" t="s">
        <v>26</v>
      </c>
      <c r="K1007" t="s">
        <v>15</v>
      </c>
    </row>
    <row r="1008" spans="1:11" hidden="1" x14ac:dyDescent="0.35">
      <c r="A1008" t="s">
        <v>78</v>
      </c>
      <c r="B1008" t="s">
        <v>79</v>
      </c>
      <c r="C1008">
        <v>27938</v>
      </c>
      <c r="D1008">
        <v>37806</v>
      </c>
      <c r="E1008" s="12">
        <v>45625</v>
      </c>
      <c r="F1008" s="12">
        <v>45807</v>
      </c>
      <c r="G1008" s="10">
        <v>1058</v>
      </c>
      <c r="H1008">
        <v>0</v>
      </c>
      <c r="I1008" t="s">
        <v>358</v>
      </c>
      <c r="J1008" t="s">
        <v>41</v>
      </c>
      <c r="K1008" t="s">
        <v>15</v>
      </c>
    </row>
    <row r="1009" spans="1:11" hidden="1" x14ac:dyDescent="0.35">
      <c r="A1009" t="s">
        <v>180</v>
      </c>
      <c r="B1009" t="s">
        <v>181</v>
      </c>
      <c r="C1009">
        <v>28121</v>
      </c>
      <c r="D1009">
        <v>38054</v>
      </c>
      <c r="E1009" s="12">
        <v>45642</v>
      </c>
      <c r="F1009" s="12">
        <v>45807</v>
      </c>
      <c r="G1009" s="10">
        <v>240770</v>
      </c>
      <c r="H1009">
        <v>0</v>
      </c>
      <c r="I1009" t="s">
        <v>359</v>
      </c>
      <c r="J1009" t="s">
        <v>99</v>
      </c>
      <c r="K1009" t="s">
        <v>15</v>
      </c>
    </row>
    <row r="1010" spans="1:11" hidden="1" x14ac:dyDescent="0.35">
      <c r="A1010" t="s">
        <v>295</v>
      </c>
      <c r="B1010" t="s">
        <v>36</v>
      </c>
      <c r="C1010">
        <v>26746</v>
      </c>
      <c r="D1010">
        <v>36408</v>
      </c>
      <c r="E1010" s="12">
        <v>45544</v>
      </c>
      <c r="F1010" s="12">
        <v>45807</v>
      </c>
      <c r="G1010" s="10">
        <v>16740</v>
      </c>
      <c r="H1010">
        <v>0</v>
      </c>
      <c r="I1010" t="s">
        <v>368</v>
      </c>
      <c r="J1010" t="s">
        <v>22</v>
      </c>
      <c r="K1010" t="s">
        <v>15</v>
      </c>
    </row>
    <row r="1011" spans="1:11" hidden="1" x14ac:dyDescent="0.35">
      <c r="A1011" t="s">
        <v>129</v>
      </c>
      <c r="B1011" t="s">
        <v>130</v>
      </c>
      <c r="C1011">
        <v>26871</v>
      </c>
      <c r="D1011">
        <v>36544</v>
      </c>
      <c r="E1011" s="12">
        <v>45548</v>
      </c>
      <c r="F1011" s="12">
        <v>45807</v>
      </c>
      <c r="G1011" s="10">
        <v>65391</v>
      </c>
      <c r="H1011">
        <v>0</v>
      </c>
      <c r="I1011" t="s">
        <v>370</v>
      </c>
      <c r="J1011" t="s">
        <v>99</v>
      </c>
      <c r="K1011" t="s">
        <v>15</v>
      </c>
    </row>
    <row r="1012" spans="1:11" hidden="1" x14ac:dyDescent="0.35">
      <c r="A1012" t="s">
        <v>434</v>
      </c>
      <c r="B1012" t="s">
        <v>435</v>
      </c>
      <c r="C1012">
        <v>27023</v>
      </c>
      <c r="D1012">
        <v>36717</v>
      </c>
      <c r="E1012" s="12">
        <v>45558</v>
      </c>
      <c r="F1012" s="12">
        <v>45807</v>
      </c>
      <c r="G1012" s="10">
        <v>5200</v>
      </c>
      <c r="H1012">
        <v>0</v>
      </c>
      <c r="I1012" t="s">
        <v>436</v>
      </c>
      <c r="J1012" t="s">
        <v>22</v>
      </c>
      <c r="K1012" t="s">
        <v>15</v>
      </c>
    </row>
    <row r="1013" spans="1:11" hidden="1" x14ac:dyDescent="0.35">
      <c r="A1013" t="s">
        <v>16</v>
      </c>
      <c r="B1013" t="s">
        <v>17</v>
      </c>
      <c r="C1013">
        <v>27221</v>
      </c>
      <c r="D1013">
        <v>36912</v>
      </c>
      <c r="E1013" s="12">
        <v>45565</v>
      </c>
      <c r="F1013" s="12">
        <v>45807</v>
      </c>
      <c r="G1013" s="10">
        <v>23223.9</v>
      </c>
      <c r="H1013">
        <v>0</v>
      </c>
      <c r="I1013" t="s">
        <v>439</v>
      </c>
      <c r="J1013" t="s">
        <v>18</v>
      </c>
      <c r="K1013" t="s">
        <v>15</v>
      </c>
    </row>
    <row r="1014" spans="1:11" x14ac:dyDescent="0.35">
      <c r="A1014" t="s">
        <v>139</v>
      </c>
      <c r="B1014" t="s">
        <v>140</v>
      </c>
      <c r="C1014">
        <v>27300</v>
      </c>
      <c r="D1014">
        <v>37015</v>
      </c>
      <c r="E1014" s="12">
        <v>45569</v>
      </c>
      <c r="F1014" s="12">
        <v>45807</v>
      </c>
      <c r="G1014" s="10">
        <v>385796</v>
      </c>
      <c r="H1014">
        <v>0</v>
      </c>
      <c r="I1014" t="s">
        <v>440</v>
      </c>
      <c r="J1014" t="s">
        <v>26</v>
      </c>
      <c r="K1014" t="s">
        <v>15</v>
      </c>
    </row>
    <row r="1015" spans="1:11" hidden="1" x14ac:dyDescent="0.35">
      <c r="A1015" t="s">
        <v>85</v>
      </c>
      <c r="B1015" t="s">
        <v>86</v>
      </c>
      <c r="C1015">
        <v>27357</v>
      </c>
      <c r="D1015">
        <v>37081</v>
      </c>
      <c r="E1015" s="12">
        <v>45575</v>
      </c>
      <c r="F1015" s="12">
        <v>45807</v>
      </c>
      <c r="G1015" s="10">
        <v>146228</v>
      </c>
      <c r="H1015">
        <v>0</v>
      </c>
      <c r="I1015" t="s">
        <v>441</v>
      </c>
      <c r="J1015" t="s">
        <v>41</v>
      </c>
      <c r="K1015" t="s">
        <v>15</v>
      </c>
    </row>
    <row r="1016" spans="1:11" hidden="1" x14ac:dyDescent="0.35">
      <c r="A1016" t="s">
        <v>411</v>
      </c>
      <c r="B1016" t="s">
        <v>412</v>
      </c>
      <c r="C1016">
        <v>28625</v>
      </c>
      <c r="D1016">
        <v>38657</v>
      </c>
      <c r="E1016" s="12">
        <v>45684</v>
      </c>
      <c r="F1016" s="12">
        <v>45807</v>
      </c>
      <c r="G1016" s="10">
        <v>13372.8</v>
      </c>
      <c r="H1016">
        <v>0</v>
      </c>
      <c r="I1016" t="s">
        <v>450</v>
      </c>
      <c r="J1016" t="s">
        <v>194</v>
      </c>
      <c r="K1016" t="s">
        <v>15</v>
      </c>
    </row>
    <row r="1017" spans="1:11" hidden="1" x14ac:dyDescent="0.35">
      <c r="A1017" t="s">
        <v>19</v>
      </c>
      <c r="B1017" t="s">
        <v>20</v>
      </c>
      <c r="C1017">
        <v>27024</v>
      </c>
      <c r="D1017">
        <v>36718</v>
      </c>
      <c r="E1017" s="12">
        <v>45558</v>
      </c>
      <c r="F1017" s="12">
        <v>45807</v>
      </c>
      <c r="G1017" s="10">
        <v>23000</v>
      </c>
      <c r="H1017">
        <v>0</v>
      </c>
      <c r="I1017" t="s">
        <v>741</v>
      </c>
      <c r="J1017" t="s">
        <v>22</v>
      </c>
      <c r="K1017" t="s">
        <v>15</v>
      </c>
    </row>
    <row r="1018" spans="1:11" hidden="1" x14ac:dyDescent="0.35">
      <c r="A1018" t="s">
        <v>205</v>
      </c>
      <c r="B1018" t="s">
        <v>56</v>
      </c>
      <c r="C1018">
        <v>28728</v>
      </c>
      <c r="D1018">
        <v>38773</v>
      </c>
      <c r="E1018" s="12">
        <v>45687</v>
      </c>
      <c r="F1018" s="12">
        <v>45807</v>
      </c>
      <c r="G1018" s="10">
        <v>107990</v>
      </c>
      <c r="H1018">
        <v>0</v>
      </c>
      <c r="I1018" t="s">
        <v>758</v>
      </c>
      <c r="J1018" t="s">
        <v>58</v>
      </c>
      <c r="K1018" t="s">
        <v>15</v>
      </c>
    </row>
    <row r="1019" spans="1:11" hidden="1" x14ac:dyDescent="0.35">
      <c r="A1019" t="s">
        <v>759</v>
      </c>
      <c r="B1019" t="s">
        <v>760</v>
      </c>
      <c r="C1019">
        <v>28835</v>
      </c>
      <c r="D1019">
        <v>38921</v>
      </c>
      <c r="E1019" s="12">
        <v>45698</v>
      </c>
      <c r="F1019" s="12">
        <v>45807</v>
      </c>
      <c r="G1019" s="10">
        <v>13000</v>
      </c>
      <c r="H1019">
        <v>0</v>
      </c>
      <c r="I1019" t="s">
        <v>761</v>
      </c>
      <c r="J1019" t="s">
        <v>77</v>
      </c>
      <c r="K1019" t="s">
        <v>15</v>
      </c>
    </row>
    <row r="1020" spans="1:11" hidden="1" x14ac:dyDescent="0.35">
      <c r="A1020" t="s">
        <v>45</v>
      </c>
      <c r="B1020" t="s">
        <v>46</v>
      </c>
      <c r="C1020">
        <v>27353</v>
      </c>
      <c r="D1020">
        <v>37074</v>
      </c>
      <c r="E1020" s="12">
        <v>45575</v>
      </c>
      <c r="F1020" s="12">
        <v>45807</v>
      </c>
      <c r="G1020" s="10">
        <v>10445.6</v>
      </c>
      <c r="H1020">
        <v>0</v>
      </c>
      <c r="I1020" t="s">
        <v>1589</v>
      </c>
      <c r="J1020" t="s">
        <v>48</v>
      </c>
      <c r="K1020" t="s">
        <v>15</v>
      </c>
    </row>
    <row r="1021" spans="1:11" x14ac:dyDescent="0.35">
      <c r="A1021" t="s">
        <v>139</v>
      </c>
      <c r="B1021" t="s">
        <v>140</v>
      </c>
      <c r="C1021">
        <v>27772</v>
      </c>
      <c r="D1021">
        <v>37580</v>
      </c>
      <c r="E1021" s="12">
        <v>45609</v>
      </c>
      <c r="F1021" s="12">
        <v>45807</v>
      </c>
      <c r="G1021" s="10">
        <v>158541</v>
      </c>
      <c r="H1021">
        <v>0</v>
      </c>
      <c r="I1021" t="s">
        <v>1590</v>
      </c>
      <c r="J1021" t="s">
        <v>26</v>
      </c>
      <c r="K1021" t="s">
        <v>15</v>
      </c>
    </row>
    <row r="1022" spans="1:11" x14ac:dyDescent="0.35">
      <c r="A1022" t="s">
        <v>139</v>
      </c>
      <c r="B1022" t="s">
        <v>140</v>
      </c>
      <c r="C1022">
        <v>27955</v>
      </c>
      <c r="D1022">
        <v>37823</v>
      </c>
      <c r="E1022" s="12">
        <v>45625</v>
      </c>
      <c r="F1022" s="12">
        <v>45807</v>
      </c>
      <c r="G1022" s="10">
        <v>17290</v>
      </c>
      <c r="H1022">
        <v>0</v>
      </c>
      <c r="I1022" t="s">
        <v>1591</v>
      </c>
      <c r="J1022" t="s">
        <v>26</v>
      </c>
      <c r="K1022" t="s">
        <v>15</v>
      </c>
    </row>
    <row r="1023" spans="1:11" hidden="1" x14ac:dyDescent="0.35">
      <c r="A1023" t="s">
        <v>212</v>
      </c>
      <c r="B1023" t="s">
        <v>213</v>
      </c>
      <c r="C1023">
        <v>28731</v>
      </c>
      <c r="D1023">
        <v>38779</v>
      </c>
      <c r="E1023" s="12">
        <v>45687</v>
      </c>
      <c r="F1023" s="12">
        <v>45807</v>
      </c>
      <c r="G1023" s="10">
        <v>184220.98</v>
      </c>
      <c r="H1023">
        <v>0</v>
      </c>
      <c r="I1023" t="s">
        <v>214</v>
      </c>
      <c r="J1023" t="s">
        <v>14</v>
      </c>
      <c r="K1023" t="s">
        <v>15</v>
      </c>
    </row>
    <row r="1024" spans="1:11" hidden="1" x14ac:dyDescent="0.35">
      <c r="A1024" t="s">
        <v>16</v>
      </c>
      <c r="B1024" t="s">
        <v>17</v>
      </c>
      <c r="C1024">
        <v>27386</v>
      </c>
      <c r="D1024">
        <v>37115</v>
      </c>
      <c r="E1024" s="12">
        <v>45579</v>
      </c>
      <c r="F1024" s="12">
        <v>45807</v>
      </c>
      <c r="G1024" s="10">
        <v>361.68</v>
      </c>
      <c r="H1024">
        <v>0</v>
      </c>
      <c r="I1024" t="s">
        <v>1325</v>
      </c>
      <c r="J1024" t="s">
        <v>18</v>
      </c>
      <c r="K1024" t="s">
        <v>15</v>
      </c>
    </row>
    <row r="1025" spans="1:11" hidden="1" x14ac:dyDescent="0.35">
      <c r="A1025" t="s">
        <v>180</v>
      </c>
      <c r="B1025" t="s">
        <v>181</v>
      </c>
      <c r="C1025">
        <v>27769</v>
      </c>
      <c r="D1025">
        <v>37577</v>
      </c>
      <c r="E1025" s="12">
        <v>45609</v>
      </c>
      <c r="F1025" s="12">
        <v>45807</v>
      </c>
      <c r="G1025" s="10">
        <v>18000</v>
      </c>
      <c r="H1025">
        <v>0</v>
      </c>
      <c r="I1025" t="s">
        <v>1328</v>
      </c>
      <c r="J1025" t="s">
        <v>99</v>
      </c>
      <c r="K1025" t="s">
        <v>15</v>
      </c>
    </row>
    <row r="1026" spans="1:11" hidden="1" x14ac:dyDescent="0.35">
      <c r="A1026" t="s">
        <v>180</v>
      </c>
      <c r="B1026" t="s">
        <v>181</v>
      </c>
      <c r="C1026">
        <v>27903</v>
      </c>
      <c r="D1026">
        <v>37769</v>
      </c>
      <c r="E1026" s="12">
        <v>45625</v>
      </c>
      <c r="F1026" s="12">
        <v>45807</v>
      </c>
      <c r="G1026" s="10">
        <v>218000</v>
      </c>
      <c r="H1026">
        <v>0</v>
      </c>
      <c r="I1026" t="s">
        <v>1329</v>
      </c>
      <c r="J1026" t="s">
        <v>99</v>
      </c>
      <c r="K1026" t="s">
        <v>15</v>
      </c>
    </row>
    <row r="1027" spans="1:11" hidden="1" x14ac:dyDescent="0.35">
      <c r="A1027" t="s">
        <v>261</v>
      </c>
      <c r="B1027" t="s">
        <v>262</v>
      </c>
      <c r="C1027">
        <v>26792</v>
      </c>
      <c r="D1027">
        <v>36453</v>
      </c>
      <c r="E1027" s="12">
        <v>45546</v>
      </c>
      <c r="F1027" s="12">
        <v>45807</v>
      </c>
      <c r="G1027" s="10">
        <v>114690</v>
      </c>
      <c r="H1027">
        <v>0</v>
      </c>
      <c r="I1027" t="s">
        <v>1545</v>
      </c>
      <c r="J1027" t="s">
        <v>18</v>
      </c>
      <c r="K1027" t="s">
        <v>15</v>
      </c>
    </row>
    <row r="1028" spans="1:11" hidden="1" x14ac:dyDescent="0.35">
      <c r="A1028" t="s">
        <v>1546</v>
      </c>
      <c r="B1028" t="s">
        <v>1547</v>
      </c>
      <c r="C1028">
        <v>26910</v>
      </c>
      <c r="D1028">
        <v>36589</v>
      </c>
      <c r="E1028" s="12">
        <v>45553</v>
      </c>
      <c r="F1028" s="12">
        <v>45807</v>
      </c>
      <c r="G1028" s="10">
        <v>86841</v>
      </c>
      <c r="H1028">
        <v>0</v>
      </c>
      <c r="I1028" t="s">
        <v>1548</v>
      </c>
      <c r="J1028" t="s">
        <v>30</v>
      </c>
      <c r="K1028" t="s">
        <v>15</v>
      </c>
    </row>
    <row r="1029" spans="1:11" hidden="1" x14ac:dyDescent="0.35">
      <c r="A1029" t="s">
        <v>227</v>
      </c>
      <c r="B1029" t="s">
        <v>228</v>
      </c>
      <c r="C1029">
        <v>27895</v>
      </c>
      <c r="D1029">
        <v>37755</v>
      </c>
      <c r="E1029" s="12">
        <v>45624</v>
      </c>
      <c r="F1029" s="12">
        <v>45807</v>
      </c>
      <c r="G1029" s="10">
        <v>6640</v>
      </c>
      <c r="H1029">
        <v>0</v>
      </c>
      <c r="I1029" t="s">
        <v>1551</v>
      </c>
      <c r="J1029" t="s">
        <v>48</v>
      </c>
      <c r="K1029" t="s">
        <v>15</v>
      </c>
    </row>
    <row r="1030" spans="1:11" hidden="1" x14ac:dyDescent="0.35">
      <c r="A1030" t="s">
        <v>96</v>
      </c>
      <c r="B1030" t="s">
        <v>97</v>
      </c>
      <c r="C1030">
        <v>27313</v>
      </c>
      <c r="D1030">
        <v>37030</v>
      </c>
      <c r="E1030" s="12">
        <v>45573</v>
      </c>
      <c r="F1030" s="12">
        <v>45807</v>
      </c>
      <c r="G1030" s="10">
        <v>15120</v>
      </c>
      <c r="H1030">
        <v>0</v>
      </c>
      <c r="I1030" t="s">
        <v>1504</v>
      </c>
      <c r="J1030" t="s">
        <v>99</v>
      </c>
      <c r="K1030" t="s">
        <v>15</v>
      </c>
    </row>
    <row r="1031" spans="1:11" hidden="1" x14ac:dyDescent="0.35">
      <c r="A1031" t="s">
        <v>85</v>
      </c>
      <c r="B1031" t="s">
        <v>86</v>
      </c>
      <c r="C1031">
        <v>27999</v>
      </c>
      <c r="D1031">
        <v>37895</v>
      </c>
      <c r="E1031" s="12">
        <v>45631</v>
      </c>
      <c r="F1031" s="12">
        <v>45807</v>
      </c>
      <c r="G1031" s="10">
        <v>5800</v>
      </c>
      <c r="H1031">
        <v>0</v>
      </c>
      <c r="I1031" t="s">
        <v>1510</v>
      </c>
      <c r="J1031" t="s">
        <v>41</v>
      </c>
      <c r="K1031" t="s">
        <v>15</v>
      </c>
    </row>
    <row r="1032" spans="1:11" hidden="1" x14ac:dyDescent="0.35">
      <c r="A1032" t="s">
        <v>411</v>
      </c>
      <c r="B1032" t="s">
        <v>412</v>
      </c>
      <c r="C1032">
        <v>28813</v>
      </c>
      <c r="D1032">
        <v>38900</v>
      </c>
      <c r="E1032" s="12">
        <v>45694</v>
      </c>
      <c r="F1032" s="12">
        <v>45807</v>
      </c>
      <c r="G1032" s="10">
        <v>55914.879999999997</v>
      </c>
      <c r="H1032">
        <v>0</v>
      </c>
      <c r="I1032" t="s">
        <v>450</v>
      </c>
      <c r="J1032" t="s">
        <v>194</v>
      </c>
      <c r="K1032" t="s">
        <v>15</v>
      </c>
    </row>
    <row r="1033" spans="1:11" x14ac:dyDescent="0.35">
      <c r="A1033" t="s">
        <v>139</v>
      </c>
      <c r="B1033" t="s">
        <v>140</v>
      </c>
      <c r="C1033">
        <v>26865</v>
      </c>
      <c r="D1033">
        <v>36537</v>
      </c>
      <c r="E1033" s="12">
        <v>45548</v>
      </c>
      <c r="F1033" s="12">
        <v>45807</v>
      </c>
      <c r="G1033" s="10">
        <v>176518</v>
      </c>
      <c r="H1033">
        <v>0</v>
      </c>
      <c r="I1033" t="s">
        <v>1601</v>
      </c>
      <c r="J1033" t="s">
        <v>26</v>
      </c>
      <c r="K1033" t="s">
        <v>15</v>
      </c>
    </row>
    <row r="1034" spans="1:11" hidden="1" x14ac:dyDescent="0.35">
      <c r="A1034" t="s">
        <v>411</v>
      </c>
      <c r="B1034" t="s">
        <v>412</v>
      </c>
      <c r="C1034">
        <v>29015</v>
      </c>
      <c r="D1034">
        <v>39137</v>
      </c>
      <c r="E1034" s="12">
        <v>45708</v>
      </c>
      <c r="F1034" s="12">
        <v>45807</v>
      </c>
      <c r="G1034" s="10">
        <v>41344</v>
      </c>
      <c r="H1034">
        <v>0</v>
      </c>
      <c r="I1034" t="s">
        <v>450</v>
      </c>
      <c r="J1034" t="s">
        <v>194</v>
      </c>
      <c r="K1034" t="s">
        <v>15</v>
      </c>
    </row>
    <row r="1035" spans="1:11" hidden="1" x14ac:dyDescent="0.35">
      <c r="A1035" t="s">
        <v>166</v>
      </c>
      <c r="B1035" t="s">
        <v>167</v>
      </c>
      <c r="C1035">
        <v>27283</v>
      </c>
      <c r="D1035">
        <v>36995</v>
      </c>
      <c r="E1035" s="12">
        <v>45569</v>
      </c>
      <c r="F1035" s="12">
        <v>45807</v>
      </c>
      <c r="G1035" s="10">
        <v>42500</v>
      </c>
      <c r="H1035">
        <v>0</v>
      </c>
      <c r="I1035" t="s">
        <v>1632</v>
      </c>
      <c r="J1035" t="s">
        <v>18</v>
      </c>
      <c r="K1035" t="s">
        <v>15</v>
      </c>
    </row>
    <row r="1036" spans="1:11" hidden="1" x14ac:dyDescent="0.35">
      <c r="A1036" t="s">
        <v>166</v>
      </c>
      <c r="B1036" t="s">
        <v>167</v>
      </c>
      <c r="C1036">
        <v>29275</v>
      </c>
      <c r="D1036">
        <v>39476</v>
      </c>
      <c r="E1036" s="12">
        <v>45748</v>
      </c>
      <c r="F1036" s="12">
        <v>45807</v>
      </c>
      <c r="G1036" s="10">
        <v>3780</v>
      </c>
      <c r="H1036">
        <v>0</v>
      </c>
      <c r="I1036" t="s">
        <v>168</v>
      </c>
      <c r="J1036" t="s">
        <v>18</v>
      </c>
      <c r="K1036" t="s">
        <v>15</v>
      </c>
    </row>
    <row r="1037" spans="1:11" hidden="1" x14ac:dyDescent="0.35">
      <c r="A1037" t="s">
        <v>261</v>
      </c>
      <c r="B1037" t="s">
        <v>262</v>
      </c>
      <c r="C1037">
        <v>26793</v>
      </c>
      <c r="D1037">
        <v>36454</v>
      </c>
      <c r="E1037" s="12">
        <v>45546</v>
      </c>
      <c r="F1037" s="12">
        <v>45807</v>
      </c>
      <c r="G1037" s="10">
        <v>121580</v>
      </c>
      <c r="H1037">
        <v>0</v>
      </c>
      <c r="I1037" t="s">
        <v>1385</v>
      </c>
      <c r="J1037" t="s">
        <v>18</v>
      </c>
      <c r="K1037" t="s">
        <v>15</v>
      </c>
    </row>
    <row r="1038" spans="1:11" hidden="1" x14ac:dyDescent="0.35">
      <c r="A1038" t="s">
        <v>349</v>
      </c>
      <c r="B1038" t="s">
        <v>350</v>
      </c>
      <c r="C1038">
        <v>27894</v>
      </c>
      <c r="D1038">
        <v>37754</v>
      </c>
      <c r="E1038" s="12">
        <v>45624</v>
      </c>
      <c r="F1038" s="12">
        <v>45807</v>
      </c>
      <c r="G1038" s="10">
        <v>18620</v>
      </c>
      <c r="H1038">
        <v>0</v>
      </c>
      <c r="I1038" t="s">
        <v>1394</v>
      </c>
      <c r="J1038" t="s">
        <v>26</v>
      </c>
      <c r="K1038" t="s">
        <v>15</v>
      </c>
    </row>
    <row r="1039" spans="1:11" hidden="1" x14ac:dyDescent="0.35">
      <c r="A1039" t="s">
        <v>96</v>
      </c>
      <c r="B1039" t="s">
        <v>97</v>
      </c>
      <c r="C1039">
        <v>28151</v>
      </c>
      <c r="D1039">
        <v>38084</v>
      </c>
      <c r="E1039" s="12">
        <v>45643</v>
      </c>
      <c r="F1039" s="12">
        <v>45807</v>
      </c>
      <c r="G1039" s="10">
        <v>23913.200000000001</v>
      </c>
      <c r="H1039">
        <v>0</v>
      </c>
      <c r="I1039" t="s">
        <v>1606</v>
      </c>
      <c r="J1039" t="s">
        <v>99</v>
      </c>
      <c r="K1039" t="s">
        <v>15</v>
      </c>
    </row>
    <row r="1040" spans="1:11" hidden="1" x14ac:dyDescent="0.35">
      <c r="A1040" t="s">
        <v>203</v>
      </c>
      <c r="B1040" t="s">
        <v>56</v>
      </c>
      <c r="C1040">
        <v>28719</v>
      </c>
      <c r="D1040">
        <v>38763</v>
      </c>
      <c r="E1040" s="12">
        <v>45687</v>
      </c>
      <c r="F1040" s="12">
        <v>45807</v>
      </c>
      <c r="G1040" s="10">
        <v>3354.75</v>
      </c>
      <c r="H1040">
        <v>0</v>
      </c>
      <c r="I1040" t="s">
        <v>907</v>
      </c>
      <c r="J1040" t="s">
        <v>58</v>
      </c>
      <c r="K1040" t="s">
        <v>15</v>
      </c>
    </row>
    <row r="1041" spans="1:11" hidden="1" x14ac:dyDescent="0.35">
      <c r="A1041" t="s">
        <v>411</v>
      </c>
      <c r="B1041" t="s">
        <v>412</v>
      </c>
      <c r="C1041">
        <v>28319</v>
      </c>
      <c r="D1041">
        <v>38304</v>
      </c>
      <c r="E1041" s="12">
        <v>45664</v>
      </c>
      <c r="F1041" s="12">
        <v>45807</v>
      </c>
      <c r="G1041" s="10">
        <v>23600</v>
      </c>
      <c r="H1041">
        <v>0</v>
      </c>
      <c r="I1041" t="s">
        <v>1637</v>
      </c>
      <c r="J1041" t="s">
        <v>194</v>
      </c>
      <c r="K1041" t="s">
        <v>15</v>
      </c>
    </row>
    <row r="1042" spans="1:11" hidden="1" x14ac:dyDescent="0.35">
      <c r="A1042" t="s">
        <v>166</v>
      </c>
      <c r="B1042" t="s">
        <v>167</v>
      </c>
      <c r="C1042">
        <v>29229</v>
      </c>
      <c r="D1042">
        <v>39410</v>
      </c>
      <c r="E1042" s="12">
        <v>45736</v>
      </c>
      <c r="F1042" s="12">
        <v>45807</v>
      </c>
      <c r="G1042" s="10">
        <v>11520</v>
      </c>
      <c r="H1042">
        <v>0</v>
      </c>
      <c r="I1042" t="s">
        <v>168</v>
      </c>
      <c r="J1042" t="s">
        <v>18</v>
      </c>
      <c r="K1042" t="s">
        <v>15</v>
      </c>
    </row>
    <row r="1043" spans="1:11" hidden="1" x14ac:dyDescent="0.35">
      <c r="A1043" t="s">
        <v>252</v>
      </c>
      <c r="B1043" t="s">
        <v>253</v>
      </c>
      <c r="C1043">
        <v>26728</v>
      </c>
      <c r="D1043">
        <v>36386</v>
      </c>
      <c r="E1043" s="12">
        <v>45540</v>
      </c>
      <c r="F1043" s="12">
        <v>45807</v>
      </c>
      <c r="G1043" s="10">
        <v>349000</v>
      </c>
      <c r="H1043">
        <v>0</v>
      </c>
      <c r="I1043" t="s">
        <v>1536</v>
      </c>
      <c r="J1043" t="s">
        <v>18</v>
      </c>
      <c r="K1043" t="s">
        <v>15</v>
      </c>
    </row>
    <row r="1044" spans="1:11" hidden="1" x14ac:dyDescent="0.35">
      <c r="A1044" t="s">
        <v>1167</v>
      </c>
      <c r="B1044" t="s">
        <v>1168</v>
      </c>
      <c r="C1044">
        <v>28169</v>
      </c>
      <c r="D1044">
        <v>38105</v>
      </c>
      <c r="E1044" s="12">
        <v>45644</v>
      </c>
      <c r="F1044" s="12">
        <v>45807</v>
      </c>
      <c r="G1044" s="10">
        <v>67500</v>
      </c>
      <c r="H1044">
        <v>0</v>
      </c>
      <c r="I1044" t="s">
        <v>1169</v>
      </c>
      <c r="J1044" t="s">
        <v>194</v>
      </c>
      <c r="K1044" t="s">
        <v>15</v>
      </c>
    </row>
    <row r="1045" spans="1:11" hidden="1" x14ac:dyDescent="0.35">
      <c r="A1045" t="s">
        <v>133</v>
      </c>
      <c r="B1045" t="s">
        <v>134</v>
      </c>
      <c r="C1045">
        <v>27209</v>
      </c>
      <c r="D1045">
        <v>36900</v>
      </c>
      <c r="E1045" s="12">
        <v>45565</v>
      </c>
      <c r="F1045" s="12">
        <v>45807</v>
      </c>
      <c r="G1045" s="10">
        <v>98900</v>
      </c>
      <c r="H1045">
        <v>0</v>
      </c>
      <c r="I1045" t="s">
        <v>1347</v>
      </c>
      <c r="J1045" t="s">
        <v>77</v>
      </c>
      <c r="K1045" t="s">
        <v>15</v>
      </c>
    </row>
    <row r="1046" spans="1:11" hidden="1" x14ac:dyDescent="0.35">
      <c r="A1046" t="s">
        <v>673</v>
      </c>
      <c r="B1046" t="s">
        <v>674</v>
      </c>
      <c r="C1046">
        <v>27864</v>
      </c>
      <c r="D1046">
        <v>37700</v>
      </c>
      <c r="E1046" s="12">
        <v>45618</v>
      </c>
      <c r="F1046" s="12">
        <v>45807</v>
      </c>
      <c r="G1046" s="10">
        <v>13300</v>
      </c>
      <c r="H1046">
        <v>0</v>
      </c>
      <c r="I1046" t="s">
        <v>1350</v>
      </c>
      <c r="J1046" t="s">
        <v>26</v>
      </c>
      <c r="K1046" t="s">
        <v>15</v>
      </c>
    </row>
    <row r="1047" spans="1:11" hidden="1" x14ac:dyDescent="0.35">
      <c r="A1047" t="s">
        <v>360</v>
      </c>
      <c r="B1047" t="s">
        <v>20</v>
      </c>
      <c r="C1047">
        <v>28246</v>
      </c>
      <c r="D1047">
        <v>38198</v>
      </c>
      <c r="E1047" s="12">
        <v>45652</v>
      </c>
      <c r="F1047" s="12">
        <v>45807</v>
      </c>
      <c r="G1047" s="10">
        <v>95940</v>
      </c>
      <c r="H1047">
        <v>0</v>
      </c>
      <c r="I1047" t="s">
        <v>1475</v>
      </c>
      <c r="J1047" t="s">
        <v>22</v>
      </c>
      <c r="K1047" t="s">
        <v>15</v>
      </c>
    </row>
    <row r="1048" spans="1:11" hidden="1" x14ac:dyDescent="0.35">
      <c r="A1048" t="s">
        <v>31</v>
      </c>
      <c r="B1048" t="s">
        <v>32</v>
      </c>
      <c r="C1048">
        <v>28895</v>
      </c>
      <c r="D1048">
        <v>39000</v>
      </c>
      <c r="E1048" s="12">
        <v>45702</v>
      </c>
      <c r="F1048" s="12">
        <v>45807</v>
      </c>
      <c r="G1048" s="10">
        <v>1915</v>
      </c>
      <c r="H1048">
        <v>0</v>
      </c>
      <c r="I1048" t="s">
        <v>271</v>
      </c>
      <c r="J1048" t="s">
        <v>34</v>
      </c>
      <c r="K1048" t="s">
        <v>15</v>
      </c>
    </row>
    <row r="1049" spans="1:11" hidden="1" x14ac:dyDescent="0.35">
      <c r="A1049" t="s">
        <v>667</v>
      </c>
      <c r="B1049" t="s">
        <v>668</v>
      </c>
      <c r="C1049">
        <v>29299</v>
      </c>
      <c r="D1049">
        <v>39500</v>
      </c>
      <c r="E1049" s="12">
        <v>45749</v>
      </c>
      <c r="F1049" s="12">
        <v>45809</v>
      </c>
      <c r="G1049" s="10">
        <v>101764.8</v>
      </c>
      <c r="H1049">
        <v>0</v>
      </c>
      <c r="I1049" t="s">
        <v>1728</v>
      </c>
      <c r="J1049" t="s">
        <v>26</v>
      </c>
      <c r="K1049" t="s">
        <v>15</v>
      </c>
    </row>
    <row r="1050" spans="1:11" hidden="1" x14ac:dyDescent="0.35">
      <c r="A1050" t="s">
        <v>1023</v>
      </c>
      <c r="B1050" t="s">
        <v>1024</v>
      </c>
      <c r="C1050">
        <v>29301</v>
      </c>
      <c r="D1050">
        <v>39502</v>
      </c>
      <c r="E1050" s="12">
        <v>45749</v>
      </c>
      <c r="F1050" s="12">
        <v>45809</v>
      </c>
      <c r="G1050" s="10">
        <v>6896.4</v>
      </c>
      <c r="H1050">
        <v>0</v>
      </c>
      <c r="I1050" t="s">
        <v>1729</v>
      </c>
      <c r="J1050" t="s">
        <v>95</v>
      </c>
      <c r="K1050" t="s">
        <v>15</v>
      </c>
    </row>
    <row r="1051" spans="1:11" hidden="1" x14ac:dyDescent="0.35">
      <c r="A1051" t="s">
        <v>667</v>
      </c>
      <c r="B1051" t="s">
        <v>668</v>
      </c>
      <c r="C1051">
        <v>29298</v>
      </c>
      <c r="D1051">
        <v>39499</v>
      </c>
      <c r="E1051" s="12">
        <v>45749</v>
      </c>
      <c r="F1051" s="12">
        <v>45809</v>
      </c>
      <c r="G1051" s="10">
        <v>13531.6</v>
      </c>
      <c r="H1051">
        <v>0</v>
      </c>
      <c r="I1051" t="s">
        <v>1730</v>
      </c>
      <c r="J1051" t="s">
        <v>26</v>
      </c>
      <c r="K1051" t="s">
        <v>15</v>
      </c>
    </row>
    <row r="1052" spans="1:11" hidden="1" x14ac:dyDescent="0.35">
      <c r="A1052" t="s">
        <v>1023</v>
      </c>
      <c r="B1052" t="s">
        <v>1024</v>
      </c>
      <c r="C1052">
        <v>29300</v>
      </c>
      <c r="D1052">
        <v>39501</v>
      </c>
      <c r="E1052" s="12">
        <v>45749</v>
      </c>
      <c r="F1052" s="12">
        <v>45809</v>
      </c>
      <c r="G1052" s="10">
        <v>56421.9</v>
      </c>
      <c r="H1052">
        <v>0</v>
      </c>
      <c r="I1052" t="s">
        <v>1731</v>
      </c>
      <c r="J1052" t="s">
        <v>95</v>
      </c>
      <c r="K1052" t="s">
        <v>15</v>
      </c>
    </row>
    <row r="1053" spans="1:11" hidden="1" x14ac:dyDescent="0.35">
      <c r="A1053" t="s">
        <v>587</v>
      </c>
      <c r="B1053" t="s">
        <v>588</v>
      </c>
      <c r="C1053">
        <v>27987</v>
      </c>
      <c r="D1053">
        <v>37881</v>
      </c>
      <c r="E1053" s="12">
        <v>45630</v>
      </c>
      <c r="F1053" s="12">
        <v>45810</v>
      </c>
      <c r="G1053" s="10">
        <v>636.4</v>
      </c>
      <c r="H1053">
        <v>0</v>
      </c>
      <c r="I1053" t="s">
        <v>629</v>
      </c>
      <c r="J1053" t="s">
        <v>44</v>
      </c>
      <c r="K1053" t="s">
        <v>15</v>
      </c>
    </row>
    <row r="1054" spans="1:11" hidden="1" x14ac:dyDescent="0.35">
      <c r="A1054" t="s">
        <v>31</v>
      </c>
      <c r="B1054" t="s">
        <v>32</v>
      </c>
      <c r="C1054">
        <v>28190</v>
      </c>
      <c r="D1054">
        <v>38130</v>
      </c>
      <c r="E1054" s="12">
        <v>45645</v>
      </c>
      <c r="F1054" s="12">
        <v>45810</v>
      </c>
      <c r="G1054" s="10">
        <v>1197.78</v>
      </c>
      <c r="H1054">
        <v>0</v>
      </c>
      <c r="I1054" t="s">
        <v>81</v>
      </c>
      <c r="J1054" t="s">
        <v>34</v>
      </c>
      <c r="K1054" t="s">
        <v>15</v>
      </c>
    </row>
    <row r="1055" spans="1:11" hidden="1" x14ac:dyDescent="0.35">
      <c r="A1055" t="s">
        <v>31</v>
      </c>
      <c r="B1055" t="s">
        <v>32</v>
      </c>
      <c r="C1055">
        <v>28192</v>
      </c>
      <c r="D1055">
        <v>38132</v>
      </c>
      <c r="E1055" s="12">
        <v>45645</v>
      </c>
      <c r="F1055" s="12">
        <v>45810</v>
      </c>
      <c r="G1055" s="10">
        <v>8064.13</v>
      </c>
      <c r="H1055">
        <v>0</v>
      </c>
      <c r="I1055" t="s">
        <v>863</v>
      </c>
      <c r="J1055" t="s">
        <v>34</v>
      </c>
      <c r="K1055" t="s">
        <v>15</v>
      </c>
    </row>
    <row r="1056" spans="1:11" hidden="1" x14ac:dyDescent="0.35">
      <c r="A1056" t="s">
        <v>42</v>
      </c>
      <c r="B1056" t="s">
        <v>43</v>
      </c>
      <c r="C1056">
        <v>28280</v>
      </c>
      <c r="D1056">
        <v>38246</v>
      </c>
      <c r="E1056" s="12">
        <v>45659</v>
      </c>
      <c r="F1056" s="12">
        <v>45810</v>
      </c>
      <c r="G1056" s="10">
        <v>42525</v>
      </c>
      <c r="H1056">
        <v>0</v>
      </c>
      <c r="I1056" t="s">
        <v>556</v>
      </c>
      <c r="J1056" t="s">
        <v>44</v>
      </c>
      <c r="K1056" t="s">
        <v>15</v>
      </c>
    </row>
    <row r="1057" spans="1:11" hidden="1" x14ac:dyDescent="0.35">
      <c r="A1057" t="s">
        <v>281</v>
      </c>
      <c r="B1057" t="s">
        <v>282</v>
      </c>
      <c r="C1057">
        <v>27687</v>
      </c>
      <c r="D1057">
        <v>37473</v>
      </c>
      <c r="E1057" s="12">
        <v>45600</v>
      </c>
      <c r="F1057" s="12">
        <v>45810</v>
      </c>
      <c r="G1057" s="10">
        <v>2031.75</v>
      </c>
      <c r="H1057">
        <v>0</v>
      </c>
      <c r="I1057" t="s">
        <v>283</v>
      </c>
      <c r="J1057" t="s">
        <v>194</v>
      </c>
      <c r="K1057" t="s">
        <v>15</v>
      </c>
    </row>
    <row r="1058" spans="1:11" hidden="1" x14ac:dyDescent="0.35">
      <c r="A1058" t="s">
        <v>31</v>
      </c>
      <c r="B1058" t="s">
        <v>32</v>
      </c>
      <c r="C1058">
        <v>28194</v>
      </c>
      <c r="D1058">
        <v>38134</v>
      </c>
      <c r="E1058" s="12">
        <v>45645</v>
      </c>
      <c r="F1058" s="12">
        <v>45810</v>
      </c>
      <c r="G1058" s="10">
        <v>666.67</v>
      </c>
      <c r="H1058">
        <v>0</v>
      </c>
      <c r="I1058" t="s">
        <v>271</v>
      </c>
      <c r="J1058" t="s">
        <v>34</v>
      </c>
      <c r="K1058" t="s">
        <v>15</v>
      </c>
    </row>
    <row r="1059" spans="1:11" hidden="1" x14ac:dyDescent="0.35">
      <c r="A1059" t="s">
        <v>68</v>
      </c>
      <c r="B1059" t="s">
        <v>69</v>
      </c>
      <c r="C1059">
        <v>27260</v>
      </c>
      <c r="D1059">
        <v>36967</v>
      </c>
      <c r="E1059" s="12">
        <v>45568</v>
      </c>
      <c r="F1059" s="12">
        <v>45810</v>
      </c>
      <c r="G1059" s="10">
        <v>493.9</v>
      </c>
      <c r="H1059">
        <v>0</v>
      </c>
      <c r="I1059" t="s">
        <v>916</v>
      </c>
      <c r="J1059" t="s">
        <v>14</v>
      </c>
      <c r="K1059" t="s">
        <v>15</v>
      </c>
    </row>
    <row r="1060" spans="1:11" hidden="1" x14ac:dyDescent="0.35">
      <c r="A1060" t="s">
        <v>108</v>
      </c>
      <c r="B1060" t="s">
        <v>109</v>
      </c>
      <c r="C1060">
        <v>28737</v>
      </c>
      <c r="D1060">
        <v>38786</v>
      </c>
      <c r="E1060" s="12">
        <v>45688</v>
      </c>
      <c r="F1060" s="12">
        <v>45810</v>
      </c>
      <c r="G1060" s="10">
        <v>5407.5</v>
      </c>
      <c r="H1060">
        <v>0</v>
      </c>
      <c r="I1060" t="s">
        <v>1268</v>
      </c>
      <c r="J1060" t="s">
        <v>111</v>
      </c>
      <c r="K1060" t="s">
        <v>15</v>
      </c>
    </row>
    <row r="1061" spans="1:11" hidden="1" x14ac:dyDescent="0.35">
      <c r="A1061" t="s">
        <v>725</v>
      </c>
      <c r="B1061" t="s">
        <v>726</v>
      </c>
      <c r="C1061">
        <v>29281</v>
      </c>
      <c r="D1061">
        <v>39482</v>
      </c>
      <c r="E1061" s="12">
        <v>45748</v>
      </c>
      <c r="F1061" s="12">
        <v>45810</v>
      </c>
      <c r="G1061" s="10">
        <v>2466.66</v>
      </c>
      <c r="H1061">
        <v>0</v>
      </c>
      <c r="I1061" t="s">
        <v>727</v>
      </c>
      <c r="J1061" t="s">
        <v>111</v>
      </c>
      <c r="K1061" t="s">
        <v>15</v>
      </c>
    </row>
    <row r="1062" spans="1:11" hidden="1" x14ac:dyDescent="0.35">
      <c r="A1062" t="s">
        <v>587</v>
      </c>
      <c r="B1062" t="s">
        <v>588</v>
      </c>
      <c r="C1062">
        <v>27988</v>
      </c>
      <c r="D1062">
        <v>37882</v>
      </c>
      <c r="E1062" s="12">
        <v>45630</v>
      </c>
      <c r="F1062" s="12">
        <v>45810</v>
      </c>
      <c r="G1062" s="10">
        <v>7289.46</v>
      </c>
      <c r="H1062">
        <v>0</v>
      </c>
      <c r="I1062" t="s">
        <v>1330</v>
      </c>
      <c r="J1062" t="s">
        <v>44</v>
      </c>
      <c r="K1062" t="s">
        <v>15</v>
      </c>
    </row>
    <row r="1063" spans="1:11" hidden="1" x14ac:dyDescent="0.35">
      <c r="A1063" t="s">
        <v>587</v>
      </c>
      <c r="B1063" t="s">
        <v>588</v>
      </c>
      <c r="C1063">
        <v>29277</v>
      </c>
      <c r="D1063">
        <v>39478</v>
      </c>
      <c r="E1063" s="12">
        <v>45748</v>
      </c>
      <c r="F1063" s="12">
        <v>45810</v>
      </c>
      <c r="G1063" s="10">
        <v>11865.48</v>
      </c>
      <c r="H1063">
        <v>0</v>
      </c>
      <c r="I1063" t="s">
        <v>1706</v>
      </c>
      <c r="J1063" t="s">
        <v>44</v>
      </c>
      <c r="K1063" t="s">
        <v>15</v>
      </c>
    </row>
    <row r="1064" spans="1:11" hidden="1" x14ac:dyDescent="0.35">
      <c r="A1064" t="s">
        <v>848</v>
      </c>
      <c r="B1064" t="s">
        <v>849</v>
      </c>
      <c r="C1064">
        <v>28281</v>
      </c>
      <c r="D1064">
        <v>38252</v>
      </c>
      <c r="E1064" s="12">
        <v>45659</v>
      </c>
      <c r="F1064" s="12">
        <v>45810</v>
      </c>
      <c r="G1064" s="10">
        <v>56713.78</v>
      </c>
      <c r="H1064">
        <v>0</v>
      </c>
      <c r="I1064" t="s">
        <v>1552</v>
      </c>
      <c r="J1064" t="s">
        <v>14</v>
      </c>
    </row>
    <row r="1065" spans="1:11" hidden="1" x14ac:dyDescent="0.35">
      <c r="A1065" t="s">
        <v>1722</v>
      </c>
      <c r="B1065" t="s">
        <v>1723</v>
      </c>
      <c r="C1065">
        <v>29294</v>
      </c>
      <c r="D1065">
        <v>39495</v>
      </c>
      <c r="E1065" s="12">
        <v>45748</v>
      </c>
      <c r="F1065" s="12">
        <v>45810</v>
      </c>
      <c r="G1065" s="10">
        <v>4605.25</v>
      </c>
      <c r="H1065">
        <v>0</v>
      </c>
      <c r="I1065" t="s">
        <v>1724</v>
      </c>
      <c r="J1065" t="s">
        <v>44</v>
      </c>
      <c r="K1065" t="s">
        <v>15</v>
      </c>
    </row>
    <row r="1066" spans="1:11" hidden="1" x14ac:dyDescent="0.35">
      <c r="A1066" t="s">
        <v>144</v>
      </c>
      <c r="B1066" t="s">
        <v>145</v>
      </c>
      <c r="C1066">
        <v>29191</v>
      </c>
      <c r="D1066">
        <v>39364</v>
      </c>
      <c r="E1066" s="12">
        <v>45733</v>
      </c>
      <c r="F1066" s="12">
        <v>45810</v>
      </c>
      <c r="G1066" s="10">
        <v>24571.4</v>
      </c>
      <c r="H1066">
        <v>0</v>
      </c>
      <c r="I1066" t="s">
        <v>1616</v>
      </c>
      <c r="J1066" t="s">
        <v>48</v>
      </c>
      <c r="K1066" t="s">
        <v>15</v>
      </c>
    </row>
    <row r="1067" spans="1:11" hidden="1" x14ac:dyDescent="0.35">
      <c r="A1067" t="s">
        <v>108</v>
      </c>
      <c r="B1067" t="s">
        <v>109</v>
      </c>
      <c r="C1067">
        <v>28736</v>
      </c>
      <c r="D1067">
        <v>38785</v>
      </c>
      <c r="E1067" s="12">
        <v>45688</v>
      </c>
      <c r="F1067" s="12">
        <v>45810</v>
      </c>
      <c r="G1067" s="10">
        <v>67662</v>
      </c>
      <c r="H1067">
        <v>0</v>
      </c>
      <c r="I1067" t="s">
        <v>1526</v>
      </c>
      <c r="J1067" t="s">
        <v>111</v>
      </c>
      <c r="K1067" t="s">
        <v>15</v>
      </c>
    </row>
    <row r="1068" spans="1:11" hidden="1" x14ac:dyDescent="0.35">
      <c r="A1068" t="s">
        <v>31</v>
      </c>
      <c r="B1068" t="s">
        <v>32</v>
      </c>
      <c r="C1068">
        <v>28193</v>
      </c>
      <c r="D1068">
        <v>38133</v>
      </c>
      <c r="E1068" s="12">
        <v>45645</v>
      </c>
      <c r="F1068" s="12">
        <v>45810</v>
      </c>
      <c r="G1068" s="10">
        <v>5212.13</v>
      </c>
      <c r="H1068">
        <v>0</v>
      </c>
      <c r="I1068" t="s">
        <v>1641</v>
      </c>
      <c r="J1068" t="s">
        <v>34</v>
      </c>
      <c r="K1068" t="s">
        <v>15</v>
      </c>
    </row>
    <row r="1069" spans="1:11" hidden="1" x14ac:dyDescent="0.35">
      <c r="A1069" t="s">
        <v>31</v>
      </c>
      <c r="B1069" t="s">
        <v>32</v>
      </c>
      <c r="C1069">
        <v>28191</v>
      </c>
      <c r="D1069">
        <v>38131</v>
      </c>
      <c r="E1069" s="12">
        <v>45645</v>
      </c>
      <c r="F1069" s="12">
        <v>45810</v>
      </c>
      <c r="G1069" s="10">
        <v>2722.22</v>
      </c>
      <c r="H1069">
        <v>0</v>
      </c>
      <c r="I1069" t="s">
        <v>1673</v>
      </c>
      <c r="J1069" t="s">
        <v>34</v>
      </c>
      <c r="K1069" t="s">
        <v>15</v>
      </c>
    </row>
    <row r="1070" spans="1:11" hidden="1" x14ac:dyDescent="0.35">
      <c r="A1070" t="s">
        <v>848</v>
      </c>
      <c r="B1070" t="s">
        <v>849</v>
      </c>
      <c r="C1070">
        <v>28010</v>
      </c>
      <c r="D1070">
        <v>37912</v>
      </c>
      <c r="E1070" s="12">
        <v>45631</v>
      </c>
      <c r="F1070" s="12">
        <v>45811</v>
      </c>
      <c r="G1070" s="10">
        <v>1736.8</v>
      </c>
      <c r="H1070">
        <v>0</v>
      </c>
      <c r="I1070" t="s">
        <v>850</v>
      </c>
      <c r="J1070" t="s">
        <v>14</v>
      </c>
    </row>
    <row r="1071" spans="1:11" hidden="1" x14ac:dyDescent="0.35">
      <c r="A1071" t="s">
        <v>31</v>
      </c>
      <c r="B1071" t="s">
        <v>32</v>
      </c>
      <c r="C1071">
        <v>28206</v>
      </c>
      <c r="D1071">
        <v>38148</v>
      </c>
      <c r="E1071" s="12">
        <v>45646</v>
      </c>
      <c r="F1071" s="12">
        <v>45811</v>
      </c>
      <c r="G1071" s="10">
        <v>3413.33</v>
      </c>
      <c r="H1071">
        <v>0</v>
      </c>
      <c r="I1071" t="s">
        <v>271</v>
      </c>
      <c r="J1071" t="s">
        <v>34</v>
      </c>
      <c r="K1071" t="s">
        <v>15</v>
      </c>
    </row>
    <row r="1072" spans="1:11" hidden="1" x14ac:dyDescent="0.35">
      <c r="A1072" t="s">
        <v>594</v>
      </c>
      <c r="B1072" t="s">
        <v>595</v>
      </c>
      <c r="C1072">
        <v>28738</v>
      </c>
      <c r="D1072">
        <v>38794</v>
      </c>
      <c r="E1072" s="12">
        <v>45691</v>
      </c>
      <c r="F1072" s="12">
        <v>45811</v>
      </c>
      <c r="G1072" s="10">
        <v>17424.98</v>
      </c>
      <c r="H1072">
        <v>0</v>
      </c>
      <c r="I1072" t="s">
        <v>596</v>
      </c>
      <c r="J1072" t="s">
        <v>58</v>
      </c>
      <c r="K1072" t="s">
        <v>15</v>
      </c>
    </row>
    <row r="1073" spans="1:11" hidden="1" x14ac:dyDescent="0.35">
      <c r="A1073" t="s">
        <v>31</v>
      </c>
      <c r="B1073" t="s">
        <v>32</v>
      </c>
      <c r="C1073">
        <v>28207</v>
      </c>
      <c r="D1073">
        <v>38149</v>
      </c>
      <c r="E1073" s="12">
        <v>45646</v>
      </c>
      <c r="F1073" s="12">
        <v>45811</v>
      </c>
      <c r="G1073" s="10">
        <v>7355.99</v>
      </c>
      <c r="H1073">
        <v>0</v>
      </c>
      <c r="I1073" t="s">
        <v>59</v>
      </c>
      <c r="J1073" t="s">
        <v>34</v>
      </c>
      <c r="K1073" t="s">
        <v>15</v>
      </c>
    </row>
    <row r="1074" spans="1:11" hidden="1" x14ac:dyDescent="0.35">
      <c r="A1074" t="s">
        <v>31</v>
      </c>
      <c r="B1074" t="s">
        <v>32</v>
      </c>
      <c r="C1074">
        <v>28208</v>
      </c>
      <c r="D1074">
        <v>38150</v>
      </c>
      <c r="E1074" s="12">
        <v>45646</v>
      </c>
      <c r="F1074" s="12">
        <v>45811</v>
      </c>
      <c r="G1074" s="10">
        <v>1705.33</v>
      </c>
      <c r="H1074">
        <v>0</v>
      </c>
      <c r="I1074" t="s">
        <v>1455</v>
      </c>
      <c r="J1074" t="s">
        <v>34</v>
      </c>
      <c r="K1074" t="s">
        <v>15</v>
      </c>
    </row>
    <row r="1075" spans="1:11" hidden="1" x14ac:dyDescent="0.35">
      <c r="A1075" t="s">
        <v>31</v>
      </c>
      <c r="B1075" t="s">
        <v>32</v>
      </c>
      <c r="C1075">
        <v>28209</v>
      </c>
      <c r="D1075">
        <v>38151</v>
      </c>
      <c r="E1075" s="12">
        <v>45646</v>
      </c>
      <c r="F1075" s="12">
        <v>45811</v>
      </c>
      <c r="G1075" s="10">
        <v>2243.2199999999998</v>
      </c>
      <c r="H1075">
        <v>0</v>
      </c>
      <c r="I1075" t="s">
        <v>876</v>
      </c>
      <c r="J1075" t="s">
        <v>34</v>
      </c>
      <c r="K1075" t="s">
        <v>15</v>
      </c>
    </row>
    <row r="1076" spans="1:11" hidden="1" x14ac:dyDescent="0.35">
      <c r="A1076" t="s">
        <v>31</v>
      </c>
      <c r="B1076" t="s">
        <v>32</v>
      </c>
      <c r="C1076">
        <v>28205</v>
      </c>
      <c r="D1076">
        <v>38147</v>
      </c>
      <c r="E1076" s="12">
        <v>45646</v>
      </c>
      <c r="F1076" s="12">
        <v>45811</v>
      </c>
      <c r="G1076" s="10">
        <v>3239.29</v>
      </c>
      <c r="H1076">
        <v>0</v>
      </c>
      <c r="I1076" t="s">
        <v>271</v>
      </c>
      <c r="J1076" t="s">
        <v>34</v>
      </c>
      <c r="K1076" t="s">
        <v>15</v>
      </c>
    </row>
    <row r="1077" spans="1:11" hidden="1" x14ac:dyDescent="0.35">
      <c r="A1077" t="s">
        <v>31</v>
      </c>
      <c r="B1077" t="s">
        <v>32</v>
      </c>
      <c r="C1077">
        <v>28217</v>
      </c>
      <c r="D1077">
        <v>38159</v>
      </c>
      <c r="E1077" s="12">
        <v>45646</v>
      </c>
      <c r="F1077" s="12">
        <v>45811</v>
      </c>
      <c r="G1077" s="10">
        <v>1600</v>
      </c>
      <c r="H1077">
        <v>0</v>
      </c>
      <c r="I1077" t="s">
        <v>878</v>
      </c>
      <c r="J1077" t="s">
        <v>34</v>
      </c>
      <c r="K1077" t="s">
        <v>15</v>
      </c>
    </row>
    <row r="1078" spans="1:11" hidden="1" x14ac:dyDescent="0.35">
      <c r="A1078" t="s">
        <v>203</v>
      </c>
      <c r="B1078" t="s">
        <v>56</v>
      </c>
      <c r="C1078">
        <v>28012</v>
      </c>
      <c r="D1078">
        <v>37914</v>
      </c>
      <c r="E1078" s="12">
        <v>45631</v>
      </c>
      <c r="F1078" s="12">
        <v>45811</v>
      </c>
      <c r="G1078" s="10">
        <v>31408.7</v>
      </c>
      <c r="H1078">
        <v>0</v>
      </c>
      <c r="I1078" t="s">
        <v>1245</v>
      </c>
      <c r="J1078" t="s">
        <v>58</v>
      </c>
      <c r="K1078" t="s">
        <v>15</v>
      </c>
    </row>
    <row r="1079" spans="1:11" hidden="1" x14ac:dyDescent="0.35">
      <c r="A1079" t="s">
        <v>848</v>
      </c>
      <c r="B1079" t="s">
        <v>849</v>
      </c>
      <c r="C1079">
        <v>28009</v>
      </c>
      <c r="D1079">
        <v>37911</v>
      </c>
      <c r="E1079" s="12">
        <v>45631</v>
      </c>
      <c r="F1079" s="12">
        <v>45811</v>
      </c>
      <c r="G1079" s="10">
        <v>75180.42</v>
      </c>
      <c r="H1079">
        <v>0</v>
      </c>
      <c r="I1079" t="s">
        <v>992</v>
      </c>
      <c r="J1079" t="s">
        <v>14</v>
      </c>
    </row>
    <row r="1080" spans="1:11" hidden="1" x14ac:dyDescent="0.35">
      <c r="A1080" t="s">
        <v>1250</v>
      </c>
      <c r="B1080" t="s">
        <v>1251</v>
      </c>
      <c r="C1080">
        <v>29095</v>
      </c>
      <c r="D1080">
        <v>39255</v>
      </c>
      <c r="E1080" s="12">
        <v>45721</v>
      </c>
      <c r="F1080" s="12">
        <v>45811</v>
      </c>
      <c r="G1080" s="10">
        <v>9719.6200000000008</v>
      </c>
      <c r="H1080">
        <v>0</v>
      </c>
      <c r="I1080" t="s">
        <v>1558</v>
      </c>
      <c r="J1080" t="s">
        <v>152</v>
      </c>
      <c r="K1080" t="s">
        <v>15</v>
      </c>
    </row>
    <row r="1081" spans="1:11" hidden="1" x14ac:dyDescent="0.35">
      <c r="A1081" t="s">
        <v>1523</v>
      </c>
      <c r="B1081" t="s">
        <v>1524</v>
      </c>
      <c r="C1081">
        <v>29098</v>
      </c>
      <c r="D1081">
        <v>39257</v>
      </c>
      <c r="E1081" s="12">
        <v>45721</v>
      </c>
      <c r="F1081" s="12">
        <v>45811</v>
      </c>
      <c r="G1081" s="10">
        <v>7008.82</v>
      </c>
      <c r="H1081">
        <v>0</v>
      </c>
      <c r="I1081" t="s">
        <v>1525</v>
      </c>
      <c r="J1081" t="s">
        <v>312</v>
      </c>
      <c r="K1081" t="s">
        <v>15</v>
      </c>
    </row>
    <row r="1082" spans="1:11" hidden="1" x14ac:dyDescent="0.35">
      <c r="A1082" t="s">
        <v>149</v>
      </c>
      <c r="B1082" t="s">
        <v>150</v>
      </c>
      <c r="C1082">
        <v>29096</v>
      </c>
      <c r="D1082">
        <v>39256</v>
      </c>
      <c r="E1082" s="12">
        <v>45721</v>
      </c>
      <c r="F1082" s="12">
        <v>45811</v>
      </c>
      <c r="G1082" s="10">
        <v>82192.92</v>
      </c>
      <c r="H1082">
        <v>0</v>
      </c>
      <c r="I1082" t="s">
        <v>1376</v>
      </c>
      <c r="J1082" t="s">
        <v>152</v>
      </c>
    </row>
    <row r="1083" spans="1:11" hidden="1" x14ac:dyDescent="0.35">
      <c r="A1083" t="s">
        <v>265</v>
      </c>
      <c r="B1083" t="s">
        <v>266</v>
      </c>
      <c r="C1083">
        <v>28771</v>
      </c>
      <c r="D1083">
        <v>38857</v>
      </c>
      <c r="E1083" s="12">
        <v>45692</v>
      </c>
      <c r="F1083" s="12">
        <v>45812</v>
      </c>
      <c r="G1083" s="10">
        <v>5717.25</v>
      </c>
      <c r="H1083">
        <v>0</v>
      </c>
      <c r="I1083" t="s">
        <v>267</v>
      </c>
      <c r="J1083" t="s">
        <v>44</v>
      </c>
      <c r="K1083" t="s">
        <v>15</v>
      </c>
    </row>
    <row r="1084" spans="1:11" hidden="1" x14ac:dyDescent="0.35">
      <c r="A1084" t="s">
        <v>144</v>
      </c>
      <c r="B1084" t="s">
        <v>145</v>
      </c>
      <c r="C1084">
        <v>29242</v>
      </c>
      <c r="D1084">
        <v>39425</v>
      </c>
      <c r="E1084" s="12">
        <v>45737</v>
      </c>
      <c r="F1084" s="12">
        <v>45812</v>
      </c>
      <c r="G1084" s="10">
        <v>11195.99</v>
      </c>
      <c r="H1084">
        <v>0</v>
      </c>
      <c r="I1084" t="s">
        <v>1616</v>
      </c>
      <c r="J1084" t="s">
        <v>48</v>
      </c>
      <c r="K1084" t="s">
        <v>15</v>
      </c>
    </row>
    <row r="1085" spans="1:11" hidden="1" x14ac:dyDescent="0.35">
      <c r="A1085" t="s">
        <v>1077</v>
      </c>
      <c r="B1085" t="s">
        <v>1078</v>
      </c>
      <c r="C1085">
        <v>29100</v>
      </c>
      <c r="D1085">
        <v>39260</v>
      </c>
      <c r="E1085" s="12">
        <v>45722</v>
      </c>
      <c r="F1085" s="12">
        <v>45812</v>
      </c>
      <c r="G1085" s="10">
        <v>6693.02</v>
      </c>
      <c r="H1085">
        <v>0</v>
      </c>
      <c r="I1085" t="s">
        <v>1079</v>
      </c>
      <c r="J1085" t="s">
        <v>949</v>
      </c>
      <c r="K1085" t="s">
        <v>15</v>
      </c>
    </row>
    <row r="1086" spans="1:11" hidden="1" x14ac:dyDescent="0.35">
      <c r="A1086" t="s">
        <v>265</v>
      </c>
      <c r="B1086" t="s">
        <v>266</v>
      </c>
      <c r="C1086">
        <v>28770</v>
      </c>
      <c r="D1086">
        <v>38856</v>
      </c>
      <c r="E1086" s="12">
        <v>45692</v>
      </c>
      <c r="F1086" s="12">
        <v>45812</v>
      </c>
      <c r="G1086" s="10">
        <v>50807.25</v>
      </c>
      <c r="H1086">
        <v>0</v>
      </c>
      <c r="I1086" t="s">
        <v>267</v>
      </c>
      <c r="J1086" t="s">
        <v>44</v>
      </c>
      <c r="K1086" t="s">
        <v>15</v>
      </c>
    </row>
    <row r="1087" spans="1:11" hidden="1" x14ac:dyDescent="0.35">
      <c r="A1087" t="s">
        <v>770</v>
      </c>
      <c r="B1087" t="s">
        <v>771</v>
      </c>
      <c r="C1087">
        <v>28785</v>
      </c>
      <c r="D1087">
        <v>38872</v>
      </c>
      <c r="E1087" s="12">
        <v>45693</v>
      </c>
      <c r="F1087" s="12">
        <v>45813</v>
      </c>
      <c r="G1087" s="10">
        <v>17231.98</v>
      </c>
      <c r="H1087">
        <v>0</v>
      </c>
      <c r="I1087" t="s">
        <v>772</v>
      </c>
      <c r="J1087" t="s">
        <v>44</v>
      </c>
      <c r="K1087" t="s">
        <v>15</v>
      </c>
    </row>
    <row r="1088" spans="1:11" hidden="1" x14ac:dyDescent="0.35">
      <c r="A1088" t="s">
        <v>108</v>
      </c>
      <c r="B1088" t="s">
        <v>109</v>
      </c>
      <c r="C1088">
        <v>28794</v>
      </c>
      <c r="D1088">
        <v>38880</v>
      </c>
      <c r="E1088" s="12">
        <v>45693</v>
      </c>
      <c r="F1088" s="12">
        <v>45813</v>
      </c>
      <c r="G1088" s="10">
        <v>5484</v>
      </c>
      <c r="H1088">
        <v>0</v>
      </c>
      <c r="I1088" t="s">
        <v>110</v>
      </c>
      <c r="J1088" t="s">
        <v>111</v>
      </c>
      <c r="K1088" t="s">
        <v>15</v>
      </c>
    </row>
    <row r="1089" spans="1:11" hidden="1" x14ac:dyDescent="0.35">
      <c r="A1089" t="s">
        <v>31</v>
      </c>
      <c r="B1089" t="s">
        <v>32</v>
      </c>
      <c r="C1089">
        <v>28547</v>
      </c>
      <c r="D1089">
        <v>38565</v>
      </c>
      <c r="E1089" s="12">
        <v>45678</v>
      </c>
      <c r="F1089" s="12">
        <v>45813</v>
      </c>
      <c r="G1089" s="10">
        <v>13139.99</v>
      </c>
      <c r="H1089">
        <v>0</v>
      </c>
      <c r="I1089" t="s">
        <v>271</v>
      </c>
      <c r="J1089" t="s">
        <v>34</v>
      </c>
      <c r="K1089" t="s">
        <v>15</v>
      </c>
    </row>
    <row r="1090" spans="1:11" hidden="1" x14ac:dyDescent="0.35">
      <c r="A1090" t="s">
        <v>55</v>
      </c>
      <c r="B1090" t="s">
        <v>56</v>
      </c>
      <c r="C1090">
        <v>28781</v>
      </c>
      <c r="D1090">
        <v>38868</v>
      </c>
      <c r="E1090" s="12">
        <v>45693</v>
      </c>
      <c r="F1090" s="12">
        <v>45813</v>
      </c>
      <c r="G1090" s="10">
        <v>17874</v>
      </c>
      <c r="H1090">
        <v>0</v>
      </c>
      <c r="I1090" t="s">
        <v>208</v>
      </c>
      <c r="J1090" t="s">
        <v>58</v>
      </c>
      <c r="K1090" t="s">
        <v>15</v>
      </c>
    </row>
    <row r="1091" spans="1:11" hidden="1" x14ac:dyDescent="0.35">
      <c r="A1091" t="s">
        <v>108</v>
      </c>
      <c r="B1091" t="s">
        <v>109</v>
      </c>
      <c r="C1091">
        <v>28807</v>
      </c>
      <c r="D1091">
        <v>38891</v>
      </c>
      <c r="E1091" s="12">
        <v>45693</v>
      </c>
      <c r="F1091" s="12">
        <v>45813</v>
      </c>
      <c r="G1091" s="10">
        <v>59472</v>
      </c>
      <c r="H1091">
        <v>0</v>
      </c>
      <c r="I1091" t="s">
        <v>110</v>
      </c>
      <c r="J1091" t="s">
        <v>111</v>
      </c>
      <c r="K1091" t="s">
        <v>15</v>
      </c>
    </row>
    <row r="1092" spans="1:11" hidden="1" x14ac:dyDescent="0.35">
      <c r="A1092" t="s">
        <v>31</v>
      </c>
      <c r="B1092" t="s">
        <v>32</v>
      </c>
      <c r="C1092">
        <v>29110</v>
      </c>
      <c r="D1092">
        <v>39271</v>
      </c>
      <c r="E1092" s="12">
        <v>45723</v>
      </c>
      <c r="F1092" s="12">
        <v>45813</v>
      </c>
      <c r="G1092" s="10">
        <v>753.33</v>
      </c>
      <c r="H1092">
        <v>0</v>
      </c>
      <c r="I1092" t="s">
        <v>271</v>
      </c>
      <c r="J1092" t="s">
        <v>34</v>
      </c>
      <c r="K1092" t="s">
        <v>15</v>
      </c>
    </row>
    <row r="1093" spans="1:11" hidden="1" x14ac:dyDescent="0.35">
      <c r="A1093" t="s">
        <v>42</v>
      </c>
      <c r="B1093" t="s">
        <v>43</v>
      </c>
      <c r="C1093">
        <v>28780</v>
      </c>
      <c r="D1093">
        <v>38866</v>
      </c>
      <c r="E1093" s="12">
        <v>45693</v>
      </c>
      <c r="F1093" s="12">
        <v>45813</v>
      </c>
      <c r="G1093" s="10">
        <v>22312.5</v>
      </c>
      <c r="H1093">
        <v>0</v>
      </c>
      <c r="I1093" t="s">
        <v>1254</v>
      </c>
      <c r="J1093" t="s">
        <v>44</v>
      </c>
      <c r="K1093" t="s">
        <v>15</v>
      </c>
    </row>
    <row r="1094" spans="1:11" hidden="1" x14ac:dyDescent="0.35">
      <c r="A1094" t="s">
        <v>31</v>
      </c>
      <c r="B1094" t="s">
        <v>32</v>
      </c>
      <c r="C1094">
        <v>29109</v>
      </c>
      <c r="D1094">
        <v>39270</v>
      </c>
      <c r="E1094" s="12">
        <v>45723</v>
      </c>
      <c r="F1094" s="12">
        <v>45813</v>
      </c>
      <c r="G1094" s="10">
        <v>5866.66</v>
      </c>
      <c r="H1094">
        <v>0</v>
      </c>
      <c r="I1094" t="s">
        <v>271</v>
      </c>
      <c r="J1094" t="s">
        <v>34</v>
      </c>
      <c r="K1094" t="s">
        <v>15</v>
      </c>
    </row>
    <row r="1095" spans="1:11" hidden="1" x14ac:dyDescent="0.35">
      <c r="A1095" t="s">
        <v>31</v>
      </c>
      <c r="B1095" t="s">
        <v>32</v>
      </c>
      <c r="C1095">
        <v>29111</v>
      </c>
      <c r="D1095">
        <v>39272</v>
      </c>
      <c r="E1095" s="12">
        <v>45723</v>
      </c>
      <c r="F1095" s="12">
        <v>45813</v>
      </c>
      <c r="G1095" s="10">
        <v>2436.66</v>
      </c>
      <c r="H1095">
        <v>0</v>
      </c>
      <c r="I1095" t="s">
        <v>271</v>
      </c>
      <c r="J1095" t="s">
        <v>34</v>
      </c>
      <c r="K1095" t="s">
        <v>15</v>
      </c>
    </row>
    <row r="1096" spans="1:11" hidden="1" x14ac:dyDescent="0.35">
      <c r="A1096" t="s">
        <v>35</v>
      </c>
      <c r="B1096" t="s">
        <v>36</v>
      </c>
      <c r="C1096">
        <v>29049</v>
      </c>
      <c r="D1096">
        <v>39184</v>
      </c>
      <c r="E1096" s="12">
        <v>45713</v>
      </c>
      <c r="F1096" s="12">
        <v>45813</v>
      </c>
      <c r="G1096" s="10">
        <v>60350</v>
      </c>
      <c r="H1096">
        <v>0</v>
      </c>
      <c r="I1096" t="s">
        <v>794</v>
      </c>
      <c r="J1096" t="s">
        <v>22</v>
      </c>
      <c r="K1096" t="s">
        <v>15</v>
      </c>
    </row>
    <row r="1097" spans="1:11" hidden="1" x14ac:dyDescent="0.35">
      <c r="A1097" t="s">
        <v>31</v>
      </c>
      <c r="B1097" t="s">
        <v>32</v>
      </c>
      <c r="C1097">
        <v>28538</v>
      </c>
      <c r="D1097">
        <v>38555</v>
      </c>
      <c r="E1097" s="12">
        <v>45678</v>
      </c>
      <c r="F1097" s="12">
        <v>45813</v>
      </c>
      <c r="G1097" s="10">
        <v>1813.33</v>
      </c>
      <c r="H1097">
        <v>0</v>
      </c>
      <c r="I1097" t="s">
        <v>271</v>
      </c>
      <c r="J1097" t="s">
        <v>34</v>
      </c>
      <c r="K1097" t="s">
        <v>15</v>
      </c>
    </row>
    <row r="1098" spans="1:11" hidden="1" x14ac:dyDescent="0.35">
      <c r="A1098" t="s">
        <v>242</v>
      </c>
      <c r="B1098" t="s">
        <v>243</v>
      </c>
      <c r="C1098">
        <v>28806</v>
      </c>
      <c r="D1098">
        <v>38890</v>
      </c>
      <c r="E1098" s="12">
        <v>45693</v>
      </c>
      <c r="F1098" s="12">
        <v>45813</v>
      </c>
      <c r="G1098" s="10">
        <v>18444.2</v>
      </c>
      <c r="H1098">
        <v>0</v>
      </c>
      <c r="I1098" t="s">
        <v>980</v>
      </c>
      <c r="J1098" t="s">
        <v>48</v>
      </c>
      <c r="K1098" t="s">
        <v>15</v>
      </c>
    </row>
    <row r="1099" spans="1:11" hidden="1" x14ac:dyDescent="0.35">
      <c r="A1099" t="s">
        <v>31</v>
      </c>
      <c r="B1099" t="s">
        <v>32</v>
      </c>
      <c r="C1099">
        <v>29108</v>
      </c>
      <c r="D1099">
        <v>39269</v>
      </c>
      <c r="E1099" s="12">
        <v>45723</v>
      </c>
      <c r="F1099" s="12">
        <v>45813</v>
      </c>
      <c r="G1099" s="10">
        <v>7822.21</v>
      </c>
      <c r="H1099">
        <v>0</v>
      </c>
      <c r="I1099" t="s">
        <v>271</v>
      </c>
      <c r="J1099" t="s">
        <v>34</v>
      </c>
      <c r="K1099" t="s">
        <v>15</v>
      </c>
    </row>
    <row r="1100" spans="1:11" hidden="1" x14ac:dyDescent="0.35">
      <c r="A1100" t="s">
        <v>31</v>
      </c>
      <c r="B1100" t="s">
        <v>32</v>
      </c>
      <c r="C1100">
        <v>28539</v>
      </c>
      <c r="D1100">
        <v>38556</v>
      </c>
      <c r="E1100" s="12">
        <v>45678</v>
      </c>
      <c r="F1100" s="12">
        <v>45813</v>
      </c>
      <c r="G1100" s="10">
        <v>3413.33</v>
      </c>
      <c r="H1100">
        <v>0</v>
      </c>
      <c r="I1100" t="s">
        <v>271</v>
      </c>
      <c r="J1100" t="s">
        <v>34</v>
      </c>
      <c r="K1100" t="s">
        <v>15</v>
      </c>
    </row>
    <row r="1101" spans="1:11" hidden="1" x14ac:dyDescent="0.35">
      <c r="A1101" t="s">
        <v>249</v>
      </c>
      <c r="B1101" t="s">
        <v>36</v>
      </c>
      <c r="C1101">
        <v>29056</v>
      </c>
      <c r="D1101">
        <v>39195</v>
      </c>
      <c r="E1101" s="12">
        <v>45713</v>
      </c>
      <c r="F1101" s="12">
        <v>45813</v>
      </c>
      <c r="G1101" s="10">
        <v>84400</v>
      </c>
      <c r="H1101">
        <v>0</v>
      </c>
      <c r="I1101" t="s">
        <v>1363</v>
      </c>
      <c r="J1101" t="s">
        <v>22</v>
      </c>
      <c r="K1101" t="s">
        <v>15</v>
      </c>
    </row>
    <row r="1102" spans="1:11" hidden="1" x14ac:dyDescent="0.35">
      <c r="A1102" t="s">
        <v>1426</v>
      </c>
      <c r="B1102" t="s">
        <v>36</v>
      </c>
      <c r="C1102">
        <v>29057</v>
      </c>
      <c r="D1102">
        <v>39197</v>
      </c>
      <c r="E1102" s="12">
        <v>45713</v>
      </c>
      <c r="F1102" s="12">
        <v>45813</v>
      </c>
      <c r="G1102" s="10">
        <v>68647.5</v>
      </c>
      <c r="H1102">
        <v>0</v>
      </c>
      <c r="I1102" t="s">
        <v>1520</v>
      </c>
      <c r="J1102" t="s">
        <v>22</v>
      </c>
      <c r="K1102" t="s">
        <v>15</v>
      </c>
    </row>
    <row r="1103" spans="1:11" hidden="1" x14ac:dyDescent="0.35">
      <c r="A1103" t="s">
        <v>35</v>
      </c>
      <c r="B1103" t="s">
        <v>36</v>
      </c>
      <c r="C1103">
        <v>29052</v>
      </c>
      <c r="D1103">
        <v>39188</v>
      </c>
      <c r="E1103" s="12">
        <v>45713</v>
      </c>
      <c r="F1103" s="12">
        <v>45813</v>
      </c>
      <c r="G1103" s="10">
        <v>45287</v>
      </c>
      <c r="H1103">
        <v>0</v>
      </c>
      <c r="I1103" t="s">
        <v>794</v>
      </c>
      <c r="J1103" t="s">
        <v>22</v>
      </c>
      <c r="K1103" t="s">
        <v>15</v>
      </c>
    </row>
    <row r="1104" spans="1:11" hidden="1" x14ac:dyDescent="0.35">
      <c r="A1104" t="s">
        <v>295</v>
      </c>
      <c r="B1104" t="s">
        <v>36</v>
      </c>
      <c r="C1104">
        <v>29058</v>
      </c>
      <c r="D1104">
        <v>39198</v>
      </c>
      <c r="E1104" s="12">
        <v>45713</v>
      </c>
      <c r="F1104" s="12">
        <v>45813</v>
      </c>
      <c r="G1104" s="10">
        <v>99250</v>
      </c>
      <c r="H1104">
        <v>0</v>
      </c>
      <c r="I1104" t="s">
        <v>1499</v>
      </c>
      <c r="J1104" t="s">
        <v>22</v>
      </c>
      <c r="K1104" t="s">
        <v>15</v>
      </c>
    </row>
    <row r="1105" spans="1:11" hidden="1" x14ac:dyDescent="0.35">
      <c r="A1105" t="s">
        <v>249</v>
      </c>
      <c r="B1105" t="s">
        <v>36</v>
      </c>
      <c r="C1105">
        <v>29201</v>
      </c>
      <c r="D1105">
        <v>39374</v>
      </c>
      <c r="E1105" s="12">
        <v>45733</v>
      </c>
      <c r="F1105" s="12">
        <v>45813</v>
      </c>
      <c r="G1105" s="10">
        <v>3300</v>
      </c>
      <c r="H1105">
        <v>0</v>
      </c>
      <c r="I1105" t="s">
        <v>1363</v>
      </c>
      <c r="J1105" t="s">
        <v>22</v>
      </c>
      <c r="K1105" t="s">
        <v>15</v>
      </c>
    </row>
    <row r="1106" spans="1:11" hidden="1" x14ac:dyDescent="0.35">
      <c r="A1106" t="s">
        <v>1426</v>
      </c>
      <c r="B1106" t="s">
        <v>36</v>
      </c>
      <c r="C1106">
        <v>29200</v>
      </c>
      <c r="D1106">
        <v>39373</v>
      </c>
      <c r="E1106" s="12">
        <v>45733</v>
      </c>
      <c r="F1106" s="12">
        <v>45813</v>
      </c>
      <c r="G1106" s="10">
        <v>5808</v>
      </c>
      <c r="H1106">
        <v>0</v>
      </c>
      <c r="I1106" t="s">
        <v>1520</v>
      </c>
      <c r="J1106" t="s">
        <v>22</v>
      </c>
      <c r="K1106" t="s">
        <v>15</v>
      </c>
    </row>
    <row r="1107" spans="1:11" hidden="1" x14ac:dyDescent="0.35">
      <c r="A1107" t="s">
        <v>1271</v>
      </c>
      <c r="B1107" t="s">
        <v>36</v>
      </c>
      <c r="C1107">
        <v>29050</v>
      </c>
      <c r="D1107">
        <v>39185</v>
      </c>
      <c r="E1107" s="12">
        <v>45713</v>
      </c>
      <c r="F1107" s="12">
        <v>45813</v>
      </c>
      <c r="G1107" s="10">
        <v>149745</v>
      </c>
      <c r="H1107">
        <v>0</v>
      </c>
      <c r="I1107" t="s">
        <v>1272</v>
      </c>
      <c r="J1107" t="s">
        <v>22</v>
      </c>
      <c r="K1107" t="s">
        <v>15</v>
      </c>
    </row>
    <row r="1108" spans="1:11" hidden="1" x14ac:dyDescent="0.35">
      <c r="A1108" t="s">
        <v>174</v>
      </c>
      <c r="B1108" t="s">
        <v>175</v>
      </c>
      <c r="C1108">
        <v>28787</v>
      </c>
      <c r="D1108">
        <v>38873</v>
      </c>
      <c r="E1108" s="12">
        <v>45693</v>
      </c>
      <c r="F1108" s="12">
        <v>45813</v>
      </c>
      <c r="G1108" s="10">
        <v>59424.1</v>
      </c>
      <c r="H1108">
        <v>0</v>
      </c>
      <c r="I1108" t="s">
        <v>1418</v>
      </c>
      <c r="J1108" t="s">
        <v>58</v>
      </c>
      <c r="K1108" t="s">
        <v>15</v>
      </c>
    </row>
    <row r="1109" spans="1:11" hidden="1" x14ac:dyDescent="0.35">
      <c r="A1109" t="s">
        <v>265</v>
      </c>
      <c r="B1109" t="s">
        <v>266</v>
      </c>
      <c r="C1109">
        <v>28804</v>
      </c>
      <c r="D1109">
        <v>38889</v>
      </c>
      <c r="E1109" s="12">
        <v>45693</v>
      </c>
      <c r="F1109" s="12">
        <v>45813</v>
      </c>
      <c r="G1109" s="10">
        <v>7347.12</v>
      </c>
      <c r="H1109">
        <v>0</v>
      </c>
      <c r="I1109" t="s">
        <v>267</v>
      </c>
      <c r="J1109" t="s">
        <v>44</v>
      </c>
      <c r="K1109" t="s">
        <v>15</v>
      </c>
    </row>
    <row r="1110" spans="1:11" hidden="1" x14ac:dyDescent="0.35">
      <c r="A1110" t="s">
        <v>35</v>
      </c>
      <c r="B1110" t="s">
        <v>36</v>
      </c>
      <c r="C1110">
        <v>29202</v>
      </c>
      <c r="D1110">
        <v>39375</v>
      </c>
      <c r="E1110" s="12">
        <v>45733</v>
      </c>
      <c r="F1110" s="12">
        <v>45813</v>
      </c>
      <c r="G1110" s="10">
        <v>1152</v>
      </c>
      <c r="H1110">
        <v>0</v>
      </c>
      <c r="I1110" t="s">
        <v>794</v>
      </c>
      <c r="J1110" t="s">
        <v>22</v>
      </c>
      <c r="K1110" t="s">
        <v>15</v>
      </c>
    </row>
    <row r="1111" spans="1:11" hidden="1" x14ac:dyDescent="0.35">
      <c r="A1111" t="s">
        <v>42</v>
      </c>
      <c r="B1111" t="s">
        <v>43</v>
      </c>
      <c r="C1111">
        <v>28779</v>
      </c>
      <c r="D1111">
        <v>38865</v>
      </c>
      <c r="E1111" s="12">
        <v>45693</v>
      </c>
      <c r="F1111" s="12">
        <v>45813</v>
      </c>
      <c r="G1111" s="10">
        <v>66937.5</v>
      </c>
      <c r="H1111">
        <v>0</v>
      </c>
      <c r="I1111" t="s">
        <v>1340</v>
      </c>
      <c r="J1111" t="s">
        <v>44</v>
      </c>
      <c r="K1111" t="s">
        <v>15</v>
      </c>
    </row>
    <row r="1112" spans="1:11" hidden="1" x14ac:dyDescent="0.35">
      <c r="A1112" t="s">
        <v>108</v>
      </c>
      <c r="B1112" t="s">
        <v>109</v>
      </c>
      <c r="C1112">
        <v>28797</v>
      </c>
      <c r="D1112">
        <v>38883</v>
      </c>
      <c r="E1112" s="12">
        <v>45693</v>
      </c>
      <c r="F1112" s="12">
        <v>45813</v>
      </c>
      <c r="G1112" s="10">
        <v>61200</v>
      </c>
      <c r="H1112">
        <v>0</v>
      </c>
      <c r="I1112" t="s">
        <v>110</v>
      </c>
      <c r="J1112" t="s">
        <v>111</v>
      </c>
      <c r="K1112" t="s">
        <v>15</v>
      </c>
    </row>
    <row r="1113" spans="1:11" hidden="1" x14ac:dyDescent="0.35">
      <c r="A1113" t="s">
        <v>295</v>
      </c>
      <c r="B1113" t="s">
        <v>36</v>
      </c>
      <c r="C1113">
        <v>29198</v>
      </c>
      <c r="D1113">
        <v>39371</v>
      </c>
      <c r="E1113" s="12">
        <v>45733</v>
      </c>
      <c r="F1113" s="12">
        <v>45813</v>
      </c>
      <c r="G1113" s="10">
        <v>9216</v>
      </c>
      <c r="H1113">
        <v>0</v>
      </c>
      <c r="I1113" t="s">
        <v>1499</v>
      </c>
      <c r="J1113" t="s">
        <v>22</v>
      </c>
      <c r="K1113" t="s">
        <v>15</v>
      </c>
    </row>
    <row r="1114" spans="1:11" hidden="1" x14ac:dyDescent="0.35">
      <c r="A1114" t="s">
        <v>309</v>
      </c>
      <c r="B1114" t="s">
        <v>310</v>
      </c>
      <c r="C1114">
        <v>27732</v>
      </c>
      <c r="D1114">
        <v>37530</v>
      </c>
      <c r="E1114" s="12">
        <v>45604</v>
      </c>
      <c r="F1114" s="12">
        <v>45814</v>
      </c>
      <c r="G1114" s="10">
        <v>153000</v>
      </c>
      <c r="H1114">
        <v>0</v>
      </c>
      <c r="I1114" t="s">
        <v>699</v>
      </c>
      <c r="J1114" t="s">
        <v>312</v>
      </c>
      <c r="K1114" t="s">
        <v>15</v>
      </c>
    </row>
    <row r="1115" spans="1:11" hidden="1" x14ac:dyDescent="0.35">
      <c r="A1115" t="s">
        <v>1072</v>
      </c>
      <c r="B1115" t="s">
        <v>1073</v>
      </c>
      <c r="C1115">
        <v>28811</v>
      </c>
      <c r="D1115">
        <v>38895</v>
      </c>
      <c r="E1115" s="12">
        <v>45694</v>
      </c>
      <c r="F1115" s="12">
        <v>45814</v>
      </c>
      <c r="G1115" s="10">
        <v>13149</v>
      </c>
      <c r="H1115">
        <v>0</v>
      </c>
      <c r="I1115" t="s">
        <v>1074</v>
      </c>
      <c r="J1115" t="s">
        <v>48</v>
      </c>
      <c r="K1115" t="s">
        <v>15</v>
      </c>
    </row>
    <row r="1116" spans="1:11" hidden="1" x14ac:dyDescent="0.35">
      <c r="A1116" t="s">
        <v>382</v>
      </c>
      <c r="B1116" t="s">
        <v>383</v>
      </c>
      <c r="C1116">
        <v>28808</v>
      </c>
      <c r="D1116">
        <v>38892</v>
      </c>
      <c r="E1116" s="12">
        <v>45694</v>
      </c>
      <c r="F1116" s="12">
        <v>45814</v>
      </c>
      <c r="G1116" s="10">
        <v>178500</v>
      </c>
      <c r="H1116">
        <v>0</v>
      </c>
      <c r="I1116" t="s">
        <v>1571</v>
      </c>
      <c r="J1116" t="s">
        <v>44</v>
      </c>
      <c r="K1116" t="s">
        <v>15</v>
      </c>
    </row>
    <row r="1117" spans="1:11" hidden="1" x14ac:dyDescent="0.35">
      <c r="A1117" t="s">
        <v>606</v>
      </c>
      <c r="B1117" t="s">
        <v>607</v>
      </c>
      <c r="C1117">
        <v>27356</v>
      </c>
      <c r="D1117">
        <v>37079</v>
      </c>
      <c r="E1117" s="12">
        <v>45575</v>
      </c>
      <c r="F1117" s="12">
        <v>45817</v>
      </c>
      <c r="G1117" s="10">
        <v>529402</v>
      </c>
      <c r="H1117">
        <v>0</v>
      </c>
      <c r="I1117" t="s">
        <v>719</v>
      </c>
      <c r="J1117" t="s">
        <v>26</v>
      </c>
      <c r="K1117" t="s">
        <v>15</v>
      </c>
    </row>
    <row r="1118" spans="1:11" hidden="1" x14ac:dyDescent="0.35">
      <c r="A1118" t="s">
        <v>770</v>
      </c>
      <c r="B1118" t="s">
        <v>771</v>
      </c>
      <c r="C1118">
        <v>29119</v>
      </c>
      <c r="D1118">
        <v>39283</v>
      </c>
      <c r="E1118" s="12">
        <v>45726</v>
      </c>
      <c r="F1118" s="12">
        <v>45817</v>
      </c>
      <c r="G1118" s="10">
        <v>1966.66</v>
      </c>
      <c r="H1118">
        <v>0</v>
      </c>
      <c r="I1118" t="s">
        <v>772</v>
      </c>
      <c r="J1118" t="s">
        <v>44</v>
      </c>
      <c r="K1118" t="s">
        <v>15</v>
      </c>
    </row>
    <row r="1119" spans="1:11" hidden="1" x14ac:dyDescent="0.35">
      <c r="A1119" t="s">
        <v>31</v>
      </c>
      <c r="B1119" t="s">
        <v>32</v>
      </c>
      <c r="C1119">
        <v>29245</v>
      </c>
      <c r="D1119">
        <v>39430</v>
      </c>
      <c r="E1119" s="12">
        <v>45740</v>
      </c>
      <c r="F1119" s="12">
        <v>45817</v>
      </c>
      <c r="G1119" s="10">
        <v>1931.22</v>
      </c>
      <c r="H1119">
        <v>0</v>
      </c>
      <c r="I1119" t="s">
        <v>271</v>
      </c>
      <c r="J1119" t="s">
        <v>34</v>
      </c>
      <c r="K1119" t="s">
        <v>15</v>
      </c>
    </row>
    <row r="1120" spans="1:11" hidden="1" x14ac:dyDescent="0.35">
      <c r="A1120" t="s">
        <v>288</v>
      </c>
      <c r="B1120" t="s">
        <v>289</v>
      </c>
      <c r="C1120">
        <v>28338</v>
      </c>
      <c r="D1120">
        <v>38321</v>
      </c>
      <c r="E1120" s="12">
        <v>45666</v>
      </c>
      <c r="F1120" s="12">
        <v>45817</v>
      </c>
      <c r="G1120" s="10">
        <v>38815.599999999999</v>
      </c>
      <c r="H1120">
        <v>0</v>
      </c>
      <c r="I1120" t="s">
        <v>365</v>
      </c>
      <c r="J1120" t="s">
        <v>34</v>
      </c>
      <c r="K1120" t="s">
        <v>15</v>
      </c>
    </row>
    <row r="1121" spans="1:11" hidden="1" x14ac:dyDescent="0.35">
      <c r="A1121" t="s">
        <v>31</v>
      </c>
      <c r="B1121" t="s">
        <v>32</v>
      </c>
      <c r="C1121">
        <v>29260</v>
      </c>
      <c r="D1121">
        <v>39448</v>
      </c>
      <c r="E1121" s="12">
        <v>45741</v>
      </c>
      <c r="F1121" s="12">
        <v>45817</v>
      </c>
      <c r="G1121" s="10">
        <v>97.4</v>
      </c>
      <c r="H1121">
        <v>0</v>
      </c>
      <c r="I1121" t="s">
        <v>271</v>
      </c>
      <c r="J1121" t="s">
        <v>34</v>
      </c>
      <c r="K1121" t="s">
        <v>15</v>
      </c>
    </row>
    <row r="1122" spans="1:11" hidden="1" x14ac:dyDescent="0.35">
      <c r="A1122" t="s">
        <v>725</v>
      </c>
      <c r="B1122" t="s">
        <v>726</v>
      </c>
      <c r="C1122">
        <v>29138</v>
      </c>
      <c r="D1122">
        <v>39302</v>
      </c>
      <c r="E1122" s="12">
        <v>45727</v>
      </c>
      <c r="F1122" s="12">
        <v>45817</v>
      </c>
      <c r="G1122" s="10">
        <v>58561.61</v>
      </c>
      <c r="H1122">
        <v>0</v>
      </c>
      <c r="I1122" t="s">
        <v>727</v>
      </c>
      <c r="J1122" t="s">
        <v>111</v>
      </c>
      <c r="K1122" t="s">
        <v>15</v>
      </c>
    </row>
    <row r="1123" spans="1:11" hidden="1" x14ac:dyDescent="0.35">
      <c r="A1123" t="s">
        <v>200</v>
      </c>
      <c r="B1123" t="s">
        <v>56</v>
      </c>
      <c r="C1123">
        <v>28357</v>
      </c>
      <c r="D1123">
        <v>38346</v>
      </c>
      <c r="E1123" s="12">
        <v>45667</v>
      </c>
      <c r="F1123" s="12">
        <v>45817</v>
      </c>
      <c r="G1123" s="10">
        <v>98700</v>
      </c>
      <c r="H1123">
        <v>0</v>
      </c>
      <c r="I1123" t="s">
        <v>1593</v>
      </c>
      <c r="J1123" t="s">
        <v>44</v>
      </c>
      <c r="K1123" t="s">
        <v>15</v>
      </c>
    </row>
    <row r="1124" spans="1:11" hidden="1" x14ac:dyDescent="0.35">
      <c r="A1124" t="s">
        <v>31</v>
      </c>
      <c r="B1124" t="s">
        <v>32</v>
      </c>
      <c r="C1124">
        <v>29258</v>
      </c>
      <c r="D1124">
        <v>39446</v>
      </c>
      <c r="E1124" s="12">
        <v>45741</v>
      </c>
      <c r="F1124" s="12">
        <v>45817</v>
      </c>
      <c r="G1124" s="10">
        <v>353.33</v>
      </c>
      <c r="H1124">
        <v>0</v>
      </c>
      <c r="I1124" t="s">
        <v>271</v>
      </c>
      <c r="J1124" t="s">
        <v>34</v>
      </c>
      <c r="K1124" t="s">
        <v>15</v>
      </c>
    </row>
    <row r="1125" spans="1:11" hidden="1" x14ac:dyDescent="0.35">
      <c r="A1125" t="s">
        <v>362</v>
      </c>
      <c r="B1125" t="s">
        <v>363</v>
      </c>
      <c r="C1125">
        <v>28822</v>
      </c>
      <c r="D1125">
        <v>38909</v>
      </c>
      <c r="E1125" s="12">
        <v>45695</v>
      </c>
      <c r="F1125" s="12">
        <v>45817</v>
      </c>
      <c r="G1125" s="10">
        <v>17225</v>
      </c>
      <c r="H1125">
        <v>0</v>
      </c>
      <c r="I1125" t="s">
        <v>1003</v>
      </c>
      <c r="J1125" t="s">
        <v>48</v>
      </c>
      <c r="K1125" t="s">
        <v>15</v>
      </c>
    </row>
    <row r="1126" spans="1:11" hidden="1" x14ac:dyDescent="0.35">
      <c r="A1126" t="s">
        <v>31</v>
      </c>
      <c r="B1126" t="s">
        <v>32</v>
      </c>
      <c r="C1126">
        <v>29259</v>
      </c>
      <c r="D1126">
        <v>39447</v>
      </c>
      <c r="E1126" s="12">
        <v>45741</v>
      </c>
      <c r="F1126" s="12">
        <v>45817</v>
      </c>
      <c r="G1126" s="10">
        <v>1965.44</v>
      </c>
      <c r="H1126">
        <v>0</v>
      </c>
      <c r="I1126" t="s">
        <v>271</v>
      </c>
      <c r="J1126" t="s">
        <v>34</v>
      </c>
      <c r="K1126" t="s">
        <v>15</v>
      </c>
    </row>
    <row r="1127" spans="1:11" hidden="1" x14ac:dyDescent="0.35">
      <c r="A1127" t="s">
        <v>31</v>
      </c>
      <c r="B1127" t="s">
        <v>32</v>
      </c>
      <c r="C1127">
        <v>29244</v>
      </c>
      <c r="D1127">
        <v>39429</v>
      </c>
      <c r="E1127" s="12">
        <v>45740</v>
      </c>
      <c r="F1127" s="12">
        <v>45817</v>
      </c>
      <c r="G1127" s="10">
        <v>20324.14</v>
      </c>
      <c r="H1127">
        <v>0</v>
      </c>
      <c r="I1127" t="s">
        <v>271</v>
      </c>
      <c r="J1127" t="s">
        <v>34</v>
      </c>
      <c r="K1127" t="s">
        <v>15</v>
      </c>
    </row>
    <row r="1128" spans="1:11" hidden="1" x14ac:dyDescent="0.35">
      <c r="A1128" t="s">
        <v>31</v>
      </c>
      <c r="B1128" t="s">
        <v>32</v>
      </c>
      <c r="C1128">
        <v>29246</v>
      </c>
      <c r="D1128">
        <v>39431</v>
      </c>
      <c r="E1128" s="12">
        <v>45740</v>
      </c>
      <c r="F1128" s="12">
        <v>45817</v>
      </c>
      <c r="G1128" s="10">
        <v>1931.22</v>
      </c>
      <c r="H1128">
        <v>0</v>
      </c>
      <c r="I1128" t="s">
        <v>271</v>
      </c>
      <c r="J1128" t="s">
        <v>34</v>
      </c>
      <c r="K1128" t="s">
        <v>15</v>
      </c>
    </row>
    <row r="1129" spans="1:11" hidden="1" x14ac:dyDescent="0.35">
      <c r="A1129" t="s">
        <v>31</v>
      </c>
      <c r="B1129" t="s">
        <v>32</v>
      </c>
      <c r="C1129">
        <v>29261</v>
      </c>
      <c r="D1129">
        <v>39449</v>
      </c>
      <c r="E1129" s="12">
        <v>45741</v>
      </c>
      <c r="F1129" s="12">
        <v>45817</v>
      </c>
      <c r="G1129" s="10">
        <v>2271.66</v>
      </c>
      <c r="H1129">
        <v>0</v>
      </c>
      <c r="I1129" t="s">
        <v>271</v>
      </c>
      <c r="J1129" t="s">
        <v>34</v>
      </c>
      <c r="K1129" t="s">
        <v>15</v>
      </c>
    </row>
    <row r="1130" spans="1:11" hidden="1" x14ac:dyDescent="0.35">
      <c r="A1130" t="s">
        <v>841</v>
      </c>
      <c r="B1130" t="s">
        <v>842</v>
      </c>
      <c r="C1130">
        <v>27324</v>
      </c>
      <c r="D1130">
        <v>37041</v>
      </c>
      <c r="E1130" s="12">
        <v>45574</v>
      </c>
      <c r="F1130" s="12">
        <v>45818</v>
      </c>
      <c r="G1130" s="10">
        <v>28500</v>
      </c>
      <c r="H1130">
        <v>0</v>
      </c>
      <c r="I1130" t="s">
        <v>843</v>
      </c>
      <c r="J1130" t="s">
        <v>77</v>
      </c>
      <c r="K1130" t="s">
        <v>15</v>
      </c>
    </row>
    <row r="1131" spans="1:11" hidden="1" x14ac:dyDescent="0.35">
      <c r="A1131" t="s">
        <v>281</v>
      </c>
      <c r="B1131" t="s">
        <v>282</v>
      </c>
      <c r="C1131">
        <v>28287</v>
      </c>
      <c r="D1131">
        <v>38257</v>
      </c>
      <c r="E1131" s="12">
        <v>45660</v>
      </c>
      <c r="F1131" s="12">
        <v>45818</v>
      </c>
      <c r="G1131" s="10">
        <v>45950</v>
      </c>
      <c r="H1131">
        <v>0</v>
      </c>
      <c r="I1131" t="s">
        <v>683</v>
      </c>
      <c r="J1131" t="s">
        <v>194</v>
      </c>
      <c r="K1131" t="s">
        <v>15</v>
      </c>
    </row>
    <row r="1132" spans="1:11" hidden="1" x14ac:dyDescent="0.35">
      <c r="A1132" t="s">
        <v>42</v>
      </c>
      <c r="B1132" t="s">
        <v>43</v>
      </c>
      <c r="C1132">
        <v>27751</v>
      </c>
      <c r="D1132">
        <v>37557</v>
      </c>
      <c r="E1132" s="12">
        <v>45608</v>
      </c>
      <c r="F1132" s="12">
        <v>45818</v>
      </c>
      <c r="G1132" s="10">
        <v>49145.3</v>
      </c>
      <c r="H1132">
        <v>0</v>
      </c>
      <c r="I1132" t="s">
        <v>336</v>
      </c>
      <c r="J1132" t="s">
        <v>44</v>
      </c>
      <c r="K1132" t="s">
        <v>15</v>
      </c>
    </row>
    <row r="1133" spans="1:11" hidden="1" x14ac:dyDescent="0.35">
      <c r="A1133" t="s">
        <v>68</v>
      </c>
      <c r="B1133" t="s">
        <v>69</v>
      </c>
      <c r="C1133">
        <v>28076</v>
      </c>
      <c r="D1133">
        <v>37998</v>
      </c>
      <c r="E1133" s="12">
        <v>45638</v>
      </c>
      <c r="F1133" s="12">
        <v>45818</v>
      </c>
      <c r="G1133" s="10">
        <v>3240.67</v>
      </c>
      <c r="H1133">
        <v>0</v>
      </c>
      <c r="I1133" t="s">
        <v>342</v>
      </c>
      <c r="J1133" t="s">
        <v>14</v>
      </c>
      <c r="K1133" t="s">
        <v>15</v>
      </c>
    </row>
    <row r="1134" spans="1:11" hidden="1" x14ac:dyDescent="0.35">
      <c r="A1134" t="s">
        <v>281</v>
      </c>
      <c r="B1134" t="s">
        <v>282</v>
      </c>
      <c r="C1134">
        <v>28673</v>
      </c>
      <c r="D1134">
        <v>38715</v>
      </c>
      <c r="E1134" s="12">
        <v>45685</v>
      </c>
      <c r="F1134" s="12">
        <v>45818</v>
      </c>
      <c r="G1134" s="10">
        <v>39150</v>
      </c>
      <c r="H1134">
        <v>0</v>
      </c>
      <c r="I1134" t="s">
        <v>1127</v>
      </c>
      <c r="J1134" t="s">
        <v>194</v>
      </c>
      <c r="K1134" t="s">
        <v>15</v>
      </c>
    </row>
    <row r="1135" spans="1:11" hidden="1" x14ac:dyDescent="0.35">
      <c r="A1135" t="s">
        <v>1279</v>
      </c>
      <c r="B1135" t="s">
        <v>1280</v>
      </c>
      <c r="C1135">
        <v>27320</v>
      </c>
      <c r="D1135">
        <v>37037</v>
      </c>
      <c r="E1135" s="12">
        <v>45574</v>
      </c>
      <c r="F1135" s="12">
        <v>45818</v>
      </c>
      <c r="G1135" s="10">
        <v>31230</v>
      </c>
      <c r="H1135">
        <v>0</v>
      </c>
      <c r="I1135" t="s">
        <v>1281</v>
      </c>
      <c r="J1135" t="s">
        <v>77</v>
      </c>
      <c r="K1135" t="s">
        <v>15</v>
      </c>
    </row>
    <row r="1136" spans="1:11" hidden="1" x14ac:dyDescent="0.35">
      <c r="A1136" t="s">
        <v>68</v>
      </c>
      <c r="B1136" t="s">
        <v>69</v>
      </c>
      <c r="C1136">
        <v>28073</v>
      </c>
      <c r="D1136">
        <v>37995</v>
      </c>
      <c r="E1136" s="12">
        <v>45638</v>
      </c>
      <c r="F1136" s="12">
        <v>45818</v>
      </c>
      <c r="G1136" s="10">
        <v>20579</v>
      </c>
      <c r="H1136">
        <v>0</v>
      </c>
      <c r="I1136" t="s">
        <v>516</v>
      </c>
      <c r="J1136" t="s">
        <v>14</v>
      </c>
      <c r="K1136" t="s">
        <v>15</v>
      </c>
    </row>
    <row r="1137" spans="1:11" hidden="1" x14ac:dyDescent="0.35">
      <c r="A1137" t="s">
        <v>42</v>
      </c>
      <c r="B1137" t="s">
        <v>43</v>
      </c>
      <c r="C1137">
        <v>27752</v>
      </c>
      <c r="D1137">
        <v>37558</v>
      </c>
      <c r="E1137" s="12">
        <v>45608</v>
      </c>
      <c r="F1137" s="12">
        <v>45818</v>
      </c>
      <c r="G1137" s="10">
        <v>1000</v>
      </c>
      <c r="H1137">
        <v>0</v>
      </c>
      <c r="I1137" t="s">
        <v>901</v>
      </c>
      <c r="J1137" t="s">
        <v>44</v>
      </c>
      <c r="K1137" t="s">
        <v>15</v>
      </c>
    </row>
    <row r="1138" spans="1:11" hidden="1" x14ac:dyDescent="0.35">
      <c r="A1138" t="s">
        <v>281</v>
      </c>
      <c r="B1138" t="s">
        <v>282</v>
      </c>
      <c r="C1138">
        <v>28171</v>
      </c>
      <c r="D1138">
        <v>38107</v>
      </c>
      <c r="E1138" s="12">
        <v>45644</v>
      </c>
      <c r="F1138" s="12">
        <v>45818</v>
      </c>
      <c r="G1138" s="10">
        <v>35780</v>
      </c>
      <c r="H1138">
        <v>0</v>
      </c>
      <c r="I1138" t="s">
        <v>477</v>
      </c>
      <c r="J1138" t="s">
        <v>194</v>
      </c>
      <c r="K1138" t="s">
        <v>15</v>
      </c>
    </row>
    <row r="1139" spans="1:11" hidden="1" x14ac:dyDescent="0.35">
      <c r="A1139" t="s">
        <v>677</v>
      </c>
      <c r="B1139" t="s">
        <v>553</v>
      </c>
      <c r="C1139">
        <v>28058</v>
      </c>
      <c r="D1139">
        <v>37977</v>
      </c>
      <c r="E1139" s="12">
        <v>45638</v>
      </c>
      <c r="F1139" s="12">
        <v>45818</v>
      </c>
      <c r="G1139" s="10">
        <v>16000.04</v>
      </c>
      <c r="H1139">
        <v>0</v>
      </c>
      <c r="I1139" t="s">
        <v>1137</v>
      </c>
      <c r="J1139" t="s">
        <v>58</v>
      </c>
      <c r="K1139" t="s">
        <v>15</v>
      </c>
    </row>
    <row r="1140" spans="1:11" hidden="1" x14ac:dyDescent="0.35">
      <c r="A1140" t="s">
        <v>1279</v>
      </c>
      <c r="B1140" t="s">
        <v>1280</v>
      </c>
      <c r="C1140">
        <v>27321</v>
      </c>
      <c r="D1140">
        <v>37038</v>
      </c>
      <c r="E1140" s="12">
        <v>45574</v>
      </c>
      <c r="F1140" s="12">
        <v>45818</v>
      </c>
      <c r="G1140" s="10">
        <v>88615</v>
      </c>
      <c r="H1140">
        <v>0</v>
      </c>
      <c r="I1140" t="s">
        <v>1683</v>
      </c>
      <c r="J1140" t="s">
        <v>77</v>
      </c>
      <c r="K1140" t="s">
        <v>15</v>
      </c>
    </row>
    <row r="1141" spans="1:11" hidden="1" x14ac:dyDescent="0.35">
      <c r="A1141" t="s">
        <v>725</v>
      </c>
      <c r="B1141" t="s">
        <v>726</v>
      </c>
      <c r="C1141">
        <v>28832</v>
      </c>
      <c r="D1141">
        <v>38918</v>
      </c>
      <c r="E1141" s="12">
        <v>45698</v>
      </c>
      <c r="F1141" s="12">
        <v>45818</v>
      </c>
      <c r="G1141" s="10">
        <v>3936</v>
      </c>
      <c r="H1141">
        <v>0</v>
      </c>
      <c r="I1141" t="s">
        <v>727</v>
      </c>
      <c r="J1141" t="s">
        <v>111</v>
      </c>
      <c r="K1141" t="s">
        <v>15</v>
      </c>
    </row>
    <row r="1142" spans="1:11" hidden="1" x14ac:dyDescent="0.35">
      <c r="A1142" t="s">
        <v>374</v>
      </c>
      <c r="B1142" t="s">
        <v>310</v>
      </c>
      <c r="C1142">
        <v>27763</v>
      </c>
      <c r="D1142">
        <v>37571</v>
      </c>
      <c r="E1142" s="12">
        <v>45608</v>
      </c>
      <c r="F1142" s="12">
        <v>45818</v>
      </c>
      <c r="G1142" s="10">
        <v>39596.800000000003</v>
      </c>
      <c r="H1142">
        <v>0</v>
      </c>
      <c r="I1142" t="s">
        <v>1550</v>
      </c>
      <c r="J1142" t="s">
        <v>312</v>
      </c>
      <c r="K1142" t="s">
        <v>15</v>
      </c>
    </row>
    <row r="1143" spans="1:11" hidden="1" x14ac:dyDescent="0.35">
      <c r="A1143" t="s">
        <v>31</v>
      </c>
      <c r="B1143" t="s">
        <v>32</v>
      </c>
      <c r="C1143">
        <v>29045</v>
      </c>
      <c r="D1143">
        <v>39176</v>
      </c>
      <c r="E1143" s="12">
        <v>45713</v>
      </c>
      <c r="F1143" s="12">
        <v>45818</v>
      </c>
      <c r="G1143" s="10">
        <v>13436.25</v>
      </c>
      <c r="H1143">
        <v>0</v>
      </c>
      <c r="I1143" t="s">
        <v>271</v>
      </c>
      <c r="J1143" t="s">
        <v>34</v>
      </c>
      <c r="K1143" t="s">
        <v>15</v>
      </c>
    </row>
    <row r="1144" spans="1:11" hidden="1" x14ac:dyDescent="0.35">
      <c r="A1144" t="s">
        <v>382</v>
      </c>
      <c r="B1144" t="s">
        <v>383</v>
      </c>
      <c r="C1144">
        <v>28839</v>
      </c>
      <c r="D1144">
        <v>38927</v>
      </c>
      <c r="E1144" s="12">
        <v>45698</v>
      </c>
      <c r="F1144" s="12">
        <v>45818</v>
      </c>
      <c r="G1144" s="10">
        <v>133875</v>
      </c>
      <c r="H1144">
        <v>0</v>
      </c>
      <c r="I1144" t="s">
        <v>1457</v>
      </c>
      <c r="J1144" t="s">
        <v>44</v>
      </c>
      <c r="K1144" t="s">
        <v>15</v>
      </c>
    </row>
    <row r="1145" spans="1:11" hidden="1" x14ac:dyDescent="0.35">
      <c r="A1145" t="s">
        <v>31</v>
      </c>
      <c r="B1145" t="s">
        <v>32</v>
      </c>
      <c r="C1145">
        <v>29154</v>
      </c>
      <c r="D1145">
        <v>39322</v>
      </c>
      <c r="E1145" s="12">
        <v>45728</v>
      </c>
      <c r="F1145" s="12">
        <v>45818</v>
      </c>
      <c r="G1145" s="10">
        <v>14305.54</v>
      </c>
      <c r="H1145">
        <v>0</v>
      </c>
      <c r="I1145" t="s">
        <v>1459</v>
      </c>
      <c r="J1145" t="s">
        <v>34</v>
      </c>
      <c r="K1145" t="s">
        <v>15</v>
      </c>
    </row>
    <row r="1146" spans="1:11" hidden="1" x14ac:dyDescent="0.35">
      <c r="A1146" t="s">
        <v>68</v>
      </c>
      <c r="B1146" t="s">
        <v>69</v>
      </c>
      <c r="C1146">
        <v>28074</v>
      </c>
      <c r="D1146">
        <v>37996</v>
      </c>
      <c r="E1146" s="12">
        <v>45638</v>
      </c>
      <c r="F1146" s="12">
        <v>45818</v>
      </c>
      <c r="G1146" s="10">
        <v>2800</v>
      </c>
      <c r="H1146">
        <v>0</v>
      </c>
      <c r="I1146" t="s">
        <v>1511</v>
      </c>
      <c r="J1146" t="s">
        <v>14</v>
      </c>
      <c r="K1146" t="s">
        <v>15</v>
      </c>
    </row>
    <row r="1147" spans="1:11" hidden="1" x14ac:dyDescent="0.35">
      <c r="A1147" t="s">
        <v>31</v>
      </c>
      <c r="B1147" t="s">
        <v>32</v>
      </c>
      <c r="C1147">
        <v>29153</v>
      </c>
      <c r="D1147">
        <v>39321</v>
      </c>
      <c r="E1147" s="12">
        <v>45728</v>
      </c>
      <c r="F1147" s="12">
        <v>45818</v>
      </c>
      <c r="G1147" s="10">
        <v>6866.66</v>
      </c>
      <c r="H1147">
        <v>0</v>
      </c>
      <c r="I1147" t="s">
        <v>1518</v>
      </c>
      <c r="J1147" t="s">
        <v>34</v>
      </c>
      <c r="K1147" t="s">
        <v>15</v>
      </c>
    </row>
    <row r="1148" spans="1:11" hidden="1" x14ac:dyDescent="0.35">
      <c r="A1148" t="s">
        <v>946</v>
      </c>
      <c r="B1148" t="s">
        <v>947</v>
      </c>
      <c r="C1148">
        <v>28838</v>
      </c>
      <c r="D1148">
        <v>38924</v>
      </c>
      <c r="E1148" s="12">
        <v>45698</v>
      </c>
      <c r="F1148" s="12">
        <v>45818</v>
      </c>
      <c r="G1148" s="10">
        <v>60100</v>
      </c>
      <c r="H1148">
        <v>0</v>
      </c>
      <c r="I1148" t="s">
        <v>1624</v>
      </c>
      <c r="J1148" t="s">
        <v>949</v>
      </c>
      <c r="K1148" t="s">
        <v>15</v>
      </c>
    </row>
    <row r="1149" spans="1:11" hidden="1" x14ac:dyDescent="0.35">
      <c r="A1149" t="s">
        <v>725</v>
      </c>
      <c r="B1149" t="s">
        <v>726</v>
      </c>
      <c r="C1149">
        <v>28833</v>
      </c>
      <c r="D1149">
        <v>38919</v>
      </c>
      <c r="E1149" s="12">
        <v>45698</v>
      </c>
      <c r="F1149" s="12">
        <v>45818</v>
      </c>
      <c r="G1149" s="10">
        <v>12460.02</v>
      </c>
      <c r="H1149">
        <v>0</v>
      </c>
      <c r="I1149" t="s">
        <v>727</v>
      </c>
      <c r="J1149" t="s">
        <v>111</v>
      </c>
      <c r="K1149" t="s">
        <v>15</v>
      </c>
    </row>
    <row r="1150" spans="1:11" hidden="1" x14ac:dyDescent="0.35">
      <c r="A1150" t="s">
        <v>31</v>
      </c>
      <c r="B1150" t="s">
        <v>32</v>
      </c>
      <c r="C1150">
        <v>29044</v>
      </c>
      <c r="D1150">
        <v>39175</v>
      </c>
      <c r="E1150" s="12">
        <v>45713</v>
      </c>
      <c r="F1150" s="12">
        <v>45818</v>
      </c>
      <c r="G1150" s="10">
        <v>7734.7</v>
      </c>
      <c r="H1150">
        <v>0</v>
      </c>
      <c r="I1150" t="s">
        <v>271</v>
      </c>
      <c r="J1150" t="s">
        <v>34</v>
      </c>
      <c r="K1150" t="s">
        <v>15</v>
      </c>
    </row>
    <row r="1151" spans="1:11" hidden="1" x14ac:dyDescent="0.35">
      <c r="A1151" t="s">
        <v>205</v>
      </c>
      <c r="B1151" t="s">
        <v>56</v>
      </c>
      <c r="C1151">
        <v>28097</v>
      </c>
      <c r="D1151">
        <v>38022</v>
      </c>
      <c r="E1151" s="12">
        <v>45639</v>
      </c>
      <c r="F1151" s="12">
        <v>45819</v>
      </c>
      <c r="G1151" s="10">
        <v>11773</v>
      </c>
      <c r="H1151">
        <v>0</v>
      </c>
      <c r="I1151" t="s">
        <v>206</v>
      </c>
      <c r="J1151" t="s">
        <v>58</v>
      </c>
      <c r="K1151" t="s">
        <v>15</v>
      </c>
    </row>
    <row r="1152" spans="1:11" hidden="1" x14ac:dyDescent="0.35">
      <c r="A1152" t="s">
        <v>362</v>
      </c>
      <c r="B1152" t="s">
        <v>363</v>
      </c>
      <c r="C1152">
        <v>28113</v>
      </c>
      <c r="D1152">
        <v>38039</v>
      </c>
      <c r="E1152" s="12">
        <v>45639</v>
      </c>
      <c r="F1152" s="12">
        <v>45819</v>
      </c>
      <c r="G1152" s="10">
        <v>127500</v>
      </c>
      <c r="H1152">
        <v>0</v>
      </c>
      <c r="I1152" t="s">
        <v>971</v>
      </c>
      <c r="J1152" t="s">
        <v>48</v>
      </c>
      <c r="K1152" t="s">
        <v>15</v>
      </c>
    </row>
    <row r="1153" spans="1:11" hidden="1" x14ac:dyDescent="0.35">
      <c r="A1153" t="s">
        <v>725</v>
      </c>
      <c r="B1153" t="s">
        <v>726</v>
      </c>
      <c r="C1153">
        <v>28841</v>
      </c>
      <c r="D1153">
        <v>38931</v>
      </c>
      <c r="E1153" s="12">
        <v>45699</v>
      </c>
      <c r="F1153" s="12">
        <v>45819</v>
      </c>
      <c r="G1153" s="10">
        <v>18333.32</v>
      </c>
      <c r="H1153">
        <v>0</v>
      </c>
      <c r="I1153" t="s">
        <v>906</v>
      </c>
      <c r="J1153" t="s">
        <v>111</v>
      </c>
      <c r="K1153" t="s">
        <v>15</v>
      </c>
    </row>
    <row r="1154" spans="1:11" hidden="1" x14ac:dyDescent="0.35">
      <c r="A1154" t="s">
        <v>791</v>
      </c>
      <c r="B1154" t="s">
        <v>56</v>
      </c>
      <c r="C1154">
        <v>28081</v>
      </c>
      <c r="D1154">
        <v>38004</v>
      </c>
      <c r="E1154" s="12">
        <v>45639</v>
      </c>
      <c r="F1154" s="12">
        <v>45819</v>
      </c>
      <c r="G1154" s="10">
        <v>20939</v>
      </c>
      <c r="H1154">
        <v>0</v>
      </c>
      <c r="I1154" t="s">
        <v>926</v>
      </c>
      <c r="J1154" t="s">
        <v>44</v>
      </c>
      <c r="K1154" t="s">
        <v>15</v>
      </c>
    </row>
    <row r="1155" spans="1:11" hidden="1" x14ac:dyDescent="0.35">
      <c r="A1155" t="s">
        <v>49</v>
      </c>
      <c r="B1155" t="s">
        <v>50</v>
      </c>
      <c r="C1155">
        <v>28082</v>
      </c>
      <c r="D1155">
        <v>38005</v>
      </c>
      <c r="E1155" s="12">
        <v>45639</v>
      </c>
      <c r="F1155" s="12">
        <v>45819</v>
      </c>
      <c r="G1155" s="10">
        <v>9571</v>
      </c>
      <c r="H1155">
        <v>0</v>
      </c>
      <c r="I1155" t="s">
        <v>994</v>
      </c>
      <c r="J1155" t="s">
        <v>44</v>
      </c>
      <c r="K1155" t="s">
        <v>15</v>
      </c>
    </row>
    <row r="1156" spans="1:11" hidden="1" x14ac:dyDescent="0.35">
      <c r="A1156" t="s">
        <v>474</v>
      </c>
      <c r="B1156" t="s">
        <v>475</v>
      </c>
      <c r="C1156">
        <v>28851</v>
      </c>
      <c r="D1156">
        <v>38942</v>
      </c>
      <c r="E1156" s="12">
        <v>45699</v>
      </c>
      <c r="F1156" s="12">
        <v>45819</v>
      </c>
      <c r="G1156" s="10">
        <v>177550</v>
      </c>
      <c r="H1156">
        <v>0</v>
      </c>
      <c r="I1156" t="s">
        <v>476</v>
      </c>
      <c r="J1156" t="s">
        <v>44</v>
      </c>
      <c r="K1156" t="s">
        <v>15</v>
      </c>
    </row>
    <row r="1157" spans="1:11" hidden="1" x14ac:dyDescent="0.35">
      <c r="A1157" t="s">
        <v>200</v>
      </c>
      <c r="B1157" t="s">
        <v>56</v>
      </c>
      <c r="C1157">
        <v>28079</v>
      </c>
      <c r="D1157">
        <v>38002</v>
      </c>
      <c r="E1157" s="12">
        <v>45639</v>
      </c>
      <c r="F1157" s="12">
        <v>45819</v>
      </c>
      <c r="G1157" s="10">
        <v>5381</v>
      </c>
      <c r="H1157">
        <v>0</v>
      </c>
      <c r="I1157" t="s">
        <v>1014</v>
      </c>
      <c r="J1157" t="s">
        <v>44</v>
      </c>
      <c r="K1157" t="s">
        <v>15</v>
      </c>
    </row>
    <row r="1158" spans="1:11" hidden="1" x14ac:dyDescent="0.35">
      <c r="A1158" t="s">
        <v>68</v>
      </c>
      <c r="B1158" t="s">
        <v>69</v>
      </c>
      <c r="C1158">
        <v>27384</v>
      </c>
      <c r="D1158">
        <v>37110</v>
      </c>
      <c r="E1158" s="12">
        <v>45579</v>
      </c>
      <c r="F1158" s="12">
        <v>45819</v>
      </c>
      <c r="G1158" s="10">
        <v>35515.339999999997</v>
      </c>
      <c r="H1158">
        <v>0</v>
      </c>
      <c r="I1158" t="s">
        <v>315</v>
      </c>
      <c r="J1158" t="s">
        <v>14</v>
      </c>
      <c r="K1158" t="s">
        <v>15</v>
      </c>
    </row>
    <row r="1159" spans="1:11" hidden="1" x14ac:dyDescent="0.35">
      <c r="A1159" t="s">
        <v>42</v>
      </c>
      <c r="B1159" t="s">
        <v>43</v>
      </c>
      <c r="C1159">
        <v>28086</v>
      </c>
      <c r="D1159">
        <v>38009</v>
      </c>
      <c r="E1159" s="12">
        <v>45639</v>
      </c>
      <c r="F1159" s="12">
        <v>45819</v>
      </c>
      <c r="G1159" s="10">
        <v>2199.46</v>
      </c>
      <c r="H1159">
        <v>0</v>
      </c>
      <c r="I1159" t="s">
        <v>494</v>
      </c>
      <c r="J1159" t="s">
        <v>44</v>
      </c>
      <c r="K1159" t="s">
        <v>15</v>
      </c>
    </row>
    <row r="1160" spans="1:11" hidden="1" x14ac:dyDescent="0.35">
      <c r="A1160" t="s">
        <v>242</v>
      </c>
      <c r="B1160" t="s">
        <v>243</v>
      </c>
      <c r="C1160">
        <v>28858</v>
      </c>
      <c r="D1160">
        <v>38949</v>
      </c>
      <c r="E1160" s="12">
        <v>45699</v>
      </c>
      <c r="F1160" s="12">
        <v>45819</v>
      </c>
      <c r="G1160" s="10">
        <v>106800</v>
      </c>
      <c r="H1160">
        <v>0</v>
      </c>
      <c r="I1160" t="s">
        <v>739</v>
      </c>
      <c r="J1160" t="s">
        <v>48</v>
      </c>
      <c r="K1160" t="s">
        <v>15</v>
      </c>
    </row>
    <row r="1161" spans="1:11" hidden="1" x14ac:dyDescent="0.35">
      <c r="A1161" t="s">
        <v>203</v>
      </c>
      <c r="B1161" t="s">
        <v>56</v>
      </c>
      <c r="C1161">
        <v>28099</v>
      </c>
      <c r="D1161">
        <v>38024</v>
      </c>
      <c r="E1161" s="12">
        <v>45639</v>
      </c>
      <c r="F1161" s="12">
        <v>45819</v>
      </c>
      <c r="G1161" s="10">
        <v>53300</v>
      </c>
      <c r="H1161">
        <v>0</v>
      </c>
      <c r="I1161" t="s">
        <v>752</v>
      </c>
      <c r="J1161" t="s">
        <v>58</v>
      </c>
      <c r="K1161" t="s">
        <v>15</v>
      </c>
    </row>
    <row r="1162" spans="1:11" hidden="1" x14ac:dyDescent="0.35">
      <c r="A1162" t="s">
        <v>597</v>
      </c>
      <c r="B1162" t="s">
        <v>598</v>
      </c>
      <c r="C1162">
        <v>29156</v>
      </c>
      <c r="D1162">
        <v>39324</v>
      </c>
      <c r="E1162" s="12">
        <v>45729</v>
      </c>
      <c r="F1162" s="12">
        <v>45819</v>
      </c>
      <c r="G1162" s="10">
        <v>1891.68</v>
      </c>
      <c r="H1162">
        <v>0</v>
      </c>
      <c r="I1162" t="s">
        <v>599</v>
      </c>
      <c r="J1162" t="s">
        <v>194</v>
      </c>
      <c r="K1162" t="s">
        <v>15</v>
      </c>
    </row>
    <row r="1163" spans="1:11" hidden="1" x14ac:dyDescent="0.35">
      <c r="A1163" t="s">
        <v>218</v>
      </c>
      <c r="B1163" t="s">
        <v>219</v>
      </c>
      <c r="C1163">
        <v>29159</v>
      </c>
      <c r="D1163">
        <v>39327</v>
      </c>
      <c r="E1163" s="12">
        <v>45729</v>
      </c>
      <c r="F1163" s="12">
        <v>45819</v>
      </c>
      <c r="G1163" s="10">
        <v>3234.6</v>
      </c>
      <c r="H1163">
        <v>0</v>
      </c>
      <c r="I1163" t="s">
        <v>220</v>
      </c>
      <c r="J1163" t="s">
        <v>152</v>
      </c>
      <c r="K1163" t="s">
        <v>15</v>
      </c>
    </row>
    <row r="1164" spans="1:11" hidden="1" x14ac:dyDescent="0.35">
      <c r="A1164" t="s">
        <v>174</v>
      </c>
      <c r="B1164" t="s">
        <v>175</v>
      </c>
      <c r="C1164">
        <v>28100</v>
      </c>
      <c r="D1164">
        <v>38025</v>
      </c>
      <c r="E1164" s="12">
        <v>45639</v>
      </c>
      <c r="F1164" s="12">
        <v>45819</v>
      </c>
      <c r="G1164" s="10">
        <v>106600</v>
      </c>
      <c r="H1164">
        <v>0</v>
      </c>
      <c r="I1164" t="s">
        <v>1672</v>
      </c>
      <c r="J1164" t="s">
        <v>58</v>
      </c>
      <c r="K1164" t="s">
        <v>15</v>
      </c>
    </row>
    <row r="1165" spans="1:11" hidden="1" x14ac:dyDescent="0.35">
      <c r="A1165" t="s">
        <v>725</v>
      </c>
      <c r="B1165" t="s">
        <v>726</v>
      </c>
      <c r="C1165">
        <v>29155</v>
      </c>
      <c r="D1165">
        <v>39323</v>
      </c>
      <c r="E1165" s="12">
        <v>45729</v>
      </c>
      <c r="F1165" s="12">
        <v>45819</v>
      </c>
      <c r="G1165" s="10">
        <v>4000</v>
      </c>
      <c r="H1165">
        <v>0</v>
      </c>
      <c r="I1165" t="s">
        <v>727</v>
      </c>
      <c r="J1165" t="s">
        <v>111</v>
      </c>
      <c r="K1165" t="s">
        <v>15</v>
      </c>
    </row>
    <row r="1166" spans="1:11" hidden="1" x14ac:dyDescent="0.35">
      <c r="A1166" t="s">
        <v>594</v>
      </c>
      <c r="B1166" t="s">
        <v>595</v>
      </c>
      <c r="C1166">
        <v>28382</v>
      </c>
      <c r="D1166">
        <v>38374</v>
      </c>
      <c r="E1166" s="12">
        <v>45670</v>
      </c>
      <c r="F1166" s="12">
        <v>45820</v>
      </c>
      <c r="G1166" s="10">
        <v>127100</v>
      </c>
      <c r="H1166">
        <v>0</v>
      </c>
      <c r="I1166" t="s">
        <v>1200</v>
      </c>
      <c r="J1166" t="s">
        <v>58</v>
      </c>
      <c r="K1166" t="s">
        <v>15</v>
      </c>
    </row>
    <row r="1167" spans="1:11" hidden="1" x14ac:dyDescent="0.35">
      <c r="A1167" t="s">
        <v>31</v>
      </c>
      <c r="B1167" t="s">
        <v>32</v>
      </c>
      <c r="C1167">
        <v>28678</v>
      </c>
      <c r="D1167">
        <v>38719</v>
      </c>
      <c r="E1167" s="12">
        <v>45685</v>
      </c>
      <c r="F1167" s="12">
        <v>45820</v>
      </c>
      <c r="G1167" s="10">
        <v>8138.84</v>
      </c>
      <c r="H1167">
        <v>0</v>
      </c>
      <c r="I1167" t="s">
        <v>271</v>
      </c>
      <c r="J1167" t="s">
        <v>34</v>
      </c>
      <c r="K1167" t="s">
        <v>15</v>
      </c>
    </row>
    <row r="1168" spans="1:11" hidden="1" x14ac:dyDescent="0.35">
      <c r="A1168" t="s">
        <v>791</v>
      </c>
      <c r="B1168" t="s">
        <v>56</v>
      </c>
      <c r="C1168">
        <v>28873</v>
      </c>
      <c r="D1168">
        <v>38967</v>
      </c>
      <c r="E1168" s="12">
        <v>45700</v>
      </c>
      <c r="F1168" s="12">
        <v>45820</v>
      </c>
      <c r="G1168" s="10">
        <v>102900</v>
      </c>
      <c r="H1168">
        <v>0</v>
      </c>
      <c r="I1168" t="s">
        <v>1463</v>
      </c>
      <c r="J1168" t="s">
        <v>44</v>
      </c>
      <c r="K1168" t="s">
        <v>15</v>
      </c>
    </row>
    <row r="1169" spans="1:11" hidden="1" x14ac:dyDescent="0.35">
      <c r="A1169" t="s">
        <v>382</v>
      </c>
      <c r="B1169" t="s">
        <v>383</v>
      </c>
      <c r="C1169">
        <v>28862</v>
      </c>
      <c r="D1169">
        <v>38956</v>
      </c>
      <c r="E1169" s="12">
        <v>45700</v>
      </c>
      <c r="F1169" s="12">
        <v>45820</v>
      </c>
      <c r="G1169" s="10">
        <v>133875</v>
      </c>
      <c r="H1169">
        <v>0</v>
      </c>
      <c r="I1169" t="s">
        <v>1270</v>
      </c>
      <c r="J1169" t="s">
        <v>44</v>
      </c>
      <c r="K1169" t="s">
        <v>15</v>
      </c>
    </row>
    <row r="1170" spans="1:11" hidden="1" x14ac:dyDescent="0.35">
      <c r="A1170" t="s">
        <v>242</v>
      </c>
      <c r="B1170" t="s">
        <v>243</v>
      </c>
      <c r="C1170">
        <v>28874</v>
      </c>
      <c r="D1170">
        <v>38972</v>
      </c>
      <c r="E1170" s="12">
        <v>45700</v>
      </c>
      <c r="F1170" s="12">
        <v>45820</v>
      </c>
      <c r="G1170" s="10">
        <v>49840</v>
      </c>
      <c r="H1170">
        <v>0</v>
      </c>
      <c r="I1170" t="s">
        <v>1693</v>
      </c>
      <c r="J1170" t="s">
        <v>48</v>
      </c>
      <c r="K1170" t="s">
        <v>15</v>
      </c>
    </row>
    <row r="1171" spans="1:11" hidden="1" x14ac:dyDescent="0.35">
      <c r="A1171" t="s">
        <v>594</v>
      </c>
      <c r="B1171" t="s">
        <v>595</v>
      </c>
      <c r="C1171">
        <v>28383</v>
      </c>
      <c r="D1171">
        <v>38375</v>
      </c>
      <c r="E1171" s="12">
        <v>45670</v>
      </c>
      <c r="F1171" s="12">
        <v>45820</v>
      </c>
      <c r="G1171" s="10">
        <v>4100</v>
      </c>
      <c r="H1171">
        <v>0</v>
      </c>
      <c r="I1171" t="s">
        <v>1110</v>
      </c>
      <c r="J1171" t="s">
        <v>58</v>
      </c>
      <c r="K1171" t="s">
        <v>15</v>
      </c>
    </row>
    <row r="1172" spans="1:11" hidden="1" x14ac:dyDescent="0.35">
      <c r="A1172" t="s">
        <v>677</v>
      </c>
      <c r="B1172" t="s">
        <v>553</v>
      </c>
      <c r="C1172">
        <v>28375</v>
      </c>
      <c r="D1172">
        <v>38367</v>
      </c>
      <c r="E1172" s="12">
        <v>45670</v>
      </c>
      <c r="F1172" s="12">
        <v>45820</v>
      </c>
      <c r="G1172" s="10">
        <v>33000</v>
      </c>
      <c r="H1172">
        <v>0</v>
      </c>
      <c r="I1172" t="s">
        <v>1410</v>
      </c>
      <c r="J1172" t="s">
        <v>58</v>
      </c>
      <c r="K1172" t="s">
        <v>15</v>
      </c>
    </row>
    <row r="1173" spans="1:11" hidden="1" x14ac:dyDescent="0.35">
      <c r="A1173" t="s">
        <v>725</v>
      </c>
      <c r="B1173" t="s">
        <v>726</v>
      </c>
      <c r="C1173">
        <v>28860</v>
      </c>
      <c r="D1173">
        <v>38953</v>
      </c>
      <c r="E1173" s="12">
        <v>45700</v>
      </c>
      <c r="F1173" s="12">
        <v>45820</v>
      </c>
      <c r="G1173" s="10">
        <v>22801.72</v>
      </c>
      <c r="H1173">
        <v>0</v>
      </c>
      <c r="I1173" t="s">
        <v>727</v>
      </c>
      <c r="J1173" t="s">
        <v>111</v>
      </c>
      <c r="K1173" t="s">
        <v>15</v>
      </c>
    </row>
    <row r="1174" spans="1:11" hidden="1" x14ac:dyDescent="0.35">
      <c r="A1174" t="s">
        <v>288</v>
      </c>
      <c r="B1174" t="s">
        <v>289</v>
      </c>
      <c r="C1174">
        <v>29167</v>
      </c>
      <c r="D1174">
        <v>39337</v>
      </c>
      <c r="E1174" s="12">
        <v>45730</v>
      </c>
      <c r="F1174" s="12">
        <v>45820</v>
      </c>
      <c r="G1174" s="10">
        <v>65575.199999999997</v>
      </c>
      <c r="H1174">
        <v>0</v>
      </c>
      <c r="I1174" t="s">
        <v>996</v>
      </c>
      <c r="J1174" t="s">
        <v>34</v>
      </c>
      <c r="K1174" t="s">
        <v>15</v>
      </c>
    </row>
    <row r="1175" spans="1:11" hidden="1" x14ac:dyDescent="0.35">
      <c r="A1175" t="s">
        <v>677</v>
      </c>
      <c r="B1175" t="s">
        <v>553</v>
      </c>
      <c r="C1175">
        <v>28376</v>
      </c>
      <c r="D1175">
        <v>38368</v>
      </c>
      <c r="E1175" s="12">
        <v>45670</v>
      </c>
      <c r="F1175" s="12">
        <v>45820</v>
      </c>
      <c r="G1175" s="10">
        <v>20999.98</v>
      </c>
      <c r="H1175">
        <v>0</v>
      </c>
      <c r="I1175" t="s">
        <v>1638</v>
      </c>
      <c r="J1175" t="s">
        <v>58</v>
      </c>
      <c r="K1175" t="s">
        <v>15</v>
      </c>
    </row>
    <row r="1176" spans="1:11" hidden="1" x14ac:dyDescent="0.35">
      <c r="A1176" t="s">
        <v>31</v>
      </c>
      <c r="B1176" t="s">
        <v>32</v>
      </c>
      <c r="C1176">
        <v>28677</v>
      </c>
      <c r="D1176">
        <v>38718</v>
      </c>
      <c r="E1176" s="12">
        <v>45685</v>
      </c>
      <c r="F1176" s="12">
        <v>45820</v>
      </c>
      <c r="G1176" s="10">
        <v>9583.2800000000007</v>
      </c>
      <c r="H1176">
        <v>0</v>
      </c>
      <c r="I1176" t="s">
        <v>271</v>
      </c>
      <c r="J1176" t="s">
        <v>34</v>
      </c>
      <c r="K1176" t="s">
        <v>15</v>
      </c>
    </row>
    <row r="1177" spans="1:11" hidden="1" x14ac:dyDescent="0.35">
      <c r="A1177" t="s">
        <v>205</v>
      </c>
      <c r="B1177" t="s">
        <v>56</v>
      </c>
      <c r="C1177">
        <v>28884</v>
      </c>
      <c r="D1177">
        <v>38986</v>
      </c>
      <c r="E1177" s="12">
        <v>45701</v>
      </c>
      <c r="F1177" s="12">
        <v>45821</v>
      </c>
      <c r="G1177" s="10">
        <v>179200</v>
      </c>
      <c r="H1177">
        <v>0</v>
      </c>
      <c r="I1177" t="s">
        <v>679</v>
      </c>
      <c r="J1177" t="s">
        <v>58</v>
      </c>
      <c r="K1177" t="s">
        <v>15</v>
      </c>
    </row>
    <row r="1178" spans="1:11" hidden="1" x14ac:dyDescent="0.35">
      <c r="A1178" t="s">
        <v>49</v>
      </c>
      <c r="B1178" t="s">
        <v>50</v>
      </c>
      <c r="C1178">
        <v>28435</v>
      </c>
      <c r="D1178">
        <v>38432</v>
      </c>
      <c r="E1178" s="12">
        <v>45671</v>
      </c>
      <c r="F1178" s="12">
        <v>45821</v>
      </c>
      <c r="G1178" s="10">
        <v>22740</v>
      </c>
      <c r="H1178">
        <v>0</v>
      </c>
      <c r="I1178" t="s">
        <v>251</v>
      </c>
      <c r="J1178" t="s">
        <v>44</v>
      </c>
      <c r="K1178" t="s">
        <v>15</v>
      </c>
    </row>
    <row r="1179" spans="1:11" hidden="1" x14ac:dyDescent="0.35">
      <c r="A1179" t="s">
        <v>946</v>
      </c>
      <c r="B1179" t="s">
        <v>947</v>
      </c>
      <c r="C1179">
        <v>28886</v>
      </c>
      <c r="D1179">
        <v>38988</v>
      </c>
      <c r="E1179" s="12">
        <v>45701</v>
      </c>
      <c r="F1179" s="12">
        <v>45821</v>
      </c>
      <c r="G1179" s="10">
        <v>23400</v>
      </c>
      <c r="H1179">
        <v>0</v>
      </c>
      <c r="I1179" t="s">
        <v>1417</v>
      </c>
      <c r="J1179" t="s">
        <v>949</v>
      </c>
      <c r="K1179" t="s">
        <v>15</v>
      </c>
    </row>
    <row r="1180" spans="1:11" hidden="1" x14ac:dyDescent="0.35">
      <c r="A1180" t="s">
        <v>212</v>
      </c>
      <c r="B1180" t="s">
        <v>213</v>
      </c>
      <c r="C1180">
        <v>28891</v>
      </c>
      <c r="D1180">
        <v>38993</v>
      </c>
      <c r="E1180" s="12">
        <v>45701</v>
      </c>
      <c r="F1180" s="12">
        <v>45821</v>
      </c>
      <c r="G1180" s="10">
        <v>48491.95</v>
      </c>
      <c r="H1180">
        <v>0</v>
      </c>
      <c r="I1180" t="s">
        <v>214</v>
      </c>
      <c r="J1180" t="s">
        <v>14</v>
      </c>
      <c r="K1180" t="s">
        <v>15</v>
      </c>
    </row>
    <row r="1181" spans="1:11" hidden="1" x14ac:dyDescent="0.35">
      <c r="A1181" t="s">
        <v>174</v>
      </c>
      <c r="B1181" t="s">
        <v>175</v>
      </c>
      <c r="C1181">
        <v>28447</v>
      </c>
      <c r="D1181">
        <v>38445</v>
      </c>
      <c r="E1181" s="12">
        <v>45672</v>
      </c>
      <c r="F1181" s="12">
        <v>45822</v>
      </c>
      <c r="G1181" s="10">
        <v>51975</v>
      </c>
      <c r="H1181">
        <v>0</v>
      </c>
      <c r="I1181" t="s">
        <v>207</v>
      </c>
      <c r="J1181" t="s">
        <v>58</v>
      </c>
      <c r="K1181" t="s">
        <v>15</v>
      </c>
    </row>
    <row r="1182" spans="1:11" hidden="1" x14ac:dyDescent="0.35">
      <c r="A1182" t="s">
        <v>174</v>
      </c>
      <c r="B1182" t="s">
        <v>175</v>
      </c>
      <c r="C1182">
        <v>28489</v>
      </c>
      <c r="D1182">
        <v>38490</v>
      </c>
      <c r="E1182" s="12">
        <v>45673</v>
      </c>
      <c r="F1182" s="12">
        <v>45823</v>
      </c>
      <c r="G1182" s="10">
        <v>244282.5</v>
      </c>
      <c r="H1182">
        <v>0</v>
      </c>
      <c r="I1182" t="s">
        <v>1594</v>
      </c>
      <c r="J1182" t="s">
        <v>58</v>
      </c>
      <c r="K1182" t="s">
        <v>15</v>
      </c>
    </row>
    <row r="1183" spans="1:11" hidden="1" x14ac:dyDescent="0.35">
      <c r="A1183" t="s">
        <v>169</v>
      </c>
      <c r="B1183" t="s">
        <v>170</v>
      </c>
      <c r="C1183">
        <v>29176</v>
      </c>
      <c r="D1183">
        <v>39346</v>
      </c>
      <c r="E1183" s="12">
        <v>45733</v>
      </c>
      <c r="F1183" s="12">
        <v>45823</v>
      </c>
      <c r="G1183" s="10">
        <v>7575.18</v>
      </c>
      <c r="H1183">
        <v>0</v>
      </c>
      <c r="I1183" t="s">
        <v>171</v>
      </c>
      <c r="J1183" t="s">
        <v>30</v>
      </c>
      <c r="K1183" t="s">
        <v>15</v>
      </c>
    </row>
    <row r="1184" spans="1:11" hidden="1" x14ac:dyDescent="0.35">
      <c r="A1184" t="s">
        <v>169</v>
      </c>
      <c r="B1184" t="s">
        <v>170</v>
      </c>
      <c r="C1184">
        <v>29177</v>
      </c>
      <c r="D1184">
        <v>39347</v>
      </c>
      <c r="E1184" s="12">
        <v>45733</v>
      </c>
      <c r="F1184" s="12">
        <v>45823</v>
      </c>
      <c r="G1184" s="10">
        <v>1096.8399999999999</v>
      </c>
      <c r="H1184">
        <v>0</v>
      </c>
      <c r="I1184" t="s">
        <v>171</v>
      </c>
      <c r="J1184" t="s">
        <v>30</v>
      </c>
      <c r="K1184" t="s">
        <v>15</v>
      </c>
    </row>
    <row r="1185" spans="1:11" hidden="1" x14ac:dyDescent="0.35">
      <c r="A1185" t="s">
        <v>562</v>
      </c>
      <c r="B1185" t="s">
        <v>563</v>
      </c>
      <c r="C1185">
        <v>28166</v>
      </c>
      <c r="D1185">
        <v>38099</v>
      </c>
      <c r="E1185" s="12">
        <v>45643</v>
      </c>
      <c r="F1185" s="12">
        <v>45824</v>
      </c>
      <c r="G1185" s="10">
        <v>1433.6</v>
      </c>
      <c r="H1185">
        <v>0</v>
      </c>
      <c r="I1185" t="s">
        <v>703</v>
      </c>
      <c r="J1185" t="s">
        <v>111</v>
      </c>
      <c r="K1185" t="s">
        <v>15</v>
      </c>
    </row>
    <row r="1186" spans="1:11" hidden="1" x14ac:dyDescent="0.35">
      <c r="A1186" t="s">
        <v>562</v>
      </c>
      <c r="B1186" t="s">
        <v>563</v>
      </c>
      <c r="C1186">
        <v>28125</v>
      </c>
      <c r="D1186">
        <v>38058</v>
      </c>
      <c r="E1186" s="12">
        <v>45642</v>
      </c>
      <c r="F1186" s="12">
        <v>45824</v>
      </c>
      <c r="G1186" s="10">
        <v>47349.599999999999</v>
      </c>
      <c r="H1186">
        <v>0</v>
      </c>
      <c r="I1186" t="s">
        <v>583</v>
      </c>
      <c r="J1186" t="s">
        <v>111</v>
      </c>
      <c r="K1186" t="s">
        <v>15</v>
      </c>
    </row>
    <row r="1187" spans="1:11" hidden="1" x14ac:dyDescent="0.35">
      <c r="A1187" t="s">
        <v>31</v>
      </c>
      <c r="B1187" t="s">
        <v>32</v>
      </c>
      <c r="C1187">
        <v>28894</v>
      </c>
      <c r="D1187">
        <v>38999</v>
      </c>
      <c r="E1187" s="12">
        <v>45702</v>
      </c>
      <c r="F1187" s="12">
        <v>45824</v>
      </c>
      <c r="G1187" s="10">
        <v>2520</v>
      </c>
      <c r="H1187">
        <v>0</v>
      </c>
      <c r="I1187" t="s">
        <v>271</v>
      </c>
      <c r="J1187" t="s">
        <v>34</v>
      </c>
      <c r="K1187" t="s">
        <v>15</v>
      </c>
    </row>
    <row r="1188" spans="1:11" hidden="1" x14ac:dyDescent="0.35">
      <c r="A1188" t="s">
        <v>42</v>
      </c>
      <c r="B1188" t="s">
        <v>43</v>
      </c>
      <c r="C1188">
        <v>28164</v>
      </c>
      <c r="D1188">
        <v>38097</v>
      </c>
      <c r="E1188" s="12">
        <v>45643</v>
      </c>
      <c r="F1188" s="12">
        <v>45824</v>
      </c>
      <c r="G1188" s="10">
        <v>6333.33</v>
      </c>
      <c r="H1188">
        <v>0</v>
      </c>
      <c r="I1188" t="s">
        <v>1198</v>
      </c>
      <c r="J1188" t="s">
        <v>44</v>
      </c>
      <c r="K1188" t="s">
        <v>15</v>
      </c>
    </row>
    <row r="1189" spans="1:11" hidden="1" x14ac:dyDescent="0.35">
      <c r="A1189" t="s">
        <v>309</v>
      </c>
      <c r="B1189" t="s">
        <v>310</v>
      </c>
      <c r="C1189">
        <v>28177</v>
      </c>
      <c r="D1189">
        <v>38114</v>
      </c>
      <c r="E1189" s="12">
        <v>45644</v>
      </c>
      <c r="F1189" s="12">
        <v>45824</v>
      </c>
      <c r="G1189" s="10">
        <v>180143.75</v>
      </c>
      <c r="H1189">
        <v>0</v>
      </c>
      <c r="I1189" t="s">
        <v>1232</v>
      </c>
      <c r="J1189" t="s">
        <v>312</v>
      </c>
      <c r="K1189" t="s">
        <v>15</v>
      </c>
    </row>
    <row r="1190" spans="1:11" hidden="1" x14ac:dyDescent="0.35">
      <c r="A1190" t="s">
        <v>562</v>
      </c>
      <c r="B1190" t="s">
        <v>563</v>
      </c>
      <c r="C1190">
        <v>28465</v>
      </c>
      <c r="D1190">
        <v>38465</v>
      </c>
      <c r="E1190" s="12">
        <v>45673</v>
      </c>
      <c r="F1190" s="12">
        <v>45824</v>
      </c>
      <c r="G1190" s="10">
        <v>2877.4</v>
      </c>
      <c r="H1190">
        <v>0</v>
      </c>
      <c r="I1190" t="s">
        <v>564</v>
      </c>
      <c r="J1190" t="s">
        <v>111</v>
      </c>
      <c r="K1190" t="s">
        <v>15</v>
      </c>
    </row>
    <row r="1191" spans="1:11" hidden="1" x14ac:dyDescent="0.35">
      <c r="A1191" t="s">
        <v>725</v>
      </c>
      <c r="B1191" t="s">
        <v>726</v>
      </c>
      <c r="C1191">
        <v>28466</v>
      </c>
      <c r="D1191">
        <v>38466</v>
      </c>
      <c r="E1191" s="12">
        <v>45673</v>
      </c>
      <c r="F1191" s="12">
        <v>45824</v>
      </c>
      <c r="G1191" s="10">
        <v>2464</v>
      </c>
      <c r="H1191">
        <v>0</v>
      </c>
      <c r="I1191" t="s">
        <v>830</v>
      </c>
      <c r="J1191" t="s">
        <v>111</v>
      </c>
      <c r="K1191" t="s">
        <v>15</v>
      </c>
    </row>
    <row r="1192" spans="1:11" hidden="1" x14ac:dyDescent="0.35">
      <c r="A1192" t="s">
        <v>45</v>
      </c>
      <c r="B1192" t="s">
        <v>46</v>
      </c>
      <c r="C1192">
        <v>28471</v>
      </c>
      <c r="D1192">
        <v>38470</v>
      </c>
      <c r="E1192" s="12">
        <v>45673</v>
      </c>
      <c r="F1192" s="12">
        <v>45824</v>
      </c>
      <c r="G1192" s="10">
        <v>34064</v>
      </c>
      <c r="H1192">
        <v>0</v>
      </c>
      <c r="I1192" t="s">
        <v>775</v>
      </c>
      <c r="J1192" t="s">
        <v>48</v>
      </c>
      <c r="K1192" t="s">
        <v>15</v>
      </c>
    </row>
    <row r="1193" spans="1:11" hidden="1" x14ac:dyDescent="0.35">
      <c r="A1193" t="s">
        <v>791</v>
      </c>
      <c r="B1193" t="s">
        <v>56</v>
      </c>
      <c r="C1193">
        <v>28160</v>
      </c>
      <c r="D1193">
        <v>38093</v>
      </c>
      <c r="E1193" s="12">
        <v>45643</v>
      </c>
      <c r="F1193" s="12">
        <v>45824</v>
      </c>
      <c r="G1193" s="10">
        <v>21056</v>
      </c>
      <c r="H1193">
        <v>0</v>
      </c>
      <c r="I1193" t="s">
        <v>792</v>
      </c>
      <c r="J1193" t="s">
        <v>44</v>
      </c>
      <c r="K1193" t="s">
        <v>15</v>
      </c>
    </row>
    <row r="1194" spans="1:11" hidden="1" x14ac:dyDescent="0.35">
      <c r="A1194" t="s">
        <v>205</v>
      </c>
      <c r="B1194" t="s">
        <v>56</v>
      </c>
      <c r="C1194">
        <v>28516</v>
      </c>
      <c r="D1194">
        <v>38519</v>
      </c>
      <c r="E1194" s="12">
        <v>45674</v>
      </c>
      <c r="F1194" s="12">
        <v>45824</v>
      </c>
      <c r="G1194" s="10">
        <v>200150</v>
      </c>
      <c r="H1194">
        <v>0</v>
      </c>
      <c r="I1194" t="s">
        <v>1253</v>
      </c>
      <c r="J1194" t="s">
        <v>58</v>
      </c>
      <c r="K1194" t="s">
        <v>15</v>
      </c>
    </row>
    <row r="1195" spans="1:11" hidden="1" x14ac:dyDescent="0.35">
      <c r="A1195" t="s">
        <v>31</v>
      </c>
      <c r="B1195" t="s">
        <v>32</v>
      </c>
      <c r="C1195">
        <v>28896</v>
      </c>
      <c r="D1195">
        <v>39001</v>
      </c>
      <c r="E1195" s="12">
        <v>45702</v>
      </c>
      <c r="F1195" s="12">
        <v>45824</v>
      </c>
      <c r="G1195" s="10">
        <v>387.78</v>
      </c>
      <c r="H1195">
        <v>0</v>
      </c>
      <c r="I1195" t="s">
        <v>271</v>
      </c>
      <c r="J1195" t="s">
        <v>34</v>
      </c>
      <c r="K1195" t="s">
        <v>15</v>
      </c>
    </row>
    <row r="1196" spans="1:11" hidden="1" x14ac:dyDescent="0.35">
      <c r="A1196" t="s">
        <v>200</v>
      </c>
      <c r="B1196" t="s">
        <v>56</v>
      </c>
      <c r="C1196">
        <v>28161</v>
      </c>
      <c r="D1196">
        <v>38094</v>
      </c>
      <c r="E1196" s="12">
        <v>45643</v>
      </c>
      <c r="F1196" s="12">
        <v>45824</v>
      </c>
      <c r="G1196" s="10">
        <v>15792</v>
      </c>
      <c r="H1196">
        <v>0</v>
      </c>
      <c r="I1196" t="s">
        <v>659</v>
      </c>
      <c r="J1196" t="s">
        <v>44</v>
      </c>
      <c r="K1196" t="s">
        <v>15</v>
      </c>
    </row>
    <row r="1197" spans="1:11" hidden="1" x14ac:dyDescent="0.35">
      <c r="A1197" t="s">
        <v>205</v>
      </c>
      <c r="B1197" t="s">
        <v>56</v>
      </c>
      <c r="C1197">
        <v>26946</v>
      </c>
      <c r="D1197">
        <v>36630</v>
      </c>
      <c r="E1197" s="12">
        <v>45553</v>
      </c>
      <c r="F1197" s="12">
        <v>45824</v>
      </c>
      <c r="G1197" s="10">
        <v>649000</v>
      </c>
      <c r="H1197">
        <v>0</v>
      </c>
      <c r="I1197" t="s">
        <v>372</v>
      </c>
      <c r="J1197" t="s">
        <v>58</v>
      </c>
      <c r="K1197" t="s">
        <v>15</v>
      </c>
    </row>
    <row r="1198" spans="1:11" hidden="1" x14ac:dyDescent="0.35">
      <c r="A1198" t="s">
        <v>224</v>
      </c>
      <c r="B1198" t="s">
        <v>225</v>
      </c>
      <c r="C1198">
        <v>29174</v>
      </c>
      <c r="D1198">
        <v>39344</v>
      </c>
      <c r="E1198" s="12">
        <v>45733</v>
      </c>
      <c r="F1198" s="12">
        <v>45824</v>
      </c>
      <c r="G1198" s="10">
        <v>10260.16</v>
      </c>
      <c r="H1198">
        <v>0</v>
      </c>
      <c r="I1198" t="s">
        <v>226</v>
      </c>
      <c r="J1198" t="s">
        <v>194</v>
      </c>
      <c r="K1198" t="s">
        <v>15</v>
      </c>
    </row>
    <row r="1199" spans="1:11" hidden="1" x14ac:dyDescent="0.35">
      <c r="A1199" t="s">
        <v>144</v>
      </c>
      <c r="B1199" t="s">
        <v>145</v>
      </c>
      <c r="C1199">
        <v>29191</v>
      </c>
      <c r="D1199">
        <v>39364</v>
      </c>
      <c r="E1199" s="12">
        <v>45733</v>
      </c>
      <c r="F1199" s="12">
        <v>45824</v>
      </c>
      <c r="G1199" s="10">
        <v>24571.4</v>
      </c>
      <c r="H1199">
        <v>0</v>
      </c>
      <c r="I1199" t="s">
        <v>1616</v>
      </c>
      <c r="J1199" t="s">
        <v>48</v>
      </c>
      <c r="K1199" t="s">
        <v>15</v>
      </c>
    </row>
    <row r="1200" spans="1:11" hidden="1" x14ac:dyDescent="0.35">
      <c r="A1200" t="s">
        <v>288</v>
      </c>
      <c r="B1200" t="s">
        <v>289</v>
      </c>
      <c r="C1200">
        <v>28897</v>
      </c>
      <c r="D1200">
        <v>39002</v>
      </c>
      <c r="E1200" s="12">
        <v>45702</v>
      </c>
      <c r="F1200" s="12">
        <v>45824</v>
      </c>
      <c r="G1200" s="10">
        <v>6096</v>
      </c>
      <c r="H1200">
        <v>0</v>
      </c>
      <c r="I1200" t="s">
        <v>996</v>
      </c>
      <c r="J1200" t="s">
        <v>34</v>
      </c>
      <c r="K1200" t="s">
        <v>15</v>
      </c>
    </row>
    <row r="1201" spans="1:11" hidden="1" x14ac:dyDescent="0.35">
      <c r="A1201" t="s">
        <v>31</v>
      </c>
      <c r="B1201" t="s">
        <v>32</v>
      </c>
      <c r="C1201">
        <v>28895</v>
      </c>
      <c r="D1201">
        <v>39000</v>
      </c>
      <c r="E1201" s="12">
        <v>45702</v>
      </c>
      <c r="F1201" s="12">
        <v>45824</v>
      </c>
      <c r="G1201" s="10">
        <v>1915</v>
      </c>
      <c r="H1201">
        <v>0</v>
      </c>
      <c r="I1201" t="s">
        <v>271</v>
      </c>
      <c r="J1201" t="s">
        <v>34</v>
      </c>
      <c r="K1201" t="s">
        <v>15</v>
      </c>
    </row>
    <row r="1202" spans="1:11" hidden="1" x14ac:dyDescent="0.35">
      <c r="A1202" t="s">
        <v>31</v>
      </c>
      <c r="B1202" t="s">
        <v>32</v>
      </c>
      <c r="C1202">
        <v>28190</v>
      </c>
      <c r="D1202">
        <v>38130</v>
      </c>
      <c r="E1202" s="12">
        <v>45645</v>
      </c>
      <c r="F1202" s="12">
        <v>45825</v>
      </c>
      <c r="G1202" s="10">
        <v>1197.76</v>
      </c>
      <c r="H1202">
        <v>0</v>
      </c>
      <c r="I1202" t="s">
        <v>81</v>
      </c>
      <c r="J1202" t="s">
        <v>34</v>
      </c>
      <c r="K1202" t="s">
        <v>15</v>
      </c>
    </row>
    <row r="1203" spans="1:11" hidden="1" x14ac:dyDescent="0.35">
      <c r="A1203" t="s">
        <v>31</v>
      </c>
      <c r="B1203" t="s">
        <v>32</v>
      </c>
      <c r="C1203">
        <v>28192</v>
      </c>
      <c r="D1203">
        <v>38132</v>
      </c>
      <c r="E1203" s="12">
        <v>45645</v>
      </c>
      <c r="F1203" s="12">
        <v>45825</v>
      </c>
      <c r="G1203" s="10">
        <v>8064.16</v>
      </c>
      <c r="H1203">
        <v>0</v>
      </c>
      <c r="I1203" t="s">
        <v>863</v>
      </c>
      <c r="J1203" t="s">
        <v>34</v>
      </c>
      <c r="K1203" t="s">
        <v>15</v>
      </c>
    </row>
    <row r="1204" spans="1:11" hidden="1" x14ac:dyDescent="0.35">
      <c r="A1204" t="s">
        <v>31</v>
      </c>
      <c r="B1204" t="s">
        <v>32</v>
      </c>
      <c r="C1204">
        <v>28194</v>
      </c>
      <c r="D1204">
        <v>38134</v>
      </c>
      <c r="E1204" s="12">
        <v>45645</v>
      </c>
      <c r="F1204" s="12">
        <v>45825</v>
      </c>
      <c r="G1204" s="10">
        <v>666.64</v>
      </c>
      <c r="H1204">
        <v>0</v>
      </c>
      <c r="I1204" t="s">
        <v>271</v>
      </c>
      <c r="J1204" t="s">
        <v>34</v>
      </c>
      <c r="K1204" t="s">
        <v>15</v>
      </c>
    </row>
    <row r="1205" spans="1:11" hidden="1" x14ac:dyDescent="0.35">
      <c r="A1205" t="s">
        <v>791</v>
      </c>
      <c r="B1205" t="s">
        <v>56</v>
      </c>
      <c r="C1205">
        <v>28925</v>
      </c>
      <c r="D1205">
        <v>39037</v>
      </c>
      <c r="E1205" s="12">
        <v>45705</v>
      </c>
      <c r="F1205" s="12">
        <v>45825</v>
      </c>
      <c r="G1205" s="10">
        <v>6541.5</v>
      </c>
      <c r="H1205">
        <v>0</v>
      </c>
      <c r="I1205" t="s">
        <v>1156</v>
      </c>
      <c r="J1205" t="s">
        <v>44</v>
      </c>
      <c r="K1205" t="s">
        <v>15</v>
      </c>
    </row>
    <row r="1206" spans="1:11" hidden="1" x14ac:dyDescent="0.35">
      <c r="A1206" t="s">
        <v>31</v>
      </c>
      <c r="B1206" t="s">
        <v>32</v>
      </c>
      <c r="C1206">
        <v>28193</v>
      </c>
      <c r="D1206">
        <v>38133</v>
      </c>
      <c r="E1206" s="12">
        <v>45645</v>
      </c>
      <c r="F1206" s="12">
        <v>45825</v>
      </c>
      <c r="G1206" s="10">
        <v>5212.16</v>
      </c>
      <c r="H1206">
        <v>0</v>
      </c>
      <c r="I1206" t="s">
        <v>1641</v>
      </c>
      <c r="J1206" t="s">
        <v>34</v>
      </c>
      <c r="K1206" t="s">
        <v>15</v>
      </c>
    </row>
    <row r="1207" spans="1:11" hidden="1" x14ac:dyDescent="0.35">
      <c r="A1207" t="s">
        <v>31</v>
      </c>
      <c r="B1207" t="s">
        <v>32</v>
      </c>
      <c r="C1207">
        <v>28191</v>
      </c>
      <c r="D1207">
        <v>38131</v>
      </c>
      <c r="E1207" s="12">
        <v>45645</v>
      </c>
      <c r="F1207" s="12">
        <v>45825</v>
      </c>
      <c r="G1207" s="10">
        <v>2722.24</v>
      </c>
      <c r="H1207">
        <v>0</v>
      </c>
      <c r="I1207" t="s">
        <v>1673</v>
      </c>
      <c r="J1207" t="s">
        <v>34</v>
      </c>
      <c r="K1207" t="s">
        <v>15</v>
      </c>
    </row>
    <row r="1208" spans="1:11" hidden="1" x14ac:dyDescent="0.35">
      <c r="A1208" t="s">
        <v>31</v>
      </c>
      <c r="B1208" t="s">
        <v>32</v>
      </c>
      <c r="C1208">
        <v>28206</v>
      </c>
      <c r="D1208">
        <v>38148</v>
      </c>
      <c r="E1208" s="12">
        <v>45646</v>
      </c>
      <c r="F1208" s="12">
        <v>45826</v>
      </c>
      <c r="G1208" s="10">
        <v>3413.36</v>
      </c>
      <c r="H1208">
        <v>0</v>
      </c>
      <c r="I1208" t="s">
        <v>271</v>
      </c>
      <c r="J1208" t="s">
        <v>34</v>
      </c>
      <c r="K1208" t="s">
        <v>15</v>
      </c>
    </row>
    <row r="1209" spans="1:11" hidden="1" x14ac:dyDescent="0.35">
      <c r="A1209" t="s">
        <v>55</v>
      </c>
      <c r="B1209" t="s">
        <v>56</v>
      </c>
      <c r="C1209">
        <v>28221</v>
      </c>
      <c r="D1209">
        <v>38164</v>
      </c>
      <c r="E1209" s="12">
        <v>45646</v>
      </c>
      <c r="F1209" s="12">
        <v>45826</v>
      </c>
      <c r="G1209" s="10">
        <v>6579.6</v>
      </c>
      <c r="H1209">
        <v>0</v>
      </c>
      <c r="I1209" t="s">
        <v>682</v>
      </c>
      <c r="J1209" t="s">
        <v>58</v>
      </c>
      <c r="K1209" t="s">
        <v>15</v>
      </c>
    </row>
    <row r="1210" spans="1:11" hidden="1" x14ac:dyDescent="0.35">
      <c r="A1210" t="s">
        <v>31</v>
      </c>
      <c r="B1210" t="s">
        <v>32</v>
      </c>
      <c r="C1210">
        <v>28207</v>
      </c>
      <c r="D1210">
        <v>38149</v>
      </c>
      <c r="E1210" s="12">
        <v>45646</v>
      </c>
      <c r="F1210" s="12">
        <v>45826</v>
      </c>
      <c r="G1210" s="10">
        <v>7356.08</v>
      </c>
      <c r="H1210">
        <v>0</v>
      </c>
      <c r="I1210" t="s">
        <v>59</v>
      </c>
      <c r="J1210" t="s">
        <v>34</v>
      </c>
      <c r="K1210" t="s">
        <v>15</v>
      </c>
    </row>
    <row r="1211" spans="1:11" hidden="1" x14ac:dyDescent="0.35">
      <c r="A1211" t="s">
        <v>31</v>
      </c>
      <c r="B1211" t="s">
        <v>32</v>
      </c>
      <c r="C1211">
        <v>28209</v>
      </c>
      <c r="D1211">
        <v>38151</v>
      </c>
      <c r="E1211" s="12">
        <v>45646</v>
      </c>
      <c r="F1211" s="12">
        <v>45826</v>
      </c>
      <c r="G1211" s="10">
        <v>2243.2399999999998</v>
      </c>
      <c r="H1211">
        <v>0</v>
      </c>
      <c r="I1211" t="s">
        <v>876</v>
      </c>
      <c r="J1211" t="s">
        <v>34</v>
      </c>
      <c r="K1211" t="s">
        <v>15</v>
      </c>
    </row>
    <row r="1212" spans="1:11" hidden="1" x14ac:dyDescent="0.35">
      <c r="A1212" t="s">
        <v>31</v>
      </c>
      <c r="B1212" t="s">
        <v>32</v>
      </c>
      <c r="C1212">
        <v>28208</v>
      </c>
      <c r="D1212">
        <v>38150</v>
      </c>
      <c r="E1212" s="12">
        <v>45646</v>
      </c>
      <c r="F1212" s="12">
        <v>45826</v>
      </c>
      <c r="G1212" s="10">
        <v>1705.36</v>
      </c>
      <c r="H1212">
        <v>0</v>
      </c>
      <c r="I1212" t="s">
        <v>1455</v>
      </c>
      <c r="J1212" t="s">
        <v>34</v>
      </c>
      <c r="K1212" t="s">
        <v>15</v>
      </c>
    </row>
    <row r="1213" spans="1:11" hidden="1" x14ac:dyDescent="0.35">
      <c r="A1213" t="s">
        <v>31</v>
      </c>
      <c r="B1213" t="s">
        <v>32</v>
      </c>
      <c r="C1213">
        <v>28205</v>
      </c>
      <c r="D1213">
        <v>38147</v>
      </c>
      <c r="E1213" s="12">
        <v>45646</v>
      </c>
      <c r="F1213" s="12">
        <v>45826</v>
      </c>
      <c r="G1213" s="10">
        <v>3239.28</v>
      </c>
      <c r="H1213">
        <v>0</v>
      </c>
      <c r="I1213" t="s">
        <v>271</v>
      </c>
      <c r="J1213" t="s">
        <v>34</v>
      </c>
      <c r="K1213" t="s">
        <v>15</v>
      </c>
    </row>
    <row r="1214" spans="1:11" hidden="1" x14ac:dyDescent="0.35">
      <c r="A1214" t="s">
        <v>55</v>
      </c>
      <c r="B1214" t="s">
        <v>56</v>
      </c>
      <c r="C1214">
        <v>28220</v>
      </c>
      <c r="D1214">
        <v>38163</v>
      </c>
      <c r="E1214" s="12">
        <v>45646</v>
      </c>
      <c r="F1214" s="12">
        <v>45826</v>
      </c>
      <c r="G1214" s="10">
        <v>26650</v>
      </c>
      <c r="H1214">
        <v>0</v>
      </c>
      <c r="I1214" t="s">
        <v>535</v>
      </c>
      <c r="J1214" t="s">
        <v>58</v>
      </c>
      <c r="K1214" t="s">
        <v>15</v>
      </c>
    </row>
    <row r="1215" spans="1:11" hidden="1" x14ac:dyDescent="0.35">
      <c r="A1215" t="s">
        <v>31</v>
      </c>
      <c r="B1215" t="s">
        <v>32</v>
      </c>
      <c r="C1215">
        <v>28217</v>
      </c>
      <c r="D1215">
        <v>38159</v>
      </c>
      <c r="E1215" s="12">
        <v>45646</v>
      </c>
      <c r="F1215" s="12">
        <v>45826</v>
      </c>
      <c r="G1215" s="10">
        <v>1600</v>
      </c>
      <c r="H1215">
        <v>0</v>
      </c>
      <c r="I1215" t="s">
        <v>878</v>
      </c>
      <c r="J1215" t="s">
        <v>34</v>
      </c>
      <c r="K1215" t="s">
        <v>15</v>
      </c>
    </row>
    <row r="1216" spans="1:11" hidden="1" x14ac:dyDescent="0.35">
      <c r="A1216" t="s">
        <v>174</v>
      </c>
      <c r="B1216" t="s">
        <v>175</v>
      </c>
      <c r="C1216">
        <v>28224</v>
      </c>
      <c r="D1216">
        <v>38167</v>
      </c>
      <c r="E1216" s="12">
        <v>45646</v>
      </c>
      <c r="F1216" s="12">
        <v>45826</v>
      </c>
      <c r="G1216" s="10">
        <v>14909.92</v>
      </c>
      <c r="H1216">
        <v>0</v>
      </c>
      <c r="I1216" t="s">
        <v>1303</v>
      </c>
      <c r="J1216" t="s">
        <v>58</v>
      </c>
      <c r="K1216" t="s">
        <v>15</v>
      </c>
    </row>
    <row r="1217" spans="1:11" hidden="1" x14ac:dyDescent="0.35">
      <c r="A1217" t="s">
        <v>791</v>
      </c>
      <c r="B1217" t="s">
        <v>56</v>
      </c>
      <c r="C1217">
        <v>28932</v>
      </c>
      <c r="D1217">
        <v>39044</v>
      </c>
      <c r="E1217" s="12">
        <v>45706</v>
      </c>
      <c r="F1217" s="12">
        <v>45826</v>
      </c>
      <c r="G1217" s="10">
        <v>28045.5</v>
      </c>
      <c r="H1217">
        <v>0</v>
      </c>
      <c r="I1217" t="s">
        <v>1156</v>
      </c>
      <c r="J1217" t="s">
        <v>44</v>
      </c>
      <c r="K1217" t="s">
        <v>15</v>
      </c>
    </row>
    <row r="1218" spans="1:11" hidden="1" x14ac:dyDescent="0.35">
      <c r="A1218" t="s">
        <v>491</v>
      </c>
      <c r="B1218" t="s">
        <v>492</v>
      </c>
      <c r="C1218">
        <v>28893</v>
      </c>
      <c r="D1218">
        <v>38998</v>
      </c>
      <c r="E1218" s="12">
        <v>45702</v>
      </c>
      <c r="F1218" s="12">
        <v>45826</v>
      </c>
      <c r="G1218" s="10">
        <v>95000.18</v>
      </c>
      <c r="H1218">
        <v>0</v>
      </c>
      <c r="I1218" t="s">
        <v>493</v>
      </c>
      <c r="J1218" t="s">
        <v>91</v>
      </c>
      <c r="K1218" t="s">
        <v>15</v>
      </c>
    </row>
    <row r="1219" spans="1:11" hidden="1" x14ac:dyDescent="0.35">
      <c r="A1219" t="s">
        <v>224</v>
      </c>
      <c r="B1219" t="s">
        <v>225</v>
      </c>
      <c r="C1219">
        <v>29016</v>
      </c>
      <c r="D1219">
        <v>39138</v>
      </c>
      <c r="E1219" s="12">
        <v>45708</v>
      </c>
      <c r="F1219" s="12">
        <v>45828</v>
      </c>
      <c r="G1219" s="10">
        <v>9528.66</v>
      </c>
      <c r="H1219">
        <v>0</v>
      </c>
      <c r="I1219" t="s">
        <v>226</v>
      </c>
      <c r="J1219" t="s">
        <v>194</v>
      </c>
      <c r="K1219" t="s">
        <v>15</v>
      </c>
    </row>
    <row r="1220" spans="1:11" hidden="1" x14ac:dyDescent="0.35">
      <c r="A1220" t="s">
        <v>68</v>
      </c>
      <c r="B1220" t="s">
        <v>69</v>
      </c>
      <c r="C1220">
        <v>27488</v>
      </c>
      <c r="D1220">
        <v>37254</v>
      </c>
      <c r="E1220" s="12">
        <v>45588</v>
      </c>
      <c r="F1220" s="12">
        <v>45828</v>
      </c>
      <c r="G1220" s="10">
        <v>1620.34</v>
      </c>
      <c r="H1220">
        <v>0</v>
      </c>
      <c r="I1220" t="s">
        <v>70</v>
      </c>
      <c r="J1220" t="s">
        <v>14</v>
      </c>
      <c r="K1220" t="s">
        <v>15</v>
      </c>
    </row>
    <row r="1221" spans="1:11" hidden="1" x14ac:dyDescent="0.35">
      <c r="A1221" t="s">
        <v>116</v>
      </c>
      <c r="B1221" t="s">
        <v>117</v>
      </c>
      <c r="C1221">
        <v>28008</v>
      </c>
      <c r="D1221">
        <v>37910</v>
      </c>
      <c r="E1221" s="12">
        <v>45631</v>
      </c>
      <c r="F1221" s="12">
        <v>45828</v>
      </c>
      <c r="G1221" s="10">
        <v>31200</v>
      </c>
      <c r="H1221">
        <v>0</v>
      </c>
      <c r="I1221" t="s">
        <v>341</v>
      </c>
      <c r="J1221" t="s">
        <v>22</v>
      </c>
      <c r="K1221" t="s">
        <v>15</v>
      </c>
    </row>
    <row r="1222" spans="1:11" hidden="1" x14ac:dyDescent="0.35">
      <c r="A1222" t="s">
        <v>591</v>
      </c>
      <c r="B1222" t="s">
        <v>592</v>
      </c>
      <c r="C1222">
        <v>28559</v>
      </c>
      <c r="D1222">
        <v>38577</v>
      </c>
      <c r="E1222" s="12">
        <v>45678</v>
      </c>
      <c r="F1222" s="12">
        <v>45828</v>
      </c>
      <c r="G1222" s="10">
        <v>30791.88</v>
      </c>
      <c r="H1222">
        <v>0</v>
      </c>
      <c r="I1222" t="s">
        <v>593</v>
      </c>
      <c r="J1222" t="s">
        <v>194</v>
      </c>
      <c r="K1222" t="s">
        <v>15</v>
      </c>
    </row>
    <row r="1223" spans="1:11" hidden="1" x14ac:dyDescent="0.35">
      <c r="A1223" t="s">
        <v>31</v>
      </c>
      <c r="B1223" t="s">
        <v>32</v>
      </c>
      <c r="C1223">
        <v>28547</v>
      </c>
      <c r="D1223">
        <v>38565</v>
      </c>
      <c r="E1223" s="12">
        <v>45678</v>
      </c>
      <c r="F1223" s="12">
        <v>45828</v>
      </c>
      <c r="G1223" s="10">
        <v>13139.99</v>
      </c>
      <c r="H1223">
        <v>0</v>
      </c>
      <c r="I1223" t="s">
        <v>271</v>
      </c>
      <c r="J1223" t="s">
        <v>34</v>
      </c>
      <c r="K1223" t="s">
        <v>15</v>
      </c>
    </row>
    <row r="1224" spans="1:11" hidden="1" x14ac:dyDescent="0.35">
      <c r="A1224" t="s">
        <v>68</v>
      </c>
      <c r="B1224" t="s">
        <v>69</v>
      </c>
      <c r="C1224">
        <v>27492</v>
      </c>
      <c r="D1224">
        <v>37257</v>
      </c>
      <c r="E1224" s="12">
        <v>45588</v>
      </c>
      <c r="F1224" s="12">
        <v>45828</v>
      </c>
      <c r="G1224" s="10">
        <v>952.5</v>
      </c>
      <c r="H1224">
        <v>0</v>
      </c>
      <c r="I1224" t="s">
        <v>720</v>
      </c>
      <c r="J1224" t="s">
        <v>14</v>
      </c>
      <c r="K1224" t="s">
        <v>15</v>
      </c>
    </row>
    <row r="1225" spans="1:11" hidden="1" x14ac:dyDescent="0.35">
      <c r="A1225" t="s">
        <v>116</v>
      </c>
      <c r="B1225" t="s">
        <v>117</v>
      </c>
      <c r="C1225">
        <v>28110</v>
      </c>
      <c r="D1225">
        <v>38036</v>
      </c>
      <c r="E1225" s="12">
        <v>45639</v>
      </c>
      <c r="F1225" s="12">
        <v>45828</v>
      </c>
      <c r="G1225" s="10">
        <v>18315</v>
      </c>
      <c r="H1225">
        <v>0</v>
      </c>
      <c r="I1225" t="s">
        <v>877</v>
      </c>
      <c r="J1225" t="s">
        <v>22</v>
      </c>
      <c r="K1225" t="s">
        <v>15</v>
      </c>
    </row>
    <row r="1226" spans="1:11" hidden="1" x14ac:dyDescent="0.35">
      <c r="A1226" t="s">
        <v>195</v>
      </c>
      <c r="B1226" t="s">
        <v>196</v>
      </c>
      <c r="C1226">
        <v>27707</v>
      </c>
      <c r="D1226">
        <v>37505</v>
      </c>
      <c r="E1226" s="12">
        <v>45604</v>
      </c>
      <c r="F1226" s="12">
        <v>45828</v>
      </c>
      <c r="G1226" s="10">
        <v>83750</v>
      </c>
      <c r="H1226">
        <v>0</v>
      </c>
      <c r="I1226" t="s">
        <v>872</v>
      </c>
      <c r="J1226" t="s">
        <v>22</v>
      </c>
      <c r="K1226" t="s">
        <v>15</v>
      </c>
    </row>
    <row r="1227" spans="1:11" hidden="1" x14ac:dyDescent="0.35">
      <c r="A1227" t="s">
        <v>55</v>
      </c>
      <c r="B1227" t="s">
        <v>56</v>
      </c>
      <c r="C1227">
        <v>28954</v>
      </c>
      <c r="D1227">
        <v>39075</v>
      </c>
      <c r="E1227" s="12">
        <v>45707</v>
      </c>
      <c r="F1227" s="12">
        <v>45828</v>
      </c>
      <c r="G1227" s="10">
        <v>30480</v>
      </c>
      <c r="H1227">
        <v>0</v>
      </c>
      <c r="I1227" t="s">
        <v>208</v>
      </c>
      <c r="J1227" t="s">
        <v>58</v>
      </c>
      <c r="K1227" t="s">
        <v>15</v>
      </c>
    </row>
    <row r="1228" spans="1:11" hidden="1" x14ac:dyDescent="0.35">
      <c r="A1228" t="s">
        <v>31</v>
      </c>
      <c r="B1228" t="s">
        <v>32</v>
      </c>
      <c r="C1228">
        <v>29109</v>
      </c>
      <c r="D1228">
        <v>39270</v>
      </c>
      <c r="E1228" s="12">
        <v>45723</v>
      </c>
      <c r="F1228" s="12">
        <v>45828</v>
      </c>
      <c r="G1228" s="10">
        <v>5866.66</v>
      </c>
      <c r="H1228">
        <v>0</v>
      </c>
      <c r="I1228" t="s">
        <v>271</v>
      </c>
      <c r="J1228" t="s">
        <v>34</v>
      </c>
      <c r="K1228" t="s">
        <v>15</v>
      </c>
    </row>
    <row r="1229" spans="1:11" hidden="1" x14ac:dyDescent="0.35">
      <c r="A1229" t="s">
        <v>108</v>
      </c>
      <c r="B1229" t="s">
        <v>109</v>
      </c>
      <c r="C1229">
        <v>28997</v>
      </c>
      <c r="D1229">
        <v>39119</v>
      </c>
      <c r="E1229" s="12">
        <v>45708</v>
      </c>
      <c r="F1229" s="12">
        <v>45828</v>
      </c>
      <c r="G1229" s="10">
        <v>5088</v>
      </c>
      <c r="H1229">
        <v>0</v>
      </c>
      <c r="I1229" t="s">
        <v>110</v>
      </c>
      <c r="J1229" t="s">
        <v>111</v>
      </c>
      <c r="K1229" t="s">
        <v>15</v>
      </c>
    </row>
    <row r="1230" spans="1:11" hidden="1" x14ac:dyDescent="0.35">
      <c r="A1230" t="s">
        <v>591</v>
      </c>
      <c r="B1230" t="s">
        <v>592</v>
      </c>
      <c r="C1230">
        <v>29011</v>
      </c>
      <c r="D1230">
        <v>39133</v>
      </c>
      <c r="E1230" s="12">
        <v>45708</v>
      </c>
      <c r="F1230" s="12">
        <v>45828</v>
      </c>
      <c r="G1230" s="10">
        <v>3867.67</v>
      </c>
      <c r="H1230">
        <v>0</v>
      </c>
      <c r="I1230" t="s">
        <v>593</v>
      </c>
      <c r="J1230" t="s">
        <v>194</v>
      </c>
      <c r="K1230" t="s">
        <v>15</v>
      </c>
    </row>
    <row r="1231" spans="1:11" hidden="1" x14ac:dyDescent="0.35">
      <c r="A1231" t="s">
        <v>31</v>
      </c>
      <c r="B1231" t="s">
        <v>32</v>
      </c>
      <c r="C1231">
        <v>29111</v>
      </c>
      <c r="D1231">
        <v>39272</v>
      </c>
      <c r="E1231" s="12">
        <v>45723</v>
      </c>
      <c r="F1231" s="12">
        <v>45828</v>
      </c>
      <c r="G1231" s="10">
        <v>2436.66</v>
      </c>
      <c r="H1231">
        <v>0</v>
      </c>
      <c r="I1231" t="s">
        <v>271</v>
      </c>
      <c r="J1231" t="s">
        <v>34</v>
      </c>
      <c r="K1231" t="s">
        <v>15</v>
      </c>
    </row>
    <row r="1232" spans="1:11" hidden="1" x14ac:dyDescent="0.35">
      <c r="A1232" t="s">
        <v>144</v>
      </c>
      <c r="B1232" t="s">
        <v>145</v>
      </c>
      <c r="C1232">
        <v>29242</v>
      </c>
      <c r="D1232">
        <v>39425</v>
      </c>
      <c r="E1232" s="12">
        <v>45737</v>
      </c>
      <c r="F1232" s="12">
        <v>45828</v>
      </c>
      <c r="G1232" s="10">
        <v>11195.99</v>
      </c>
      <c r="H1232">
        <v>0</v>
      </c>
      <c r="I1232" t="s">
        <v>1616</v>
      </c>
      <c r="J1232" t="s">
        <v>48</v>
      </c>
      <c r="K1232" t="s">
        <v>15</v>
      </c>
    </row>
    <row r="1233" spans="1:11" hidden="1" x14ac:dyDescent="0.35">
      <c r="A1233" t="s">
        <v>205</v>
      </c>
      <c r="B1233" t="s">
        <v>56</v>
      </c>
      <c r="C1233">
        <v>28537</v>
      </c>
      <c r="D1233">
        <v>38545</v>
      </c>
      <c r="E1233" s="12">
        <v>45677</v>
      </c>
      <c r="F1233" s="12">
        <v>45828</v>
      </c>
      <c r="G1233" s="10">
        <v>65800</v>
      </c>
      <c r="H1233">
        <v>0</v>
      </c>
      <c r="I1233" t="s">
        <v>679</v>
      </c>
      <c r="J1233" t="s">
        <v>58</v>
      </c>
      <c r="K1233" t="s">
        <v>15</v>
      </c>
    </row>
    <row r="1234" spans="1:11" hidden="1" x14ac:dyDescent="0.35">
      <c r="A1234" t="s">
        <v>203</v>
      </c>
      <c r="B1234" t="s">
        <v>56</v>
      </c>
      <c r="C1234">
        <v>28962</v>
      </c>
      <c r="D1234">
        <v>39083</v>
      </c>
      <c r="E1234" s="12">
        <v>45707</v>
      </c>
      <c r="F1234" s="12">
        <v>45828</v>
      </c>
      <c r="G1234" s="10">
        <v>61560</v>
      </c>
      <c r="H1234">
        <v>0</v>
      </c>
      <c r="I1234" t="s">
        <v>907</v>
      </c>
      <c r="J1234" t="s">
        <v>58</v>
      </c>
      <c r="K1234" t="s">
        <v>15</v>
      </c>
    </row>
    <row r="1235" spans="1:11" hidden="1" x14ac:dyDescent="0.35">
      <c r="A1235" t="s">
        <v>31</v>
      </c>
      <c r="B1235" t="s">
        <v>32</v>
      </c>
      <c r="C1235">
        <v>28538</v>
      </c>
      <c r="D1235">
        <v>38555</v>
      </c>
      <c r="E1235" s="12">
        <v>45678</v>
      </c>
      <c r="F1235" s="12">
        <v>45828</v>
      </c>
      <c r="G1235" s="10">
        <v>1813.33</v>
      </c>
      <c r="H1235">
        <v>0</v>
      </c>
      <c r="I1235" t="s">
        <v>271</v>
      </c>
      <c r="J1235" t="s">
        <v>34</v>
      </c>
      <c r="K1235" t="s">
        <v>15</v>
      </c>
    </row>
    <row r="1236" spans="1:11" hidden="1" x14ac:dyDescent="0.35">
      <c r="A1236" t="s">
        <v>31</v>
      </c>
      <c r="B1236" t="s">
        <v>32</v>
      </c>
      <c r="C1236">
        <v>29108</v>
      </c>
      <c r="D1236">
        <v>39269</v>
      </c>
      <c r="E1236" s="12">
        <v>45723</v>
      </c>
      <c r="F1236" s="12">
        <v>45828</v>
      </c>
      <c r="G1236" s="10">
        <v>7822.21</v>
      </c>
      <c r="H1236">
        <v>0</v>
      </c>
      <c r="I1236" t="s">
        <v>271</v>
      </c>
      <c r="J1236" t="s">
        <v>34</v>
      </c>
      <c r="K1236" t="s">
        <v>15</v>
      </c>
    </row>
    <row r="1237" spans="1:11" hidden="1" x14ac:dyDescent="0.35">
      <c r="A1237" t="s">
        <v>31</v>
      </c>
      <c r="B1237" t="s">
        <v>32</v>
      </c>
      <c r="C1237">
        <v>28539</v>
      </c>
      <c r="D1237">
        <v>38556</v>
      </c>
      <c r="E1237" s="12">
        <v>45678</v>
      </c>
      <c r="F1237" s="12">
        <v>45828</v>
      </c>
      <c r="G1237" s="10">
        <v>3413.33</v>
      </c>
      <c r="H1237">
        <v>0</v>
      </c>
      <c r="I1237" t="s">
        <v>271</v>
      </c>
      <c r="J1237" t="s">
        <v>34</v>
      </c>
      <c r="K1237" t="s">
        <v>15</v>
      </c>
    </row>
    <row r="1238" spans="1:11" hidden="1" x14ac:dyDescent="0.35">
      <c r="A1238" t="s">
        <v>212</v>
      </c>
      <c r="B1238" t="s">
        <v>213</v>
      </c>
      <c r="C1238">
        <v>29009</v>
      </c>
      <c r="D1238">
        <v>39131</v>
      </c>
      <c r="E1238" s="12">
        <v>45708</v>
      </c>
      <c r="F1238" s="12">
        <v>45828</v>
      </c>
      <c r="G1238" s="10">
        <v>86217.7</v>
      </c>
      <c r="H1238">
        <v>0</v>
      </c>
      <c r="I1238" t="s">
        <v>214</v>
      </c>
      <c r="J1238" t="s">
        <v>14</v>
      </c>
      <c r="K1238" t="s">
        <v>15</v>
      </c>
    </row>
    <row r="1239" spans="1:11" hidden="1" x14ac:dyDescent="0.35">
      <c r="A1239" t="s">
        <v>212</v>
      </c>
      <c r="B1239" t="s">
        <v>213</v>
      </c>
      <c r="C1239">
        <v>29004</v>
      </c>
      <c r="D1239">
        <v>39127</v>
      </c>
      <c r="E1239" s="12">
        <v>45708</v>
      </c>
      <c r="F1239" s="12">
        <v>45828</v>
      </c>
      <c r="G1239" s="10">
        <v>8005.8</v>
      </c>
      <c r="H1239">
        <v>0</v>
      </c>
      <c r="I1239" t="s">
        <v>214</v>
      </c>
      <c r="J1239" t="s">
        <v>14</v>
      </c>
      <c r="K1239" t="s">
        <v>15</v>
      </c>
    </row>
    <row r="1240" spans="1:11" hidden="1" x14ac:dyDescent="0.35">
      <c r="A1240" t="s">
        <v>55</v>
      </c>
      <c r="B1240" t="s">
        <v>56</v>
      </c>
      <c r="C1240">
        <v>28952</v>
      </c>
      <c r="D1240">
        <v>39073</v>
      </c>
      <c r="E1240" s="12">
        <v>45707</v>
      </c>
      <c r="F1240" s="12">
        <v>45828</v>
      </c>
      <c r="G1240" s="10">
        <v>24624</v>
      </c>
      <c r="H1240">
        <v>0</v>
      </c>
      <c r="I1240" t="s">
        <v>208</v>
      </c>
      <c r="J1240" t="s">
        <v>58</v>
      </c>
      <c r="K1240" t="s">
        <v>15</v>
      </c>
    </row>
    <row r="1241" spans="1:11" hidden="1" x14ac:dyDescent="0.35">
      <c r="A1241" t="s">
        <v>212</v>
      </c>
      <c r="B1241" t="s">
        <v>213</v>
      </c>
      <c r="C1241">
        <v>29005</v>
      </c>
      <c r="D1241">
        <v>39128</v>
      </c>
      <c r="E1241" s="12">
        <v>45708</v>
      </c>
      <c r="F1241" s="12">
        <v>45828</v>
      </c>
      <c r="G1241" s="10">
        <v>2516.8000000000002</v>
      </c>
      <c r="H1241">
        <v>0</v>
      </c>
      <c r="I1241" t="s">
        <v>214</v>
      </c>
      <c r="J1241" t="s">
        <v>14</v>
      </c>
      <c r="K1241" t="s">
        <v>15</v>
      </c>
    </row>
    <row r="1242" spans="1:11" hidden="1" x14ac:dyDescent="0.35">
      <c r="A1242" t="s">
        <v>31</v>
      </c>
      <c r="B1242" t="s">
        <v>32</v>
      </c>
      <c r="C1242">
        <v>29110</v>
      </c>
      <c r="D1242">
        <v>39271</v>
      </c>
      <c r="E1242" s="12">
        <v>45723</v>
      </c>
      <c r="F1242" s="12">
        <v>45828</v>
      </c>
      <c r="G1242" s="10">
        <v>753.33</v>
      </c>
      <c r="H1242">
        <v>0</v>
      </c>
      <c r="I1242" t="s">
        <v>271</v>
      </c>
      <c r="J1242" t="s">
        <v>34</v>
      </c>
      <c r="K1242" t="s">
        <v>15</v>
      </c>
    </row>
    <row r="1243" spans="1:11" hidden="1" x14ac:dyDescent="0.35">
      <c r="A1243" t="s">
        <v>562</v>
      </c>
      <c r="B1243" t="s">
        <v>563</v>
      </c>
      <c r="C1243">
        <v>28941</v>
      </c>
      <c r="D1243">
        <v>39061</v>
      </c>
      <c r="E1243" s="12">
        <v>45707</v>
      </c>
      <c r="F1243" s="12">
        <v>45828</v>
      </c>
      <c r="G1243" s="10">
        <v>86688</v>
      </c>
      <c r="H1243">
        <v>0</v>
      </c>
      <c r="I1243" t="s">
        <v>1458</v>
      </c>
      <c r="J1243" t="s">
        <v>111</v>
      </c>
      <c r="K1243" t="s">
        <v>15</v>
      </c>
    </row>
    <row r="1244" spans="1:11" hidden="1" x14ac:dyDescent="0.35">
      <c r="A1244" t="s">
        <v>205</v>
      </c>
      <c r="B1244" t="s">
        <v>56</v>
      </c>
      <c r="C1244">
        <v>28956</v>
      </c>
      <c r="D1244">
        <v>39077</v>
      </c>
      <c r="E1244" s="12">
        <v>45707</v>
      </c>
      <c r="F1244" s="12">
        <v>45828</v>
      </c>
      <c r="G1244" s="10">
        <v>20320</v>
      </c>
      <c r="H1244">
        <v>0</v>
      </c>
      <c r="I1244" t="s">
        <v>679</v>
      </c>
      <c r="J1244" t="s">
        <v>58</v>
      </c>
      <c r="K1244" t="s">
        <v>15</v>
      </c>
    </row>
    <row r="1245" spans="1:11" hidden="1" x14ac:dyDescent="0.35">
      <c r="A1245" t="s">
        <v>174</v>
      </c>
      <c r="B1245" t="s">
        <v>175</v>
      </c>
      <c r="C1245">
        <v>28555</v>
      </c>
      <c r="D1245">
        <v>38573</v>
      </c>
      <c r="E1245" s="12">
        <v>45678</v>
      </c>
      <c r="F1245" s="12">
        <v>45828</v>
      </c>
      <c r="G1245" s="10">
        <v>155925</v>
      </c>
      <c r="H1245">
        <v>0</v>
      </c>
      <c r="I1245" t="s">
        <v>1569</v>
      </c>
      <c r="J1245" t="s">
        <v>58</v>
      </c>
      <c r="K1245" t="s">
        <v>15</v>
      </c>
    </row>
    <row r="1246" spans="1:11" hidden="1" x14ac:dyDescent="0.35">
      <c r="A1246" t="s">
        <v>212</v>
      </c>
      <c r="B1246" t="s">
        <v>213</v>
      </c>
      <c r="C1246">
        <v>29010</v>
      </c>
      <c r="D1246">
        <v>39132</v>
      </c>
      <c r="E1246" s="12">
        <v>45708</v>
      </c>
      <c r="F1246" s="12">
        <v>45828</v>
      </c>
      <c r="G1246" s="10">
        <v>73132.12</v>
      </c>
      <c r="H1246">
        <v>0</v>
      </c>
      <c r="I1246" t="s">
        <v>214</v>
      </c>
      <c r="J1246" t="s">
        <v>14</v>
      </c>
      <c r="K1246" t="s">
        <v>15</v>
      </c>
    </row>
    <row r="1247" spans="1:11" hidden="1" x14ac:dyDescent="0.35">
      <c r="A1247" t="s">
        <v>174</v>
      </c>
      <c r="B1247" t="s">
        <v>175</v>
      </c>
      <c r="C1247">
        <v>28948</v>
      </c>
      <c r="D1247">
        <v>39069</v>
      </c>
      <c r="E1247" s="12">
        <v>45707</v>
      </c>
      <c r="F1247" s="12">
        <v>45828</v>
      </c>
      <c r="G1247" s="10">
        <v>35232</v>
      </c>
      <c r="H1247">
        <v>0</v>
      </c>
      <c r="I1247" t="s">
        <v>1418</v>
      </c>
      <c r="J1247" t="s">
        <v>58</v>
      </c>
      <c r="K1247" t="s">
        <v>15</v>
      </c>
    </row>
    <row r="1248" spans="1:11" hidden="1" x14ac:dyDescent="0.35">
      <c r="A1248" t="s">
        <v>108</v>
      </c>
      <c r="B1248" t="s">
        <v>109</v>
      </c>
      <c r="C1248">
        <v>28998</v>
      </c>
      <c r="D1248">
        <v>39120</v>
      </c>
      <c r="E1248" s="12">
        <v>45708</v>
      </c>
      <c r="F1248" s="12">
        <v>45828</v>
      </c>
      <c r="G1248" s="10">
        <v>3000</v>
      </c>
      <c r="H1248">
        <v>0</v>
      </c>
      <c r="I1248" t="s">
        <v>110</v>
      </c>
      <c r="J1248" t="s">
        <v>111</v>
      </c>
      <c r="K1248" t="s">
        <v>15</v>
      </c>
    </row>
    <row r="1249" spans="1:11" hidden="1" x14ac:dyDescent="0.35">
      <c r="A1249" t="s">
        <v>908</v>
      </c>
      <c r="B1249" t="s">
        <v>909</v>
      </c>
      <c r="C1249">
        <v>29022</v>
      </c>
      <c r="D1249">
        <v>39146</v>
      </c>
      <c r="E1249" s="12">
        <v>45709</v>
      </c>
      <c r="F1249" s="12">
        <v>45831</v>
      </c>
      <c r="G1249" s="10">
        <v>21024</v>
      </c>
      <c r="H1249">
        <v>0</v>
      </c>
      <c r="I1249" t="s">
        <v>910</v>
      </c>
      <c r="J1249" t="s">
        <v>48</v>
      </c>
      <c r="K1249" t="s">
        <v>15</v>
      </c>
    </row>
    <row r="1250" spans="1:11" hidden="1" x14ac:dyDescent="0.35">
      <c r="A1250" t="s">
        <v>591</v>
      </c>
      <c r="B1250" t="s">
        <v>592</v>
      </c>
      <c r="C1250">
        <v>28567</v>
      </c>
      <c r="D1250">
        <v>38585</v>
      </c>
      <c r="E1250" s="12">
        <v>45679</v>
      </c>
      <c r="F1250" s="12">
        <v>45831</v>
      </c>
      <c r="G1250" s="10">
        <v>3681.01</v>
      </c>
      <c r="H1250">
        <v>0</v>
      </c>
      <c r="I1250" t="s">
        <v>593</v>
      </c>
      <c r="J1250" t="s">
        <v>194</v>
      </c>
      <c r="K1250" t="s">
        <v>15</v>
      </c>
    </row>
    <row r="1251" spans="1:11" hidden="1" x14ac:dyDescent="0.35">
      <c r="A1251" t="s">
        <v>288</v>
      </c>
      <c r="B1251" t="s">
        <v>289</v>
      </c>
      <c r="C1251">
        <v>29019</v>
      </c>
      <c r="D1251">
        <v>39143</v>
      </c>
      <c r="E1251" s="12">
        <v>45709</v>
      </c>
      <c r="F1251" s="12">
        <v>45831</v>
      </c>
      <c r="G1251" s="10">
        <v>66959.240000000005</v>
      </c>
      <c r="H1251">
        <v>0</v>
      </c>
      <c r="I1251" t="s">
        <v>996</v>
      </c>
      <c r="J1251" t="s">
        <v>34</v>
      </c>
      <c r="K1251" t="s">
        <v>15</v>
      </c>
    </row>
    <row r="1252" spans="1:11" hidden="1" x14ac:dyDescent="0.35">
      <c r="A1252" t="s">
        <v>265</v>
      </c>
      <c r="B1252" t="s">
        <v>266</v>
      </c>
      <c r="C1252">
        <v>29020</v>
      </c>
      <c r="D1252">
        <v>39144</v>
      </c>
      <c r="E1252" s="12">
        <v>45709</v>
      </c>
      <c r="F1252" s="12">
        <v>45831</v>
      </c>
      <c r="G1252" s="10">
        <v>9439.2000000000007</v>
      </c>
      <c r="H1252">
        <v>0</v>
      </c>
      <c r="I1252" t="s">
        <v>267</v>
      </c>
      <c r="J1252" t="s">
        <v>44</v>
      </c>
      <c r="K1252" t="s">
        <v>15</v>
      </c>
    </row>
    <row r="1253" spans="1:11" hidden="1" x14ac:dyDescent="0.35">
      <c r="A1253" t="s">
        <v>31</v>
      </c>
      <c r="B1253" t="s">
        <v>32</v>
      </c>
      <c r="C1253">
        <v>29245</v>
      </c>
      <c r="D1253">
        <v>39430</v>
      </c>
      <c r="E1253" s="12">
        <v>45740</v>
      </c>
      <c r="F1253" s="12">
        <v>45831</v>
      </c>
      <c r="G1253" s="10">
        <v>1931.22</v>
      </c>
      <c r="H1253">
        <v>0</v>
      </c>
      <c r="I1253" t="s">
        <v>271</v>
      </c>
      <c r="J1253" t="s">
        <v>34</v>
      </c>
      <c r="K1253" t="s">
        <v>15</v>
      </c>
    </row>
    <row r="1254" spans="1:11" hidden="1" x14ac:dyDescent="0.35">
      <c r="A1254" t="s">
        <v>594</v>
      </c>
      <c r="B1254" t="s">
        <v>595</v>
      </c>
      <c r="C1254">
        <v>28592</v>
      </c>
      <c r="D1254">
        <v>38617</v>
      </c>
      <c r="E1254" s="12">
        <v>45681</v>
      </c>
      <c r="F1254" s="12">
        <v>45831</v>
      </c>
      <c r="G1254" s="10">
        <v>132360</v>
      </c>
      <c r="H1254">
        <v>0</v>
      </c>
      <c r="I1254" t="s">
        <v>596</v>
      </c>
      <c r="J1254" t="s">
        <v>58</v>
      </c>
      <c r="K1254" t="s">
        <v>15</v>
      </c>
    </row>
    <row r="1255" spans="1:11" hidden="1" x14ac:dyDescent="0.35">
      <c r="A1255" t="s">
        <v>594</v>
      </c>
      <c r="B1255" t="s">
        <v>595</v>
      </c>
      <c r="C1255">
        <v>28591</v>
      </c>
      <c r="D1255">
        <v>38616</v>
      </c>
      <c r="E1255" s="12">
        <v>45681</v>
      </c>
      <c r="F1255" s="12">
        <v>45831</v>
      </c>
      <c r="G1255" s="10">
        <v>21059.98</v>
      </c>
      <c r="H1255">
        <v>0</v>
      </c>
      <c r="I1255" t="s">
        <v>596</v>
      </c>
      <c r="J1255" t="s">
        <v>58</v>
      </c>
      <c r="K1255" t="s">
        <v>15</v>
      </c>
    </row>
    <row r="1256" spans="1:11" hidden="1" x14ac:dyDescent="0.35">
      <c r="A1256" t="s">
        <v>362</v>
      </c>
      <c r="B1256" t="s">
        <v>363</v>
      </c>
      <c r="C1256">
        <v>28240</v>
      </c>
      <c r="D1256">
        <v>38185</v>
      </c>
      <c r="E1256" s="12">
        <v>45649</v>
      </c>
      <c r="F1256" s="12">
        <v>45831</v>
      </c>
      <c r="G1256" s="10">
        <v>55250</v>
      </c>
      <c r="H1256">
        <v>0</v>
      </c>
      <c r="I1256" t="s">
        <v>364</v>
      </c>
      <c r="J1256" t="s">
        <v>48</v>
      </c>
      <c r="K1256" t="s">
        <v>15</v>
      </c>
    </row>
    <row r="1257" spans="1:11" hidden="1" x14ac:dyDescent="0.35">
      <c r="A1257" t="s">
        <v>31</v>
      </c>
      <c r="B1257" t="s">
        <v>32</v>
      </c>
      <c r="C1257">
        <v>29260</v>
      </c>
      <c r="D1257">
        <v>39448</v>
      </c>
      <c r="E1257" s="12">
        <v>45741</v>
      </c>
      <c r="F1257" s="12">
        <v>45831</v>
      </c>
      <c r="G1257" s="10">
        <v>97.4</v>
      </c>
      <c r="H1257">
        <v>0</v>
      </c>
      <c r="I1257" t="s">
        <v>271</v>
      </c>
      <c r="J1257" t="s">
        <v>34</v>
      </c>
      <c r="K1257" t="s">
        <v>15</v>
      </c>
    </row>
    <row r="1258" spans="1:11" hidden="1" x14ac:dyDescent="0.35">
      <c r="A1258" t="s">
        <v>31</v>
      </c>
      <c r="B1258" t="s">
        <v>32</v>
      </c>
      <c r="C1258">
        <v>29258</v>
      </c>
      <c r="D1258">
        <v>39446</v>
      </c>
      <c r="E1258" s="12">
        <v>45741</v>
      </c>
      <c r="F1258" s="12">
        <v>45831</v>
      </c>
      <c r="G1258" s="10">
        <v>353.33</v>
      </c>
      <c r="H1258">
        <v>0</v>
      </c>
      <c r="I1258" t="s">
        <v>271</v>
      </c>
      <c r="J1258" t="s">
        <v>34</v>
      </c>
      <c r="K1258" t="s">
        <v>15</v>
      </c>
    </row>
    <row r="1259" spans="1:11" hidden="1" x14ac:dyDescent="0.35">
      <c r="A1259" t="s">
        <v>265</v>
      </c>
      <c r="B1259" t="s">
        <v>266</v>
      </c>
      <c r="C1259">
        <v>29021</v>
      </c>
      <c r="D1259">
        <v>39145</v>
      </c>
      <c r="E1259" s="12">
        <v>45709</v>
      </c>
      <c r="F1259" s="12">
        <v>45831</v>
      </c>
      <c r="G1259" s="10">
        <v>17844</v>
      </c>
      <c r="H1259">
        <v>0</v>
      </c>
      <c r="I1259" t="s">
        <v>267</v>
      </c>
      <c r="J1259" t="s">
        <v>44</v>
      </c>
      <c r="K1259" t="s">
        <v>15</v>
      </c>
    </row>
    <row r="1260" spans="1:11" hidden="1" x14ac:dyDescent="0.35">
      <c r="A1260" t="s">
        <v>31</v>
      </c>
      <c r="B1260" t="s">
        <v>32</v>
      </c>
      <c r="C1260">
        <v>29259</v>
      </c>
      <c r="D1260">
        <v>39447</v>
      </c>
      <c r="E1260" s="12">
        <v>45741</v>
      </c>
      <c r="F1260" s="12">
        <v>45831</v>
      </c>
      <c r="G1260" s="10">
        <v>1965.44</v>
      </c>
      <c r="H1260">
        <v>0</v>
      </c>
      <c r="I1260" t="s">
        <v>271</v>
      </c>
      <c r="J1260" t="s">
        <v>34</v>
      </c>
      <c r="K1260" t="s">
        <v>15</v>
      </c>
    </row>
    <row r="1261" spans="1:11" hidden="1" x14ac:dyDescent="0.35">
      <c r="A1261" t="s">
        <v>288</v>
      </c>
      <c r="B1261" t="s">
        <v>289</v>
      </c>
      <c r="C1261">
        <v>29251</v>
      </c>
      <c r="D1261">
        <v>39437</v>
      </c>
      <c r="E1261" s="12">
        <v>45741</v>
      </c>
      <c r="F1261" s="12">
        <v>45831</v>
      </c>
      <c r="G1261" s="10">
        <v>14223.84</v>
      </c>
      <c r="H1261">
        <v>0</v>
      </c>
      <c r="I1261" t="s">
        <v>996</v>
      </c>
      <c r="J1261" t="s">
        <v>34</v>
      </c>
      <c r="K1261" t="s">
        <v>15</v>
      </c>
    </row>
    <row r="1262" spans="1:11" hidden="1" x14ac:dyDescent="0.35">
      <c r="A1262" t="s">
        <v>31</v>
      </c>
      <c r="B1262" t="s">
        <v>32</v>
      </c>
      <c r="C1262">
        <v>29244</v>
      </c>
      <c r="D1262">
        <v>39429</v>
      </c>
      <c r="E1262" s="12">
        <v>45740</v>
      </c>
      <c r="F1262" s="12">
        <v>45831</v>
      </c>
      <c r="G1262" s="10">
        <v>20324.14</v>
      </c>
      <c r="H1262">
        <v>0</v>
      </c>
      <c r="I1262" t="s">
        <v>271</v>
      </c>
      <c r="J1262" t="s">
        <v>34</v>
      </c>
      <c r="K1262" t="s">
        <v>15</v>
      </c>
    </row>
    <row r="1263" spans="1:11" hidden="1" x14ac:dyDescent="0.35">
      <c r="A1263" t="s">
        <v>31</v>
      </c>
      <c r="B1263" t="s">
        <v>32</v>
      </c>
      <c r="C1263">
        <v>29246</v>
      </c>
      <c r="D1263">
        <v>39431</v>
      </c>
      <c r="E1263" s="12">
        <v>45740</v>
      </c>
      <c r="F1263" s="12">
        <v>45831</v>
      </c>
      <c r="G1263" s="10">
        <v>1931.22</v>
      </c>
      <c r="H1263">
        <v>0</v>
      </c>
      <c r="I1263" t="s">
        <v>271</v>
      </c>
      <c r="J1263" t="s">
        <v>34</v>
      </c>
      <c r="K1263" t="s">
        <v>15</v>
      </c>
    </row>
    <row r="1264" spans="1:11" hidden="1" x14ac:dyDescent="0.35">
      <c r="A1264" t="s">
        <v>31</v>
      </c>
      <c r="B1264" t="s">
        <v>32</v>
      </c>
      <c r="C1264">
        <v>29261</v>
      </c>
      <c r="D1264">
        <v>39449</v>
      </c>
      <c r="E1264" s="12">
        <v>45741</v>
      </c>
      <c r="F1264" s="12">
        <v>45831</v>
      </c>
      <c r="G1264" s="10">
        <v>2271.66</v>
      </c>
      <c r="H1264">
        <v>0</v>
      </c>
      <c r="I1264" t="s">
        <v>271</v>
      </c>
      <c r="J1264" t="s">
        <v>34</v>
      </c>
      <c r="K1264" t="s">
        <v>15</v>
      </c>
    </row>
    <row r="1265" spans="1:11" hidden="1" x14ac:dyDescent="0.35">
      <c r="A1265" t="s">
        <v>288</v>
      </c>
      <c r="B1265" t="s">
        <v>289</v>
      </c>
      <c r="C1265">
        <v>28250</v>
      </c>
      <c r="D1265">
        <v>38204</v>
      </c>
      <c r="E1265" s="12">
        <v>45652</v>
      </c>
      <c r="F1265" s="12">
        <v>45832</v>
      </c>
      <c r="G1265" s="10">
        <v>4670.4399999999996</v>
      </c>
      <c r="H1265">
        <v>0</v>
      </c>
      <c r="I1265" t="s">
        <v>996</v>
      </c>
      <c r="J1265" t="s">
        <v>34</v>
      </c>
      <c r="K1265" t="s">
        <v>15</v>
      </c>
    </row>
    <row r="1266" spans="1:11" hidden="1" x14ac:dyDescent="0.35">
      <c r="A1266" t="s">
        <v>288</v>
      </c>
      <c r="B1266" t="s">
        <v>289</v>
      </c>
      <c r="C1266">
        <v>29025</v>
      </c>
      <c r="D1266">
        <v>39153</v>
      </c>
      <c r="E1266" s="12">
        <v>45712</v>
      </c>
      <c r="F1266" s="12">
        <v>45832</v>
      </c>
      <c r="G1266" s="10">
        <v>19080</v>
      </c>
      <c r="H1266">
        <v>0</v>
      </c>
      <c r="I1266" t="s">
        <v>996</v>
      </c>
      <c r="J1266" t="s">
        <v>34</v>
      </c>
      <c r="K1266" t="s">
        <v>15</v>
      </c>
    </row>
    <row r="1267" spans="1:11" hidden="1" x14ac:dyDescent="0.35">
      <c r="A1267" t="s">
        <v>1469</v>
      </c>
      <c r="B1267" t="s">
        <v>1030</v>
      </c>
      <c r="C1267">
        <v>29043</v>
      </c>
      <c r="D1267">
        <v>39174</v>
      </c>
      <c r="E1267" s="12">
        <v>45712</v>
      </c>
      <c r="F1267" s="12">
        <v>45832</v>
      </c>
      <c r="G1267" s="10">
        <v>329.6</v>
      </c>
      <c r="H1267">
        <v>0</v>
      </c>
      <c r="I1267" t="s">
        <v>1470</v>
      </c>
      <c r="J1267" t="s">
        <v>91</v>
      </c>
      <c r="K1267" t="s">
        <v>15</v>
      </c>
    </row>
    <row r="1268" spans="1:11" hidden="1" x14ac:dyDescent="0.35">
      <c r="A1268" t="s">
        <v>770</v>
      </c>
      <c r="B1268" t="s">
        <v>771</v>
      </c>
      <c r="C1268">
        <v>29023</v>
      </c>
      <c r="D1268">
        <v>39151</v>
      </c>
      <c r="E1268" s="12">
        <v>45712</v>
      </c>
      <c r="F1268" s="12">
        <v>45832</v>
      </c>
      <c r="G1268" s="10">
        <v>29039.97</v>
      </c>
      <c r="H1268">
        <v>0</v>
      </c>
      <c r="I1268" t="s">
        <v>1572</v>
      </c>
      <c r="J1268" t="s">
        <v>44</v>
      </c>
      <c r="K1268" t="s">
        <v>15</v>
      </c>
    </row>
    <row r="1269" spans="1:11" hidden="1" x14ac:dyDescent="0.35">
      <c r="A1269" t="s">
        <v>1029</v>
      </c>
      <c r="B1269" t="s">
        <v>1030</v>
      </c>
      <c r="C1269">
        <v>29026</v>
      </c>
      <c r="D1269">
        <v>39154</v>
      </c>
      <c r="E1269" s="12">
        <v>45712</v>
      </c>
      <c r="F1269" s="12">
        <v>45832</v>
      </c>
      <c r="G1269" s="10">
        <v>183882.6</v>
      </c>
      <c r="H1269">
        <v>0</v>
      </c>
      <c r="I1269" t="s">
        <v>1031</v>
      </c>
      <c r="J1269" t="s">
        <v>91</v>
      </c>
      <c r="K1269" t="s">
        <v>15</v>
      </c>
    </row>
    <row r="1270" spans="1:11" hidden="1" x14ac:dyDescent="0.35">
      <c r="A1270" t="s">
        <v>1469</v>
      </c>
      <c r="B1270" t="s">
        <v>1030</v>
      </c>
      <c r="C1270">
        <v>29027</v>
      </c>
      <c r="D1270">
        <v>39155</v>
      </c>
      <c r="E1270" s="12">
        <v>45712</v>
      </c>
      <c r="F1270" s="12">
        <v>45832</v>
      </c>
      <c r="G1270" s="10">
        <v>2262.6</v>
      </c>
      <c r="H1270">
        <v>0</v>
      </c>
      <c r="I1270" t="s">
        <v>1470</v>
      </c>
      <c r="J1270" t="s">
        <v>91</v>
      </c>
      <c r="K1270" t="s">
        <v>15</v>
      </c>
    </row>
    <row r="1271" spans="1:11" hidden="1" x14ac:dyDescent="0.35">
      <c r="A1271" t="s">
        <v>1176</v>
      </c>
      <c r="B1271" t="s">
        <v>1177</v>
      </c>
      <c r="C1271">
        <v>29030</v>
      </c>
      <c r="D1271">
        <v>39158</v>
      </c>
      <c r="E1271" s="12">
        <v>45712</v>
      </c>
      <c r="F1271" s="12">
        <v>45832</v>
      </c>
      <c r="G1271" s="10">
        <v>53051.24</v>
      </c>
      <c r="H1271">
        <v>0</v>
      </c>
      <c r="I1271" t="s">
        <v>1178</v>
      </c>
      <c r="J1271" t="s">
        <v>48</v>
      </c>
      <c r="K1271" t="s">
        <v>15</v>
      </c>
    </row>
    <row r="1272" spans="1:11" hidden="1" x14ac:dyDescent="0.35">
      <c r="A1272" t="s">
        <v>954</v>
      </c>
      <c r="B1272" t="s">
        <v>955</v>
      </c>
      <c r="C1272">
        <v>29262</v>
      </c>
      <c r="D1272">
        <v>39451</v>
      </c>
      <c r="E1272" s="12">
        <v>45742</v>
      </c>
      <c r="F1272" s="12">
        <v>45832</v>
      </c>
      <c r="G1272" s="10">
        <v>35558.400000000001</v>
      </c>
      <c r="H1272">
        <v>0</v>
      </c>
      <c r="I1272" t="s">
        <v>1652</v>
      </c>
      <c r="J1272" t="s">
        <v>34</v>
      </c>
      <c r="K1272" t="s">
        <v>15</v>
      </c>
    </row>
    <row r="1273" spans="1:11" hidden="1" x14ac:dyDescent="0.35">
      <c r="A1273" t="s">
        <v>1271</v>
      </c>
      <c r="B1273" t="s">
        <v>36</v>
      </c>
      <c r="C1273">
        <v>29051</v>
      </c>
      <c r="D1273">
        <v>39187</v>
      </c>
      <c r="E1273" s="12">
        <v>45713</v>
      </c>
      <c r="F1273" s="12">
        <v>45833</v>
      </c>
      <c r="G1273" s="10">
        <v>58650</v>
      </c>
      <c r="H1273">
        <v>0</v>
      </c>
      <c r="I1273" t="s">
        <v>1272</v>
      </c>
      <c r="J1273" t="s">
        <v>22</v>
      </c>
      <c r="K1273" t="s">
        <v>15</v>
      </c>
    </row>
    <row r="1274" spans="1:11" hidden="1" x14ac:dyDescent="0.35">
      <c r="A1274" t="s">
        <v>116</v>
      </c>
      <c r="B1274" t="s">
        <v>117</v>
      </c>
      <c r="C1274">
        <v>27560</v>
      </c>
      <c r="D1274">
        <v>37323</v>
      </c>
      <c r="E1274" s="12">
        <v>45593</v>
      </c>
      <c r="F1274" s="12">
        <v>45833</v>
      </c>
      <c r="G1274" s="10">
        <v>16000</v>
      </c>
      <c r="H1274">
        <v>0</v>
      </c>
      <c r="I1274" t="s">
        <v>1440</v>
      </c>
      <c r="J1274" t="s">
        <v>22</v>
      </c>
      <c r="K1274" t="s">
        <v>15</v>
      </c>
    </row>
    <row r="1275" spans="1:11" hidden="1" x14ac:dyDescent="0.35">
      <c r="A1275" t="s">
        <v>31</v>
      </c>
      <c r="B1275" t="s">
        <v>32</v>
      </c>
      <c r="C1275">
        <v>29045</v>
      </c>
      <c r="D1275">
        <v>39176</v>
      </c>
      <c r="E1275" s="12">
        <v>45713</v>
      </c>
      <c r="F1275" s="12">
        <v>45833</v>
      </c>
      <c r="G1275" s="10">
        <v>13436.25</v>
      </c>
      <c r="H1275">
        <v>0</v>
      </c>
      <c r="I1275" t="s">
        <v>271</v>
      </c>
      <c r="J1275" t="s">
        <v>34</v>
      </c>
      <c r="K1275" t="s">
        <v>15</v>
      </c>
    </row>
    <row r="1276" spans="1:11" hidden="1" x14ac:dyDescent="0.35">
      <c r="A1276" t="s">
        <v>31</v>
      </c>
      <c r="B1276" t="s">
        <v>32</v>
      </c>
      <c r="C1276">
        <v>29154</v>
      </c>
      <c r="D1276">
        <v>39322</v>
      </c>
      <c r="E1276" s="12">
        <v>45728</v>
      </c>
      <c r="F1276" s="12">
        <v>45833</v>
      </c>
      <c r="G1276" s="10">
        <v>14305.54</v>
      </c>
      <c r="H1276">
        <v>0</v>
      </c>
      <c r="I1276" t="s">
        <v>1459</v>
      </c>
      <c r="J1276" t="s">
        <v>34</v>
      </c>
      <c r="K1276" t="s">
        <v>15</v>
      </c>
    </row>
    <row r="1277" spans="1:11" hidden="1" x14ac:dyDescent="0.35">
      <c r="A1277" t="s">
        <v>31</v>
      </c>
      <c r="B1277" t="s">
        <v>32</v>
      </c>
      <c r="C1277">
        <v>29153</v>
      </c>
      <c r="D1277">
        <v>39321</v>
      </c>
      <c r="E1277" s="12">
        <v>45728</v>
      </c>
      <c r="F1277" s="12">
        <v>45833</v>
      </c>
      <c r="G1277" s="10">
        <v>6866.66</v>
      </c>
      <c r="H1277">
        <v>0</v>
      </c>
      <c r="I1277" t="s">
        <v>1518</v>
      </c>
      <c r="J1277" t="s">
        <v>34</v>
      </c>
      <c r="K1277" t="s">
        <v>15</v>
      </c>
    </row>
    <row r="1278" spans="1:11" hidden="1" x14ac:dyDescent="0.35">
      <c r="A1278" t="s">
        <v>108</v>
      </c>
      <c r="B1278" t="s">
        <v>109</v>
      </c>
      <c r="C1278">
        <v>29059</v>
      </c>
      <c r="D1278">
        <v>39199</v>
      </c>
      <c r="E1278" s="12">
        <v>45713</v>
      </c>
      <c r="F1278" s="12">
        <v>45833</v>
      </c>
      <c r="G1278" s="10">
        <v>48483.75</v>
      </c>
      <c r="H1278">
        <v>0</v>
      </c>
      <c r="I1278" t="s">
        <v>110</v>
      </c>
      <c r="J1278" t="s">
        <v>111</v>
      </c>
      <c r="K1278" t="s">
        <v>15</v>
      </c>
    </row>
    <row r="1279" spans="1:11" hidden="1" x14ac:dyDescent="0.35">
      <c r="A1279" t="s">
        <v>31</v>
      </c>
      <c r="B1279" t="s">
        <v>32</v>
      </c>
      <c r="C1279">
        <v>29044</v>
      </c>
      <c r="D1279">
        <v>39175</v>
      </c>
      <c r="E1279" s="12">
        <v>45713</v>
      </c>
      <c r="F1279" s="12">
        <v>45833</v>
      </c>
      <c r="G1279" s="10">
        <v>7734.7</v>
      </c>
      <c r="H1279">
        <v>0</v>
      </c>
      <c r="I1279" t="s">
        <v>271</v>
      </c>
      <c r="J1279" t="s">
        <v>34</v>
      </c>
      <c r="K1279" t="s">
        <v>15</v>
      </c>
    </row>
    <row r="1280" spans="1:11" hidden="1" x14ac:dyDescent="0.35">
      <c r="A1280" t="s">
        <v>249</v>
      </c>
      <c r="B1280" t="s">
        <v>36</v>
      </c>
      <c r="C1280">
        <v>29055</v>
      </c>
      <c r="D1280">
        <v>39194</v>
      </c>
      <c r="E1280" s="12">
        <v>45713</v>
      </c>
      <c r="F1280" s="12">
        <v>45833</v>
      </c>
      <c r="G1280" s="10">
        <v>1536</v>
      </c>
      <c r="H1280">
        <v>0</v>
      </c>
      <c r="I1280" t="s">
        <v>1363</v>
      </c>
      <c r="J1280" t="s">
        <v>22</v>
      </c>
      <c r="K1280" t="s">
        <v>15</v>
      </c>
    </row>
    <row r="1281" spans="1:11" hidden="1" x14ac:dyDescent="0.35">
      <c r="A1281" t="s">
        <v>108</v>
      </c>
      <c r="B1281" t="s">
        <v>109</v>
      </c>
      <c r="C1281">
        <v>29263</v>
      </c>
      <c r="D1281">
        <v>39453</v>
      </c>
      <c r="E1281" s="12">
        <v>45743</v>
      </c>
      <c r="F1281" s="12">
        <v>45833</v>
      </c>
      <c r="G1281" s="10">
        <v>36237.4</v>
      </c>
      <c r="H1281">
        <v>0</v>
      </c>
      <c r="I1281" t="s">
        <v>110</v>
      </c>
      <c r="J1281" t="s">
        <v>111</v>
      </c>
      <c r="K1281" t="s">
        <v>15</v>
      </c>
    </row>
    <row r="1282" spans="1:11" hidden="1" x14ac:dyDescent="0.35">
      <c r="A1282" t="s">
        <v>108</v>
      </c>
      <c r="B1282" t="s">
        <v>109</v>
      </c>
      <c r="C1282">
        <v>29060</v>
      </c>
      <c r="D1282">
        <v>39200</v>
      </c>
      <c r="E1282" s="12">
        <v>45713</v>
      </c>
      <c r="F1282" s="12">
        <v>45833</v>
      </c>
      <c r="G1282" s="10">
        <v>54300</v>
      </c>
      <c r="H1282">
        <v>0</v>
      </c>
      <c r="I1282" t="s">
        <v>110</v>
      </c>
      <c r="J1282" t="s">
        <v>111</v>
      </c>
      <c r="K1282" t="s">
        <v>15</v>
      </c>
    </row>
    <row r="1283" spans="1:11" hidden="1" x14ac:dyDescent="0.35">
      <c r="A1283" t="s">
        <v>725</v>
      </c>
      <c r="B1283" t="s">
        <v>726</v>
      </c>
      <c r="C1283">
        <v>29071</v>
      </c>
      <c r="D1283">
        <v>39213</v>
      </c>
      <c r="E1283" s="12">
        <v>45714</v>
      </c>
      <c r="F1283" s="12">
        <v>45834</v>
      </c>
      <c r="G1283" s="10">
        <v>4000</v>
      </c>
      <c r="H1283">
        <v>0</v>
      </c>
      <c r="I1283" t="s">
        <v>727</v>
      </c>
      <c r="J1283" t="s">
        <v>111</v>
      </c>
      <c r="K1283" t="s">
        <v>15</v>
      </c>
    </row>
    <row r="1284" spans="1:11" hidden="1" x14ac:dyDescent="0.35">
      <c r="A1284" t="s">
        <v>562</v>
      </c>
      <c r="B1284" t="s">
        <v>563</v>
      </c>
      <c r="C1284">
        <v>29061</v>
      </c>
      <c r="D1284">
        <v>39201</v>
      </c>
      <c r="E1284" s="12">
        <v>45714</v>
      </c>
      <c r="F1284" s="12">
        <v>45834</v>
      </c>
      <c r="G1284" s="10">
        <v>20556.25</v>
      </c>
      <c r="H1284">
        <v>0</v>
      </c>
      <c r="I1284" t="s">
        <v>1458</v>
      </c>
      <c r="J1284" t="s">
        <v>111</v>
      </c>
      <c r="K1284" t="s">
        <v>15</v>
      </c>
    </row>
    <row r="1285" spans="1:11" hidden="1" x14ac:dyDescent="0.35">
      <c r="A1285" t="s">
        <v>594</v>
      </c>
      <c r="B1285" t="s">
        <v>595</v>
      </c>
      <c r="C1285">
        <v>28659</v>
      </c>
      <c r="D1285">
        <v>38696</v>
      </c>
      <c r="E1285" s="12">
        <v>45685</v>
      </c>
      <c r="F1285" s="12">
        <v>45835</v>
      </c>
      <c r="G1285" s="10">
        <v>118050</v>
      </c>
      <c r="H1285">
        <v>0</v>
      </c>
      <c r="I1285" t="s">
        <v>596</v>
      </c>
      <c r="J1285" t="s">
        <v>58</v>
      </c>
      <c r="K1285" t="s">
        <v>15</v>
      </c>
    </row>
    <row r="1286" spans="1:11" hidden="1" x14ac:dyDescent="0.35">
      <c r="A1286" t="s">
        <v>31</v>
      </c>
      <c r="B1286" t="s">
        <v>32</v>
      </c>
      <c r="C1286">
        <v>28678</v>
      </c>
      <c r="D1286">
        <v>38719</v>
      </c>
      <c r="E1286" s="12">
        <v>45685</v>
      </c>
      <c r="F1286" s="12">
        <v>45835</v>
      </c>
      <c r="G1286" s="10">
        <v>8138.84</v>
      </c>
      <c r="H1286">
        <v>0</v>
      </c>
      <c r="I1286" t="s">
        <v>271</v>
      </c>
      <c r="J1286" t="s">
        <v>34</v>
      </c>
      <c r="K1286" t="s">
        <v>15</v>
      </c>
    </row>
    <row r="1287" spans="1:11" hidden="1" x14ac:dyDescent="0.35">
      <c r="A1287" t="s">
        <v>116</v>
      </c>
      <c r="B1287" t="s">
        <v>117</v>
      </c>
      <c r="C1287">
        <v>26018</v>
      </c>
      <c r="D1287">
        <v>35606</v>
      </c>
      <c r="E1287" s="12">
        <v>45470</v>
      </c>
      <c r="F1287" s="12">
        <v>45835</v>
      </c>
      <c r="G1287" s="10">
        <v>109700</v>
      </c>
      <c r="H1287">
        <v>0</v>
      </c>
      <c r="I1287" t="s">
        <v>1130</v>
      </c>
      <c r="J1287" t="s">
        <v>22</v>
      </c>
      <c r="K1287" t="s">
        <v>15</v>
      </c>
    </row>
    <row r="1288" spans="1:11" hidden="1" x14ac:dyDescent="0.35">
      <c r="A1288" t="s">
        <v>285</v>
      </c>
      <c r="B1288" t="s">
        <v>286</v>
      </c>
      <c r="C1288">
        <v>29073</v>
      </c>
      <c r="D1288">
        <v>39223</v>
      </c>
      <c r="E1288" s="12">
        <v>45715</v>
      </c>
      <c r="F1288" s="12">
        <v>45835</v>
      </c>
      <c r="G1288" s="10">
        <v>84810</v>
      </c>
      <c r="H1288">
        <v>0</v>
      </c>
      <c r="I1288" t="s">
        <v>1364</v>
      </c>
      <c r="J1288" t="s">
        <v>58</v>
      </c>
      <c r="K1288" t="s">
        <v>15</v>
      </c>
    </row>
    <row r="1289" spans="1:11" hidden="1" x14ac:dyDescent="0.35">
      <c r="A1289" t="s">
        <v>174</v>
      </c>
      <c r="B1289" t="s">
        <v>175</v>
      </c>
      <c r="C1289">
        <v>28670</v>
      </c>
      <c r="D1289">
        <v>38710</v>
      </c>
      <c r="E1289" s="12">
        <v>45685</v>
      </c>
      <c r="F1289" s="12">
        <v>45835</v>
      </c>
      <c r="G1289" s="10">
        <v>155925</v>
      </c>
      <c r="H1289">
        <v>0</v>
      </c>
      <c r="I1289" t="s">
        <v>1675</v>
      </c>
      <c r="J1289" t="s">
        <v>58</v>
      </c>
      <c r="K1289" t="s">
        <v>15</v>
      </c>
    </row>
    <row r="1290" spans="1:11" hidden="1" x14ac:dyDescent="0.35">
      <c r="A1290" t="s">
        <v>31</v>
      </c>
      <c r="B1290" t="s">
        <v>32</v>
      </c>
      <c r="C1290">
        <v>28677</v>
      </c>
      <c r="D1290">
        <v>38718</v>
      </c>
      <c r="E1290" s="12">
        <v>45685</v>
      </c>
      <c r="F1290" s="12">
        <v>45835</v>
      </c>
      <c r="G1290" s="10">
        <v>9583.2800000000007</v>
      </c>
      <c r="H1290">
        <v>0</v>
      </c>
      <c r="I1290" t="s">
        <v>271</v>
      </c>
      <c r="J1290" t="s">
        <v>34</v>
      </c>
      <c r="K1290" t="s">
        <v>15</v>
      </c>
    </row>
    <row r="1291" spans="1:11" hidden="1" x14ac:dyDescent="0.35">
      <c r="A1291" t="s">
        <v>474</v>
      </c>
      <c r="B1291" t="s">
        <v>475</v>
      </c>
      <c r="C1291">
        <v>28710</v>
      </c>
      <c r="D1291">
        <v>38751</v>
      </c>
      <c r="E1291" s="12">
        <v>45686</v>
      </c>
      <c r="F1291" s="12">
        <v>45836</v>
      </c>
      <c r="G1291" s="10">
        <v>9375</v>
      </c>
      <c r="H1291">
        <v>0</v>
      </c>
      <c r="I1291" t="s">
        <v>887</v>
      </c>
      <c r="J1291" t="s">
        <v>44</v>
      </c>
      <c r="K1291" t="s">
        <v>15</v>
      </c>
    </row>
    <row r="1292" spans="1:11" hidden="1" x14ac:dyDescent="0.35">
      <c r="A1292" t="s">
        <v>174</v>
      </c>
      <c r="B1292" t="s">
        <v>175</v>
      </c>
      <c r="C1292">
        <v>28713</v>
      </c>
      <c r="D1292">
        <v>38757</v>
      </c>
      <c r="E1292" s="12">
        <v>45687</v>
      </c>
      <c r="F1292" s="12">
        <v>45837</v>
      </c>
      <c r="G1292" s="10">
        <v>155925</v>
      </c>
      <c r="H1292">
        <v>0</v>
      </c>
      <c r="I1292" t="s">
        <v>1483</v>
      </c>
      <c r="J1292" t="s">
        <v>58</v>
      </c>
      <c r="K1292" t="s">
        <v>15</v>
      </c>
    </row>
    <row r="1293" spans="1:11" hidden="1" x14ac:dyDescent="0.35">
      <c r="A1293" t="s">
        <v>31</v>
      </c>
      <c r="B1293" t="s">
        <v>32</v>
      </c>
      <c r="C1293">
        <v>28894</v>
      </c>
      <c r="D1293">
        <v>38999</v>
      </c>
      <c r="E1293" s="12">
        <v>45702</v>
      </c>
      <c r="F1293" s="12">
        <v>45838</v>
      </c>
      <c r="G1293" s="10">
        <v>2520</v>
      </c>
      <c r="H1293">
        <v>0</v>
      </c>
      <c r="I1293" t="s">
        <v>271</v>
      </c>
      <c r="J1293" t="s">
        <v>34</v>
      </c>
      <c r="K1293" t="s">
        <v>15</v>
      </c>
    </row>
    <row r="1294" spans="1:11" hidden="1" x14ac:dyDescent="0.35">
      <c r="A1294" t="s">
        <v>770</v>
      </c>
      <c r="B1294" t="s">
        <v>771</v>
      </c>
      <c r="C1294">
        <v>28718</v>
      </c>
      <c r="D1294">
        <v>38762</v>
      </c>
      <c r="E1294" s="12">
        <v>45687</v>
      </c>
      <c r="F1294" s="12">
        <v>45838</v>
      </c>
      <c r="G1294" s="10">
        <v>3171.5</v>
      </c>
      <c r="H1294">
        <v>0</v>
      </c>
      <c r="I1294" t="s">
        <v>772</v>
      </c>
      <c r="J1294" t="s">
        <v>44</v>
      </c>
      <c r="K1294" t="s">
        <v>15</v>
      </c>
    </row>
    <row r="1295" spans="1:11" hidden="1" x14ac:dyDescent="0.35">
      <c r="A1295" t="s">
        <v>133</v>
      </c>
      <c r="B1295" t="s">
        <v>134</v>
      </c>
      <c r="C1295">
        <v>28036</v>
      </c>
      <c r="D1295">
        <v>37937</v>
      </c>
      <c r="E1295" s="12">
        <v>45632</v>
      </c>
      <c r="F1295" s="12">
        <v>45838</v>
      </c>
      <c r="G1295" s="10">
        <v>209626</v>
      </c>
      <c r="H1295">
        <v>0</v>
      </c>
      <c r="I1295" t="s">
        <v>417</v>
      </c>
      <c r="J1295" t="s">
        <v>77</v>
      </c>
      <c r="K1295" t="s">
        <v>15</v>
      </c>
    </row>
    <row r="1296" spans="1:11" hidden="1" x14ac:dyDescent="0.35">
      <c r="A1296" t="s">
        <v>133</v>
      </c>
      <c r="B1296" t="s">
        <v>134</v>
      </c>
      <c r="C1296">
        <v>27622</v>
      </c>
      <c r="D1296">
        <v>37395</v>
      </c>
      <c r="E1296" s="12">
        <v>45595</v>
      </c>
      <c r="F1296" s="12">
        <v>45838</v>
      </c>
      <c r="G1296" s="10">
        <v>265750</v>
      </c>
      <c r="H1296">
        <v>0</v>
      </c>
      <c r="I1296" t="s">
        <v>1119</v>
      </c>
      <c r="J1296" t="s">
        <v>77</v>
      </c>
      <c r="K1296" t="s">
        <v>15</v>
      </c>
    </row>
    <row r="1297" spans="1:11" hidden="1" x14ac:dyDescent="0.35">
      <c r="A1297" t="s">
        <v>791</v>
      </c>
      <c r="B1297" t="s">
        <v>56</v>
      </c>
      <c r="C1297">
        <v>28714</v>
      </c>
      <c r="D1297">
        <v>38758</v>
      </c>
      <c r="E1297" s="12">
        <v>45687</v>
      </c>
      <c r="F1297" s="12">
        <v>45838</v>
      </c>
      <c r="G1297" s="10">
        <v>22692</v>
      </c>
      <c r="H1297">
        <v>0</v>
      </c>
      <c r="I1297" t="s">
        <v>1156</v>
      </c>
      <c r="J1297" t="s">
        <v>44</v>
      </c>
      <c r="K1297" t="s">
        <v>15</v>
      </c>
    </row>
    <row r="1298" spans="1:11" hidden="1" x14ac:dyDescent="0.35">
      <c r="A1298" t="s">
        <v>770</v>
      </c>
      <c r="B1298" t="s">
        <v>771</v>
      </c>
      <c r="C1298">
        <v>28715</v>
      </c>
      <c r="D1298">
        <v>38759</v>
      </c>
      <c r="E1298" s="12">
        <v>45687</v>
      </c>
      <c r="F1298" s="12">
        <v>45838</v>
      </c>
      <c r="G1298" s="10">
        <v>217.6</v>
      </c>
      <c r="H1298">
        <v>0</v>
      </c>
      <c r="I1298" t="s">
        <v>772</v>
      </c>
      <c r="J1298" t="s">
        <v>44</v>
      </c>
      <c r="K1298" t="s">
        <v>15</v>
      </c>
    </row>
    <row r="1299" spans="1:11" hidden="1" x14ac:dyDescent="0.35">
      <c r="A1299" t="s">
        <v>770</v>
      </c>
      <c r="B1299" t="s">
        <v>771</v>
      </c>
      <c r="C1299">
        <v>28716</v>
      </c>
      <c r="D1299">
        <v>38760</v>
      </c>
      <c r="E1299" s="12">
        <v>45687</v>
      </c>
      <c r="F1299" s="12">
        <v>45838</v>
      </c>
      <c r="G1299" s="10">
        <v>4980.8</v>
      </c>
      <c r="H1299">
        <v>0</v>
      </c>
      <c r="I1299" t="s">
        <v>772</v>
      </c>
      <c r="J1299" t="s">
        <v>44</v>
      </c>
      <c r="K1299" t="s">
        <v>15</v>
      </c>
    </row>
    <row r="1300" spans="1:11" hidden="1" x14ac:dyDescent="0.35">
      <c r="A1300" t="s">
        <v>770</v>
      </c>
      <c r="B1300" t="s">
        <v>771</v>
      </c>
      <c r="C1300">
        <v>28717</v>
      </c>
      <c r="D1300">
        <v>38761</v>
      </c>
      <c r="E1300" s="12">
        <v>45687</v>
      </c>
      <c r="F1300" s="12">
        <v>45838</v>
      </c>
      <c r="G1300" s="10">
        <v>1276</v>
      </c>
      <c r="H1300">
        <v>0</v>
      </c>
      <c r="I1300" t="s">
        <v>772</v>
      </c>
      <c r="J1300" t="s">
        <v>44</v>
      </c>
      <c r="K1300" t="s">
        <v>15</v>
      </c>
    </row>
    <row r="1301" spans="1:11" hidden="1" x14ac:dyDescent="0.35">
      <c r="A1301" t="s">
        <v>68</v>
      </c>
      <c r="B1301" t="s">
        <v>69</v>
      </c>
      <c r="C1301">
        <v>27260</v>
      </c>
      <c r="D1301">
        <v>36967</v>
      </c>
      <c r="E1301" s="12">
        <v>45568</v>
      </c>
      <c r="F1301" s="12">
        <v>45838</v>
      </c>
      <c r="G1301" s="10">
        <v>493.9</v>
      </c>
      <c r="H1301">
        <v>0</v>
      </c>
      <c r="I1301" t="s">
        <v>916</v>
      </c>
      <c r="J1301" t="s">
        <v>14</v>
      </c>
      <c r="K1301" t="s">
        <v>15</v>
      </c>
    </row>
    <row r="1302" spans="1:11" hidden="1" x14ac:dyDescent="0.35">
      <c r="A1302" t="s">
        <v>133</v>
      </c>
      <c r="B1302" t="s">
        <v>134</v>
      </c>
      <c r="C1302">
        <v>27623</v>
      </c>
      <c r="D1302">
        <v>37396</v>
      </c>
      <c r="E1302" s="12">
        <v>45595</v>
      </c>
      <c r="F1302" s="12">
        <v>45838</v>
      </c>
      <c r="G1302" s="10">
        <v>120000</v>
      </c>
      <c r="H1302">
        <v>0</v>
      </c>
      <c r="I1302" t="s">
        <v>135</v>
      </c>
      <c r="J1302" t="s">
        <v>77</v>
      </c>
      <c r="K1302" t="s">
        <v>15</v>
      </c>
    </row>
    <row r="1303" spans="1:11" hidden="1" x14ac:dyDescent="0.35">
      <c r="A1303" t="s">
        <v>677</v>
      </c>
      <c r="B1303" t="s">
        <v>553</v>
      </c>
      <c r="C1303">
        <v>28689</v>
      </c>
      <c r="D1303">
        <v>38730</v>
      </c>
      <c r="E1303" s="12">
        <v>45686</v>
      </c>
      <c r="F1303" s="12">
        <v>45838</v>
      </c>
      <c r="G1303" s="10">
        <v>104400</v>
      </c>
      <c r="H1303">
        <v>0</v>
      </c>
      <c r="I1303" t="s">
        <v>894</v>
      </c>
      <c r="J1303" t="s">
        <v>58</v>
      </c>
      <c r="K1303" t="s">
        <v>15</v>
      </c>
    </row>
    <row r="1304" spans="1:11" hidden="1" x14ac:dyDescent="0.35">
      <c r="A1304" t="s">
        <v>55</v>
      </c>
      <c r="B1304" t="s">
        <v>56</v>
      </c>
      <c r="C1304">
        <v>28735</v>
      </c>
      <c r="D1304">
        <v>38784</v>
      </c>
      <c r="E1304" s="12">
        <v>45688</v>
      </c>
      <c r="F1304" s="12">
        <v>45838</v>
      </c>
      <c r="G1304" s="10">
        <v>173557.5</v>
      </c>
      <c r="H1304">
        <v>0</v>
      </c>
      <c r="I1304" t="s">
        <v>1314</v>
      </c>
      <c r="J1304" t="s">
        <v>58</v>
      </c>
      <c r="K1304" t="s">
        <v>15</v>
      </c>
    </row>
    <row r="1305" spans="1:11" hidden="1" x14ac:dyDescent="0.35">
      <c r="A1305" t="s">
        <v>725</v>
      </c>
      <c r="B1305" t="s">
        <v>726</v>
      </c>
      <c r="C1305">
        <v>29281</v>
      </c>
      <c r="D1305">
        <v>39482</v>
      </c>
      <c r="E1305" s="12">
        <v>45748</v>
      </c>
      <c r="F1305" s="12">
        <v>45838</v>
      </c>
      <c r="G1305" s="10">
        <v>2466.66</v>
      </c>
      <c r="H1305">
        <v>0</v>
      </c>
      <c r="I1305" t="s">
        <v>727</v>
      </c>
      <c r="J1305" t="s">
        <v>111</v>
      </c>
      <c r="K1305" t="s">
        <v>15</v>
      </c>
    </row>
    <row r="1306" spans="1:11" hidden="1" x14ac:dyDescent="0.35">
      <c r="A1306" t="s">
        <v>317</v>
      </c>
      <c r="B1306" t="s">
        <v>56</v>
      </c>
      <c r="C1306">
        <v>29077</v>
      </c>
      <c r="D1306">
        <v>39230</v>
      </c>
      <c r="E1306" s="12">
        <v>45716</v>
      </c>
      <c r="F1306" s="12">
        <v>45838</v>
      </c>
      <c r="G1306" s="10">
        <v>81280</v>
      </c>
      <c r="H1306">
        <v>0</v>
      </c>
      <c r="I1306" t="s">
        <v>1442</v>
      </c>
      <c r="J1306" t="s">
        <v>44</v>
      </c>
    </row>
    <row r="1307" spans="1:11" hidden="1" x14ac:dyDescent="0.35">
      <c r="A1307" t="s">
        <v>31</v>
      </c>
      <c r="B1307" t="s">
        <v>32</v>
      </c>
      <c r="C1307">
        <v>28896</v>
      </c>
      <c r="D1307">
        <v>39001</v>
      </c>
      <c r="E1307" s="12">
        <v>45702</v>
      </c>
      <c r="F1307" s="12">
        <v>45838</v>
      </c>
      <c r="G1307" s="10">
        <v>387.78</v>
      </c>
      <c r="H1307">
        <v>0</v>
      </c>
      <c r="I1307" t="s">
        <v>271</v>
      </c>
      <c r="J1307" t="s">
        <v>34</v>
      </c>
      <c r="K1307" t="s">
        <v>15</v>
      </c>
    </row>
    <row r="1308" spans="1:11" hidden="1" x14ac:dyDescent="0.35">
      <c r="A1308" t="s">
        <v>1722</v>
      </c>
      <c r="B1308" t="s">
        <v>1723</v>
      </c>
      <c r="C1308">
        <v>29294</v>
      </c>
      <c r="D1308">
        <v>39495</v>
      </c>
      <c r="E1308" s="12">
        <v>45748</v>
      </c>
      <c r="F1308" s="12">
        <v>45838</v>
      </c>
      <c r="G1308" s="10">
        <v>4605.25</v>
      </c>
      <c r="H1308">
        <v>0</v>
      </c>
      <c r="I1308" t="s">
        <v>1724</v>
      </c>
      <c r="J1308" t="s">
        <v>44</v>
      </c>
      <c r="K1308" t="s">
        <v>15</v>
      </c>
    </row>
    <row r="1309" spans="1:11" hidden="1" x14ac:dyDescent="0.35">
      <c r="A1309" t="s">
        <v>1707</v>
      </c>
      <c r="B1309" t="s">
        <v>1708</v>
      </c>
      <c r="C1309">
        <v>29271</v>
      </c>
      <c r="D1309">
        <v>39468</v>
      </c>
      <c r="E1309" s="12">
        <v>45747</v>
      </c>
      <c r="F1309" s="12">
        <v>45838</v>
      </c>
      <c r="G1309" s="10">
        <v>5140.22</v>
      </c>
      <c r="H1309">
        <v>0</v>
      </c>
      <c r="I1309" t="s">
        <v>1709</v>
      </c>
      <c r="J1309" t="s">
        <v>194</v>
      </c>
      <c r="K1309" t="s">
        <v>15</v>
      </c>
    </row>
    <row r="1310" spans="1:11" hidden="1" x14ac:dyDescent="0.35">
      <c r="A1310" t="s">
        <v>144</v>
      </c>
      <c r="B1310" t="s">
        <v>145</v>
      </c>
      <c r="C1310">
        <v>29191</v>
      </c>
      <c r="D1310">
        <v>39364</v>
      </c>
      <c r="E1310" s="12">
        <v>45733</v>
      </c>
      <c r="F1310" s="12">
        <v>45838</v>
      </c>
      <c r="G1310" s="10">
        <v>24571.4</v>
      </c>
      <c r="H1310">
        <v>0</v>
      </c>
      <c r="I1310" t="s">
        <v>1616</v>
      </c>
      <c r="J1310" t="s">
        <v>48</v>
      </c>
      <c r="K1310" t="s">
        <v>15</v>
      </c>
    </row>
    <row r="1311" spans="1:11" hidden="1" x14ac:dyDescent="0.35">
      <c r="A1311" t="s">
        <v>725</v>
      </c>
      <c r="B1311" t="s">
        <v>726</v>
      </c>
      <c r="C1311">
        <v>29280</v>
      </c>
      <c r="D1311">
        <v>39481</v>
      </c>
      <c r="E1311" s="12">
        <v>45748</v>
      </c>
      <c r="F1311" s="12">
        <v>45838</v>
      </c>
      <c r="G1311" s="10">
        <v>30218.3</v>
      </c>
      <c r="H1311">
        <v>0</v>
      </c>
      <c r="I1311" t="s">
        <v>727</v>
      </c>
      <c r="J1311" t="s">
        <v>111</v>
      </c>
      <c r="K1311" t="s">
        <v>15</v>
      </c>
    </row>
    <row r="1312" spans="1:11" hidden="1" x14ac:dyDescent="0.35">
      <c r="A1312" t="s">
        <v>74</v>
      </c>
      <c r="B1312" t="s">
        <v>75</v>
      </c>
      <c r="C1312">
        <v>27710</v>
      </c>
      <c r="D1312">
        <v>37509</v>
      </c>
      <c r="E1312" s="12">
        <v>45604</v>
      </c>
      <c r="F1312" s="12">
        <v>45838</v>
      </c>
      <c r="G1312" s="10">
        <v>150220</v>
      </c>
      <c r="H1312">
        <v>0</v>
      </c>
      <c r="I1312" t="s">
        <v>1349</v>
      </c>
      <c r="J1312" t="s">
        <v>77</v>
      </c>
      <c r="K1312" t="s">
        <v>15</v>
      </c>
    </row>
    <row r="1313" spans="1:11" hidden="1" x14ac:dyDescent="0.35">
      <c r="A1313" t="s">
        <v>31</v>
      </c>
      <c r="B1313" t="s">
        <v>32</v>
      </c>
      <c r="C1313">
        <v>28895</v>
      </c>
      <c r="D1313">
        <v>39000</v>
      </c>
      <c r="E1313" s="12">
        <v>45702</v>
      </c>
      <c r="F1313" s="12">
        <v>45838</v>
      </c>
      <c r="G1313" s="10">
        <v>1915</v>
      </c>
      <c r="H1313">
        <v>0</v>
      </c>
      <c r="I1313" t="s">
        <v>271</v>
      </c>
      <c r="J1313" t="s">
        <v>34</v>
      </c>
      <c r="K1313" t="s">
        <v>15</v>
      </c>
    </row>
    <row r="1314" spans="1:11" hidden="1" x14ac:dyDescent="0.35">
      <c r="A1314" t="s">
        <v>848</v>
      </c>
      <c r="B1314" t="s">
        <v>849</v>
      </c>
      <c r="C1314">
        <v>28281</v>
      </c>
      <c r="D1314">
        <v>38252</v>
      </c>
      <c r="E1314" s="12">
        <v>45659</v>
      </c>
      <c r="F1314" s="12">
        <v>45839</v>
      </c>
      <c r="G1314" s="10">
        <v>56713.78</v>
      </c>
      <c r="H1314">
        <v>0</v>
      </c>
      <c r="I1314" t="s">
        <v>1552</v>
      </c>
      <c r="J1314" t="s">
        <v>14</v>
      </c>
    </row>
    <row r="1315" spans="1:11" hidden="1" x14ac:dyDescent="0.35">
      <c r="A1315" t="s">
        <v>478</v>
      </c>
      <c r="B1315" t="s">
        <v>479</v>
      </c>
      <c r="C1315">
        <v>29303</v>
      </c>
      <c r="D1315">
        <v>39504</v>
      </c>
      <c r="E1315" s="12">
        <v>45749</v>
      </c>
      <c r="F1315" s="12">
        <v>45839</v>
      </c>
      <c r="G1315" s="10">
        <v>12298.5</v>
      </c>
      <c r="H1315">
        <v>0</v>
      </c>
      <c r="I1315" t="s">
        <v>480</v>
      </c>
      <c r="J1315" t="s">
        <v>152</v>
      </c>
      <c r="K1315" t="s">
        <v>15</v>
      </c>
    </row>
    <row r="1316" spans="1:11" hidden="1" x14ac:dyDescent="0.35">
      <c r="A1316" t="s">
        <v>478</v>
      </c>
      <c r="B1316" t="s">
        <v>479</v>
      </c>
      <c r="C1316">
        <v>29302</v>
      </c>
      <c r="D1316">
        <v>39503</v>
      </c>
      <c r="E1316" s="12">
        <v>45749</v>
      </c>
      <c r="F1316" s="12">
        <v>45839</v>
      </c>
      <c r="G1316" s="10">
        <v>36475.1</v>
      </c>
      <c r="H1316">
        <v>0</v>
      </c>
      <c r="I1316" t="s">
        <v>480</v>
      </c>
      <c r="J1316" t="s">
        <v>152</v>
      </c>
      <c r="K1316" t="s">
        <v>15</v>
      </c>
    </row>
    <row r="1317" spans="1:11" hidden="1" x14ac:dyDescent="0.35">
      <c r="A1317" t="s">
        <v>848</v>
      </c>
      <c r="B1317" t="s">
        <v>849</v>
      </c>
      <c r="C1317">
        <v>28010</v>
      </c>
      <c r="D1317">
        <v>37912</v>
      </c>
      <c r="E1317" s="12">
        <v>45631</v>
      </c>
      <c r="F1317" s="12">
        <v>45841</v>
      </c>
      <c r="G1317" s="10">
        <v>1736.8</v>
      </c>
      <c r="H1317">
        <v>0</v>
      </c>
      <c r="I1317" t="s">
        <v>850</v>
      </c>
      <c r="J1317" t="s">
        <v>14</v>
      </c>
    </row>
    <row r="1318" spans="1:11" hidden="1" x14ac:dyDescent="0.35">
      <c r="A1318" t="s">
        <v>594</v>
      </c>
      <c r="B1318" t="s">
        <v>595</v>
      </c>
      <c r="C1318">
        <v>28738</v>
      </c>
      <c r="D1318">
        <v>38794</v>
      </c>
      <c r="E1318" s="12">
        <v>45691</v>
      </c>
      <c r="F1318" s="12">
        <v>45841</v>
      </c>
      <c r="G1318" s="10">
        <v>17424.98</v>
      </c>
      <c r="H1318">
        <v>0</v>
      </c>
      <c r="I1318" t="s">
        <v>596</v>
      </c>
      <c r="J1318" t="s">
        <v>58</v>
      </c>
      <c r="K1318" t="s">
        <v>15</v>
      </c>
    </row>
    <row r="1319" spans="1:11" hidden="1" x14ac:dyDescent="0.35">
      <c r="A1319" t="s">
        <v>55</v>
      </c>
      <c r="B1319" t="s">
        <v>56</v>
      </c>
      <c r="C1319">
        <v>29086</v>
      </c>
      <c r="D1319">
        <v>39244</v>
      </c>
      <c r="E1319" s="12">
        <v>45721</v>
      </c>
      <c r="F1319" s="12">
        <v>45841</v>
      </c>
      <c r="G1319" s="10">
        <v>35400</v>
      </c>
      <c r="H1319">
        <v>0</v>
      </c>
      <c r="I1319" t="s">
        <v>208</v>
      </c>
      <c r="J1319" t="s">
        <v>58</v>
      </c>
      <c r="K1319" t="s">
        <v>15</v>
      </c>
    </row>
    <row r="1320" spans="1:11" hidden="1" x14ac:dyDescent="0.35">
      <c r="A1320" t="s">
        <v>203</v>
      </c>
      <c r="B1320" t="s">
        <v>56</v>
      </c>
      <c r="C1320">
        <v>28743</v>
      </c>
      <c r="D1320">
        <v>38800</v>
      </c>
      <c r="E1320" s="12">
        <v>45691</v>
      </c>
      <c r="F1320" s="12">
        <v>45841</v>
      </c>
      <c r="G1320" s="10">
        <v>34650</v>
      </c>
      <c r="H1320">
        <v>0</v>
      </c>
      <c r="I1320" t="s">
        <v>893</v>
      </c>
      <c r="J1320" t="s">
        <v>58</v>
      </c>
      <c r="K1320" t="s">
        <v>15</v>
      </c>
    </row>
    <row r="1321" spans="1:11" hidden="1" x14ac:dyDescent="0.35">
      <c r="A1321" t="s">
        <v>55</v>
      </c>
      <c r="B1321" t="s">
        <v>56</v>
      </c>
      <c r="C1321">
        <v>29085</v>
      </c>
      <c r="D1321">
        <v>39243</v>
      </c>
      <c r="E1321" s="12">
        <v>45721</v>
      </c>
      <c r="F1321" s="12">
        <v>45841</v>
      </c>
      <c r="G1321" s="10">
        <v>82600</v>
      </c>
      <c r="H1321">
        <v>0</v>
      </c>
      <c r="I1321" t="s">
        <v>208</v>
      </c>
      <c r="J1321" t="s">
        <v>58</v>
      </c>
      <c r="K1321" t="s">
        <v>15</v>
      </c>
    </row>
    <row r="1322" spans="1:11" hidden="1" x14ac:dyDescent="0.35">
      <c r="A1322" t="s">
        <v>203</v>
      </c>
      <c r="B1322" t="s">
        <v>56</v>
      </c>
      <c r="C1322">
        <v>28744</v>
      </c>
      <c r="D1322">
        <v>38801</v>
      </c>
      <c r="E1322" s="12">
        <v>45691</v>
      </c>
      <c r="F1322" s="12">
        <v>45841</v>
      </c>
      <c r="G1322" s="10">
        <v>34800</v>
      </c>
      <c r="H1322">
        <v>0</v>
      </c>
      <c r="I1322" t="s">
        <v>907</v>
      </c>
      <c r="J1322" t="s">
        <v>58</v>
      </c>
      <c r="K1322" t="s">
        <v>15</v>
      </c>
    </row>
    <row r="1323" spans="1:11" hidden="1" x14ac:dyDescent="0.35">
      <c r="A1323" t="s">
        <v>203</v>
      </c>
      <c r="B1323" t="s">
        <v>56</v>
      </c>
      <c r="C1323">
        <v>28746</v>
      </c>
      <c r="D1323">
        <v>38803</v>
      </c>
      <c r="E1323" s="12">
        <v>45691</v>
      </c>
      <c r="F1323" s="12">
        <v>45841</v>
      </c>
      <c r="G1323" s="10">
        <v>15007.5</v>
      </c>
      <c r="H1323">
        <v>0</v>
      </c>
      <c r="I1323" t="s">
        <v>907</v>
      </c>
      <c r="J1323" t="s">
        <v>58</v>
      </c>
      <c r="K1323" t="s">
        <v>15</v>
      </c>
    </row>
    <row r="1324" spans="1:11" hidden="1" x14ac:dyDescent="0.35">
      <c r="A1324" t="s">
        <v>848</v>
      </c>
      <c r="B1324" t="s">
        <v>849</v>
      </c>
      <c r="C1324">
        <v>28009</v>
      </c>
      <c r="D1324">
        <v>37911</v>
      </c>
      <c r="E1324" s="12">
        <v>45631</v>
      </c>
      <c r="F1324" s="12">
        <v>45841</v>
      </c>
      <c r="G1324" s="10">
        <v>75180.66</v>
      </c>
      <c r="H1324">
        <v>0</v>
      </c>
      <c r="I1324" t="s">
        <v>992</v>
      </c>
      <c r="J1324" t="s">
        <v>14</v>
      </c>
    </row>
    <row r="1325" spans="1:11" hidden="1" x14ac:dyDescent="0.35">
      <c r="A1325" t="s">
        <v>203</v>
      </c>
      <c r="B1325" t="s">
        <v>56</v>
      </c>
      <c r="C1325">
        <v>29087</v>
      </c>
      <c r="D1325">
        <v>39245</v>
      </c>
      <c r="E1325" s="12">
        <v>45721</v>
      </c>
      <c r="F1325" s="12">
        <v>45841</v>
      </c>
      <c r="G1325" s="10">
        <v>59000</v>
      </c>
      <c r="H1325">
        <v>0</v>
      </c>
      <c r="I1325" t="s">
        <v>907</v>
      </c>
      <c r="J1325" t="s">
        <v>58</v>
      </c>
      <c r="K1325" t="s">
        <v>15</v>
      </c>
    </row>
    <row r="1326" spans="1:11" hidden="1" x14ac:dyDescent="0.35">
      <c r="A1326" t="s">
        <v>594</v>
      </c>
      <c r="B1326" t="s">
        <v>595</v>
      </c>
      <c r="C1326">
        <v>28739</v>
      </c>
      <c r="D1326">
        <v>38795</v>
      </c>
      <c r="E1326" s="12">
        <v>45691</v>
      </c>
      <c r="F1326" s="12">
        <v>45841</v>
      </c>
      <c r="G1326" s="10">
        <v>20500</v>
      </c>
      <c r="H1326">
        <v>0</v>
      </c>
      <c r="I1326" t="s">
        <v>596</v>
      </c>
      <c r="J1326" t="s">
        <v>58</v>
      </c>
      <c r="K1326" t="s">
        <v>15</v>
      </c>
    </row>
    <row r="1327" spans="1:11" hidden="1" x14ac:dyDescent="0.35">
      <c r="A1327" t="s">
        <v>203</v>
      </c>
      <c r="B1327" t="s">
        <v>56</v>
      </c>
      <c r="C1327">
        <v>29088</v>
      </c>
      <c r="D1327">
        <v>39246</v>
      </c>
      <c r="E1327" s="12">
        <v>45721</v>
      </c>
      <c r="F1327" s="12">
        <v>45841</v>
      </c>
      <c r="G1327" s="10">
        <v>61560</v>
      </c>
      <c r="H1327">
        <v>0</v>
      </c>
      <c r="I1327" t="s">
        <v>907</v>
      </c>
      <c r="J1327" t="s">
        <v>58</v>
      </c>
      <c r="K1327" t="s">
        <v>15</v>
      </c>
    </row>
    <row r="1328" spans="1:11" hidden="1" x14ac:dyDescent="0.35">
      <c r="A1328" t="s">
        <v>203</v>
      </c>
      <c r="B1328" t="s">
        <v>56</v>
      </c>
      <c r="C1328">
        <v>28745</v>
      </c>
      <c r="D1328">
        <v>38802</v>
      </c>
      <c r="E1328" s="12">
        <v>45691</v>
      </c>
      <c r="F1328" s="12">
        <v>45841</v>
      </c>
      <c r="G1328" s="10">
        <v>73950</v>
      </c>
      <c r="H1328">
        <v>0</v>
      </c>
      <c r="I1328" t="s">
        <v>907</v>
      </c>
      <c r="J1328" t="s">
        <v>58</v>
      </c>
      <c r="K1328" t="s">
        <v>15</v>
      </c>
    </row>
    <row r="1329" spans="1:11" hidden="1" x14ac:dyDescent="0.35">
      <c r="A1329" t="s">
        <v>594</v>
      </c>
      <c r="B1329" t="s">
        <v>595</v>
      </c>
      <c r="C1329">
        <v>28740</v>
      </c>
      <c r="D1329">
        <v>38796</v>
      </c>
      <c r="E1329" s="12">
        <v>45691</v>
      </c>
      <c r="F1329" s="12">
        <v>45841</v>
      </c>
      <c r="G1329" s="10">
        <v>34830</v>
      </c>
      <c r="H1329">
        <v>0</v>
      </c>
      <c r="I1329" t="s">
        <v>596</v>
      </c>
      <c r="J1329" t="s">
        <v>58</v>
      </c>
      <c r="K1329" t="s">
        <v>15</v>
      </c>
    </row>
    <row r="1330" spans="1:11" hidden="1" x14ac:dyDescent="0.35">
      <c r="A1330" t="s">
        <v>205</v>
      </c>
      <c r="B1330" t="s">
        <v>56</v>
      </c>
      <c r="C1330">
        <v>29083</v>
      </c>
      <c r="D1330">
        <v>39241</v>
      </c>
      <c r="E1330" s="12">
        <v>45721</v>
      </c>
      <c r="F1330" s="12">
        <v>45841</v>
      </c>
      <c r="G1330" s="10">
        <v>118000</v>
      </c>
      <c r="H1330">
        <v>0</v>
      </c>
      <c r="I1330" t="s">
        <v>679</v>
      </c>
      <c r="J1330" t="s">
        <v>58</v>
      </c>
      <c r="K1330" t="s">
        <v>15</v>
      </c>
    </row>
    <row r="1331" spans="1:11" hidden="1" x14ac:dyDescent="0.35">
      <c r="A1331" t="s">
        <v>285</v>
      </c>
      <c r="B1331" t="s">
        <v>286</v>
      </c>
      <c r="C1331">
        <v>29090</v>
      </c>
      <c r="D1331">
        <v>39248</v>
      </c>
      <c r="E1331" s="12">
        <v>45721</v>
      </c>
      <c r="F1331" s="12">
        <v>45841</v>
      </c>
      <c r="G1331" s="10">
        <v>32832</v>
      </c>
      <c r="H1331">
        <v>0</v>
      </c>
      <c r="I1331" t="s">
        <v>287</v>
      </c>
      <c r="J1331" t="s">
        <v>58</v>
      </c>
      <c r="K1331" t="s">
        <v>15</v>
      </c>
    </row>
    <row r="1332" spans="1:11" hidden="1" x14ac:dyDescent="0.35">
      <c r="A1332" t="s">
        <v>144</v>
      </c>
      <c r="B1332" t="s">
        <v>145</v>
      </c>
      <c r="C1332">
        <v>29242</v>
      </c>
      <c r="D1332">
        <v>39425</v>
      </c>
      <c r="E1332" s="12">
        <v>45737</v>
      </c>
      <c r="F1332" s="12">
        <v>45842</v>
      </c>
      <c r="G1332" s="10">
        <v>11195.99</v>
      </c>
      <c r="H1332">
        <v>0</v>
      </c>
      <c r="I1332" t="s">
        <v>1616</v>
      </c>
      <c r="J1332" t="s">
        <v>48</v>
      </c>
      <c r="K1332" t="s">
        <v>15</v>
      </c>
    </row>
    <row r="1333" spans="1:11" hidden="1" x14ac:dyDescent="0.35">
      <c r="A1333" t="s">
        <v>174</v>
      </c>
      <c r="B1333" t="s">
        <v>175</v>
      </c>
      <c r="C1333">
        <v>29113</v>
      </c>
      <c r="D1333">
        <v>39276</v>
      </c>
      <c r="E1333" s="12">
        <v>45723</v>
      </c>
      <c r="F1333" s="12">
        <v>45843</v>
      </c>
      <c r="G1333" s="10">
        <v>455700</v>
      </c>
      <c r="H1333">
        <v>0</v>
      </c>
      <c r="I1333" t="s">
        <v>1653</v>
      </c>
      <c r="J1333" t="s">
        <v>58</v>
      </c>
      <c r="K1333" t="s">
        <v>15</v>
      </c>
    </row>
    <row r="1334" spans="1:11" hidden="1" x14ac:dyDescent="0.35">
      <c r="A1334" t="s">
        <v>55</v>
      </c>
      <c r="B1334" t="s">
        <v>56</v>
      </c>
      <c r="C1334">
        <v>29114</v>
      </c>
      <c r="D1334">
        <v>39277</v>
      </c>
      <c r="E1334" s="12">
        <v>45723</v>
      </c>
      <c r="F1334" s="12">
        <v>45843</v>
      </c>
      <c r="G1334" s="10">
        <v>455700</v>
      </c>
      <c r="H1334">
        <v>0</v>
      </c>
      <c r="I1334" t="s">
        <v>1488</v>
      </c>
      <c r="J1334" t="s">
        <v>58</v>
      </c>
      <c r="K1334" t="s">
        <v>15</v>
      </c>
    </row>
    <row r="1335" spans="1:11" hidden="1" x14ac:dyDescent="0.35">
      <c r="A1335" t="s">
        <v>362</v>
      </c>
      <c r="B1335" t="s">
        <v>363</v>
      </c>
      <c r="C1335">
        <v>28334</v>
      </c>
      <c r="D1335">
        <v>38317</v>
      </c>
      <c r="E1335" s="12">
        <v>45665</v>
      </c>
      <c r="F1335" s="12">
        <v>45845</v>
      </c>
      <c r="G1335" s="10">
        <v>121500</v>
      </c>
      <c r="H1335">
        <v>0</v>
      </c>
      <c r="I1335" t="s">
        <v>705</v>
      </c>
      <c r="J1335" t="s">
        <v>48</v>
      </c>
      <c r="K1335" t="s">
        <v>15</v>
      </c>
    </row>
    <row r="1336" spans="1:11" hidden="1" x14ac:dyDescent="0.35">
      <c r="A1336" t="s">
        <v>770</v>
      </c>
      <c r="B1336" t="s">
        <v>771</v>
      </c>
      <c r="C1336">
        <v>28785</v>
      </c>
      <c r="D1336">
        <v>38872</v>
      </c>
      <c r="E1336" s="12">
        <v>45693</v>
      </c>
      <c r="F1336" s="12">
        <v>45845</v>
      </c>
      <c r="G1336" s="10">
        <v>17231.98</v>
      </c>
      <c r="H1336">
        <v>0</v>
      </c>
      <c r="I1336" t="s">
        <v>772</v>
      </c>
      <c r="J1336" t="s">
        <v>44</v>
      </c>
      <c r="K1336" t="s">
        <v>15</v>
      </c>
    </row>
    <row r="1337" spans="1:11" hidden="1" x14ac:dyDescent="0.35">
      <c r="A1337" t="s">
        <v>31</v>
      </c>
      <c r="B1337" t="s">
        <v>32</v>
      </c>
      <c r="C1337">
        <v>28547</v>
      </c>
      <c r="D1337">
        <v>38565</v>
      </c>
      <c r="E1337" s="12">
        <v>45678</v>
      </c>
      <c r="F1337" s="12">
        <v>45845</v>
      </c>
      <c r="G1337" s="10">
        <v>13139.99</v>
      </c>
      <c r="H1337">
        <v>0</v>
      </c>
      <c r="I1337" t="s">
        <v>271</v>
      </c>
      <c r="J1337" t="s">
        <v>34</v>
      </c>
      <c r="K1337" t="s">
        <v>15</v>
      </c>
    </row>
    <row r="1338" spans="1:11" hidden="1" x14ac:dyDescent="0.35">
      <c r="A1338" t="s">
        <v>55</v>
      </c>
      <c r="B1338" t="s">
        <v>56</v>
      </c>
      <c r="C1338">
        <v>28782</v>
      </c>
      <c r="D1338">
        <v>38869</v>
      </c>
      <c r="E1338" s="12">
        <v>45693</v>
      </c>
      <c r="F1338" s="12">
        <v>45845</v>
      </c>
      <c r="G1338" s="10">
        <v>11780</v>
      </c>
      <c r="H1338">
        <v>0</v>
      </c>
      <c r="I1338" t="s">
        <v>208</v>
      </c>
      <c r="J1338" t="s">
        <v>58</v>
      </c>
      <c r="K1338" t="s">
        <v>15</v>
      </c>
    </row>
    <row r="1339" spans="1:11" hidden="1" x14ac:dyDescent="0.35">
      <c r="A1339" t="s">
        <v>31</v>
      </c>
      <c r="B1339" t="s">
        <v>32</v>
      </c>
      <c r="C1339">
        <v>29109</v>
      </c>
      <c r="D1339">
        <v>39270</v>
      </c>
      <c r="E1339" s="12">
        <v>45723</v>
      </c>
      <c r="F1339" s="12">
        <v>45845</v>
      </c>
      <c r="G1339" s="10">
        <v>5866.66</v>
      </c>
      <c r="H1339">
        <v>0</v>
      </c>
      <c r="I1339" t="s">
        <v>271</v>
      </c>
      <c r="J1339" t="s">
        <v>34</v>
      </c>
      <c r="K1339" t="s">
        <v>15</v>
      </c>
    </row>
    <row r="1340" spans="1:11" hidden="1" x14ac:dyDescent="0.35">
      <c r="A1340" t="s">
        <v>116</v>
      </c>
      <c r="B1340" t="s">
        <v>117</v>
      </c>
      <c r="C1340">
        <v>27708</v>
      </c>
      <c r="D1340">
        <v>37506</v>
      </c>
      <c r="E1340" s="12">
        <v>45604</v>
      </c>
      <c r="F1340" s="12">
        <v>45845</v>
      </c>
      <c r="G1340" s="10">
        <v>44000</v>
      </c>
      <c r="H1340">
        <v>0</v>
      </c>
      <c r="I1340" t="s">
        <v>1135</v>
      </c>
      <c r="J1340" t="s">
        <v>22</v>
      </c>
      <c r="K1340" t="s">
        <v>15</v>
      </c>
    </row>
    <row r="1341" spans="1:11" hidden="1" x14ac:dyDescent="0.35">
      <c r="A1341" t="s">
        <v>42</v>
      </c>
      <c r="B1341" t="s">
        <v>43</v>
      </c>
      <c r="C1341">
        <v>28780</v>
      </c>
      <c r="D1341">
        <v>38866</v>
      </c>
      <c r="E1341" s="12">
        <v>45693</v>
      </c>
      <c r="F1341" s="12">
        <v>45845</v>
      </c>
      <c r="G1341" s="10">
        <v>22312.5</v>
      </c>
      <c r="H1341">
        <v>0</v>
      </c>
      <c r="I1341" t="s">
        <v>1254</v>
      </c>
      <c r="J1341" t="s">
        <v>44</v>
      </c>
      <c r="K1341" t="s">
        <v>15</v>
      </c>
    </row>
    <row r="1342" spans="1:11" hidden="1" x14ac:dyDescent="0.35">
      <c r="A1342" t="s">
        <v>55</v>
      </c>
      <c r="B1342" t="s">
        <v>56</v>
      </c>
      <c r="C1342">
        <v>28783</v>
      </c>
      <c r="D1342">
        <v>38870</v>
      </c>
      <c r="E1342" s="12">
        <v>45693</v>
      </c>
      <c r="F1342" s="12">
        <v>45845</v>
      </c>
      <c r="G1342" s="10">
        <v>11780</v>
      </c>
      <c r="H1342">
        <v>0</v>
      </c>
      <c r="I1342" t="s">
        <v>208</v>
      </c>
      <c r="J1342" t="s">
        <v>58</v>
      </c>
      <c r="K1342" t="s">
        <v>15</v>
      </c>
    </row>
    <row r="1343" spans="1:11" hidden="1" x14ac:dyDescent="0.35">
      <c r="A1343" t="s">
        <v>31</v>
      </c>
      <c r="B1343" t="s">
        <v>32</v>
      </c>
      <c r="C1343">
        <v>29111</v>
      </c>
      <c r="D1343">
        <v>39272</v>
      </c>
      <c r="E1343" s="12">
        <v>45723</v>
      </c>
      <c r="F1343" s="12">
        <v>45845</v>
      </c>
      <c r="G1343" s="10">
        <v>2436.66</v>
      </c>
      <c r="H1343">
        <v>0</v>
      </c>
      <c r="I1343" t="s">
        <v>271</v>
      </c>
      <c r="J1343" t="s">
        <v>34</v>
      </c>
      <c r="K1343" t="s">
        <v>15</v>
      </c>
    </row>
    <row r="1344" spans="1:11" hidden="1" x14ac:dyDescent="0.35">
      <c r="A1344" t="s">
        <v>31</v>
      </c>
      <c r="B1344" t="s">
        <v>32</v>
      </c>
      <c r="C1344">
        <v>29245</v>
      </c>
      <c r="D1344">
        <v>39430</v>
      </c>
      <c r="E1344" s="12">
        <v>45740</v>
      </c>
      <c r="F1344" s="12">
        <v>45845</v>
      </c>
      <c r="G1344" s="10">
        <v>1931.22</v>
      </c>
      <c r="H1344">
        <v>0</v>
      </c>
      <c r="I1344" t="s">
        <v>271</v>
      </c>
      <c r="J1344" t="s">
        <v>34</v>
      </c>
      <c r="K1344" t="s">
        <v>15</v>
      </c>
    </row>
    <row r="1345" spans="1:11" hidden="1" x14ac:dyDescent="0.35">
      <c r="A1345" t="s">
        <v>31</v>
      </c>
      <c r="B1345" t="s">
        <v>32</v>
      </c>
      <c r="C1345">
        <v>28538</v>
      </c>
      <c r="D1345">
        <v>38555</v>
      </c>
      <c r="E1345" s="12">
        <v>45678</v>
      </c>
      <c r="F1345" s="12">
        <v>45845</v>
      </c>
      <c r="G1345" s="10">
        <v>1813.33</v>
      </c>
      <c r="H1345">
        <v>0</v>
      </c>
      <c r="I1345" t="s">
        <v>271</v>
      </c>
      <c r="J1345" t="s">
        <v>34</v>
      </c>
      <c r="K1345" t="s">
        <v>15</v>
      </c>
    </row>
    <row r="1346" spans="1:11" hidden="1" x14ac:dyDescent="0.35">
      <c r="A1346" t="s">
        <v>31</v>
      </c>
      <c r="B1346" t="s">
        <v>32</v>
      </c>
      <c r="C1346">
        <v>29108</v>
      </c>
      <c r="D1346">
        <v>39269</v>
      </c>
      <c r="E1346" s="12">
        <v>45723</v>
      </c>
      <c r="F1346" s="12">
        <v>45845</v>
      </c>
      <c r="G1346" s="10">
        <v>7822.21</v>
      </c>
      <c r="H1346">
        <v>0</v>
      </c>
      <c r="I1346" t="s">
        <v>271</v>
      </c>
      <c r="J1346" t="s">
        <v>34</v>
      </c>
      <c r="K1346" t="s">
        <v>15</v>
      </c>
    </row>
    <row r="1347" spans="1:11" hidden="1" x14ac:dyDescent="0.35">
      <c r="A1347" t="s">
        <v>31</v>
      </c>
      <c r="B1347" t="s">
        <v>32</v>
      </c>
      <c r="C1347">
        <v>28539</v>
      </c>
      <c r="D1347">
        <v>38556</v>
      </c>
      <c r="E1347" s="12">
        <v>45678</v>
      </c>
      <c r="F1347" s="12">
        <v>45845</v>
      </c>
      <c r="G1347" s="10">
        <v>3413.33</v>
      </c>
      <c r="H1347">
        <v>0</v>
      </c>
      <c r="I1347" t="s">
        <v>271</v>
      </c>
      <c r="J1347" t="s">
        <v>34</v>
      </c>
      <c r="K1347" t="s">
        <v>15</v>
      </c>
    </row>
    <row r="1348" spans="1:11" hidden="1" x14ac:dyDescent="0.35">
      <c r="A1348" t="s">
        <v>31</v>
      </c>
      <c r="B1348" t="s">
        <v>32</v>
      </c>
      <c r="C1348">
        <v>29110</v>
      </c>
      <c r="D1348">
        <v>39271</v>
      </c>
      <c r="E1348" s="12">
        <v>45723</v>
      </c>
      <c r="F1348" s="12">
        <v>45845</v>
      </c>
      <c r="G1348" s="10">
        <v>753.33</v>
      </c>
      <c r="H1348">
        <v>0</v>
      </c>
      <c r="I1348" t="s">
        <v>271</v>
      </c>
      <c r="J1348" t="s">
        <v>34</v>
      </c>
      <c r="K1348" t="s">
        <v>15</v>
      </c>
    </row>
    <row r="1349" spans="1:11" hidden="1" x14ac:dyDescent="0.35">
      <c r="A1349" t="s">
        <v>31</v>
      </c>
      <c r="B1349" t="s">
        <v>32</v>
      </c>
      <c r="C1349">
        <v>29244</v>
      </c>
      <c r="D1349">
        <v>39429</v>
      </c>
      <c r="E1349" s="12">
        <v>45740</v>
      </c>
      <c r="F1349" s="12">
        <v>45845</v>
      </c>
      <c r="G1349" s="10">
        <v>20324.14</v>
      </c>
      <c r="H1349">
        <v>0</v>
      </c>
      <c r="I1349" t="s">
        <v>271</v>
      </c>
      <c r="J1349" t="s">
        <v>34</v>
      </c>
      <c r="K1349" t="s">
        <v>15</v>
      </c>
    </row>
    <row r="1350" spans="1:11" hidden="1" x14ac:dyDescent="0.35">
      <c r="A1350" t="s">
        <v>42</v>
      </c>
      <c r="B1350" t="s">
        <v>43</v>
      </c>
      <c r="C1350">
        <v>28779</v>
      </c>
      <c r="D1350">
        <v>38865</v>
      </c>
      <c r="E1350" s="12">
        <v>45693</v>
      </c>
      <c r="F1350" s="12">
        <v>45845</v>
      </c>
      <c r="G1350" s="10">
        <v>66937.5</v>
      </c>
      <c r="H1350">
        <v>0</v>
      </c>
      <c r="I1350" t="s">
        <v>1340</v>
      </c>
      <c r="J1350" t="s">
        <v>44</v>
      </c>
      <c r="K1350" t="s">
        <v>15</v>
      </c>
    </row>
    <row r="1351" spans="1:11" hidden="1" x14ac:dyDescent="0.35">
      <c r="A1351" t="s">
        <v>31</v>
      </c>
      <c r="B1351" t="s">
        <v>32</v>
      </c>
      <c r="C1351">
        <v>29246</v>
      </c>
      <c r="D1351">
        <v>39431</v>
      </c>
      <c r="E1351" s="12">
        <v>45740</v>
      </c>
      <c r="F1351" s="12">
        <v>45845</v>
      </c>
      <c r="G1351" s="10">
        <v>1931.22</v>
      </c>
      <c r="H1351">
        <v>0</v>
      </c>
      <c r="I1351" t="s">
        <v>271</v>
      </c>
      <c r="J1351" t="s">
        <v>34</v>
      </c>
      <c r="K1351" t="s">
        <v>15</v>
      </c>
    </row>
    <row r="1352" spans="1:11" hidden="1" x14ac:dyDescent="0.35">
      <c r="A1352" t="s">
        <v>770</v>
      </c>
      <c r="B1352" t="s">
        <v>771</v>
      </c>
      <c r="C1352">
        <v>29119</v>
      </c>
      <c r="D1352">
        <v>39283</v>
      </c>
      <c r="E1352" s="12">
        <v>45726</v>
      </c>
      <c r="F1352" s="12">
        <v>45846</v>
      </c>
      <c r="G1352" s="10">
        <v>1966.66</v>
      </c>
      <c r="H1352">
        <v>0</v>
      </c>
      <c r="I1352" t="s">
        <v>772</v>
      </c>
      <c r="J1352" t="s">
        <v>44</v>
      </c>
      <c r="K1352" t="s">
        <v>15</v>
      </c>
    </row>
    <row r="1353" spans="1:11" hidden="1" x14ac:dyDescent="0.35">
      <c r="A1353" t="s">
        <v>1138</v>
      </c>
      <c r="B1353" t="s">
        <v>1139</v>
      </c>
      <c r="C1353">
        <v>29126</v>
      </c>
      <c r="D1353">
        <v>39290</v>
      </c>
      <c r="E1353" s="12">
        <v>45726</v>
      </c>
      <c r="F1353" s="12">
        <v>45846</v>
      </c>
      <c r="G1353" s="10">
        <v>8563</v>
      </c>
      <c r="H1353">
        <v>0</v>
      </c>
      <c r="I1353" t="s">
        <v>1140</v>
      </c>
      <c r="J1353" t="s">
        <v>949</v>
      </c>
      <c r="K1353" t="s">
        <v>15</v>
      </c>
    </row>
    <row r="1354" spans="1:11" hidden="1" x14ac:dyDescent="0.35">
      <c r="A1354" t="s">
        <v>770</v>
      </c>
      <c r="B1354" t="s">
        <v>771</v>
      </c>
      <c r="C1354">
        <v>29120</v>
      </c>
      <c r="D1354">
        <v>39284</v>
      </c>
      <c r="E1354" s="12">
        <v>45726</v>
      </c>
      <c r="F1354" s="12">
        <v>45846</v>
      </c>
      <c r="G1354" s="10">
        <v>438.73</v>
      </c>
      <c r="H1354">
        <v>0</v>
      </c>
      <c r="I1354" t="s">
        <v>772</v>
      </c>
      <c r="J1354" t="s">
        <v>44</v>
      </c>
      <c r="K1354" t="s">
        <v>15</v>
      </c>
    </row>
    <row r="1355" spans="1:11" hidden="1" x14ac:dyDescent="0.35">
      <c r="A1355" t="s">
        <v>288</v>
      </c>
      <c r="B1355" t="s">
        <v>289</v>
      </c>
      <c r="C1355">
        <v>28338</v>
      </c>
      <c r="D1355">
        <v>38321</v>
      </c>
      <c r="E1355" s="12">
        <v>45666</v>
      </c>
      <c r="F1355" s="12">
        <v>45846</v>
      </c>
      <c r="G1355" s="10">
        <v>38815.599999999999</v>
      </c>
      <c r="H1355">
        <v>0</v>
      </c>
      <c r="I1355" t="s">
        <v>365</v>
      </c>
      <c r="J1355" t="s">
        <v>34</v>
      </c>
      <c r="K1355" t="s">
        <v>15</v>
      </c>
    </row>
    <row r="1356" spans="1:11" hidden="1" x14ac:dyDescent="0.35">
      <c r="A1356" t="s">
        <v>31</v>
      </c>
      <c r="B1356" t="s">
        <v>32</v>
      </c>
      <c r="C1356">
        <v>29260</v>
      </c>
      <c r="D1356">
        <v>39448</v>
      </c>
      <c r="E1356" s="12">
        <v>45741</v>
      </c>
      <c r="F1356" s="12">
        <v>45846</v>
      </c>
      <c r="G1356" s="10">
        <v>97.4</v>
      </c>
      <c r="H1356">
        <v>0</v>
      </c>
      <c r="I1356" t="s">
        <v>271</v>
      </c>
      <c r="J1356" t="s">
        <v>34</v>
      </c>
      <c r="K1356" t="s">
        <v>15</v>
      </c>
    </row>
    <row r="1357" spans="1:11" hidden="1" x14ac:dyDescent="0.35">
      <c r="A1357" t="s">
        <v>31</v>
      </c>
      <c r="B1357" t="s">
        <v>32</v>
      </c>
      <c r="C1357">
        <v>29258</v>
      </c>
      <c r="D1357">
        <v>39446</v>
      </c>
      <c r="E1357" s="12">
        <v>45741</v>
      </c>
      <c r="F1357" s="12">
        <v>45846</v>
      </c>
      <c r="G1357" s="10">
        <v>353.33</v>
      </c>
      <c r="H1357">
        <v>0</v>
      </c>
      <c r="I1357" t="s">
        <v>271</v>
      </c>
      <c r="J1357" t="s">
        <v>34</v>
      </c>
      <c r="K1357" t="s">
        <v>15</v>
      </c>
    </row>
    <row r="1358" spans="1:11" hidden="1" x14ac:dyDescent="0.35">
      <c r="A1358" t="s">
        <v>31</v>
      </c>
      <c r="B1358" t="s">
        <v>32</v>
      </c>
      <c r="C1358">
        <v>29259</v>
      </c>
      <c r="D1358">
        <v>39447</v>
      </c>
      <c r="E1358" s="12">
        <v>45741</v>
      </c>
      <c r="F1358" s="12">
        <v>45846</v>
      </c>
      <c r="G1358" s="10">
        <v>1965.44</v>
      </c>
      <c r="H1358">
        <v>0</v>
      </c>
      <c r="I1358" t="s">
        <v>271</v>
      </c>
      <c r="J1358" t="s">
        <v>34</v>
      </c>
      <c r="K1358" t="s">
        <v>15</v>
      </c>
    </row>
    <row r="1359" spans="1:11" hidden="1" x14ac:dyDescent="0.35">
      <c r="A1359" t="s">
        <v>200</v>
      </c>
      <c r="B1359" t="s">
        <v>56</v>
      </c>
      <c r="C1359">
        <v>29117</v>
      </c>
      <c r="D1359">
        <v>39281</v>
      </c>
      <c r="E1359" s="12">
        <v>45726</v>
      </c>
      <c r="F1359" s="12">
        <v>45846</v>
      </c>
      <c r="G1359" s="10">
        <v>32052</v>
      </c>
      <c r="H1359">
        <v>0</v>
      </c>
      <c r="I1359" t="s">
        <v>513</v>
      </c>
      <c r="J1359" t="s">
        <v>44</v>
      </c>
      <c r="K1359" t="s">
        <v>15</v>
      </c>
    </row>
    <row r="1360" spans="1:11" hidden="1" x14ac:dyDescent="0.35">
      <c r="A1360" t="s">
        <v>554</v>
      </c>
      <c r="B1360" t="s">
        <v>246</v>
      </c>
      <c r="C1360">
        <v>29131</v>
      </c>
      <c r="D1360">
        <v>39294</v>
      </c>
      <c r="E1360" s="12">
        <v>45726</v>
      </c>
      <c r="F1360" s="12">
        <v>45846</v>
      </c>
      <c r="G1360" s="10">
        <v>80480</v>
      </c>
      <c r="H1360">
        <v>0</v>
      </c>
      <c r="I1360" t="s">
        <v>1554</v>
      </c>
      <c r="J1360" t="s">
        <v>34</v>
      </c>
      <c r="K1360" t="s">
        <v>15</v>
      </c>
    </row>
    <row r="1361" spans="1:11" hidden="1" x14ac:dyDescent="0.35">
      <c r="A1361" t="s">
        <v>203</v>
      </c>
      <c r="B1361" t="s">
        <v>56</v>
      </c>
      <c r="C1361">
        <v>29133</v>
      </c>
      <c r="D1361">
        <v>39296</v>
      </c>
      <c r="E1361" s="12">
        <v>45726</v>
      </c>
      <c r="F1361" s="12">
        <v>45846</v>
      </c>
      <c r="G1361" s="10">
        <v>455700</v>
      </c>
      <c r="H1361">
        <v>0</v>
      </c>
      <c r="I1361" t="s">
        <v>1566</v>
      </c>
      <c r="J1361" t="s">
        <v>58</v>
      </c>
      <c r="K1361" t="s">
        <v>15</v>
      </c>
    </row>
    <row r="1362" spans="1:11" hidden="1" x14ac:dyDescent="0.35">
      <c r="A1362" t="s">
        <v>245</v>
      </c>
      <c r="B1362" t="s">
        <v>246</v>
      </c>
      <c r="C1362">
        <v>29130</v>
      </c>
      <c r="D1362">
        <v>39293</v>
      </c>
      <c r="E1362" s="12">
        <v>45726</v>
      </c>
      <c r="F1362" s="12">
        <v>45846</v>
      </c>
      <c r="G1362" s="10">
        <v>82780</v>
      </c>
      <c r="H1362">
        <v>0</v>
      </c>
      <c r="I1362" t="s">
        <v>1622</v>
      </c>
      <c r="J1362" t="s">
        <v>34</v>
      </c>
      <c r="K1362" t="s">
        <v>15</v>
      </c>
    </row>
    <row r="1363" spans="1:11" hidden="1" x14ac:dyDescent="0.35">
      <c r="A1363" t="s">
        <v>1663</v>
      </c>
      <c r="B1363" t="s">
        <v>219</v>
      </c>
      <c r="C1363">
        <v>29132</v>
      </c>
      <c r="D1363">
        <v>39295</v>
      </c>
      <c r="E1363" s="12">
        <v>45726</v>
      </c>
      <c r="F1363" s="12">
        <v>45846</v>
      </c>
      <c r="G1363" s="10">
        <v>54880</v>
      </c>
      <c r="H1363">
        <v>0</v>
      </c>
      <c r="I1363" t="s">
        <v>1664</v>
      </c>
      <c r="J1363" t="s">
        <v>152</v>
      </c>
      <c r="K1363" t="s">
        <v>15</v>
      </c>
    </row>
    <row r="1364" spans="1:11" hidden="1" x14ac:dyDescent="0.35">
      <c r="A1364" t="s">
        <v>770</v>
      </c>
      <c r="B1364" t="s">
        <v>771</v>
      </c>
      <c r="C1364">
        <v>29123</v>
      </c>
      <c r="D1364">
        <v>39287</v>
      </c>
      <c r="E1364" s="12">
        <v>45726</v>
      </c>
      <c r="F1364" s="12">
        <v>45846</v>
      </c>
      <c r="G1364" s="10">
        <v>18127.45</v>
      </c>
      <c r="H1364">
        <v>0</v>
      </c>
      <c r="I1364" t="s">
        <v>772</v>
      </c>
      <c r="J1364" t="s">
        <v>44</v>
      </c>
      <c r="K1364" t="s">
        <v>15</v>
      </c>
    </row>
    <row r="1365" spans="1:11" hidden="1" x14ac:dyDescent="0.35">
      <c r="A1365" t="s">
        <v>31</v>
      </c>
      <c r="B1365" t="s">
        <v>32</v>
      </c>
      <c r="C1365">
        <v>29261</v>
      </c>
      <c r="D1365">
        <v>39449</v>
      </c>
      <c r="E1365" s="12">
        <v>45741</v>
      </c>
      <c r="F1365" s="12">
        <v>45846</v>
      </c>
      <c r="G1365" s="10">
        <v>2271.66</v>
      </c>
      <c r="H1365">
        <v>0</v>
      </c>
      <c r="I1365" t="s">
        <v>271</v>
      </c>
      <c r="J1365" t="s">
        <v>34</v>
      </c>
      <c r="K1365" t="s">
        <v>15</v>
      </c>
    </row>
    <row r="1366" spans="1:11" hidden="1" x14ac:dyDescent="0.35">
      <c r="A1366" t="s">
        <v>285</v>
      </c>
      <c r="B1366" t="s">
        <v>286</v>
      </c>
      <c r="C1366">
        <v>28366</v>
      </c>
      <c r="D1366">
        <v>38357</v>
      </c>
      <c r="E1366" s="12">
        <v>45667</v>
      </c>
      <c r="F1366" s="12">
        <v>45847</v>
      </c>
      <c r="G1366" s="10">
        <v>47360</v>
      </c>
      <c r="H1366">
        <v>0</v>
      </c>
      <c r="I1366" t="s">
        <v>706</v>
      </c>
      <c r="J1366" t="s">
        <v>58</v>
      </c>
      <c r="K1366" t="s">
        <v>15</v>
      </c>
    </row>
    <row r="1367" spans="1:11" hidden="1" x14ac:dyDescent="0.35">
      <c r="A1367" t="s">
        <v>725</v>
      </c>
      <c r="B1367" t="s">
        <v>726</v>
      </c>
      <c r="C1367">
        <v>29138</v>
      </c>
      <c r="D1367">
        <v>39302</v>
      </c>
      <c r="E1367" s="12">
        <v>45727</v>
      </c>
      <c r="F1367" s="12">
        <v>45847</v>
      </c>
      <c r="G1367" s="10">
        <v>58561.61</v>
      </c>
      <c r="H1367">
        <v>0</v>
      </c>
      <c r="I1367" t="s">
        <v>727</v>
      </c>
      <c r="J1367" t="s">
        <v>111</v>
      </c>
      <c r="K1367" t="s">
        <v>15</v>
      </c>
    </row>
    <row r="1368" spans="1:11" hidden="1" x14ac:dyDescent="0.35">
      <c r="A1368" t="s">
        <v>937</v>
      </c>
      <c r="B1368" t="s">
        <v>286</v>
      </c>
      <c r="C1368">
        <v>29147</v>
      </c>
      <c r="D1368">
        <v>39312</v>
      </c>
      <c r="E1368" s="12">
        <v>45727</v>
      </c>
      <c r="F1368" s="12">
        <v>45847</v>
      </c>
      <c r="G1368" s="10">
        <v>54900</v>
      </c>
      <c r="H1368">
        <v>0</v>
      </c>
      <c r="I1368" t="s">
        <v>1403</v>
      </c>
      <c r="J1368" t="s">
        <v>58</v>
      </c>
      <c r="K1368" t="s">
        <v>15</v>
      </c>
    </row>
    <row r="1369" spans="1:11" hidden="1" x14ac:dyDescent="0.35">
      <c r="A1369" t="s">
        <v>174</v>
      </c>
      <c r="B1369" t="s">
        <v>175</v>
      </c>
      <c r="C1369">
        <v>29149</v>
      </c>
      <c r="D1369">
        <v>39314</v>
      </c>
      <c r="E1369" s="12">
        <v>45727</v>
      </c>
      <c r="F1369" s="12">
        <v>45847</v>
      </c>
      <c r="G1369" s="10">
        <v>47893.599999999999</v>
      </c>
      <c r="H1369">
        <v>0</v>
      </c>
      <c r="I1369" t="s">
        <v>1418</v>
      </c>
      <c r="J1369" t="s">
        <v>58</v>
      </c>
      <c r="K1369" t="s">
        <v>15</v>
      </c>
    </row>
    <row r="1370" spans="1:11" hidden="1" x14ac:dyDescent="0.35">
      <c r="A1370" t="s">
        <v>937</v>
      </c>
      <c r="B1370" t="s">
        <v>286</v>
      </c>
      <c r="C1370">
        <v>29148</v>
      </c>
      <c r="D1370">
        <v>39313</v>
      </c>
      <c r="E1370" s="12">
        <v>45727</v>
      </c>
      <c r="F1370" s="12">
        <v>45847</v>
      </c>
      <c r="G1370" s="10">
        <v>49248</v>
      </c>
      <c r="H1370">
        <v>0</v>
      </c>
      <c r="I1370" t="s">
        <v>1403</v>
      </c>
      <c r="J1370" t="s">
        <v>58</v>
      </c>
      <c r="K1370" t="s">
        <v>15</v>
      </c>
    </row>
    <row r="1371" spans="1:11" hidden="1" x14ac:dyDescent="0.35">
      <c r="A1371" t="s">
        <v>55</v>
      </c>
      <c r="B1371" t="s">
        <v>56</v>
      </c>
      <c r="C1371">
        <v>29150</v>
      </c>
      <c r="D1371">
        <v>39315</v>
      </c>
      <c r="E1371" s="12">
        <v>45727</v>
      </c>
      <c r="F1371" s="12">
        <v>45847</v>
      </c>
      <c r="G1371" s="10">
        <v>30960</v>
      </c>
      <c r="H1371">
        <v>0</v>
      </c>
      <c r="I1371" t="s">
        <v>208</v>
      </c>
      <c r="J1371" t="s">
        <v>58</v>
      </c>
      <c r="K1371" t="s">
        <v>15</v>
      </c>
    </row>
    <row r="1372" spans="1:11" hidden="1" x14ac:dyDescent="0.35">
      <c r="A1372" t="s">
        <v>68</v>
      </c>
      <c r="B1372" t="s">
        <v>69</v>
      </c>
      <c r="C1372">
        <v>28076</v>
      </c>
      <c r="D1372">
        <v>37998</v>
      </c>
      <c r="E1372" s="12">
        <v>45638</v>
      </c>
      <c r="F1372" s="12">
        <v>45848</v>
      </c>
      <c r="G1372" s="10">
        <v>3240.67</v>
      </c>
      <c r="H1372">
        <v>0</v>
      </c>
      <c r="I1372" t="s">
        <v>342</v>
      </c>
      <c r="J1372" t="s">
        <v>14</v>
      </c>
      <c r="K1372" t="s">
        <v>15</v>
      </c>
    </row>
    <row r="1373" spans="1:11" hidden="1" x14ac:dyDescent="0.35">
      <c r="A1373" t="s">
        <v>68</v>
      </c>
      <c r="B1373" t="s">
        <v>69</v>
      </c>
      <c r="C1373">
        <v>28073</v>
      </c>
      <c r="D1373">
        <v>37995</v>
      </c>
      <c r="E1373" s="12">
        <v>45638</v>
      </c>
      <c r="F1373" s="12">
        <v>45848</v>
      </c>
      <c r="G1373" s="10">
        <v>20579</v>
      </c>
      <c r="H1373">
        <v>0</v>
      </c>
      <c r="I1373" t="s">
        <v>516</v>
      </c>
      <c r="J1373" t="s">
        <v>14</v>
      </c>
      <c r="K1373" t="s">
        <v>15</v>
      </c>
    </row>
    <row r="1374" spans="1:11" hidden="1" x14ac:dyDescent="0.35">
      <c r="A1374" t="s">
        <v>725</v>
      </c>
      <c r="B1374" t="s">
        <v>726</v>
      </c>
      <c r="C1374">
        <v>28832</v>
      </c>
      <c r="D1374">
        <v>38918</v>
      </c>
      <c r="E1374" s="12">
        <v>45698</v>
      </c>
      <c r="F1374" s="12">
        <v>45848</v>
      </c>
      <c r="G1374" s="10">
        <v>3936</v>
      </c>
      <c r="H1374">
        <v>0</v>
      </c>
      <c r="I1374" t="s">
        <v>727</v>
      </c>
      <c r="J1374" t="s">
        <v>111</v>
      </c>
      <c r="K1374" t="s">
        <v>15</v>
      </c>
    </row>
    <row r="1375" spans="1:11" hidden="1" x14ac:dyDescent="0.35">
      <c r="A1375" t="s">
        <v>31</v>
      </c>
      <c r="B1375" t="s">
        <v>32</v>
      </c>
      <c r="C1375">
        <v>29045</v>
      </c>
      <c r="D1375">
        <v>39176</v>
      </c>
      <c r="E1375" s="12">
        <v>45713</v>
      </c>
      <c r="F1375" s="12">
        <v>45848</v>
      </c>
      <c r="G1375" s="10">
        <v>13436.25</v>
      </c>
      <c r="H1375">
        <v>0</v>
      </c>
      <c r="I1375" t="s">
        <v>271</v>
      </c>
      <c r="J1375" t="s">
        <v>34</v>
      </c>
      <c r="K1375" t="s">
        <v>15</v>
      </c>
    </row>
    <row r="1376" spans="1:11" hidden="1" x14ac:dyDescent="0.35">
      <c r="A1376" t="s">
        <v>31</v>
      </c>
      <c r="B1376" t="s">
        <v>32</v>
      </c>
      <c r="C1376">
        <v>29154</v>
      </c>
      <c r="D1376">
        <v>39322</v>
      </c>
      <c r="E1376" s="12">
        <v>45728</v>
      </c>
      <c r="F1376" s="12">
        <v>45848</v>
      </c>
      <c r="G1376" s="10">
        <v>14305.54</v>
      </c>
      <c r="H1376">
        <v>0</v>
      </c>
      <c r="I1376" t="s">
        <v>1459</v>
      </c>
      <c r="J1376" t="s">
        <v>34</v>
      </c>
      <c r="K1376" t="s">
        <v>15</v>
      </c>
    </row>
    <row r="1377" spans="1:11" hidden="1" x14ac:dyDescent="0.35">
      <c r="A1377" t="s">
        <v>68</v>
      </c>
      <c r="B1377" t="s">
        <v>69</v>
      </c>
      <c r="C1377">
        <v>28074</v>
      </c>
      <c r="D1377">
        <v>37996</v>
      </c>
      <c r="E1377" s="12">
        <v>45638</v>
      </c>
      <c r="F1377" s="12">
        <v>45848</v>
      </c>
      <c r="G1377" s="10">
        <v>2800</v>
      </c>
      <c r="H1377">
        <v>0</v>
      </c>
      <c r="I1377" t="s">
        <v>1511</v>
      </c>
      <c r="J1377" t="s">
        <v>14</v>
      </c>
      <c r="K1377" t="s">
        <v>15</v>
      </c>
    </row>
    <row r="1378" spans="1:11" hidden="1" x14ac:dyDescent="0.35">
      <c r="A1378" t="s">
        <v>31</v>
      </c>
      <c r="B1378" t="s">
        <v>32</v>
      </c>
      <c r="C1378">
        <v>29153</v>
      </c>
      <c r="D1378">
        <v>39321</v>
      </c>
      <c r="E1378" s="12">
        <v>45728</v>
      </c>
      <c r="F1378" s="12">
        <v>45848</v>
      </c>
      <c r="G1378" s="10">
        <v>6866.66</v>
      </c>
      <c r="H1378">
        <v>0</v>
      </c>
      <c r="I1378" t="s">
        <v>1518</v>
      </c>
      <c r="J1378" t="s">
        <v>34</v>
      </c>
      <c r="K1378" t="s">
        <v>15</v>
      </c>
    </row>
    <row r="1379" spans="1:11" hidden="1" x14ac:dyDescent="0.35">
      <c r="A1379" t="s">
        <v>31</v>
      </c>
      <c r="B1379" t="s">
        <v>32</v>
      </c>
      <c r="C1379">
        <v>29044</v>
      </c>
      <c r="D1379">
        <v>39175</v>
      </c>
      <c r="E1379" s="12">
        <v>45713</v>
      </c>
      <c r="F1379" s="12">
        <v>45848</v>
      </c>
      <c r="G1379" s="10">
        <v>7734.7</v>
      </c>
      <c r="H1379">
        <v>0</v>
      </c>
      <c r="I1379" t="s">
        <v>271</v>
      </c>
      <c r="J1379" t="s">
        <v>34</v>
      </c>
      <c r="K1379" t="s">
        <v>15</v>
      </c>
    </row>
    <row r="1380" spans="1:11" hidden="1" x14ac:dyDescent="0.35">
      <c r="A1380" t="s">
        <v>725</v>
      </c>
      <c r="B1380" t="s">
        <v>726</v>
      </c>
      <c r="C1380">
        <v>28841</v>
      </c>
      <c r="D1380">
        <v>38931</v>
      </c>
      <c r="E1380" s="12">
        <v>45699</v>
      </c>
      <c r="F1380" s="12">
        <v>45849</v>
      </c>
      <c r="G1380" s="10">
        <v>18333.36</v>
      </c>
      <c r="H1380">
        <v>0</v>
      </c>
      <c r="I1380" t="s">
        <v>906</v>
      </c>
      <c r="J1380" t="s">
        <v>111</v>
      </c>
      <c r="K1380" t="s">
        <v>15</v>
      </c>
    </row>
    <row r="1381" spans="1:11" hidden="1" x14ac:dyDescent="0.35">
      <c r="A1381" t="s">
        <v>68</v>
      </c>
      <c r="B1381" t="s">
        <v>69</v>
      </c>
      <c r="C1381">
        <v>27384</v>
      </c>
      <c r="D1381">
        <v>37110</v>
      </c>
      <c r="E1381" s="12">
        <v>45579</v>
      </c>
      <c r="F1381" s="12">
        <v>45849</v>
      </c>
      <c r="G1381" s="10">
        <v>35514.9</v>
      </c>
      <c r="H1381">
        <v>0</v>
      </c>
      <c r="I1381" t="s">
        <v>315</v>
      </c>
      <c r="J1381" t="s">
        <v>14</v>
      </c>
      <c r="K1381" t="s">
        <v>15</v>
      </c>
    </row>
    <row r="1382" spans="1:11" hidden="1" x14ac:dyDescent="0.35">
      <c r="A1382" t="s">
        <v>42</v>
      </c>
      <c r="B1382" t="s">
        <v>43</v>
      </c>
      <c r="C1382">
        <v>28086</v>
      </c>
      <c r="D1382">
        <v>38009</v>
      </c>
      <c r="E1382" s="12">
        <v>45639</v>
      </c>
      <c r="F1382" s="12">
        <v>45849</v>
      </c>
      <c r="G1382" s="10">
        <v>2199.48</v>
      </c>
      <c r="H1382">
        <v>0</v>
      </c>
      <c r="I1382" t="s">
        <v>494</v>
      </c>
      <c r="J1382" t="s">
        <v>44</v>
      </c>
      <c r="K1382" t="s">
        <v>15</v>
      </c>
    </row>
    <row r="1383" spans="1:11" hidden="1" x14ac:dyDescent="0.35">
      <c r="A1383" t="s">
        <v>1163</v>
      </c>
      <c r="B1383" t="s">
        <v>1164</v>
      </c>
      <c r="C1383">
        <v>29164</v>
      </c>
      <c r="D1383">
        <v>39333</v>
      </c>
      <c r="E1383" s="12">
        <v>45729</v>
      </c>
      <c r="F1383" s="12">
        <v>45849</v>
      </c>
      <c r="G1383" s="10">
        <v>20322</v>
      </c>
      <c r="H1383">
        <v>0</v>
      </c>
      <c r="I1383" t="s">
        <v>1533</v>
      </c>
      <c r="J1383" t="s">
        <v>949</v>
      </c>
      <c r="K1383" t="s">
        <v>15</v>
      </c>
    </row>
    <row r="1384" spans="1:11" hidden="1" x14ac:dyDescent="0.35">
      <c r="A1384" t="s">
        <v>108</v>
      </c>
      <c r="B1384" t="s">
        <v>109</v>
      </c>
      <c r="C1384">
        <v>29162</v>
      </c>
      <c r="D1384">
        <v>39331</v>
      </c>
      <c r="E1384" s="12">
        <v>45729</v>
      </c>
      <c r="F1384" s="12">
        <v>45849</v>
      </c>
      <c r="G1384" s="10">
        <v>479764</v>
      </c>
      <c r="H1384">
        <v>0</v>
      </c>
      <c r="I1384" t="s">
        <v>110</v>
      </c>
      <c r="J1384" t="s">
        <v>111</v>
      </c>
      <c r="K1384" t="s">
        <v>15</v>
      </c>
    </row>
    <row r="1385" spans="1:11" hidden="1" x14ac:dyDescent="0.35">
      <c r="A1385" t="s">
        <v>108</v>
      </c>
      <c r="B1385" t="s">
        <v>109</v>
      </c>
      <c r="C1385">
        <v>29163</v>
      </c>
      <c r="D1385">
        <v>39332</v>
      </c>
      <c r="E1385" s="12">
        <v>45729</v>
      </c>
      <c r="F1385" s="12">
        <v>45849</v>
      </c>
      <c r="G1385" s="10">
        <v>67455</v>
      </c>
      <c r="H1385">
        <v>0</v>
      </c>
      <c r="I1385" t="s">
        <v>110</v>
      </c>
      <c r="J1385" t="s">
        <v>111</v>
      </c>
      <c r="K1385" t="s">
        <v>15</v>
      </c>
    </row>
    <row r="1386" spans="1:11" hidden="1" x14ac:dyDescent="0.35">
      <c r="A1386" t="s">
        <v>725</v>
      </c>
      <c r="B1386" t="s">
        <v>726</v>
      </c>
      <c r="C1386">
        <v>29155</v>
      </c>
      <c r="D1386">
        <v>39323</v>
      </c>
      <c r="E1386" s="12">
        <v>45729</v>
      </c>
      <c r="F1386" s="12">
        <v>45849</v>
      </c>
      <c r="G1386" s="10">
        <v>4000</v>
      </c>
      <c r="H1386">
        <v>0</v>
      </c>
      <c r="I1386" t="s">
        <v>727</v>
      </c>
      <c r="J1386" t="s">
        <v>111</v>
      </c>
      <c r="K1386" t="s">
        <v>15</v>
      </c>
    </row>
    <row r="1387" spans="1:11" hidden="1" x14ac:dyDescent="0.35">
      <c r="A1387" t="s">
        <v>946</v>
      </c>
      <c r="B1387" t="s">
        <v>947</v>
      </c>
      <c r="C1387">
        <v>28393</v>
      </c>
      <c r="D1387">
        <v>38390</v>
      </c>
      <c r="E1387" s="12">
        <v>45670</v>
      </c>
      <c r="F1387" s="12">
        <v>45850</v>
      </c>
      <c r="G1387" s="10">
        <v>52000</v>
      </c>
      <c r="H1387">
        <v>0</v>
      </c>
      <c r="I1387" t="s">
        <v>948</v>
      </c>
      <c r="J1387" t="s">
        <v>949</v>
      </c>
      <c r="K1387" t="s">
        <v>15</v>
      </c>
    </row>
    <row r="1388" spans="1:11" hidden="1" x14ac:dyDescent="0.35">
      <c r="A1388" t="s">
        <v>205</v>
      </c>
      <c r="B1388" t="s">
        <v>56</v>
      </c>
      <c r="C1388">
        <v>29168</v>
      </c>
      <c r="D1388">
        <v>39338</v>
      </c>
      <c r="E1388" s="12">
        <v>45730</v>
      </c>
      <c r="F1388" s="12">
        <v>45850</v>
      </c>
      <c r="G1388" s="10">
        <v>455700</v>
      </c>
      <c r="H1388">
        <v>0</v>
      </c>
      <c r="I1388" t="s">
        <v>1610</v>
      </c>
      <c r="J1388" t="s">
        <v>58</v>
      </c>
      <c r="K1388" t="s">
        <v>15</v>
      </c>
    </row>
    <row r="1389" spans="1:11" hidden="1" x14ac:dyDescent="0.35">
      <c r="A1389" t="s">
        <v>587</v>
      </c>
      <c r="B1389" t="s">
        <v>588</v>
      </c>
      <c r="C1389">
        <v>28427</v>
      </c>
      <c r="D1389">
        <v>38423</v>
      </c>
      <c r="E1389" s="12">
        <v>45671</v>
      </c>
      <c r="F1389" s="12">
        <v>45851</v>
      </c>
      <c r="G1389" s="10">
        <v>8205.16</v>
      </c>
      <c r="H1389">
        <v>0</v>
      </c>
      <c r="I1389" t="s">
        <v>589</v>
      </c>
      <c r="J1389" t="s">
        <v>44</v>
      </c>
      <c r="K1389" t="s">
        <v>15</v>
      </c>
    </row>
    <row r="1390" spans="1:11" hidden="1" x14ac:dyDescent="0.35">
      <c r="A1390" t="s">
        <v>946</v>
      </c>
      <c r="B1390" t="s">
        <v>947</v>
      </c>
      <c r="C1390">
        <v>28885</v>
      </c>
      <c r="D1390">
        <v>38987</v>
      </c>
      <c r="E1390" s="12">
        <v>45701</v>
      </c>
      <c r="F1390" s="12">
        <v>45851</v>
      </c>
      <c r="G1390" s="10">
        <v>110010</v>
      </c>
      <c r="H1390">
        <v>0</v>
      </c>
      <c r="I1390" t="s">
        <v>1417</v>
      </c>
      <c r="J1390" t="s">
        <v>949</v>
      </c>
      <c r="K1390" t="s">
        <v>15</v>
      </c>
    </row>
    <row r="1391" spans="1:11" hidden="1" x14ac:dyDescent="0.35">
      <c r="A1391" t="s">
        <v>174</v>
      </c>
      <c r="B1391" t="s">
        <v>175</v>
      </c>
      <c r="C1391">
        <v>28440</v>
      </c>
      <c r="D1391">
        <v>38437</v>
      </c>
      <c r="E1391" s="12">
        <v>45671</v>
      </c>
      <c r="F1391" s="12">
        <v>45852</v>
      </c>
      <c r="G1391" s="10">
        <v>135934.66</v>
      </c>
      <c r="H1391">
        <v>0</v>
      </c>
      <c r="I1391" t="s">
        <v>686</v>
      </c>
      <c r="J1391" t="s">
        <v>58</v>
      </c>
      <c r="K1391" t="s">
        <v>15</v>
      </c>
    </row>
    <row r="1392" spans="1:11" hidden="1" x14ac:dyDescent="0.35">
      <c r="A1392" t="s">
        <v>31</v>
      </c>
      <c r="B1392" t="s">
        <v>32</v>
      </c>
      <c r="C1392">
        <v>28894</v>
      </c>
      <c r="D1392">
        <v>38999</v>
      </c>
      <c r="E1392" s="12">
        <v>45702</v>
      </c>
      <c r="F1392" s="12">
        <v>45852</v>
      </c>
      <c r="G1392" s="10">
        <v>2520</v>
      </c>
      <c r="H1392">
        <v>0</v>
      </c>
      <c r="I1392" t="s">
        <v>271</v>
      </c>
      <c r="J1392" t="s">
        <v>34</v>
      </c>
      <c r="K1392" t="s">
        <v>15</v>
      </c>
    </row>
    <row r="1393" spans="1:11" hidden="1" x14ac:dyDescent="0.35">
      <c r="A1393" t="s">
        <v>309</v>
      </c>
      <c r="B1393" t="s">
        <v>310</v>
      </c>
      <c r="C1393">
        <v>28431</v>
      </c>
      <c r="D1393">
        <v>38427</v>
      </c>
      <c r="E1393" s="12">
        <v>45671</v>
      </c>
      <c r="F1393" s="12">
        <v>45852</v>
      </c>
      <c r="G1393" s="10">
        <v>21200</v>
      </c>
      <c r="H1393">
        <v>0</v>
      </c>
      <c r="I1393" t="s">
        <v>1450</v>
      </c>
      <c r="J1393" t="s">
        <v>312</v>
      </c>
      <c r="K1393" t="s">
        <v>15</v>
      </c>
    </row>
    <row r="1394" spans="1:11" hidden="1" x14ac:dyDescent="0.35">
      <c r="A1394" t="s">
        <v>49</v>
      </c>
      <c r="B1394" t="s">
        <v>50</v>
      </c>
      <c r="C1394">
        <v>28434</v>
      </c>
      <c r="D1394">
        <v>38431</v>
      </c>
      <c r="E1394" s="12">
        <v>45671</v>
      </c>
      <c r="F1394" s="12">
        <v>45852</v>
      </c>
      <c r="G1394" s="10">
        <v>8349.2999999999993</v>
      </c>
      <c r="H1394">
        <v>0</v>
      </c>
      <c r="I1394" t="s">
        <v>662</v>
      </c>
      <c r="J1394" t="s">
        <v>44</v>
      </c>
      <c r="K1394" t="s">
        <v>15</v>
      </c>
    </row>
    <row r="1395" spans="1:11" hidden="1" x14ac:dyDescent="0.35">
      <c r="A1395" t="s">
        <v>31</v>
      </c>
      <c r="B1395" t="s">
        <v>32</v>
      </c>
      <c r="C1395">
        <v>28678</v>
      </c>
      <c r="D1395">
        <v>38719</v>
      </c>
      <c r="E1395" s="12">
        <v>45685</v>
      </c>
      <c r="F1395" s="12">
        <v>45852</v>
      </c>
      <c r="G1395" s="10">
        <v>8138.84</v>
      </c>
      <c r="H1395">
        <v>0</v>
      </c>
      <c r="I1395" t="s">
        <v>271</v>
      </c>
      <c r="J1395" t="s">
        <v>34</v>
      </c>
      <c r="K1395" t="s">
        <v>15</v>
      </c>
    </row>
    <row r="1396" spans="1:11" hidden="1" x14ac:dyDescent="0.35">
      <c r="A1396" t="s">
        <v>31</v>
      </c>
      <c r="B1396" t="s">
        <v>32</v>
      </c>
      <c r="C1396">
        <v>28896</v>
      </c>
      <c r="D1396">
        <v>39001</v>
      </c>
      <c r="E1396" s="12">
        <v>45702</v>
      </c>
      <c r="F1396" s="12">
        <v>45852</v>
      </c>
      <c r="G1396" s="10">
        <v>387.78</v>
      </c>
      <c r="H1396">
        <v>0</v>
      </c>
      <c r="I1396" t="s">
        <v>271</v>
      </c>
      <c r="J1396" t="s">
        <v>34</v>
      </c>
      <c r="K1396" t="s">
        <v>15</v>
      </c>
    </row>
    <row r="1397" spans="1:11" hidden="1" x14ac:dyDescent="0.35">
      <c r="A1397" t="s">
        <v>288</v>
      </c>
      <c r="B1397" t="s">
        <v>289</v>
      </c>
      <c r="C1397">
        <v>29167</v>
      </c>
      <c r="D1397">
        <v>39337</v>
      </c>
      <c r="E1397" s="12">
        <v>45730</v>
      </c>
      <c r="F1397" s="12">
        <v>45852</v>
      </c>
      <c r="G1397" s="10">
        <v>65575.199999999997</v>
      </c>
      <c r="H1397">
        <v>0</v>
      </c>
      <c r="I1397" t="s">
        <v>996</v>
      </c>
      <c r="J1397" t="s">
        <v>34</v>
      </c>
      <c r="K1397" t="s">
        <v>15</v>
      </c>
    </row>
    <row r="1398" spans="1:11" hidden="1" x14ac:dyDescent="0.35">
      <c r="A1398" t="s">
        <v>288</v>
      </c>
      <c r="B1398" t="s">
        <v>289</v>
      </c>
      <c r="C1398">
        <v>28897</v>
      </c>
      <c r="D1398">
        <v>39002</v>
      </c>
      <c r="E1398" s="12">
        <v>45702</v>
      </c>
      <c r="F1398" s="12">
        <v>45852</v>
      </c>
      <c r="G1398" s="10">
        <v>6096</v>
      </c>
      <c r="H1398">
        <v>0</v>
      </c>
      <c r="I1398" t="s">
        <v>996</v>
      </c>
      <c r="J1398" t="s">
        <v>34</v>
      </c>
      <c r="K1398" t="s">
        <v>15</v>
      </c>
    </row>
    <row r="1399" spans="1:11" hidden="1" x14ac:dyDescent="0.35">
      <c r="A1399" t="s">
        <v>677</v>
      </c>
      <c r="B1399" t="s">
        <v>553</v>
      </c>
      <c r="C1399">
        <v>28376</v>
      </c>
      <c r="D1399">
        <v>38368</v>
      </c>
      <c r="E1399" s="12">
        <v>45670</v>
      </c>
      <c r="F1399" s="12">
        <v>45852</v>
      </c>
      <c r="G1399" s="10">
        <v>21000.04</v>
      </c>
      <c r="H1399">
        <v>0</v>
      </c>
      <c r="I1399" t="s">
        <v>1638</v>
      </c>
      <c r="J1399" t="s">
        <v>58</v>
      </c>
      <c r="K1399" t="s">
        <v>15</v>
      </c>
    </row>
    <row r="1400" spans="1:11" hidden="1" x14ac:dyDescent="0.35">
      <c r="A1400" t="s">
        <v>203</v>
      </c>
      <c r="B1400" t="s">
        <v>56</v>
      </c>
      <c r="C1400">
        <v>28436</v>
      </c>
      <c r="D1400">
        <v>38433</v>
      </c>
      <c r="E1400" s="12">
        <v>45671</v>
      </c>
      <c r="F1400" s="12">
        <v>45852</v>
      </c>
      <c r="G1400" s="10">
        <v>36510</v>
      </c>
      <c r="H1400">
        <v>0</v>
      </c>
      <c r="I1400" t="s">
        <v>1674</v>
      </c>
      <c r="J1400" t="s">
        <v>58</v>
      </c>
      <c r="K1400" t="s">
        <v>15</v>
      </c>
    </row>
    <row r="1401" spans="1:11" hidden="1" x14ac:dyDescent="0.35">
      <c r="A1401" t="s">
        <v>31</v>
      </c>
      <c r="B1401" t="s">
        <v>32</v>
      </c>
      <c r="C1401">
        <v>28677</v>
      </c>
      <c r="D1401">
        <v>38718</v>
      </c>
      <c r="E1401" s="12">
        <v>45685</v>
      </c>
      <c r="F1401" s="12">
        <v>45852</v>
      </c>
      <c r="G1401" s="10">
        <v>9583.2800000000007</v>
      </c>
      <c r="H1401">
        <v>0</v>
      </c>
      <c r="I1401" t="s">
        <v>271</v>
      </c>
      <c r="J1401" t="s">
        <v>34</v>
      </c>
      <c r="K1401" t="s">
        <v>15</v>
      </c>
    </row>
    <row r="1402" spans="1:11" hidden="1" x14ac:dyDescent="0.35">
      <c r="A1402" t="s">
        <v>31</v>
      </c>
      <c r="B1402" t="s">
        <v>32</v>
      </c>
      <c r="C1402">
        <v>28895</v>
      </c>
      <c r="D1402">
        <v>39000</v>
      </c>
      <c r="E1402" s="12">
        <v>45702</v>
      </c>
      <c r="F1402" s="12">
        <v>45852</v>
      </c>
      <c r="G1402" s="10">
        <v>1915</v>
      </c>
      <c r="H1402">
        <v>0</v>
      </c>
      <c r="I1402" t="s">
        <v>271</v>
      </c>
      <c r="J1402" t="s">
        <v>34</v>
      </c>
      <c r="K1402" t="s">
        <v>15</v>
      </c>
    </row>
    <row r="1403" spans="1:11" hidden="1" x14ac:dyDescent="0.35">
      <c r="A1403" t="s">
        <v>309</v>
      </c>
      <c r="B1403" t="s">
        <v>310</v>
      </c>
      <c r="C1403">
        <v>28135</v>
      </c>
      <c r="D1403">
        <v>38072</v>
      </c>
      <c r="E1403" s="12">
        <v>45643</v>
      </c>
      <c r="F1403" s="12">
        <v>45853</v>
      </c>
      <c r="G1403" s="10">
        <v>217950</v>
      </c>
      <c r="H1403">
        <v>0</v>
      </c>
      <c r="I1403" t="s">
        <v>851</v>
      </c>
      <c r="J1403" t="s">
        <v>312</v>
      </c>
      <c r="K1403" t="s">
        <v>15</v>
      </c>
    </row>
    <row r="1404" spans="1:11" hidden="1" x14ac:dyDescent="0.35">
      <c r="A1404" t="s">
        <v>42</v>
      </c>
      <c r="B1404" t="s">
        <v>43</v>
      </c>
      <c r="C1404">
        <v>28164</v>
      </c>
      <c r="D1404">
        <v>38097</v>
      </c>
      <c r="E1404" s="12">
        <v>45643</v>
      </c>
      <c r="F1404" s="12">
        <v>45853</v>
      </c>
      <c r="G1404" s="10">
        <v>6333.34</v>
      </c>
      <c r="H1404">
        <v>0</v>
      </c>
      <c r="I1404" t="s">
        <v>1198</v>
      </c>
      <c r="J1404" t="s">
        <v>44</v>
      </c>
      <c r="K1404" t="s">
        <v>15</v>
      </c>
    </row>
    <row r="1405" spans="1:11" hidden="1" x14ac:dyDescent="0.35">
      <c r="A1405" t="s">
        <v>562</v>
      </c>
      <c r="B1405" t="s">
        <v>563</v>
      </c>
      <c r="C1405">
        <v>28465</v>
      </c>
      <c r="D1405">
        <v>38465</v>
      </c>
      <c r="E1405" s="12">
        <v>45673</v>
      </c>
      <c r="F1405" s="12">
        <v>45853</v>
      </c>
      <c r="G1405" s="10">
        <v>2877.4</v>
      </c>
      <c r="H1405">
        <v>0</v>
      </c>
      <c r="I1405" t="s">
        <v>564</v>
      </c>
      <c r="J1405" t="s">
        <v>111</v>
      </c>
      <c r="K1405" t="s">
        <v>15</v>
      </c>
    </row>
    <row r="1406" spans="1:11" hidden="1" x14ac:dyDescent="0.35">
      <c r="A1406" t="s">
        <v>224</v>
      </c>
      <c r="B1406" t="s">
        <v>225</v>
      </c>
      <c r="C1406">
        <v>29174</v>
      </c>
      <c r="D1406">
        <v>39344</v>
      </c>
      <c r="E1406" s="12">
        <v>45733</v>
      </c>
      <c r="F1406" s="12">
        <v>45853</v>
      </c>
      <c r="G1406" s="10">
        <v>10260.16</v>
      </c>
      <c r="H1406">
        <v>0</v>
      </c>
      <c r="I1406" t="s">
        <v>226</v>
      </c>
      <c r="J1406" t="s">
        <v>194</v>
      </c>
      <c r="K1406" t="s">
        <v>15</v>
      </c>
    </row>
    <row r="1407" spans="1:11" hidden="1" x14ac:dyDescent="0.35">
      <c r="A1407" t="s">
        <v>144</v>
      </c>
      <c r="B1407" t="s">
        <v>145</v>
      </c>
      <c r="C1407">
        <v>29191</v>
      </c>
      <c r="D1407">
        <v>39364</v>
      </c>
      <c r="E1407" s="12">
        <v>45733</v>
      </c>
      <c r="F1407" s="12">
        <v>45853</v>
      </c>
      <c r="G1407" s="10">
        <v>24571.599999999999</v>
      </c>
      <c r="H1407">
        <v>0</v>
      </c>
      <c r="I1407" t="s">
        <v>1616</v>
      </c>
      <c r="J1407" t="s">
        <v>48</v>
      </c>
      <c r="K1407" t="s">
        <v>15</v>
      </c>
    </row>
    <row r="1408" spans="1:11" hidden="1" x14ac:dyDescent="0.35">
      <c r="A1408" t="s">
        <v>791</v>
      </c>
      <c r="B1408" t="s">
        <v>56</v>
      </c>
      <c r="C1408">
        <v>29180</v>
      </c>
      <c r="D1408">
        <v>39351</v>
      </c>
      <c r="E1408" s="12">
        <v>45733</v>
      </c>
      <c r="F1408" s="12">
        <v>45853</v>
      </c>
      <c r="G1408" s="10">
        <v>4836</v>
      </c>
      <c r="H1408">
        <v>0</v>
      </c>
      <c r="I1408" t="s">
        <v>1156</v>
      </c>
      <c r="J1408" t="s">
        <v>44</v>
      </c>
      <c r="K1408" t="s">
        <v>15</v>
      </c>
    </row>
    <row r="1409" spans="1:11" hidden="1" x14ac:dyDescent="0.35">
      <c r="A1409" t="s">
        <v>763</v>
      </c>
      <c r="B1409" t="s">
        <v>764</v>
      </c>
      <c r="C1409">
        <v>28464</v>
      </c>
      <c r="D1409">
        <v>38464</v>
      </c>
      <c r="E1409" s="12">
        <v>45673</v>
      </c>
      <c r="F1409" s="12">
        <v>45853</v>
      </c>
      <c r="G1409" s="10">
        <v>10528</v>
      </c>
      <c r="H1409">
        <v>0</v>
      </c>
      <c r="I1409" t="s">
        <v>1658</v>
      </c>
      <c r="J1409" t="s">
        <v>44</v>
      </c>
      <c r="K1409" t="s">
        <v>15</v>
      </c>
    </row>
    <row r="1410" spans="1:11" hidden="1" x14ac:dyDescent="0.35">
      <c r="A1410" t="s">
        <v>550</v>
      </c>
      <c r="B1410" t="s">
        <v>56</v>
      </c>
      <c r="C1410">
        <v>28469</v>
      </c>
      <c r="D1410">
        <v>38468</v>
      </c>
      <c r="E1410" s="12">
        <v>45673</v>
      </c>
      <c r="F1410" s="12">
        <v>45853</v>
      </c>
      <c r="G1410" s="10">
        <v>5264</v>
      </c>
      <c r="H1410">
        <v>0</v>
      </c>
      <c r="I1410" t="s">
        <v>1173</v>
      </c>
      <c r="J1410" t="s">
        <v>44</v>
      </c>
    </row>
    <row r="1411" spans="1:11" hidden="1" x14ac:dyDescent="0.35">
      <c r="A1411" t="s">
        <v>203</v>
      </c>
      <c r="B1411" t="s">
        <v>56</v>
      </c>
      <c r="C1411">
        <v>29183</v>
      </c>
      <c r="D1411">
        <v>39354</v>
      </c>
      <c r="E1411" s="12">
        <v>45733</v>
      </c>
      <c r="F1411" s="12">
        <v>45853</v>
      </c>
      <c r="G1411" s="10">
        <v>83370</v>
      </c>
      <c r="H1411">
        <v>0</v>
      </c>
      <c r="I1411" t="s">
        <v>907</v>
      </c>
      <c r="J1411" t="s">
        <v>58</v>
      </c>
      <c r="K1411" t="s">
        <v>15</v>
      </c>
    </row>
    <row r="1412" spans="1:11" hidden="1" x14ac:dyDescent="0.35">
      <c r="A1412" t="s">
        <v>374</v>
      </c>
      <c r="B1412" t="s">
        <v>310</v>
      </c>
      <c r="C1412">
        <v>28175</v>
      </c>
      <c r="D1412">
        <v>38112</v>
      </c>
      <c r="E1412" s="12">
        <v>45644</v>
      </c>
      <c r="F1412" s="12">
        <v>45854</v>
      </c>
      <c r="G1412" s="10">
        <v>13858.88</v>
      </c>
      <c r="H1412">
        <v>0</v>
      </c>
      <c r="I1412" t="s">
        <v>1062</v>
      </c>
      <c r="J1412" t="s">
        <v>312</v>
      </c>
      <c r="K1412" t="s">
        <v>15</v>
      </c>
    </row>
    <row r="1413" spans="1:11" hidden="1" x14ac:dyDescent="0.35">
      <c r="A1413" t="s">
        <v>309</v>
      </c>
      <c r="B1413" t="s">
        <v>310</v>
      </c>
      <c r="C1413">
        <v>28178</v>
      </c>
      <c r="D1413">
        <v>38115</v>
      </c>
      <c r="E1413" s="12">
        <v>45644</v>
      </c>
      <c r="F1413" s="12">
        <v>45854</v>
      </c>
      <c r="G1413" s="10">
        <v>125800</v>
      </c>
      <c r="H1413">
        <v>0</v>
      </c>
      <c r="I1413" t="s">
        <v>1444</v>
      </c>
      <c r="J1413" t="s">
        <v>312</v>
      </c>
      <c r="K1413" t="s">
        <v>15</v>
      </c>
    </row>
    <row r="1414" spans="1:11" hidden="1" x14ac:dyDescent="0.35">
      <c r="A1414" t="s">
        <v>309</v>
      </c>
      <c r="B1414" t="s">
        <v>310</v>
      </c>
      <c r="C1414">
        <v>28176</v>
      </c>
      <c r="D1414">
        <v>38113</v>
      </c>
      <c r="E1414" s="12">
        <v>45644</v>
      </c>
      <c r="F1414" s="12">
        <v>45854</v>
      </c>
      <c r="G1414" s="10">
        <v>85330</v>
      </c>
      <c r="H1414">
        <v>0</v>
      </c>
      <c r="I1414" t="s">
        <v>1607</v>
      </c>
      <c r="J1414" t="s">
        <v>312</v>
      </c>
      <c r="K1414" t="s">
        <v>15</v>
      </c>
    </row>
    <row r="1415" spans="1:11" hidden="1" x14ac:dyDescent="0.35">
      <c r="A1415" t="s">
        <v>205</v>
      </c>
      <c r="B1415" t="s">
        <v>56</v>
      </c>
      <c r="C1415">
        <v>28514</v>
      </c>
      <c r="D1415">
        <v>38517</v>
      </c>
      <c r="E1415" s="12">
        <v>45674</v>
      </c>
      <c r="F1415" s="12">
        <v>45854</v>
      </c>
      <c r="G1415" s="10">
        <v>54238</v>
      </c>
      <c r="H1415">
        <v>0</v>
      </c>
      <c r="I1415" t="s">
        <v>1480</v>
      </c>
      <c r="J1415" t="s">
        <v>58</v>
      </c>
      <c r="K1415" t="s">
        <v>15</v>
      </c>
    </row>
    <row r="1416" spans="1:11" hidden="1" x14ac:dyDescent="0.35">
      <c r="A1416" t="s">
        <v>791</v>
      </c>
      <c r="B1416" t="s">
        <v>56</v>
      </c>
      <c r="C1416">
        <v>28923</v>
      </c>
      <c r="D1416">
        <v>39035</v>
      </c>
      <c r="E1416" s="12">
        <v>45705</v>
      </c>
      <c r="F1416" s="12">
        <v>45855</v>
      </c>
      <c r="G1416" s="10">
        <v>57732</v>
      </c>
      <c r="H1416">
        <v>0</v>
      </c>
      <c r="I1416" t="s">
        <v>1156</v>
      </c>
      <c r="J1416" t="s">
        <v>44</v>
      </c>
      <c r="K1416" t="s">
        <v>15</v>
      </c>
    </row>
    <row r="1417" spans="1:11" hidden="1" x14ac:dyDescent="0.35">
      <c r="A1417" t="s">
        <v>200</v>
      </c>
      <c r="B1417" t="s">
        <v>56</v>
      </c>
      <c r="C1417">
        <v>28924</v>
      </c>
      <c r="D1417">
        <v>39036</v>
      </c>
      <c r="E1417" s="12">
        <v>45705</v>
      </c>
      <c r="F1417" s="12">
        <v>45855</v>
      </c>
      <c r="G1417" s="10">
        <v>43440</v>
      </c>
      <c r="H1417">
        <v>0</v>
      </c>
      <c r="I1417" t="s">
        <v>513</v>
      </c>
      <c r="J1417" t="s">
        <v>44</v>
      </c>
      <c r="K1417" t="s">
        <v>15</v>
      </c>
    </row>
    <row r="1418" spans="1:11" hidden="1" x14ac:dyDescent="0.35">
      <c r="A1418" t="s">
        <v>205</v>
      </c>
      <c r="B1418" t="s">
        <v>56</v>
      </c>
      <c r="C1418">
        <v>29217</v>
      </c>
      <c r="D1418">
        <v>39395</v>
      </c>
      <c r="E1418" s="12">
        <v>45735</v>
      </c>
      <c r="F1418" s="12">
        <v>45855</v>
      </c>
      <c r="G1418" s="10">
        <v>247000</v>
      </c>
      <c r="H1418">
        <v>0</v>
      </c>
      <c r="I1418" t="s">
        <v>1521</v>
      </c>
      <c r="J1418" t="s">
        <v>58</v>
      </c>
      <c r="K1418" t="s">
        <v>15</v>
      </c>
    </row>
    <row r="1419" spans="1:11" hidden="1" x14ac:dyDescent="0.35">
      <c r="A1419" t="s">
        <v>763</v>
      </c>
      <c r="B1419" t="s">
        <v>764</v>
      </c>
      <c r="C1419">
        <v>28927</v>
      </c>
      <c r="D1419">
        <v>39039</v>
      </c>
      <c r="E1419" s="12">
        <v>45705</v>
      </c>
      <c r="F1419" s="12">
        <v>45855</v>
      </c>
      <c r="G1419" s="10">
        <v>22692</v>
      </c>
      <c r="H1419">
        <v>0</v>
      </c>
      <c r="I1419" t="s">
        <v>765</v>
      </c>
      <c r="J1419" t="s">
        <v>44</v>
      </c>
      <c r="K1419" t="s">
        <v>15</v>
      </c>
    </row>
    <row r="1420" spans="1:11" hidden="1" x14ac:dyDescent="0.35">
      <c r="A1420" t="s">
        <v>205</v>
      </c>
      <c r="B1420" t="s">
        <v>56</v>
      </c>
      <c r="C1420">
        <v>29216</v>
      </c>
      <c r="D1420">
        <v>39394</v>
      </c>
      <c r="E1420" s="12">
        <v>45735</v>
      </c>
      <c r="F1420" s="12">
        <v>45855</v>
      </c>
      <c r="G1420" s="10">
        <v>123640</v>
      </c>
      <c r="H1420">
        <v>0</v>
      </c>
      <c r="I1420" t="s">
        <v>1665</v>
      </c>
      <c r="J1420" t="s">
        <v>58</v>
      </c>
      <c r="K1420" t="s">
        <v>15</v>
      </c>
    </row>
    <row r="1421" spans="1:11" hidden="1" x14ac:dyDescent="0.35">
      <c r="A1421" t="s">
        <v>763</v>
      </c>
      <c r="B1421" t="s">
        <v>764</v>
      </c>
      <c r="C1421">
        <v>28928</v>
      </c>
      <c r="D1421">
        <v>39040</v>
      </c>
      <c r="E1421" s="12">
        <v>45705</v>
      </c>
      <c r="F1421" s="12">
        <v>45855</v>
      </c>
      <c r="G1421" s="10">
        <v>6648</v>
      </c>
      <c r="H1421">
        <v>0</v>
      </c>
      <c r="I1421" t="s">
        <v>765</v>
      </c>
      <c r="J1421" t="s">
        <v>44</v>
      </c>
      <c r="K1421" t="s">
        <v>15</v>
      </c>
    </row>
    <row r="1422" spans="1:11" hidden="1" x14ac:dyDescent="0.35">
      <c r="A1422" t="s">
        <v>309</v>
      </c>
      <c r="B1422" t="s">
        <v>310</v>
      </c>
      <c r="C1422">
        <v>28233</v>
      </c>
      <c r="D1422">
        <v>38176</v>
      </c>
      <c r="E1422" s="12">
        <v>45646</v>
      </c>
      <c r="F1422" s="12">
        <v>45856</v>
      </c>
      <c r="G1422" s="10">
        <v>262200</v>
      </c>
      <c r="H1422">
        <v>0</v>
      </c>
      <c r="I1422" t="s">
        <v>1425</v>
      </c>
      <c r="J1422" t="s">
        <v>312</v>
      </c>
      <c r="K1422" t="s">
        <v>15</v>
      </c>
    </row>
    <row r="1423" spans="1:11" hidden="1" x14ac:dyDescent="0.35">
      <c r="A1423" t="s">
        <v>309</v>
      </c>
      <c r="B1423" t="s">
        <v>310</v>
      </c>
      <c r="C1423">
        <v>28232</v>
      </c>
      <c r="D1423">
        <v>38175</v>
      </c>
      <c r="E1423" s="12">
        <v>45646</v>
      </c>
      <c r="F1423" s="12">
        <v>45856</v>
      </c>
      <c r="G1423" s="10">
        <v>273600</v>
      </c>
      <c r="H1423">
        <v>0</v>
      </c>
      <c r="I1423" t="s">
        <v>1041</v>
      </c>
      <c r="J1423" t="s">
        <v>312</v>
      </c>
      <c r="K1423" t="s">
        <v>15</v>
      </c>
    </row>
    <row r="1424" spans="1:11" hidden="1" x14ac:dyDescent="0.35">
      <c r="A1424" t="s">
        <v>791</v>
      </c>
      <c r="B1424" t="s">
        <v>56</v>
      </c>
      <c r="C1424">
        <v>29222</v>
      </c>
      <c r="D1424">
        <v>39401</v>
      </c>
      <c r="E1424" s="12">
        <v>45736</v>
      </c>
      <c r="F1424" s="12">
        <v>45856</v>
      </c>
      <c r="G1424" s="10">
        <v>106680</v>
      </c>
      <c r="H1424">
        <v>0</v>
      </c>
      <c r="I1424" t="s">
        <v>1419</v>
      </c>
      <c r="J1424" t="s">
        <v>44</v>
      </c>
      <c r="K1424" t="s">
        <v>15</v>
      </c>
    </row>
    <row r="1425" spans="1:11" hidden="1" x14ac:dyDescent="0.35">
      <c r="A1425" t="s">
        <v>16</v>
      </c>
      <c r="B1425" t="s">
        <v>17</v>
      </c>
      <c r="C1425">
        <v>25707</v>
      </c>
      <c r="D1425">
        <v>35273</v>
      </c>
      <c r="E1425" s="12">
        <v>45429</v>
      </c>
      <c r="F1425" s="12">
        <v>45858</v>
      </c>
      <c r="G1425" s="10">
        <v>103278</v>
      </c>
      <c r="H1425">
        <v>0</v>
      </c>
      <c r="I1425" t="s">
        <v>818</v>
      </c>
      <c r="J1425" t="s">
        <v>18</v>
      </c>
      <c r="K1425" t="s">
        <v>15</v>
      </c>
    </row>
    <row r="1426" spans="1:11" hidden="1" x14ac:dyDescent="0.35">
      <c r="A1426" t="s">
        <v>921</v>
      </c>
      <c r="B1426" t="s">
        <v>922</v>
      </c>
      <c r="C1426">
        <v>27846</v>
      </c>
      <c r="D1426">
        <v>37679</v>
      </c>
      <c r="E1426" s="12">
        <v>45618</v>
      </c>
      <c r="F1426" s="12">
        <v>45858</v>
      </c>
      <c r="G1426" s="10">
        <v>21401</v>
      </c>
      <c r="H1426">
        <v>0</v>
      </c>
      <c r="I1426" t="s">
        <v>923</v>
      </c>
      <c r="J1426" t="s">
        <v>41</v>
      </c>
      <c r="K1426" t="s">
        <v>15</v>
      </c>
    </row>
    <row r="1427" spans="1:11" hidden="1" x14ac:dyDescent="0.35">
      <c r="A1427" t="s">
        <v>55</v>
      </c>
      <c r="B1427" t="s">
        <v>56</v>
      </c>
      <c r="C1427">
        <v>28566</v>
      </c>
      <c r="D1427">
        <v>38584</v>
      </c>
      <c r="E1427" s="12">
        <v>45679</v>
      </c>
      <c r="F1427" s="12">
        <v>45859</v>
      </c>
      <c r="G1427" s="10">
        <v>9933.2000000000007</v>
      </c>
      <c r="H1427">
        <v>0</v>
      </c>
      <c r="I1427" t="s">
        <v>208</v>
      </c>
      <c r="J1427" t="s">
        <v>58</v>
      </c>
      <c r="K1427" t="s">
        <v>15</v>
      </c>
    </row>
    <row r="1428" spans="1:11" hidden="1" x14ac:dyDescent="0.35">
      <c r="A1428" t="s">
        <v>16</v>
      </c>
      <c r="B1428" t="s">
        <v>17</v>
      </c>
      <c r="C1428">
        <v>27063</v>
      </c>
      <c r="D1428">
        <v>36756</v>
      </c>
      <c r="E1428" s="12">
        <v>45559</v>
      </c>
      <c r="F1428" s="12">
        <v>45859</v>
      </c>
      <c r="G1428" s="10">
        <v>123719.16</v>
      </c>
      <c r="H1428">
        <v>0</v>
      </c>
      <c r="I1428" t="s">
        <v>838</v>
      </c>
      <c r="J1428" t="s">
        <v>18</v>
      </c>
      <c r="K1428" t="s">
        <v>15</v>
      </c>
    </row>
    <row r="1429" spans="1:11" hidden="1" x14ac:dyDescent="0.35">
      <c r="A1429" t="s">
        <v>68</v>
      </c>
      <c r="B1429" t="s">
        <v>69</v>
      </c>
      <c r="C1429">
        <v>27488</v>
      </c>
      <c r="D1429">
        <v>37254</v>
      </c>
      <c r="E1429" s="12">
        <v>45588</v>
      </c>
      <c r="F1429" s="12">
        <v>45859</v>
      </c>
      <c r="G1429" s="10">
        <v>1620.3</v>
      </c>
      <c r="H1429">
        <v>0</v>
      </c>
      <c r="I1429" t="s">
        <v>70</v>
      </c>
      <c r="J1429" t="s">
        <v>14</v>
      </c>
      <c r="K1429" t="s">
        <v>15</v>
      </c>
    </row>
    <row r="1430" spans="1:11" hidden="1" x14ac:dyDescent="0.35">
      <c r="A1430" t="s">
        <v>16</v>
      </c>
      <c r="B1430" t="s">
        <v>17</v>
      </c>
      <c r="C1430">
        <v>27185</v>
      </c>
      <c r="D1430">
        <v>36875</v>
      </c>
      <c r="E1430" s="12">
        <v>45565</v>
      </c>
      <c r="F1430" s="12">
        <v>45859</v>
      </c>
      <c r="G1430" s="10">
        <v>41080</v>
      </c>
      <c r="H1430">
        <v>0</v>
      </c>
      <c r="I1430" t="s">
        <v>521</v>
      </c>
      <c r="J1430" t="s">
        <v>18</v>
      </c>
      <c r="K1430" t="s">
        <v>15</v>
      </c>
    </row>
    <row r="1431" spans="1:11" hidden="1" x14ac:dyDescent="0.35">
      <c r="A1431" t="s">
        <v>16</v>
      </c>
      <c r="B1431" t="s">
        <v>17</v>
      </c>
      <c r="C1431">
        <v>27285</v>
      </c>
      <c r="D1431">
        <v>36999</v>
      </c>
      <c r="E1431" s="12">
        <v>45569</v>
      </c>
      <c r="F1431" s="12">
        <v>45859</v>
      </c>
      <c r="G1431" s="10">
        <v>11180</v>
      </c>
      <c r="H1431">
        <v>0</v>
      </c>
      <c r="I1431" t="s">
        <v>522</v>
      </c>
      <c r="J1431" t="s">
        <v>18</v>
      </c>
      <c r="K1431" t="s">
        <v>15</v>
      </c>
    </row>
    <row r="1432" spans="1:11" hidden="1" x14ac:dyDescent="0.35">
      <c r="A1432" t="s">
        <v>591</v>
      </c>
      <c r="B1432" t="s">
        <v>592</v>
      </c>
      <c r="C1432">
        <v>28559</v>
      </c>
      <c r="D1432">
        <v>38577</v>
      </c>
      <c r="E1432" s="12">
        <v>45678</v>
      </c>
      <c r="F1432" s="12">
        <v>45859</v>
      </c>
      <c r="G1432" s="10">
        <v>30791.5</v>
      </c>
      <c r="H1432">
        <v>0</v>
      </c>
      <c r="I1432" t="s">
        <v>593</v>
      </c>
      <c r="J1432" t="s">
        <v>194</v>
      </c>
      <c r="K1432" t="s">
        <v>15</v>
      </c>
    </row>
    <row r="1433" spans="1:11" hidden="1" x14ac:dyDescent="0.35">
      <c r="A1433" t="s">
        <v>16</v>
      </c>
      <c r="B1433" t="s">
        <v>17</v>
      </c>
      <c r="C1433">
        <v>28282</v>
      </c>
      <c r="D1433">
        <v>38253</v>
      </c>
      <c r="E1433" s="12">
        <v>45659</v>
      </c>
      <c r="F1433" s="12">
        <v>45859</v>
      </c>
      <c r="G1433" s="10">
        <v>139739.88</v>
      </c>
      <c r="H1433">
        <v>0</v>
      </c>
      <c r="I1433" t="s">
        <v>1219</v>
      </c>
      <c r="J1433" t="s">
        <v>18</v>
      </c>
      <c r="K1433" t="s">
        <v>15</v>
      </c>
    </row>
    <row r="1434" spans="1:11" hidden="1" x14ac:dyDescent="0.35">
      <c r="A1434" t="s">
        <v>68</v>
      </c>
      <c r="B1434" t="s">
        <v>69</v>
      </c>
      <c r="C1434">
        <v>27492</v>
      </c>
      <c r="D1434">
        <v>37257</v>
      </c>
      <c r="E1434" s="12">
        <v>45588</v>
      </c>
      <c r="F1434" s="12">
        <v>45859</v>
      </c>
      <c r="G1434" s="10">
        <v>952.5</v>
      </c>
      <c r="H1434">
        <v>0</v>
      </c>
      <c r="I1434" t="s">
        <v>720</v>
      </c>
      <c r="J1434" t="s">
        <v>14</v>
      </c>
      <c r="K1434" t="s">
        <v>15</v>
      </c>
    </row>
    <row r="1435" spans="1:11" hidden="1" x14ac:dyDescent="0.35">
      <c r="A1435" t="s">
        <v>31</v>
      </c>
      <c r="B1435" t="s">
        <v>32</v>
      </c>
      <c r="C1435">
        <v>28547</v>
      </c>
      <c r="D1435">
        <v>38565</v>
      </c>
      <c r="E1435" s="12">
        <v>45678</v>
      </c>
      <c r="F1435" s="12">
        <v>45859</v>
      </c>
      <c r="G1435" s="10">
        <v>13140.08</v>
      </c>
      <c r="H1435">
        <v>0</v>
      </c>
      <c r="I1435" t="s">
        <v>271</v>
      </c>
      <c r="J1435" t="s">
        <v>34</v>
      </c>
      <c r="K1435" t="s">
        <v>15</v>
      </c>
    </row>
    <row r="1436" spans="1:11" hidden="1" x14ac:dyDescent="0.35">
      <c r="A1436" t="s">
        <v>16</v>
      </c>
      <c r="B1436" t="s">
        <v>17</v>
      </c>
      <c r="C1436">
        <v>27186</v>
      </c>
      <c r="D1436">
        <v>36876</v>
      </c>
      <c r="E1436" s="12">
        <v>45565</v>
      </c>
      <c r="F1436" s="12">
        <v>45859</v>
      </c>
      <c r="G1436" s="10">
        <v>34320</v>
      </c>
      <c r="H1436">
        <v>0</v>
      </c>
      <c r="I1436" t="s">
        <v>465</v>
      </c>
      <c r="J1436" t="s">
        <v>18</v>
      </c>
      <c r="K1436" t="s">
        <v>15</v>
      </c>
    </row>
    <row r="1437" spans="1:11" hidden="1" x14ac:dyDescent="0.35">
      <c r="A1437" t="s">
        <v>591</v>
      </c>
      <c r="B1437" t="s">
        <v>592</v>
      </c>
      <c r="C1437">
        <v>28567</v>
      </c>
      <c r="D1437">
        <v>38585</v>
      </c>
      <c r="E1437" s="12">
        <v>45679</v>
      </c>
      <c r="F1437" s="12">
        <v>45859</v>
      </c>
      <c r="G1437" s="10">
        <v>3680.95</v>
      </c>
      <c r="H1437">
        <v>0</v>
      </c>
      <c r="I1437" t="s">
        <v>593</v>
      </c>
      <c r="J1437" t="s">
        <v>194</v>
      </c>
      <c r="K1437" t="s">
        <v>15</v>
      </c>
    </row>
    <row r="1438" spans="1:11" hidden="1" x14ac:dyDescent="0.35">
      <c r="A1438" t="s">
        <v>309</v>
      </c>
      <c r="B1438" t="s">
        <v>310</v>
      </c>
      <c r="C1438">
        <v>28242</v>
      </c>
      <c r="D1438">
        <v>38187</v>
      </c>
      <c r="E1438" s="12">
        <v>45649</v>
      </c>
      <c r="F1438" s="12">
        <v>45859</v>
      </c>
      <c r="G1438" s="10">
        <v>262200</v>
      </c>
      <c r="H1438">
        <v>0</v>
      </c>
      <c r="I1438" t="s">
        <v>879</v>
      </c>
      <c r="J1438" t="s">
        <v>312</v>
      </c>
      <c r="K1438" t="s">
        <v>15</v>
      </c>
    </row>
    <row r="1439" spans="1:11" hidden="1" x14ac:dyDescent="0.35">
      <c r="A1439" t="s">
        <v>16</v>
      </c>
      <c r="B1439" t="s">
        <v>17</v>
      </c>
      <c r="C1439">
        <v>28510</v>
      </c>
      <c r="D1439">
        <v>38511</v>
      </c>
      <c r="E1439" s="12">
        <v>45674</v>
      </c>
      <c r="F1439" s="12">
        <v>45859</v>
      </c>
      <c r="G1439" s="10">
        <v>21280</v>
      </c>
      <c r="H1439">
        <v>0</v>
      </c>
      <c r="I1439" t="s">
        <v>882</v>
      </c>
      <c r="J1439" t="s">
        <v>18</v>
      </c>
      <c r="K1439" t="s">
        <v>15</v>
      </c>
    </row>
    <row r="1440" spans="1:11" hidden="1" x14ac:dyDescent="0.35">
      <c r="A1440" t="s">
        <v>55</v>
      </c>
      <c r="B1440" t="s">
        <v>56</v>
      </c>
      <c r="C1440">
        <v>28565</v>
      </c>
      <c r="D1440">
        <v>38583</v>
      </c>
      <c r="E1440" s="12">
        <v>45679</v>
      </c>
      <c r="F1440" s="12">
        <v>45859</v>
      </c>
      <c r="G1440" s="10">
        <v>52622</v>
      </c>
      <c r="H1440">
        <v>0</v>
      </c>
      <c r="I1440" t="s">
        <v>208</v>
      </c>
      <c r="J1440" t="s">
        <v>58</v>
      </c>
      <c r="K1440" t="s">
        <v>15</v>
      </c>
    </row>
    <row r="1441" spans="1:11" hidden="1" x14ac:dyDescent="0.35">
      <c r="A1441" t="s">
        <v>288</v>
      </c>
      <c r="B1441" t="s">
        <v>289</v>
      </c>
      <c r="C1441">
        <v>29019</v>
      </c>
      <c r="D1441">
        <v>39143</v>
      </c>
      <c r="E1441" s="12">
        <v>45709</v>
      </c>
      <c r="F1441" s="12">
        <v>45859</v>
      </c>
      <c r="G1441" s="10">
        <v>66959.240000000005</v>
      </c>
      <c r="H1441">
        <v>0</v>
      </c>
      <c r="I1441" t="s">
        <v>996</v>
      </c>
      <c r="J1441" t="s">
        <v>34</v>
      </c>
      <c r="K1441" t="s">
        <v>15</v>
      </c>
    </row>
    <row r="1442" spans="1:11" hidden="1" x14ac:dyDescent="0.35">
      <c r="A1442" t="s">
        <v>591</v>
      </c>
      <c r="B1442" t="s">
        <v>592</v>
      </c>
      <c r="C1442">
        <v>29011</v>
      </c>
      <c r="D1442">
        <v>39133</v>
      </c>
      <c r="E1442" s="12">
        <v>45708</v>
      </c>
      <c r="F1442" s="12">
        <v>45859</v>
      </c>
      <c r="G1442" s="10">
        <v>3867.67</v>
      </c>
      <c r="H1442">
        <v>0</v>
      </c>
      <c r="I1442" t="s">
        <v>593</v>
      </c>
      <c r="J1442" t="s">
        <v>194</v>
      </c>
      <c r="K1442" t="s">
        <v>15</v>
      </c>
    </row>
    <row r="1443" spans="1:11" hidden="1" x14ac:dyDescent="0.35">
      <c r="A1443" t="s">
        <v>31</v>
      </c>
      <c r="B1443" t="s">
        <v>32</v>
      </c>
      <c r="C1443">
        <v>29111</v>
      </c>
      <c r="D1443">
        <v>39272</v>
      </c>
      <c r="E1443" s="12">
        <v>45723</v>
      </c>
      <c r="F1443" s="12">
        <v>45859</v>
      </c>
      <c r="G1443" s="10">
        <v>2436.66</v>
      </c>
      <c r="H1443">
        <v>0</v>
      </c>
      <c r="I1443" t="s">
        <v>271</v>
      </c>
      <c r="J1443" t="s">
        <v>34</v>
      </c>
      <c r="K1443" t="s">
        <v>15</v>
      </c>
    </row>
    <row r="1444" spans="1:11" hidden="1" x14ac:dyDescent="0.35">
      <c r="A1444" t="s">
        <v>144</v>
      </c>
      <c r="B1444" t="s">
        <v>145</v>
      </c>
      <c r="C1444">
        <v>29242</v>
      </c>
      <c r="D1444">
        <v>39425</v>
      </c>
      <c r="E1444" s="12">
        <v>45737</v>
      </c>
      <c r="F1444" s="12">
        <v>45859</v>
      </c>
      <c r="G1444" s="10">
        <v>11196.06</v>
      </c>
      <c r="H1444">
        <v>0</v>
      </c>
      <c r="I1444" t="s">
        <v>1616</v>
      </c>
      <c r="J1444" t="s">
        <v>48</v>
      </c>
      <c r="K1444" t="s">
        <v>15</v>
      </c>
    </row>
    <row r="1445" spans="1:11" hidden="1" x14ac:dyDescent="0.35">
      <c r="A1445" t="s">
        <v>31</v>
      </c>
      <c r="B1445" t="s">
        <v>32</v>
      </c>
      <c r="C1445">
        <v>28538</v>
      </c>
      <c r="D1445">
        <v>38555</v>
      </c>
      <c r="E1445" s="12">
        <v>45678</v>
      </c>
      <c r="F1445" s="12">
        <v>45859</v>
      </c>
      <c r="G1445" s="10">
        <v>1813.36</v>
      </c>
      <c r="H1445">
        <v>0</v>
      </c>
      <c r="I1445" t="s">
        <v>271</v>
      </c>
      <c r="J1445" t="s">
        <v>34</v>
      </c>
      <c r="K1445" t="s">
        <v>15</v>
      </c>
    </row>
    <row r="1446" spans="1:11" hidden="1" x14ac:dyDescent="0.35">
      <c r="A1446" t="s">
        <v>55</v>
      </c>
      <c r="B1446" t="s">
        <v>56</v>
      </c>
      <c r="C1446">
        <v>28955</v>
      </c>
      <c r="D1446">
        <v>39076</v>
      </c>
      <c r="E1446" s="12">
        <v>45707</v>
      </c>
      <c r="F1446" s="12">
        <v>45859</v>
      </c>
      <c r="G1446" s="10">
        <v>13030</v>
      </c>
      <c r="H1446">
        <v>0</v>
      </c>
      <c r="I1446" t="s">
        <v>208</v>
      </c>
      <c r="J1446" t="s">
        <v>58</v>
      </c>
      <c r="K1446" t="s">
        <v>15</v>
      </c>
    </row>
    <row r="1447" spans="1:11" hidden="1" x14ac:dyDescent="0.35">
      <c r="A1447" t="s">
        <v>31</v>
      </c>
      <c r="B1447" t="s">
        <v>32</v>
      </c>
      <c r="C1447">
        <v>29108</v>
      </c>
      <c r="D1447">
        <v>39269</v>
      </c>
      <c r="E1447" s="12">
        <v>45723</v>
      </c>
      <c r="F1447" s="12">
        <v>45859</v>
      </c>
      <c r="G1447" s="10">
        <v>7822.21</v>
      </c>
      <c r="H1447">
        <v>0</v>
      </c>
      <c r="I1447" t="s">
        <v>271</v>
      </c>
      <c r="J1447" t="s">
        <v>34</v>
      </c>
      <c r="K1447" t="s">
        <v>15</v>
      </c>
    </row>
    <row r="1448" spans="1:11" hidden="1" x14ac:dyDescent="0.35">
      <c r="A1448" t="s">
        <v>16</v>
      </c>
      <c r="B1448" t="s">
        <v>17</v>
      </c>
      <c r="C1448">
        <v>27286</v>
      </c>
      <c r="D1448">
        <v>37000</v>
      </c>
      <c r="E1448" s="12">
        <v>45569</v>
      </c>
      <c r="F1448" s="12">
        <v>45859</v>
      </c>
      <c r="G1448" s="10">
        <v>4195.3999999999996</v>
      </c>
      <c r="H1448">
        <v>0</v>
      </c>
      <c r="I1448" t="s">
        <v>314</v>
      </c>
      <c r="J1448" t="s">
        <v>18</v>
      </c>
      <c r="K1448" t="s">
        <v>15</v>
      </c>
    </row>
    <row r="1449" spans="1:11" hidden="1" x14ac:dyDescent="0.35">
      <c r="A1449" t="s">
        <v>31</v>
      </c>
      <c r="B1449" t="s">
        <v>32</v>
      </c>
      <c r="C1449">
        <v>28539</v>
      </c>
      <c r="D1449">
        <v>38556</v>
      </c>
      <c r="E1449" s="12">
        <v>45678</v>
      </c>
      <c r="F1449" s="12">
        <v>45859</v>
      </c>
      <c r="G1449" s="10">
        <v>3413.36</v>
      </c>
      <c r="H1449">
        <v>0</v>
      </c>
      <c r="I1449" t="s">
        <v>271</v>
      </c>
      <c r="J1449" t="s">
        <v>34</v>
      </c>
      <c r="K1449" t="s">
        <v>15</v>
      </c>
    </row>
    <row r="1450" spans="1:11" hidden="1" x14ac:dyDescent="0.35">
      <c r="A1450" t="s">
        <v>55</v>
      </c>
      <c r="B1450" t="s">
        <v>56</v>
      </c>
      <c r="C1450">
        <v>28953</v>
      </c>
      <c r="D1450">
        <v>39074</v>
      </c>
      <c r="E1450" s="12">
        <v>45707</v>
      </c>
      <c r="F1450" s="12">
        <v>45859</v>
      </c>
      <c r="G1450" s="10">
        <v>8310</v>
      </c>
      <c r="H1450">
        <v>0</v>
      </c>
      <c r="I1450" t="s">
        <v>208</v>
      </c>
      <c r="J1450" t="s">
        <v>58</v>
      </c>
      <c r="K1450" t="s">
        <v>15</v>
      </c>
    </row>
    <row r="1451" spans="1:11" hidden="1" x14ac:dyDescent="0.35">
      <c r="A1451" t="s">
        <v>55</v>
      </c>
      <c r="B1451" t="s">
        <v>56</v>
      </c>
      <c r="C1451">
        <v>28571</v>
      </c>
      <c r="D1451">
        <v>38590</v>
      </c>
      <c r="E1451" s="12">
        <v>45679</v>
      </c>
      <c r="F1451" s="12">
        <v>45859</v>
      </c>
      <c r="G1451" s="10">
        <v>15535.52</v>
      </c>
      <c r="H1451">
        <v>0</v>
      </c>
      <c r="I1451" t="s">
        <v>208</v>
      </c>
      <c r="J1451" t="s">
        <v>58</v>
      </c>
      <c r="K1451" t="s">
        <v>15</v>
      </c>
    </row>
    <row r="1452" spans="1:11" hidden="1" x14ac:dyDescent="0.35">
      <c r="A1452" t="s">
        <v>31</v>
      </c>
      <c r="B1452" t="s">
        <v>32</v>
      </c>
      <c r="C1452">
        <v>29109</v>
      </c>
      <c r="D1452">
        <v>39270</v>
      </c>
      <c r="E1452" s="12">
        <v>45723</v>
      </c>
      <c r="F1452" s="12">
        <v>45859</v>
      </c>
      <c r="G1452" s="10">
        <v>5866.66</v>
      </c>
      <c r="H1452">
        <v>0</v>
      </c>
      <c r="I1452" t="s">
        <v>271</v>
      </c>
      <c r="J1452" t="s">
        <v>34</v>
      </c>
      <c r="K1452" t="s">
        <v>15</v>
      </c>
    </row>
    <row r="1453" spans="1:11" hidden="1" x14ac:dyDescent="0.35">
      <c r="A1453" t="s">
        <v>677</v>
      </c>
      <c r="B1453" t="s">
        <v>553</v>
      </c>
      <c r="C1453">
        <v>28947</v>
      </c>
      <c r="D1453">
        <v>39068</v>
      </c>
      <c r="E1453" s="12">
        <v>45707</v>
      </c>
      <c r="F1453" s="12">
        <v>45859</v>
      </c>
      <c r="G1453" s="10">
        <v>58608</v>
      </c>
      <c r="H1453">
        <v>0</v>
      </c>
      <c r="I1453" t="s">
        <v>894</v>
      </c>
      <c r="J1453" t="s">
        <v>58</v>
      </c>
      <c r="K1453" t="s">
        <v>15</v>
      </c>
    </row>
    <row r="1454" spans="1:11" hidden="1" x14ac:dyDescent="0.35">
      <c r="A1454" t="s">
        <v>362</v>
      </c>
      <c r="B1454" t="s">
        <v>363</v>
      </c>
      <c r="C1454">
        <v>28556</v>
      </c>
      <c r="D1454">
        <v>38574</v>
      </c>
      <c r="E1454" s="12">
        <v>45678</v>
      </c>
      <c r="F1454" s="12">
        <v>45859</v>
      </c>
      <c r="G1454" s="10">
        <v>95000</v>
      </c>
      <c r="H1454">
        <v>0</v>
      </c>
      <c r="I1454" t="s">
        <v>1334</v>
      </c>
      <c r="J1454" t="s">
        <v>48</v>
      </c>
      <c r="K1454" t="s">
        <v>15</v>
      </c>
    </row>
    <row r="1455" spans="1:11" hidden="1" x14ac:dyDescent="0.35">
      <c r="A1455" t="s">
        <v>31</v>
      </c>
      <c r="B1455" t="s">
        <v>32</v>
      </c>
      <c r="C1455">
        <v>29110</v>
      </c>
      <c r="D1455">
        <v>39271</v>
      </c>
      <c r="E1455" s="12">
        <v>45723</v>
      </c>
      <c r="F1455" s="12">
        <v>45859</v>
      </c>
      <c r="G1455" s="10">
        <v>753.33</v>
      </c>
      <c r="H1455">
        <v>0</v>
      </c>
      <c r="I1455" t="s">
        <v>271</v>
      </c>
      <c r="J1455" t="s">
        <v>34</v>
      </c>
      <c r="K1455" t="s">
        <v>15</v>
      </c>
    </row>
    <row r="1456" spans="1:11" hidden="1" x14ac:dyDescent="0.35">
      <c r="A1456" t="s">
        <v>174</v>
      </c>
      <c r="B1456" t="s">
        <v>175</v>
      </c>
      <c r="C1456">
        <v>28950</v>
      </c>
      <c r="D1456">
        <v>39071</v>
      </c>
      <c r="E1456" s="12">
        <v>45707</v>
      </c>
      <c r="F1456" s="12">
        <v>45859</v>
      </c>
      <c r="G1456" s="10">
        <v>16712.5</v>
      </c>
      <c r="H1456">
        <v>0</v>
      </c>
      <c r="I1456" t="s">
        <v>1418</v>
      </c>
      <c r="J1456" t="s">
        <v>58</v>
      </c>
      <c r="K1456" t="s">
        <v>15</v>
      </c>
    </row>
    <row r="1457" spans="1:11" hidden="1" x14ac:dyDescent="0.35">
      <c r="A1457" t="s">
        <v>224</v>
      </c>
      <c r="B1457" t="s">
        <v>225</v>
      </c>
      <c r="C1457">
        <v>29016</v>
      </c>
      <c r="D1457">
        <v>39138</v>
      </c>
      <c r="E1457" s="12">
        <v>45708</v>
      </c>
      <c r="F1457" s="12">
        <v>45859</v>
      </c>
      <c r="G1457" s="10">
        <v>9528.68</v>
      </c>
      <c r="H1457">
        <v>0</v>
      </c>
      <c r="I1457" t="s">
        <v>226</v>
      </c>
      <c r="J1457" t="s">
        <v>194</v>
      </c>
      <c r="K1457" t="s">
        <v>15</v>
      </c>
    </row>
    <row r="1458" spans="1:11" hidden="1" x14ac:dyDescent="0.35">
      <c r="A1458" t="s">
        <v>55</v>
      </c>
      <c r="B1458" t="s">
        <v>56</v>
      </c>
      <c r="C1458">
        <v>28570</v>
      </c>
      <c r="D1458">
        <v>38588</v>
      </c>
      <c r="E1458" s="12">
        <v>45679</v>
      </c>
      <c r="F1458" s="12">
        <v>45859</v>
      </c>
      <c r="G1458" s="10">
        <v>51397</v>
      </c>
      <c r="H1458">
        <v>0</v>
      </c>
      <c r="I1458" t="s">
        <v>208</v>
      </c>
      <c r="J1458" t="s">
        <v>58</v>
      </c>
      <c r="K1458" t="s">
        <v>15</v>
      </c>
    </row>
    <row r="1459" spans="1:11" hidden="1" x14ac:dyDescent="0.35">
      <c r="A1459" t="s">
        <v>55</v>
      </c>
      <c r="B1459" t="s">
        <v>56</v>
      </c>
      <c r="C1459">
        <v>28961</v>
      </c>
      <c r="D1459">
        <v>39082</v>
      </c>
      <c r="E1459" s="12">
        <v>45707</v>
      </c>
      <c r="F1459" s="12">
        <v>45859</v>
      </c>
      <c r="G1459" s="10">
        <v>26740</v>
      </c>
      <c r="H1459">
        <v>0</v>
      </c>
      <c r="I1459" t="s">
        <v>208</v>
      </c>
      <c r="J1459" t="s">
        <v>58</v>
      </c>
      <c r="K1459" t="s">
        <v>15</v>
      </c>
    </row>
    <row r="1460" spans="1:11" hidden="1" x14ac:dyDescent="0.35">
      <c r="A1460" t="s">
        <v>16</v>
      </c>
      <c r="B1460" t="s">
        <v>17</v>
      </c>
      <c r="C1460">
        <v>28369</v>
      </c>
      <c r="D1460">
        <v>38360</v>
      </c>
      <c r="E1460" s="12">
        <v>45667</v>
      </c>
      <c r="F1460" s="12">
        <v>45859</v>
      </c>
      <c r="G1460" s="10">
        <v>6720</v>
      </c>
      <c r="H1460">
        <v>0</v>
      </c>
      <c r="I1460" t="s">
        <v>1643</v>
      </c>
      <c r="J1460" t="s">
        <v>18</v>
      </c>
      <c r="K1460" t="s">
        <v>15</v>
      </c>
    </row>
    <row r="1461" spans="1:11" hidden="1" x14ac:dyDescent="0.35">
      <c r="A1461" t="s">
        <v>16</v>
      </c>
      <c r="B1461" t="s">
        <v>17</v>
      </c>
      <c r="C1461">
        <v>27798</v>
      </c>
      <c r="D1461">
        <v>37616</v>
      </c>
      <c r="E1461" s="12">
        <v>45610</v>
      </c>
      <c r="F1461" s="12">
        <v>45859</v>
      </c>
      <c r="G1461" s="10">
        <v>1200</v>
      </c>
      <c r="H1461">
        <v>0</v>
      </c>
      <c r="I1461" t="s">
        <v>1538</v>
      </c>
      <c r="J1461" t="s">
        <v>18</v>
      </c>
      <c r="K1461" t="s">
        <v>15</v>
      </c>
    </row>
    <row r="1462" spans="1:11" hidden="1" x14ac:dyDescent="0.35">
      <c r="A1462" t="s">
        <v>16</v>
      </c>
      <c r="B1462" t="s">
        <v>17</v>
      </c>
      <c r="C1462">
        <v>26440</v>
      </c>
      <c r="D1462">
        <v>36068</v>
      </c>
      <c r="E1462" s="12">
        <v>45516</v>
      </c>
      <c r="F1462" s="12">
        <v>45859</v>
      </c>
      <c r="G1462" s="10">
        <v>109417.56</v>
      </c>
      <c r="H1462">
        <v>0</v>
      </c>
      <c r="I1462" t="s">
        <v>1485</v>
      </c>
      <c r="J1462" t="s">
        <v>18</v>
      </c>
      <c r="K1462" t="s">
        <v>15</v>
      </c>
    </row>
    <row r="1463" spans="1:11" hidden="1" x14ac:dyDescent="0.35">
      <c r="A1463" t="s">
        <v>16</v>
      </c>
      <c r="B1463" t="s">
        <v>17</v>
      </c>
      <c r="C1463">
        <v>27092</v>
      </c>
      <c r="D1463">
        <v>36790</v>
      </c>
      <c r="E1463" s="12">
        <v>45561</v>
      </c>
      <c r="F1463" s="12">
        <v>45860</v>
      </c>
      <c r="G1463" s="10">
        <v>122953.2</v>
      </c>
      <c r="H1463">
        <v>0</v>
      </c>
      <c r="I1463" t="s">
        <v>964</v>
      </c>
      <c r="J1463" t="s">
        <v>18</v>
      </c>
      <c r="K1463" t="s">
        <v>15</v>
      </c>
    </row>
    <row r="1464" spans="1:11" hidden="1" x14ac:dyDescent="0.35">
      <c r="A1464" t="s">
        <v>31</v>
      </c>
      <c r="B1464" t="s">
        <v>32</v>
      </c>
      <c r="C1464">
        <v>29245</v>
      </c>
      <c r="D1464">
        <v>39430</v>
      </c>
      <c r="E1464" s="12">
        <v>45740</v>
      </c>
      <c r="F1464" s="12">
        <v>45860</v>
      </c>
      <c r="G1464" s="10">
        <v>1931.22</v>
      </c>
      <c r="H1464">
        <v>0</v>
      </c>
      <c r="I1464" t="s">
        <v>271</v>
      </c>
      <c r="J1464" t="s">
        <v>34</v>
      </c>
      <c r="K1464" t="s">
        <v>15</v>
      </c>
    </row>
    <row r="1465" spans="1:11" hidden="1" x14ac:dyDescent="0.35">
      <c r="A1465" t="s">
        <v>68</v>
      </c>
      <c r="B1465" t="s">
        <v>69</v>
      </c>
      <c r="C1465">
        <v>28586</v>
      </c>
      <c r="D1465">
        <v>38610</v>
      </c>
      <c r="E1465" s="12">
        <v>45680</v>
      </c>
      <c r="F1465" s="12">
        <v>45860</v>
      </c>
      <c r="G1465" s="10">
        <v>5838.65</v>
      </c>
      <c r="H1465">
        <v>0</v>
      </c>
      <c r="I1465" t="s">
        <v>427</v>
      </c>
      <c r="J1465" t="s">
        <v>14</v>
      </c>
      <c r="K1465" t="s">
        <v>15</v>
      </c>
    </row>
    <row r="1466" spans="1:11" hidden="1" x14ac:dyDescent="0.35">
      <c r="A1466" t="s">
        <v>382</v>
      </c>
      <c r="B1466" t="s">
        <v>383</v>
      </c>
      <c r="C1466">
        <v>29243</v>
      </c>
      <c r="D1466">
        <v>39428</v>
      </c>
      <c r="E1466" s="12">
        <v>45740</v>
      </c>
      <c r="F1466" s="12">
        <v>45860</v>
      </c>
      <c r="G1466" s="10">
        <v>171520</v>
      </c>
      <c r="H1466">
        <v>0</v>
      </c>
      <c r="I1466" t="s">
        <v>1368</v>
      </c>
      <c r="J1466" t="s">
        <v>44</v>
      </c>
      <c r="K1466" t="s">
        <v>15</v>
      </c>
    </row>
    <row r="1467" spans="1:11" hidden="1" x14ac:dyDescent="0.35">
      <c r="A1467" t="s">
        <v>1029</v>
      </c>
      <c r="B1467" t="s">
        <v>1030</v>
      </c>
      <c r="C1467">
        <v>29248</v>
      </c>
      <c r="D1467">
        <v>39433</v>
      </c>
      <c r="E1467" s="12">
        <v>45740</v>
      </c>
      <c r="F1467" s="12">
        <v>45860</v>
      </c>
      <c r="G1467" s="10">
        <v>29300</v>
      </c>
      <c r="H1467">
        <v>0</v>
      </c>
      <c r="I1467" t="s">
        <v>1031</v>
      </c>
      <c r="J1467" t="s">
        <v>91</v>
      </c>
      <c r="K1467" t="s">
        <v>15</v>
      </c>
    </row>
    <row r="1468" spans="1:11" hidden="1" x14ac:dyDescent="0.35">
      <c r="A1468" t="s">
        <v>1373</v>
      </c>
      <c r="B1468" t="s">
        <v>1030</v>
      </c>
      <c r="C1468">
        <v>29247</v>
      </c>
      <c r="D1468">
        <v>39432</v>
      </c>
      <c r="E1468" s="12">
        <v>45740</v>
      </c>
      <c r="F1468" s="12">
        <v>45860</v>
      </c>
      <c r="G1468" s="10">
        <v>30234.9</v>
      </c>
      <c r="H1468">
        <v>0</v>
      </c>
      <c r="I1468" t="s">
        <v>1374</v>
      </c>
      <c r="J1468" t="s">
        <v>34</v>
      </c>
    </row>
    <row r="1469" spans="1:11" hidden="1" x14ac:dyDescent="0.35">
      <c r="A1469" t="s">
        <v>31</v>
      </c>
      <c r="B1469" t="s">
        <v>32</v>
      </c>
      <c r="C1469">
        <v>29244</v>
      </c>
      <c r="D1469">
        <v>39429</v>
      </c>
      <c r="E1469" s="12">
        <v>45740</v>
      </c>
      <c r="F1469" s="12">
        <v>45860</v>
      </c>
      <c r="G1469" s="10">
        <v>20324.14</v>
      </c>
      <c r="H1469">
        <v>0</v>
      </c>
      <c r="I1469" t="s">
        <v>271</v>
      </c>
      <c r="J1469" t="s">
        <v>34</v>
      </c>
      <c r="K1469" t="s">
        <v>15</v>
      </c>
    </row>
    <row r="1470" spans="1:11" hidden="1" x14ac:dyDescent="0.35">
      <c r="A1470" t="s">
        <v>31</v>
      </c>
      <c r="B1470" t="s">
        <v>32</v>
      </c>
      <c r="C1470">
        <v>29246</v>
      </c>
      <c r="D1470">
        <v>39431</v>
      </c>
      <c r="E1470" s="12">
        <v>45740</v>
      </c>
      <c r="F1470" s="12">
        <v>45860</v>
      </c>
      <c r="G1470" s="10">
        <v>1931.22</v>
      </c>
      <c r="H1470">
        <v>0</v>
      </c>
      <c r="I1470" t="s">
        <v>271</v>
      </c>
      <c r="J1470" t="s">
        <v>34</v>
      </c>
      <c r="K1470" t="s">
        <v>15</v>
      </c>
    </row>
    <row r="1471" spans="1:11" hidden="1" x14ac:dyDescent="0.35">
      <c r="A1471" t="s">
        <v>594</v>
      </c>
      <c r="B1471" t="s">
        <v>595</v>
      </c>
      <c r="C1471">
        <v>28591</v>
      </c>
      <c r="D1471">
        <v>38616</v>
      </c>
      <c r="E1471" s="12">
        <v>45681</v>
      </c>
      <c r="F1471" s="12">
        <v>45861</v>
      </c>
      <c r="G1471" s="10">
        <v>21060.04</v>
      </c>
      <c r="H1471">
        <v>0</v>
      </c>
      <c r="I1471" t="s">
        <v>596</v>
      </c>
      <c r="J1471" t="s">
        <v>58</v>
      </c>
      <c r="K1471" t="s">
        <v>15</v>
      </c>
    </row>
    <row r="1472" spans="1:11" hidden="1" x14ac:dyDescent="0.35">
      <c r="A1472" t="s">
        <v>554</v>
      </c>
      <c r="B1472" t="s">
        <v>246</v>
      </c>
      <c r="C1472">
        <v>29253</v>
      </c>
      <c r="D1472">
        <v>39439</v>
      </c>
      <c r="E1472" s="12">
        <v>45741</v>
      </c>
      <c r="F1472" s="12">
        <v>45861</v>
      </c>
      <c r="G1472" s="10">
        <v>18735</v>
      </c>
      <c r="H1472">
        <v>0</v>
      </c>
      <c r="I1472" t="s">
        <v>1657</v>
      </c>
      <c r="J1472" t="s">
        <v>34</v>
      </c>
      <c r="K1472" t="s">
        <v>15</v>
      </c>
    </row>
    <row r="1473" spans="1:11" hidden="1" x14ac:dyDescent="0.35">
      <c r="A1473" t="s">
        <v>31</v>
      </c>
      <c r="B1473" t="s">
        <v>32</v>
      </c>
      <c r="C1473">
        <v>29260</v>
      </c>
      <c r="D1473">
        <v>39448</v>
      </c>
      <c r="E1473" s="12">
        <v>45741</v>
      </c>
      <c r="F1473" s="12">
        <v>45861</v>
      </c>
      <c r="G1473" s="10">
        <v>97.4</v>
      </c>
      <c r="H1473">
        <v>0</v>
      </c>
      <c r="I1473" t="s">
        <v>271</v>
      </c>
      <c r="J1473" t="s">
        <v>34</v>
      </c>
      <c r="K1473" t="s">
        <v>15</v>
      </c>
    </row>
    <row r="1474" spans="1:11" hidden="1" x14ac:dyDescent="0.35">
      <c r="A1474" t="s">
        <v>31</v>
      </c>
      <c r="B1474" t="s">
        <v>32</v>
      </c>
      <c r="C1474">
        <v>29258</v>
      </c>
      <c r="D1474">
        <v>39446</v>
      </c>
      <c r="E1474" s="12">
        <v>45741</v>
      </c>
      <c r="F1474" s="12">
        <v>45861</v>
      </c>
      <c r="G1474" s="10">
        <v>353.33</v>
      </c>
      <c r="H1474">
        <v>0</v>
      </c>
      <c r="I1474" t="s">
        <v>271</v>
      </c>
      <c r="J1474" t="s">
        <v>34</v>
      </c>
      <c r="K1474" t="s">
        <v>15</v>
      </c>
    </row>
    <row r="1475" spans="1:11" hidden="1" x14ac:dyDescent="0.35">
      <c r="A1475" t="s">
        <v>245</v>
      </c>
      <c r="B1475" t="s">
        <v>246</v>
      </c>
      <c r="C1475">
        <v>29254</v>
      </c>
      <c r="D1475">
        <v>39440</v>
      </c>
      <c r="E1475" s="12">
        <v>45741</v>
      </c>
      <c r="F1475" s="12">
        <v>45861</v>
      </c>
      <c r="G1475" s="10">
        <v>21301</v>
      </c>
      <c r="H1475">
        <v>0</v>
      </c>
      <c r="I1475" t="s">
        <v>1126</v>
      </c>
      <c r="J1475" t="s">
        <v>34</v>
      </c>
      <c r="K1475" t="s">
        <v>15</v>
      </c>
    </row>
    <row r="1476" spans="1:11" hidden="1" x14ac:dyDescent="0.35">
      <c r="A1476" t="s">
        <v>31</v>
      </c>
      <c r="B1476" t="s">
        <v>32</v>
      </c>
      <c r="C1476">
        <v>29259</v>
      </c>
      <c r="D1476">
        <v>39447</v>
      </c>
      <c r="E1476" s="12">
        <v>45741</v>
      </c>
      <c r="F1476" s="12">
        <v>45861</v>
      </c>
      <c r="G1476" s="10">
        <v>1965.44</v>
      </c>
      <c r="H1476">
        <v>0</v>
      </c>
      <c r="I1476" t="s">
        <v>271</v>
      </c>
      <c r="J1476" t="s">
        <v>34</v>
      </c>
      <c r="K1476" t="s">
        <v>15</v>
      </c>
    </row>
    <row r="1477" spans="1:11" hidden="1" x14ac:dyDescent="0.35">
      <c r="A1477" t="s">
        <v>288</v>
      </c>
      <c r="B1477" t="s">
        <v>289</v>
      </c>
      <c r="C1477">
        <v>29251</v>
      </c>
      <c r="D1477">
        <v>39437</v>
      </c>
      <c r="E1477" s="12">
        <v>45741</v>
      </c>
      <c r="F1477" s="12">
        <v>45861</v>
      </c>
      <c r="G1477" s="10">
        <v>14223.84</v>
      </c>
      <c r="H1477">
        <v>0</v>
      </c>
      <c r="I1477" t="s">
        <v>996</v>
      </c>
      <c r="J1477" t="s">
        <v>34</v>
      </c>
      <c r="K1477" t="s">
        <v>15</v>
      </c>
    </row>
    <row r="1478" spans="1:11" hidden="1" x14ac:dyDescent="0.35">
      <c r="A1478" t="s">
        <v>31</v>
      </c>
      <c r="B1478" t="s">
        <v>32</v>
      </c>
      <c r="C1478">
        <v>29261</v>
      </c>
      <c r="D1478">
        <v>39449</v>
      </c>
      <c r="E1478" s="12">
        <v>45741</v>
      </c>
      <c r="F1478" s="12">
        <v>45861</v>
      </c>
      <c r="G1478" s="10">
        <v>2271.66</v>
      </c>
      <c r="H1478">
        <v>0</v>
      </c>
      <c r="I1478" t="s">
        <v>271</v>
      </c>
      <c r="J1478" t="s">
        <v>34</v>
      </c>
      <c r="K1478" t="s">
        <v>15</v>
      </c>
    </row>
    <row r="1479" spans="1:11" hidden="1" x14ac:dyDescent="0.35">
      <c r="A1479" t="s">
        <v>288</v>
      </c>
      <c r="B1479" t="s">
        <v>289</v>
      </c>
      <c r="C1479">
        <v>29025</v>
      </c>
      <c r="D1479">
        <v>39153</v>
      </c>
      <c r="E1479" s="12">
        <v>45712</v>
      </c>
      <c r="F1479" s="12">
        <v>45862</v>
      </c>
      <c r="G1479" s="10">
        <v>19080</v>
      </c>
      <c r="H1479">
        <v>0</v>
      </c>
      <c r="I1479" t="s">
        <v>996</v>
      </c>
      <c r="J1479" t="s">
        <v>34</v>
      </c>
      <c r="K1479" t="s">
        <v>15</v>
      </c>
    </row>
    <row r="1480" spans="1:11" hidden="1" x14ac:dyDescent="0.35">
      <c r="A1480" t="s">
        <v>770</v>
      </c>
      <c r="B1480" t="s">
        <v>771</v>
      </c>
      <c r="C1480">
        <v>29023</v>
      </c>
      <c r="D1480">
        <v>39151</v>
      </c>
      <c r="E1480" s="12">
        <v>45712</v>
      </c>
      <c r="F1480" s="12">
        <v>45862</v>
      </c>
      <c r="G1480" s="10">
        <v>29040.06</v>
      </c>
      <c r="H1480">
        <v>0</v>
      </c>
      <c r="I1480" t="s">
        <v>1572</v>
      </c>
      <c r="J1480" t="s">
        <v>44</v>
      </c>
      <c r="K1480" t="s">
        <v>15</v>
      </c>
    </row>
    <row r="1481" spans="1:11" hidden="1" x14ac:dyDescent="0.35">
      <c r="A1481" t="s">
        <v>954</v>
      </c>
      <c r="B1481" t="s">
        <v>955</v>
      </c>
      <c r="C1481">
        <v>29262</v>
      </c>
      <c r="D1481">
        <v>39451</v>
      </c>
      <c r="E1481" s="12">
        <v>45742</v>
      </c>
      <c r="F1481" s="12">
        <v>45862</v>
      </c>
      <c r="G1481" s="10">
        <v>35558.400000000001</v>
      </c>
      <c r="H1481">
        <v>0</v>
      </c>
      <c r="I1481" t="s">
        <v>1652</v>
      </c>
      <c r="J1481" t="s">
        <v>34</v>
      </c>
      <c r="K1481" t="s">
        <v>15</v>
      </c>
    </row>
    <row r="1482" spans="1:11" hidden="1" x14ac:dyDescent="0.35">
      <c r="A1482" t="s">
        <v>31</v>
      </c>
      <c r="B1482" t="s">
        <v>32</v>
      </c>
      <c r="C1482">
        <v>29045</v>
      </c>
      <c r="D1482">
        <v>39176</v>
      </c>
      <c r="E1482" s="12">
        <v>45713</v>
      </c>
      <c r="F1482" s="12">
        <v>45863</v>
      </c>
      <c r="G1482" s="10">
        <v>13436.25</v>
      </c>
      <c r="H1482">
        <v>0</v>
      </c>
      <c r="I1482" t="s">
        <v>271</v>
      </c>
      <c r="J1482" t="s">
        <v>34</v>
      </c>
      <c r="K1482" t="s">
        <v>15</v>
      </c>
    </row>
    <row r="1483" spans="1:11" hidden="1" x14ac:dyDescent="0.35">
      <c r="A1483" t="s">
        <v>31</v>
      </c>
      <c r="B1483" t="s">
        <v>32</v>
      </c>
      <c r="C1483">
        <v>29154</v>
      </c>
      <c r="D1483">
        <v>39322</v>
      </c>
      <c r="E1483" s="12">
        <v>45728</v>
      </c>
      <c r="F1483" s="12">
        <v>45863</v>
      </c>
      <c r="G1483" s="10">
        <v>14305.54</v>
      </c>
      <c r="H1483">
        <v>0</v>
      </c>
      <c r="I1483" t="s">
        <v>1459</v>
      </c>
      <c r="J1483" t="s">
        <v>34</v>
      </c>
      <c r="K1483" t="s">
        <v>15</v>
      </c>
    </row>
    <row r="1484" spans="1:11" hidden="1" x14ac:dyDescent="0.35">
      <c r="A1484" t="s">
        <v>31</v>
      </c>
      <c r="B1484" t="s">
        <v>32</v>
      </c>
      <c r="C1484">
        <v>29153</v>
      </c>
      <c r="D1484">
        <v>39321</v>
      </c>
      <c r="E1484" s="12">
        <v>45728</v>
      </c>
      <c r="F1484" s="12">
        <v>45863</v>
      </c>
      <c r="G1484" s="10">
        <v>6866.66</v>
      </c>
      <c r="H1484">
        <v>0</v>
      </c>
      <c r="I1484" t="s">
        <v>1518</v>
      </c>
      <c r="J1484" t="s">
        <v>34</v>
      </c>
      <c r="K1484" t="s">
        <v>15</v>
      </c>
    </row>
    <row r="1485" spans="1:11" hidden="1" x14ac:dyDescent="0.35">
      <c r="A1485" t="s">
        <v>562</v>
      </c>
      <c r="B1485" t="s">
        <v>563</v>
      </c>
      <c r="C1485">
        <v>29265</v>
      </c>
      <c r="D1485">
        <v>39456</v>
      </c>
      <c r="E1485" s="12">
        <v>45743</v>
      </c>
      <c r="F1485" s="12">
        <v>45863</v>
      </c>
      <c r="G1485" s="10">
        <v>173376</v>
      </c>
      <c r="H1485">
        <v>0</v>
      </c>
      <c r="I1485" t="s">
        <v>1458</v>
      </c>
      <c r="J1485" t="s">
        <v>111</v>
      </c>
      <c r="K1485" t="s">
        <v>15</v>
      </c>
    </row>
    <row r="1486" spans="1:11" hidden="1" x14ac:dyDescent="0.35">
      <c r="A1486" t="s">
        <v>1381</v>
      </c>
      <c r="B1486" t="s">
        <v>1382</v>
      </c>
      <c r="C1486">
        <v>29264</v>
      </c>
      <c r="D1486">
        <v>39454</v>
      </c>
      <c r="E1486" s="12">
        <v>45743</v>
      </c>
      <c r="F1486" s="12">
        <v>45863</v>
      </c>
      <c r="G1486" s="10">
        <v>39347.9</v>
      </c>
      <c r="H1486">
        <v>0</v>
      </c>
      <c r="I1486" t="s">
        <v>1383</v>
      </c>
      <c r="J1486" t="s">
        <v>111</v>
      </c>
      <c r="K1486" t="s">
        <v>15</v>
      </c>
    </row>
    <row r="1487" spans="1:11" hidden="1" x14ac:dyDescent="0.35">
      <c r="A1487" t="s">
        <v>31</v>
      </c>
      <c r="B1487" t="s">
        <v>32</v>
      </c>
      <c r="C1487">
        <v>29044</v>
      </c>
      <c r="D1487">
        <v>39175</v>
      </c>
      <c r="E1487" s="12">
        <v>45713</v>
      </c>
      <c r="F1487" s="12">
        <v>45863</v>
      </c>
      <c r="G1487" s="10">
        <v>7734.7</v>
      </c>
      <c r="H1487">
        <v>0</v>
      </c>
      <c r="I1487" t="s">
        <v>271</v>
      </c>
      <c r="J1487" t="s">
        <v>34</v>
      </c>
      <c r="K1487" t="s">
        <v>15</v>
      </c>
    </row>
    <row r="1488" spans="1:11" hidden="1" x14ac:dyDescent="0.35">
      <c r="A1488" t="s">
        <v>677</v>
      </c>
      <c r="B1488" t="s">
        <v>553</v>
      </c>
      <c r="C1488">
        <v>27670</v>
      </c>
      <c r="D1488">
        <v>37448</v>
      </c>
      <c r="E1488" s="12">
        <v>45596</v>
      </c>
      <c r="F1488" s="12">
        <v>45866</v>
      </c>
      <c r="G1488" s="10">
        <v>45000</v>
      </c>
      <c r="H1488">
        <v>0</v>
      </c>
      <c r="I1488" t="s">
        <v>678</v>
      </c>
      <c r="J1488" t="s">
        <v>58</v>
      </c>
      <c r="K1488" t="s">
        <v>15</v>
      </c>
    </row>
    <row r="1489" spans="1:11" hidden="1" x14ac:dyDescent="0.35">
      <c r="A1489" t="s">
        <v>474</v>
      </c>
      <c r="B1489" t="s">
        <v>475</v>
      </c>
      <c r="C1489">
        <v>28709</v>
      </c>
      <c r="D1489">
        <v>38750</v>
      </c>
      <c r="E1489" s="12">
        <v>45686</v>
      </c>
      <c r="F1489" s="12">
        <v>45866</v>
      </c>
      <c r="G1489" s="10">
        <v>14487.4</v>
      </c>
      <c r="H1489">
        <v>0</v>
      </c>
      <c r="I1489" t="s">
        <v>813</v>
      </c>
      <c r="J1489" t="s">
        <v>44</v>
      </c>
      <c r="K1489" t="s">
        <v>15</v>
      </c>
    </row>
    <row r="1490" spans="1:11" hidden="1" x14ac:dyDescent="0.35">
      <c r="A1490" t="s">
        <v>317</v>
      </c>
      <c r="B1490" t="s">
        <v>56</v>
      </c>
      <c r="C1490">
        <v>29077</v>
      </c>
      <c r="D1490">
        <v>39230</v>
      </c>
      <c r="E1490" s="12">
        <v>45716</v>
      </c>
      <c r="F1490" s="12">
        <v>45866</v>
      </c>
      <c r="G1490" s="10">
        <v>81280</v>
      </c>
      <c r="H1490">
        <v>0</v>
      </c>
      <c r="I1490" t="s">
        <v>1442</v>
      </c>
      <c r="J1490" t="s">
        <v>44</v>
      </c>
    </row>
    <row r="1491" spans="1:11" hidden="1" x14ac:dyDescent="0.35">
      <c r="A1491" t="s">
        <v>31</v>
      </c>
      <c r="B1491" t="s">
        <v>32</v>
      </c>
      <c r="C1491">
        <v>28678</v>
      </c>
      <c r="D1491">
        <v>38719</v>
      </c>
      <c r="E1491" s="12">
        <v>45685</v>
      </c>
      <c r="F1491" s="12">
        <v>45866</v>
      </c>
      <c r="G1491" s="10">
        <v>8138.88</v>
      </c>
      <c r="H1491">
        <v>0</v>
      </c>
      <c r="I1491" t="s">
        <v>271</v>
      </c>
      <c r="J1491" t="s">
        <v>34</v>
      </c>
      <c r="K1491" t="s">
        <v>15</v>
      </c>
    </row>
    <row r="1492" spans="1:11" hidden="1" x14ac:dyDescent="0.35">
      <c r="A1492" t="s">
        <v>68</v>
      </c>
      <c r="B1492" t="s">
        <v>69</v>
      </c>
      <c r="C1492">
        <v>27942</v>
      </c>
      <c r="D1492">
        <v>37810</v>
      </c>
      <c r="E1492" s="12">
        <v>45625</v>
      </c>
      <c r="F1492" s="12">
        <v>45866</v>
      </c>
      <c r="G1492" s="10">
        <v>5211</v>
      </c>
      <c r="H1492">
        <v>0</v>
      </c>
      <c r="I1492" t="s">
        <v>1509</v>
      </c>
      <c r="J1492" t="s">
        <v>14</v>
      </c>
      <c r="K1492" t="s">
        <v>15</v>
      </c>
    </row>
    <row r="1493" spans="1:11" hidden="1" x14ac:dyDescent="0.35">
      <c r="A1493" t="s">
        <v>725</v>
      </c>
      <c r="B1493" t="s">
        <v>726</v>
      </c>
      <c r="C1493">
        <v>29071</v>
      </c>
      <c r="D1493">
        <v>39213</v>
      </c>
      <c r="E1493" s="12">
        <v>45714</v>
      </c>
      <c r="F1493" s="12">
        <v>45866</v>
      </c>
      <c r="G1493" s="10">
        <v>4000</v>
      </c>
      <c r="H1493">
        <v>0</v>
      </c>
      <c r="I1493" t="s">
        <v>727</v>
      </c>
      <c r="J1493" t="s">
        <v>111</v>
      </c>
      <c r="K1493" t="s">
        <v>15</v>
      </c>
    </row>
    <row r="1494" spans="1:11" hidden="1" x14ac:dyDescent="0.35">
      <c r="A1494" t="s">
        <v>45</v>
      </c>
      <c r="B1494" t="s">
        <v>46</v>
      </c>
      <c r="C1494">
        <v>29069</v>
      </c>
      <c r="D1494">
        <v>39211</v>
      </c>
      <c r="E1494" s="12">
        <v>45714</v>
      </c>
      <c r="F1494" s="12">
        <v>45866</v>
      </c>
      <c r="G1494" s="10">
        <v>21600</v>
      </c>
      <c r="H1494">
        <v>0</v>
      </c>
      <c r="I1494" t="s">
        <v>1435</v>
      </c>
      <c r="J1494" t="s">
        <v>48</v>
      </c>
      <c r="K1494" t="s">
        <v>15</v>
      </c>
    </row>
    <row r="1495" spans="1:11" hidden="1" x14ac:dyDescent="0.35">
      <c r="A1495" t="s">
        <v>31</v>
      </c>
      <c r="B1495" t="s">
        <v>32</v>
      </c>
      <c r="C1495">
        <v>28677</v>
      </c>
      <c r="D1495">
        <v>38718</v>
      </c>
      <c r="E1495" s="12">
        <v>45685</v>
      </c>
      <c r="F1495" s="12">
        <v>45866</v>
      </c>
      <c r="G1495" s="10">
        <v>9583.36</v>
      </c>
      <c r="H1495">
        <v>0</v>
      </c>
      <c r="I1495" t="s">
        <v>271</v>
      </c>
      <c r="J1495" t="s">
        <v>34</v>
      </c>
      <c r="K1495" t="s">
        <v>15</v>
      </c>
    </row>
    <row r="1496" spans="1:11" hidden="1" x14ac:dyDescent="0.35">
      <c r="A1496" t="s">
        <v>770</v>
      </c>
      <c r="B1496" t="s">
        <v>771</v>
      </c>
      <c r="C1496">
        <v>28715</v>
      </c>
      <c r="D1496">
        <v>38759</v>
      </c>
      <c r="E1496" s="12">
        <v>45687</v>
      </c>
      <c r="F1496" s="12">
        <v>45867</v>
      </c>
      <c r="G1496" s="10">
        <v>217.6</v>
      </c>
      <c r="H1496">
        <v>0</v>
      </c>
      <c r="I1496" t="s">
        <v>772</v>
      </c>
      <c r="J1496" t="s">
        <v>44</v>
      </c>
      <c r="K1496" t="s">
        <v>15</v>
      </c>
    </row>
    <row r="1497" spans="1:11" hidden="1" x14ac:dyDescent="0.35">
      <c r="A1497" t="s">
        <v>770</v>
      </c>
      <c r="B1497" t="s">
        <v>771</v>
      </c>
      <c r="C1497">
        <v>28716</v>
      </c>
      <c r="D1497">
        <v>38760</v>
      </c>
      <c r="E1497" s="12">
        <v>45687</v>
      </c>
      <c r="F1497" s="12">
        <v>45867</v>
      </c>
      <c r="G1497" s="10">
        <v>4980.8</v>
      </c>
      <c r="H1497">
        <v>0</v>
      </c>
      <c r="I1497" t="s">
        <v>772</v>
      </c>
      <c r="J1497" t="s">
        <v>44</v>
      </c>
      <c r="K1497" t="s">
        <v>15</v>
      </c>
    </row>
    <row r="1498" spans="1:11" hidden="1" x14ac:dyDescent="0.35">
      <c r="A1498" t="s">
        <v>770</v>
      </c>
      <c r="B1498" t="s">
        <v>771</v>
      </c>
      <c r="C1498">
        <v>28717</v>
      </c>
      <c r="D1498">
        <v>38761</v>
      </c>
      <c r="E1498" s="12">
        <v>45687</v>
      </c>
      <c r="F1498" s="12">
        <v>45867</v>
      </c>
      <c r="G1498" s="10">
        <v>1276</v>
      </c>
      <c r="H1498">
        <v>0</v>
      </c>
      <c r="I1498" t="s">
        <v>772</v>
      </c>
      <c r="J1498" t="s">
        <v>44</v>
      </c>
      <c r="K1498" t="s">
        <v>15</v>
      </c>
    </row>
    <row r="1499" spans="1:11" hidden="1" x14ac:dyDescent="0.35">
      <c r="A1499" t="s">
        <v>791</v>
      </c>
      <c r="B1499" t="s">
        <v>56</v>
      </c>
      <c r="C1499">
        <v>28723</v>
      </c>
      <c r="D1499">
        <v>38767</v>
      </c>
      <c r="E1499" s="12">
        <v>45687</v>
      </c>
      <c r="F1499" s="12">
        <v>45867</v>
      </c>
      <c r="G1499" s="10">
        <v>18255</v>
      </c>
      <c r="H1499">
        <v>0</v>
      </c>
      <c r="I1499" t="s">
        <v>1156</v>
      </c>
      <c r="J1499" t="s">
        <v>44</v>
      </c>
      <c r="K1499" t="s">
        <v>15</v>
      </c>
    </row>
    <row r="1500" spans="1:11" hidden="1" x14ac:dyDescent="0.35">
      <c r="A1500" t="s">
        <v>31</v>
      </c>
      <c r="B1500" t="s">
        <v>32</v>
      </c>
      <c r="C1500">
        <v>28896</v>
      </c>
      <c r="D1500">
        <v>39001</v>
      </c>
      <c r="E1500" s="12">
        <v>45702</v>
      </c>
      <c r="F1500" s="12">
        <v>45867</v>
      </c>
      <c r="G1500" s="10">
        <v>387.78</v>
      </c>
      <c r="H1500">
        <v>0</v>
      </c>
      <c r="I1500" t="s">
        <v>271</v>
      </c>
      <c r="J1500" t="s">
        <v>34</v>
      </c>
      <c r="K1500" t="s">
        <v>15</v>
      </c>
    </row>
    <row r="1501" spans="1:11" hidden="1" x14ac:dyDescent="0.35">
      <c r="A1501" t="s">
        <v>1707</v>
      </c>
      <c r="B1501" t="s">
        <v>1708</v>
      </c>
      <c r="C1501">
        <v>29271</v>
      </c>
      <c r="D1501">
        <v>39468</v>
      </c>
      <c r="E1501" s="12">
        <v>45747</v>
      </c>
      <c r="F1501" s="12">
        <v>45867</v>
      </c>
      <c r="G1501" s="10">
        <v>5140.22</v>
      </c>
      <c r="H1501">
        <v>0</v>
      </c>
      <c r="I1501" t="s">
        <v>1709</v>
      </c>
      <c r="J1501" t="s">
        <v>194</v>
      </c>
      <c r="K1501" t="s">
        <v>15</v>
      </c>
    </row>
    <row r="1502" spans="1:11" hidden="1" x14ac:dyDescent="0.35">
      <c r="A1502" t="s">
        <v>31</v>
      </c>
      <c r="B1502" t="s">
        <v>32</v>
      </c>
      <c r="C1502">
        <v>28894</v>
      </c>
      <c r="D1502">
        <v>38999</v>
      </c>
      <c r="E1502" s="12">
        <v>45702</v>
      </c>
      <c r="F1502" s="12">
        <v>45867</v>
      </c>
      <c r="G1502" s="10">
        <v>2520</v>
      </c>
      <c r="H1502">
        <v>0</v>
      </c>
      <c r="I1502" t="s">
        <v>271</v>
      </c>
      <c r="J1502" t="s">
        <v>34</v>
      </c>
      <c r="K1502" t="s">
        <v>15</v>
      </c>
    </row>
    <row r="1503" spans="1:11" hidden="1" x14ac:dyDescent="0.35">
      <c r="A1503" t="s">
        <v>31</v>
      </c>
      <c r="B1503" t="s">
        <v>32</v>
      </c>
      <c r="C1503">
        <v>28895</v>
      </c>
      <c r="D1503">
        <v>39000</v>
      </c>
      <c r="E1503" s="12">
        <v>45702</v>
      </c>
      <c r="F1503" s="12">
        <v>45867</v>
      </c>
      <c r="G1503" s="10">
        <v>1915</v>
      </c>
      <c r="H1503">
        <v>0</v>
      </c>
      <c r="I1503" t="s">
        <v>271</v>
      </c>
      <c r="J1503" t="s">
        <v>34</v>
      </c>
      <c r="K1503" t="s">
        <v>15</v>
      </c>
    </row>
    <row r="1504" spans="1:11" hidden="1" x14ac:dyDescent="0.35">
      <c r="A1504" t="s">
        <v>74</v>
      </c>
      <c r="B1504" t="s">
        <v>75</v>
      </c>
      <c r="C1504">
        <v>27927</v>
      </c>
      <c r="D1504">
        <v>37795</v>
      </c>
      <c r="E1504" s="12">
        <v>45625</v>
      </c>
      <c r="F1504" s="12">
        <v>45868</v>
      </c>
      <c r="G1504" s="10">
        <v>27500</v>
      </c>
      <c r="H1504">
        <v>0</v>
      </c>
      <c r="I1504" t="s">
        <v>701</v>
      </c>
      <c r="J1504" t="s">
        <v>77</v>
      </c>
      <c r="K1504" t="s">
        <v>15</v>
      </c>
    </row>
    <row r="1505" spans="1:11" hidden="1" x14ac:dyDescent="0.35">
      <c r="A1505" t="s">
        <v>133</v>
      </c>
      <c r="B1505" t="s">
        <v>134</v>
      </c>
      <c r="C1505">
        <v>27856</v>
      </c>
      <c r="D1505">
        <v>37692</v>
      </c>
      <c r="E1505" s="12">
        <v>45618</v>
      </c>
      <c r="F1505" s="12">
        <v>45868</v>
      </c>
      <c r="G1505" s="10">
        <v>101977</v>
      </c>
      <c r="H1505">
        <v>0</v>
      </c>
      <c r="I1505" t="s">
        <v>846</v>
      </c>
      <c r="J1505" t="s">
        <v>77</v>
      </c>
      <c r="K1505" t="s">
        <v>15</v>
      </c>
    </row>
    <row r="1506" spans="1:11" hidden="1" x14ac:dyDescent="0.35">
      <c r="A1506" t="s">
        <v>74</v>
      </c>
      <c r="B1506" t="s">
        <v>75</v>
      </c>
      <c r="C1506">
        <v>27922</v>
      </c>
      <c r="D1506">
        <v>37790</v>
      </c>
      <c r="E1506" s="12">
        <v>45625</v>
      </c>
      <c r="F1506" s="12">
        <v>45868</v>
      </c>
      <c r="G1506" s="10">
        <v>74080</v>
      </c>
      <c r="H1506">
        <v>0</v>
      </c>
      <c r="I1506" t="s">
        <v>76</v>
      </c>
      <c r="J1506" t="s">
        <v>77</v>
      </c>
      <c r="K1506" t="s">
        <v>15</v>
      </c>
    </row>
    <row r="1507" spans="1:11" hidden="1" x14ac:dyDescent="0.35">
      <c r="A1507" t="s">
        <v>133</v>
      </c>
      <c r="B1507" t="s">
        <v>134</v>
      </c>
      <c r="C1507">
        <v>27924</v>
      </c>
      <c r="D1507">
        <v>37792</v>
      </c>
      <c r="E1507" s="12">
        <v>45625</v>
      </c>
      <c r="F1507" s="12">
        <v>45868</v>
      </c>
      <c r="G1507" s="10">
        <v>67270</v>
      </c>
      <c r="H1507">
        <v>0</v>
      </c>
      <c r="I1507" t="s">
        <v>733</v>
      </c>
      <c r="J1507" t="s">
        <v>77</v>
      </c>
      <c r="K1507" t="s">
        <v>15</v>
      </c>
    </row>
    <row r="1508" spans="1:11" hidden="1" x14ac:dyDescent="0.35">
      <c r="A1508" t="s">
        <v>74</v>
      </c>
      <c r="B1508" t="s">
        <v>75</v>
      </c>
      <c r="C1508">
        <v>27926</v>
      </c>
      <c r="D1508">
        <v>37794</v>
      </c>
      <c r="E1508" s="12">
        <v>45625</v>
      </c>
      <c r="F1508" s="12">
        <v>45868</v>
      </c>
      <c r="G1508" s="10">
        <v>27500</v>
      </c>
      <c r="H1508">
        <v>0</v>
      </c>
      <c r="I1508" t="s">
        <v>1106</v>
      </c>
      <c r="J1508" t="s">
        <v>77</v>
      </c>
      <c r="K1508" t="s">
        <v>15</v>
      </c>
    </row>
    <row r="1509" spans="1:11" hidden="1" x14ac:dyDescent="0.35">
      <c r="A1509" t="s">
        <v>763</v>
      </c>
      <c r="B1509" t="s">
        <v>764</v>
      </c>
      <c r="C1509">
        <v>29279</v>
      </c>
      <c r="D1509">
        <v>39480</v>
      </c>
      <c r="E1509" s="12">
        <v>45748</v>
      </c>
      <c r="F1509" s="12">
        <v>45868</v>
      </c>
      <c r="G1509" s="10">
        <v>10836</v>
      </c>
      <c r="H1509">
        <v>0</v>
      </c>
      <c r="I1509" t="s">
        <v>765</v>
      </c>
      <c r="J1509" t="s">
        <v>44</v>
      </c>
      <c r="K1509" t="s">
        <v>15</v>
      </c>
    </row>
    <row r="1510" spans="1:11" hidden="1" x14ac:dyDescent="0.35">
      <c r="A1510" t="s">
        <v>725</v>
      </c>
      <c r="B1510" t="s">
        <v>726</v>
      </c>
      <c r="C1510">
        <v>29281</v>
      </c>
      <c r="D1510">
        <v>39482</v>
      </c>
      <c r="E1510" s="12">
        <v>45748</v>
      </c>
      <c r="F1510" s="12">
        <v>45868</v>
      </c>
      <c r="G1510" s="10">
        <v>2466.6799999999998</v>
      </c>
      <c r="H1510">
        <v>0</v>
      </c>
      <c r="I1510" t="s">
        <v>727</v>
      </c>
      <c r="J1510" t="s">
        <v>111</v>
      </c>
      <c r="K1510" t="s">
        <v>15</v>
      </c>
    </row>
    <row r="1511" spans="1:11" hidden="1" x14ac:dyDescent="0.35">
      <c r="A1511" t="s">
        <v>1163</v>
      </c>
      <c r="B1511" t="s">
        <v>1164</v>
      </c>
      <c r="C1511">
        <v>29006</v>
      </c>
      <c r="D1511">
        <v>39129</v>
      </c>
      <c r="E1511" s="12">
        <v>45708</v>
      </c>
      <c r="F1511" s="12">
        <v>45868</v>
      </c>
      <c r="G1511" s="10">
        <v>105161</v>
      </c>
      <c r="H1511">
        <v>0</v>
      </c>
      <c r="I1511" t="s">
        <v>1596</v>
      </c>
      <c r="J1511" t="s">
        <v>949</v>
      </c>
      <c r="K1511" t="s">
        <v>15</v>
      </c>
    </row>
    <row r="1512" spans="1:11" hidden="1" x14ac:dyDescent="0.35">
      <c r="A1512" t="s">
        <v>55</v>
      </c>
      <c r="B1512" t="s">
        <v>56</v>
      </c>
      <c r="C1512">
        <v>29288</v>
      </c>
      <c r="D1512">
        <v>39489</v>
      </c>
      <c r="E1512" s="12">
        <v>45748</v>
      </c>
      <c r="F1512" s="12">
        <v>45868</v>
      </c>
      <c r="G1512" s="10">
        <v>35904</v>
      </c>
      <c r="H1512">
        <v>0</v>
      </c>
      <c r="I1512" t="s">
        <v>208</v>
      </c>
      <c r="J1512" t="s">
        <v>58</v>
      </c>
      <c r="K1512" t="s">
        <v>15</v>
      </c>
    </row>
    <row r="1513" spans="1:11" hidden="1" x14ac:dyDescent="0.35">
      <c r="A1513" t="s">
        <v>108</v>
      </c>
      <c r="B1513" t="s">
        <v>109</v>
      </c>
      <c r="C1513">
        <v>29273</v>
      </c>
      <c r="D1513">
        <v>39474</v>
      </c>
      <c r="E1513" s="12">
        <v>45748</v>
      </c>
      <c r="F1513" s="12">
        <v>45868</v>
      </c>
      <c r="G1513" s="10">
        <v>11319</v>
      </c>
      <c r="H1513">
        <v>0</v>
      </c>
      <c r="I1513" t="s">
        <v>110</v>
      </c>
      <c r="J1513" t="s">
        <v>111</v>
      </c>
      <c r="K1513" t="s">
        <v>15</v>
      </c>
    </row>
    <row r="1514" spans="1:11" hidden="1" x14ac:dyDescent="0.35">
      <c r="A1514" t="s">
        <v>791</v>
      </c>
      <c r="B1514" t="s">
        <v>56</v>
      </c>
      <c r="C1514">
        <v>29289</v>
      </c>
      <c r="D1514">
        <v>39490</v>
      </c>
      <c r="E1514" s="12">
        <v>45748</v>
      </c>
      <c r="F1514" s="12">
        <v>45868</v>
      </c>
      <c r="G1514" s="10">
        <v>33125</v>
      </c>
      <c r="H1514">
        <v>0</v>
      </c>
      <c r="I1514" t="s">
        <v>1156</v>
      </c>
      <c r="J1514" t="s">
        <v>44</v>
      </c>
      <c r="K1514" t="s">
        <v>15</v>
      </c>
    </row>
    <row r="1515" spans="1:11" hidden="1" x14ac:dyDescent="0.35">
      <c r="A1515" t="s">
        <v>108</v>
      </c>
      <c r="B1515" t="s">
        <v>109</v>
      </c>
      <c r="C1515">
        <v>29272</v>
      </c>
      <c r="D1515">
        <v>39473</v>
      </c>
      <c r="E1515" s="12">
        <v>45748</v>
      </c>
      <c r="F1515" s="12">
        <v>45868</v>
      </c>
      <c r="G1515" s="10">
        <v>67662</v>
      </c>
      <c r="H1515">
        <v>0</v>
      </c>
      <c r="I1515" t="s">
        <v>110</v>
      </c>
      <c r="J1515" t="s">
        <v>111</v>
      </c>
      <c r="K1515" t="s">
        <v>15</v>
      </c>
    </row>
    <row r="1516" spans="1:11" hidden="1" x14ac:dyDescent="0.35">
      <c r="A1516" t="s">
        <v>725</v>
      </c>
      <c r="B1516" t="s">
        <v>726</v>
      </c>
      <c r="C1516">
        <v>29280</v>
      </c>
      <c r="D1516">
        <v>39481</v>
      </c>
      <c r="E1516" s="12">
        <v>45748</v>
      </c>
      <c r="F1516" s="12">
        <v>45868</v>
      </c>
      <c r="G1516" s="10">
        <v>30218.3</v>
      </c>
      <c r="H1516">
        <v>0</v>
      </c>
      <c r="I1516" t="s">
        <v>727</v>
      </c>
      <c r="J1516" t="s">
        <v>111</v>
      </c>
      <c r="K1516" t="s">
        <v>15</v>
      </c>
    </row>
    <row r="1517" spans="1:11" hidden="1" x14ac:dyDescent="0.35">
      <c r="A1517" t="s">
        <v>382</v>
      </c>
      <c r="B1517" t="s">
        <v>383</v>
      </c>
      <c r="C1517">
        <v>29295</v>
      </c>
      <c r="D1517">
        <v>39496</v>
      </c>
      <c r="E1517" s="12">
        <v>45748</v>
      </c>
      <c r="F1517" s="12">
        <v>45868</v>
      </c>
      <c r="G1517" s="10">
        <v>52262</v>
      </c>
      <c r="H1517">
        <v>0</v>
      </c>
      <c r="I1517" t="s">
        <v>1725</v>
      </c>
      <c r="J1517" t="s">
        <v>44</v>
      </c>
      <c r="K1517" t="s">
        <v>15</v>
      </c>
    </row>
    <row r="1518" spans="1:11" hidden="1" x14ac:dyDescent="0.35">
      <c r="A1518" t="s">
        <v>1726</v>
      </c>
      <c r="B1518" t="s">
        <v>454</v>
      </c>
      <c r="C1518">
        <v>29283</v>
      </c>
      <c r="D1518">
        <v>39484</v>
      </c>
      <c r="E1518" s="12">
        <v>45748</v>
      </c>
      <c r="F1518" s="12">
        <v>45868</v>
      </c>
      <c r="G1518" s="10">
        <v>51620</v>
      </c>
      <c r="H1518">
        <v>0</v>
      </c>
      <c r="I1518" t="s">
        <v>1727</v>
      </c>
      <c r="J1518" t="s">
        <v>41</v>
      </c>
      <c r="K1518" t="s">
        <v>15</v>
      </c>
    </row>
    <row r="1519" spans="1:11" hidden="1" x14ac:dyDescent="0.35">
      <c r="A1519" t="s">
        <v>848</v>
      </c>
      <c r="B1519" t="s">
        <v>849</v>
      </c>
      <c r="C1519">
        <v>28281</v>
      </c>
      <c r="D1519">
        <v>38252</v>
      </c>
      <c r="E1519" s="12">
        <v>45659</v>
      </c>
      <c r="F1519" s="12">
        <v>45869</v>
      </c>
      <c r="G1519" s="10">
        <v>56713.94</v>
      </c>
      <c r="H1519">
        <v>0</v>
      </c>
      <c r="I1519" t="s">
        <v>1552</v>
      </c>
      <c r="J1519" t="s">
        <v>14</v>
      </c>
    </row>
    <row r="1520" spans="1:11" hidden="1" x14ac:dyDescent="0.35">
      <c r="A1520" t="s">
        <v>554</v>
      </c>
      <c r="B1520" t="s">
        <v>246</v>
      </c>
      <c r="C1520">
        <v>29306</v>
      </c>
      <c r="D1520">
        <v>39507</v>
      </c>
      <c r="E1520" s="12">
        <v>45749</v>
      </c>
      <c r="F1520" s="12">
        <v>45869</v>
      </c>
      <c r="G1520" s="10">
        <v>167200</v>
      </c>
      <c r="H1520">
        <v>0</v>
      </c>
      <c r="I1520" t="s">
        <v>1732</v>
      </c>
      <c r="J1520" t="s">
        <v>34</v>
      </c>
      <c r="K1520" t="s">
        <v>15</v>
      </c>
    </row>
    <row r="1521" spans="1:11" hidden="1" x14ac:dyDescent="0.35">
      <c r="A1521" t="s">
        <v>119</v>
      </c>
      <c r="B1521" t="s">
        <v>120</v>
      </c>
      <c r="C1521">
        <v>29157</v>
      </c>
      <c r="D1521">
        <v>39325</v>
      </c>
      <c r="E1521" s="12">
        <v>45729</v>
      </c>
      <c r="F1521" s="12">
        <v>45870</v>
      </c>
      <c r="G1521" s="10">
        <v>3214.2</v>
      </c>
      <c r="H1521">
        <v>0</v>
      </c>
      <c r="I1521" t="s">
        <v>1568</v>
      </c>
      <c r="J1521" t="s">
        <v>122</v>
      </c>
      <c r="K1521" t="s">
        <v>15</v>
      </c>
    </row>
    <row r="1522" spans="1:11" hidden="1" x14ac:dyDescent="0.35">
      <c r="A1522" t="s">
        <v>119</v>
      </c>
      <c r="B1522" t="s">
        <v>120</v>
      </c>
      <c r="C1522">
        <v>29093</v>
      </c>
      <c r="D1522">
        <v>39253</v>
      </c>
      <c r="E1522" s="12">
        <v>45721</v>
      </c>
      <c r="F1522" s="12">
        <v>45870</v>
      </c>
      <c r="G1522" s="10">
        <v>47592.6</v>
      </c>
      <c r="H1522">
        <v>0</v>
      </c>
      <c r="I1522" t="s">
        <v>1568</v>
      </c>
      <c r="J1522" t="s">
        <v>122</v>
      </c>
      <c r="K1522" t="s">
        <v>15</v>
      </c>
    </row>
    <row r="1523" spans="1:11" hidden="1" x14ac:dyDescent="0.35">
      <c r="A1523" t="s">
        <v>770</v>
      </c>
      <c r="B1523" t="s">
        <v>771</v>
      </c>
      <c r="C1523">
        <v>28785</v>
      </c>
      <c r="D1523">
        <v>38872</v>
      </c>
      <c r="E1523" s="12">
        <v>45693</v>
      </c>
      <c r="F1523" s="12">
        <v>45873</v>
      </c>
      <c r="G1523" s="10">
        <v>17232.04</v>
      </c>
      <c r="H1523">
        <v>0</v>
      </c>
      <c r="I1523" t="s">
        <v>772</v>
      </c>
      <c r="J1523" t="s">
        <v>44</v>
      </c>
      <c r="K1523" t="s">
        <v>15</v>
      </c>
    </row>
    <row r="1524" spans="1:11" hidden="1" x14ac:dyDescent="0.35">
      <c r="A1524" t="s">
        <v>791</v>
      </c>
      <c r="B1524" t="s">
        <v>56</v>
      </c>
      <c r="C1524">
        <v>28801</v>
      </c>
      <c r="D1524">
        <v>38886</v>
      </c>
      <c r="E1524" s="12">
        <v>45693</v>
      </c>
      <c r="F1524" s="12">
        <v>45873</v>
      </c>
      <c r="G1524" s="10">
        <v>14340.48</v>
      </c>
      <c r="H1524">
        <v>0</v>
      </c>
      <c r="I1524" t="s">
        <v>1156</v>
      </c>
      <c r="J1524" t="s">
        <v>44</v>
      </c>
      <c r="K1524" t="s">
        <v>15</v>
      </c>
    </row>
    <row r="1525" spans="1:11" hidden="1" x14ac:dyDescent="0.35">
      <c r="A1525" t="s">
        <v>594</v>
      </c>
      <c r="B1525" t="s">
        <v>595</v>
      </c>
      <c r="C1525">
        <v>28738</v>
      </c>
      <c r="D1525">
        <v>38794</v>
      </c>
      <c r="E1525" s="12">
        <v>45691</v>
      </c>
      <c r="F1525" s="12">
        <v>45873</v>
      </c>
      <c r="G1525" s="10">
        <v>17425.04</v>
      </c>
      <c r="H1525">
        <v>0</v>
      </c>
      <c r="I1525" t="s">
        <v>596</v>
      </c>
      <c r="J1525" t="s">
        <v>58</v>
      </c>
      <c r="K1525" t="s">
        <v>15</v>
      </c>
    </row>
    <row r="1526" spans="1:11" hidden="1" x14ac:dyDescent="0.35">
      <c r="A1526" t="s">
        <v>31</v>
      </c>
      <c r="B1526" t="s">
        <v>32</v>
      </c>
      <c r="C1526">
        <v>29111</v>
      </c>
      <c r="D1526">
        <v>39272</v>
      </c>
      <c r="E1526" s="12">
        <v>45723</v>
      </c>
      <c r="F1526" s="12">
        <v>45873</v>
      </c>
      <c r="G1526" s="10">
        <v>2436.66</v>
      </c>
      <c r="H1526">
        <v>0</v>
      </c>
      <c r="I1526" t="s">
        <v>271</v>
      </c>
      <c r="J1526" t="s">
        <v>34</v>
      </c>
      <c r="K1526" t="s">
        <v>15</v>
      </c>
    </row>
    <row r="1527" spans="1:11" hidden="1" x14ac:dyDescent="0.35">
      <c r="A1527" t="s">
        <v>31</v>
      </c>
      <c r="B1527" t="s">
        <v>32</v>
      </c>
      <c r="C1527">
        <v>29108</v>
      </c>
      <c r="D1527">
        <v>39269</v>
      </c>
      <c r="E1527" s="12">
        <v>45723</v>
      </c>
      <c r="F1527" s="12">
        <v>45873</v>
      </c>
      <c r="G1527" s="10">
        <v>7822.21</v>
      </c>
      <c r="H1527">
        <v>0</v>
      </c>
      <c r="I1527" t="s">
        <v>271</v>
      </c>
      <c r="J1527" t="s">
        <v>34</v>
      </c>
      <c r="K1527" t="s">
        <v>15</v>
      </c>
    </row>
    <row r="1528" spans="1:11" hidden="1" x14ac:dyDescent="0.35">
      <c r="A1528" t="s">
        <v>31</v>
      </c>
      <c r="B1528" t="s">
        <v>32</v>
      </c>
      <c r="C1528">
        <v>29109</v>
      </c>
      <c r="D1528">
        <v>39270</v>
      </c>
      <c r="E1528" s="12">
        <v>45723</v>
      </c>
      <c r="F1528" s="12">
        <v>45873</v>
      </c>
      <c r="G1528" s="10">
        <v>5866.66</v>
      </c>
      <c r="H1528">
        <v>0</v>
      </c>
      <c r="I1528" t="s">
        <v>271</v>
      </c>
      <c r="J1528" t="s">
        <v>34</v>
      </c>
      <c r="K1528" t="s">
        <v>15</v>
      </c>
    </row>
    <row r="1529" spans="1:11" hidden="1" x14ac:dyDescent="0.35">
      <c r="A1529" t="s">
        <v>31</v>
      </c>
      <c r="B1529" t="s">
        <v>32</v>
      </c>
      <c r="C1529">
        <v>29110</v>
      </c>
      <c r="D1529">
        <v>39271</v>
      </c>
      <c r="E1529" s="12">
        <v>45723</v>
      </c>
      <c r="F1529" s="12">
        <v>45873</v>
      </c>
      <c r="G1529" s="10">
        <v>753.33</v>
      </c>
      <c r="H1529">
        <v>0</v>
      </c>
      <c r="I1529" t="s">
        <v>271</v>
      </c>
      <c r="J1529" t="s">
        <v>34</v>
      </c>
      <c r="K1529" t="s">
        <v>15</v>
      </c>
    </row>
    <row r="1530" spans="1:11" hidden="1" x14ac:dyDescent="0.35">
      <c r="A1530" t="s">
        <v>174</v>
      </c>
      <c r="B1530" t="s">
        <v>175</v>
      </c>
      <c r="C1530">
        <v>28789</v>
      </c>
      <c r="D1530">
        <v>38875</v>
      </c>
      <c r="E1530" s="12">
        <v>45693</v>
      </c>
      <c r="F1530" s="12">
        <v>45873</v>
      </c>
      <c r="G1530" s="10">
        <v>92994</v>
      </c>
      <c r="H1530">
        <v>0</v>
      </c>
      <c r="I1530" t="s">
        <v>1418</v>
      </c>
      <c r="J1530" t="s">
        <v>58</v>
      </c>
      <c r="K1530" t="s">
        <v>15</v>
      </c>
    </row>
    <row r="1531" spans="1:11" hidden="1" x14ac:dyDescent="0.35">
      <c r="A1531" t="s">
        <v>362</v>
      </c>
      <c r="B1531" t="s">
        <v>363</v>
      </c>
      <c r="C1531">
        <v>28809</v>
      </c>
      <c r="D1531">
        <v>38893</v>
      </c>
      <c r="E1531" s="12">
        <v>45694</v>
      </c>
      <c r="F1531" s="12">
        <v>45874</v>
      </c>
      <c r="G1531" s="10">
        <v>19000</v>
      </c>
      <c r="H1531">
        <v>0</v>
      </c>
      <c r="I1531" t="s">
        <v>1003</v>
      </c>
      <c r="J1531" t="s">
        <v>48</v>
      </c>
      <c r="K1531" t="s">
        <v>15</v>
      </c>
    </row>
    <row r="1532" spans="1:11" hidden="1" x14ac:dyDescent="0.35">
      <c r="A1532" t="s">
        <v>362</v>
      </c>
      <c r="B1532" t="s">
        <v>363</v>
      </c>
      <c r="C1532">
        <v>28810</v>
      </c>
      <c r="D1532">
        <v>38894</v>
      </c>
      <c r="E1532" s="12">
        <v>45694</v>
      </c>
      <c r="F1532" s="12">
        <v>45874</v>
      </c>
      <c r="G1532" s="10">
        <v>68850</v>
      </c>
      <c r="H1532">
        <v>0</v>
      </c>
      <c r="I1532" t="s">
        <v>1003</v>
      </c>
      <c r="J1532" t="s">
        <v>48</v>
      </c>
      <c r="K1532" t="s">
        <v>15</v>
      </c>
    </row>
    <row r="1533" spans="1:11" hidden="1" x14ac:dyDescent="0.35">
      <c r="A1533" t="s">
        <v>31</v>
      </c>
      <c r="B1533" t="s">
        <v>32</v>
      </c>
      <c r="C1533">
        <v>29245</v>
      </c>
      <c r="D1533">
        <v>39430</v>
      </c>
      <c r="E1533" s="12">
        <v>45740</v>
      </c>
      <c r="F1533" s="12">
        <v>45875</v>
      </c>
      <c r="G1533" s="10">
        <v>1931.22</v>
      </c>
      <c r="H1533">
        <v>0</v>
      </c>
      <c r="I1533" t="s">
        <v>271</v>
      </c>
      <c r="J1533" t="s">
        <v>34</v>
      </c>
      <c r="K1533" t="s">
        <v>15</v>
      </c>
    </row>
    <row r="1534" spans="1:11" hidden="1" x14ac:dyDescent="0.35">
      <c r="A1534" t="s">
        <v>31</v>
      </c>
      <c r="B1534" t="s">
        <v>32</v>
      </c>
      <c r="C1534">
        <v>29244</v>
      </c>
      <c r="D1534">
        <v>39429</v>
      </c>
      <c r="E1534" s="12">
        <v>45740</v>
      </c>
      <c r="F1534" s="12">
        <v>45875</v>
      </c>
      <c r="G1534" s="10">
        <v>20324.14</v>
      </c>
      <c r="H1534">
        <v>0</v>
      </c>
      <c r="I1534" t="s">
        <v>271</v>
      </c>
      <c r="J1534" t="s">
        <v>34</v>
      </c>
      <c r="K1534" t="s">
        <v>15</v>
      </c>
    </row>
    <row r="1535" spans="1:11" hidden="1" x14ac:dyDescent="0.35">
      <c r="A1535" t="s">
        <v>31</v>
      </c>
      <c r="B1535" t="s">
        <v>32</v>
      </c>
      <c r="C1535">
        <v>29246</v>
      </c>
      <c r="D1535">
        <v>39431</v>
      </c>
      <c r="E1535" s="12">
        <v>45740</v>
      </c>
      <c r="F1535" s="12">
        <v>45875</v>
      </c>
      <c r="G1535" s="10">
        <v>1931.22</v>
      </c>
      <c r="H1535">
        <v>0</v>
      </c>
      <c r="I1535" t="s">
        <v>271</v>
      </c>
      <c r="J1535" t="s">
        <v>34</v>
      </c>
      <c r="K1535" t="s">
        <v>15</v>
      </c>
    </row>
    <row r="1536" spans="1:11" hidden="1" x14ac:dyDescent="0.35">
      <c r="A1536" t="s">
        <v>763</v>
      </c>
      <c r="B1536" t="s">
        <v>764</v>
      </c>
      <c r="C1536">
        <v>29124</v>
      </c>
      <c r="D1536">
        <v>39288</v>
      </c>
      <c r="E1536" s="12">
        <v>45726</v>
      </c>
      <c r="F1536" s="12">
        <v>45876</v>
      </c>
      <c r="G1536" s="10">
        <v>9156</v>
      </c>
      <c r="H1536">
        <v>0</v>
      </c>
      <c r="I1536" t="s">
        <v>765</v>
      </c>
      <c r="J1536" t="s">
        <v>44</v>
      </c>
      <c r="K1536" t="s">
        <v>15</v>
      </c>
    </row>
    <row r="1537" spans="1:11" hidden="1" x14ac:dyDescent="0.35">
      <c r="A1537" t="s">
        <v>770</v>
      </c>
      <c r="B1537" t="s">
        <v>771</v>
      </c>
      <c r="C1537">
        <v>29119</v>
      </c>
      <c r="D1537">
        <v>39283</v>
      </c>
      <c r="E1537" s="12">
        <v>45726</v>
      </c>
      <c r="F1537" s="12">
        <v>45876</v>
      </c>
      <c r="G1537" s="10">
        <v>1966.68</v>
      </c>
      <c r="H1537">
        <v>0</v>
      </c>
      <c r="I1537" t="s">
        <v>772</v>
      </c>
      <c r="J1537" t="s">
        <v>44</v>
      </c>
      <c r="K1537" t="s">
        <v>15</v>
      </c>
    </row>
    <row r="1538" spans="1:11" hidden="1" x14ac:dyDescent="0.35">
      <c r="A1538" t="s">
        <v>770</v>
      </c>
      <c r="B1538" t="s">
        <v>771</v>
      </c>
      <c r="C1538">
        <v>29122</v>
      </c>
      <c r="D1538">
        <v>39286</v>
      </c>
      <c r="E1538" s="12">
        <v>45726</v>
      </c>
      <c r="F1538" s="12">
        <v>45876</v>
      </c>
      <c r="G1538" s="10">
        <v>2640.2</v>
      </c>
      <c r="H1538">
        <v>0</v>
      </c>
      <c r="I1538" t="s">
        <v>772</v>
      </c>
      <c r="J1538" t="s">
        <v>44</v>
      </c>
      <c r="K1538" t="s">
        <v>15</v>
      </c>
    </row>
    <row r="1539" spans="1:11" hidden="1" x14ac:dyDescent="0.35">
      <c r="A1539" t="s">
        <v>770</v>
      </c>
      <c r="B1539" t="s">
        <v>771</v>
      </c>
      <c r="C1539">
        <v>29120</v>
      </c>
      <c r="D1539">
        <v>39284</v>
      </c>
      <c r="E1539" s="12">
        <v>45726</v>
      </c>
      <c r="F1539" s="12">
        <v>45876</v>
      </c>
      <c r="G1539" s="10">
        <v>438.73</v>
      </c>
      <c r="H1539">
        <v>0</v>
      </c>
      <c r="I1539" t="s">
        <v>772</v>
      </c>
      <c r="J1539" t="s">
        <v>44</v>
      </c>
      <c r="K1539" t="s">
        <v>15</v>
      </c>
    </row>
    <row r="1540" spans="1:11" hidden="1" x14ac:dyDescent="0.35">
      <c r="A1540" t="s">
        <v>31</v>
      </c>
      <c r="B1540" t="s">
        <v>32</v>
      </c>
      <c r="C1540">
        <v>29260</v>
      </c>
      <c r="D1540">
        <v>39448</v>
      </c>
      <c r="E1540" s="12">
        <v>45741</v>
      </c>
      <c r="F1540" s="12">
        <v>45876</v>
      </c>
      <c r="G1540" s="10">
        <v>97.4</v>
      </c>
      <c r="H1540">
        <v>0</v>
      </c>
      <c r="I1540" t="s">
        <v>271</v>
      </c>
      <c r="J1540" t="s">
        <v>34</v>
      </c>
      <c r="K1540" t="s">
        <v>15</v>
      </c>
    </row>
    <row r="1541" spans="1:11" hidden="1" x14ac:dyDescent="0.35">
      <c r="A1541" t="s">
        <v>31</v>
      </c>
      <c r="B1541" t="s">
        <v>32</v>
      </c>
      <c r="C1541">
        <v>29258</v>
      </c>
      <c r="D1541">
        <v>39446</v>
      </c>
      <c r="E1541" s="12">
        <v>45741</v>
      </c>
      <c r="F1541" s="12">
        <v>45876</v>
      </c>
      <c r="G1541" s="10">
        <v>353.33</v>
      </c>
      <c r="H1541">
        <v>0</v>
      </c>
      <c r="I1541" t="s">
        <v>271</v>
      </c>
      <c r="J1541" t="s">
        <v>34</v>
      </c>
      <c r="K1541" t="s">
        <v>15</v>
      </c>
    </row>
    <row r="1542" spans="1:11" hidden="1" x14ac:dyDescent="0.35">
      <c r="A1542" t="s">
        <v>200</v>
      </c>
      <c r="B1542" t="s">
        <v>56</v>
      </c>
      <c r="C1542">
        <v>29118</v>
      </c>
      <c r="D1542">
        <v>39282</v>
      </c>
      <c r="E1542" s="12">
        <v>45726</v>
      </c>
      <c r="F1542" s="12">
        <v>45876</v>
      </c>
      <c r="G1542" s="10">
        <v>50088</v>
      </c>
      <c r="H1542">
        <v>0</v>
      </c>
      <c r="I1542" t="s">
        <v>513</v>
      </c>
      <c r="J1542" t="s">
        <v>44</v>
      </c>
      <c r="K1542" t="s">
        <v>15</v>
      </c>
    </row>
    <row r="1543" spans="1:11" hidden="1" x14ac:dyDescent="0.35">
      <c r="A1543" t="s">
        <v>31</v>
      </c>
      <c r="B1543" t="s">
        <v>32</v>
      </c>
      <c r="C1543">
        <v>29259</v>
      </c>
      <c r="D1543">
        <v>39447</v>
      </c>
      <c r="E1543" s="12">
        <v>45741</v>
      </c>
      <c r="F1543" s="12">
        <v>45876</v>
      </c>
      <c r="G1543" s="10">
        <v>1965.44</v>
      </c>
      <c r="H1543">
        <v>0</v>
      </c>
      <c r="I1543" t="s">
        <v>271</v>
      </c>
      <c r="J1543" t="s">
        <v>34</v>
      </c>
      <c r="K1543" t="s">
        <v>15</v>
      </c>
    </row>
    <row r="1544" spans="1:11" hidden="1" x14ac:dyDescent="0.35">
      <c r="A1544" t="s">
        <v>770</v>
      </c>
      <c r="B1544" t="s">
        <v>771</v>
      </c>
      <c r="C1544">
        <v>29121</v>
      </c>
      <c r="D1544">
        <v>39285</v>
      </c>
      <c r="E1544" s="12">
        <v>45726</v>
      </c>
      <c r="F1544" s="12">
        <v>45876</v>
      </c>
      <c r="G1544" s="10">
        <v>494</v>
      </c>
      <c r="H1544">
        <v>0</v>
      </c>
      <c r="I1544" t="s">
        <v>772</v>
      </c>
      <c r="J1544" t="s">
        <v>44</v>
      </c>
      <c r="K1544" t="s">
        <v>15</v>
      </c>
    </row>
    <row r="1545" spans="1:11" hidden="1" x14ac:dyDescent="0.35">
      <c r="A1545" t="s">
        <v>770</v>
      </c>
      <c r="B1545" t="s">
        <v>771</v>
      </c>
      <c r="C1545">
        <v>29123</v>
      </c>
      <c r="D1545">
        <v>39287</v>
      </c>
      <c r="E1545" s="12">
        <v>45726</v>
      </c>
      <c r="F1545" s="12">
        <v>45876</v>
      </c>
      <c r="G1545" s="10">
        <v>18127.45</v>
      </c>
      <c r="H1545">
        <v>0</v>
      </c>
      <c r="I1545" t="s">
        <v>772</v>
      </c>
      <c r="J1545" t="s">
        <v>44</v>
      </c>
      <c r="K1545" t="s">
        <v>15</v>
      </c>
    </row>
    <row r="1546" spans="1:11" hidden="1" x14ac:dyDescent="0.35">
      <c r="A1546" t="s">
        <v>317</v>
      </c>
      <c r="B1546" t="s">
        <v>56</v>
      </c>
      <c r="C1546">
        <v>29116</v>
      </c>
      <c r="D1546">
        <v>39280</v>
      </c>
      <c r="E1546" s="12">
        <v>45726</v>
      </c>
      <c r="F1546" s="12">
        <v>45876</v>
      </c>
      <c r="G1546" s="10">
        <v>50088</v>
      </c>
      <c r="H1546">
        <v>0</v>
      </c>
      <c r="I1546" t="s">
        <v>1442</v>
      </c>
      <c r="J1546" t="s">
        <v>44</v>
      </c>
    </row>
    <row r="1547" spans="1:11" hidden="1" x14ac:dyDescent="0.35">
      <c r="A1547" t="s">
        <v>31</v>
      </c>
      <c r="B1547" t="s">
        <v>32</v>
      </c>
      <c r="C1547">
        <v>29261</v>
      </c>
      <c r="D1547">
        <v>39449</v>
      </c>
      <c r="E1547" s="12">
        <v>45741</v>
      </c>
      <c r="F1547" s="12">
        <v>45876</v>
      </c>
      <c r="G1547" s="10">
        <v>2271.66</v>
      </c>
      <c r="H1547">
        <v>0</v>
      </c>
      <c r="I1547" t="s">
        <v>271</v>
      </c>
      <c r="J1547" t="s">
        <v>34</v>
      </c>
      <c r="K1547" t="s">
        <v>15</v>
      </c>
    </row>
    <row r="1548" spans="1:11" hidden="1" x14ac:dyDescent="0.35">
      <c r="A1548" t="s">
        <v>725</v>
      </c>
      <c r="B1548" t="s">
        <v>726</v>
      </c>
      <c r="C1548">
        <v>29138</v>
      </c>
      <c r="D1548">
        <v>39302</v>
      </c>
      <c r="E1548" s="12">
        <v>45727</v>
      </c>
      <c r="F1548" s="12">
        <v>45877</v>
      </c>
      <c r="G1548" s="10">
        <v>58561.78</v>
      </c>
      <c r="H1548">
        <v>0</v>
      </c>
      <c r="I1548" t="s">
        <v>727</v>
      </c>
      <c r="J1548" t="s">
        <v>111</v>
      </c>
      <c r="K1548" t="s">
        <v>15</v>
      </c>
    </row>
    <row r="1549" spans="1:11" hidden="1" x14ac:dyDescent="0.35">
      <c r="A1549" t="s">
        <v>1342</v>
      </c>
      <c r="B1549" t="s">
        <v>1343</v>
      </c>
      <c r="C1549">
        <v>29152</v>
      </c>
      <c r="D1549">
        <v>39320</v>
      </c>
      <c r="E1549" s="12">
        <v>45728</v>
      </c>
      <c r="F1549" s="12">
        <v>45878</v>
      </c>
      <c r="G1549" s="10">
        <v>204426.86</v>
      </c>
      <c r="H1549">
        <v>0</v>
      </c>
      <c r="I1549" t="s">
        <v>1344</v>
      </c>
      <c r="J1549" t="s">
        <v>95</v>
      </c>
      <c r="K1549" t="s">
        <v>15</v>
      </c>
    </row>
    <row r="1550" spans="1:11" hidden="1" x14ac:dyDescent="0.35">
      <c r="A1550" t="s">
        <v>1377</v>
      </c>
      <c r="B1550" t="s">
        <v>1378</v>
      </c>
      <c r="C1550">
        <v>29160</v>
      </c>
      <c r="D1550">
        <v>39329</v>
      </c>
      <c r="E1550" s="12">
        <v>45729</v>
      </c>
      <c r="F1550" s="12">
        <v>45879</v>
      </c>
      <c r="G1550" s="10">
        <v>204150.05</v>
      </c>
      <c r="H1550">
        <v>0</v>
      </c>
      <c r="I1550" t="s">
        <v>1379</v>
      </c>
      <c r="J1550" t="s">
        <v>1380</v>
      </c>
      <c r="K1550" t="s">
        <v>15</v>
      </c>
    </row>
    <row r="1551" spans="1:11" hidden="1" x14ac:dyDescent="0.35">
      <c r="A1551" t="s">
        <v>1530</v>
      </c>
      <c r="B1551" t="s">
        <v>1531</v>
      </c>
      <c r="C1551">
        <v>29161</v>
      </c>
      <c r="D1551">
        <v>39330</v>
      </c>
      <c r="E1551" s="12">
        <v>45729</v>
      </c>
      <c r="F1551" s="12">
        <v>45879</v>
      </c>
      <c r="G1551" s="10">
        <v>204150.05</v>
      </c>
      <c r="H1551">
        <v>0</v>
      </c>
      <c r="I1551" t="s">
        <v>1532</v>
      </c>
      <c r="J1551" t="s">
        <v>95</v>
      </c>
      <c r="K1551" t="s">
        <v>15</v>
      </c>
    </row>
    <row r="1552" spans="1:11" hidden="1" x14ac:dyDescent="0.35">
      <c r="A1552" t="s">
        <v>68</v>
      </c>
      <c r="B1552" t="s">
        <v>69</v>
      </c>
      <c r="C1552">
        <v>28076</v>
      </c>
      <c r="D1552">
        <v>37998</v>
      </c>
      <c r="E1552" s="12">
        <v>45638</v>
      </c>
      <c r="F1552" s="12">
        <v>45880</v>
      </c>
      <c r="G1552" s="10">
        <v>3240.67</v>
      </c>
      <c r="H1552">
        <v>0</v>
      </c>
      <c r="I1552" t="s">
        <v>342</v>
      </c>
      <c r="J1552" t="s">
        <v>14</v>
      </c>
      <c r="K1552" t="s">
        <v>15</v>
      </c>
    </row>
    <row r="1553" spans="1:11" hidden="1" x14ac:dyDescent="0.35">
      <c r="A1553" t="s">
        <v>68</v>
      </c>
      <c r="B1553" t="s">
        <v>69</v>
      </c>
      <c r="C1553">
        <v>28073</v>
      </c>
      <c r="D1553">
        <v>37995</v>
      </c>
      <c r="E1553" s="12">
        <v>45638</v>
      </c>
      <c r="F1553" s="12">
        <v>45880</v>
      </c>
      <c r="G1553" s="10">
        <v>20579</v>
      </c>
      <c r="H1553">
        <v>0</v>
      </c>
      <c r="I1553" t="s">
        <v>516</v>
      </c>
      <c r="J1553" t="s">
        <v>14</v>
      </c>
      <c r="K1553" t="s">
        <v>15</v>
      </c>
    </row>
    <row r="1554" spans="1:11" hidden="1" x14ac:dyDescent="0.35">
      <c r="A1554" t="s">
        <v>31</v>
      </c>
      <c r="B1554" t="s">
        <v>32</v>
      </c>
      <c r="C1554">
        <v>29045</v>
      </c>
      <c r="D1554">
        <v>39176</v>
      </c>
      <c r="E1554" s="12">
        <v>45713</v>
      </c>
      <c r="F1554" s="12">
        <v>45880</v>
      </c>
      <c r="G1554" s="10">
        <v>13436.25</v>
      </c>
      <c r="H1554">
        <v>0</v>
      </c>
      <c r="I1554" t="s">
        <v>271</v>
      </c>
      <c r="J1554" t="s">
        <v>34</v>
      </c>
      <c r="K1554" t="s">
        <v>15</v>
      </c>
    </row>
    <row r="1555" spans="1:11" hidden="1" x14ac:dyDescent="0.35">
      <c r="A1555" t="s">
        <v>31</v>
      </c>
      <c r="B1555" t="s">
        <v>32</v>
      </c>
      <c r="C1555">
        <v>29154</v>
      </c>
      <c r="D1555">
        <v>39322</v>
      </c>
      <c r="E1555" s="12">
        <v>45728</v>
      </c>
      <c r="F1555" s="12">
        <v>45880</v>
      </c>
      <c r="G1555" s="10">
        <v>14305.54</v>
      </c>
      <c r="H1555">
        <v>0</v>
      </c>
      <c r="I1555" t="s">
        <v>1459</v>
      </c>
      <c r="J1555" t="s">
        <v>34</v>
      </c>
      <c r="K1555" t="s">
        <v>15</v>
      </c>
    </row>
    <row r="1556" spans="1:11" hidden="1" x14ac:dyDescent="0.35">
      <c r="A1556" t="s">
        <v>68</v>
      </c>
      <c r="B1556" t="s">
        <v>69</v>
      </c>
      <c r="C1556">
        <v>28074</v>
      </c>
      <c r="D1556">
        <v>37996</v>
      </c>
      <c r="E1556" s="12">
        <v>45638</v>
      </c>
      <c r="F1556" s="12">
        <v>45880</v>
      </c>
      <c r="G1556" s="10">
        <v>2800</v>
      </c>
      <c r="H1556">
        <v>0</v>
      </c>
      <c r="I1556" t="s">
        <v>1511</v>
      </c>
      <c r="J1556" t="s">
        <v>14</v>
      </c>
      <c r="K1556" t="s">
        <v>15</v>
      </c>
    </row>
    <row r="1557" spans="1:11" hidden="1" x14ac:dyDescent="0.35">
      <c r="A1557" t="s">
        <v>31</v>
      </c>
      <c r="B1557" t="s">
        <v>32</v>
      </c>
      <c r="C1557">
        <v>29153</v>
      </c>
      <c r="D1557">
        <v>39321</v>
      </c>
      <c r="E1557" s="12">
        <v>45728</v>
      </c>
      <c r="F1557" s="12">
        <v>45880</v>
      </c>
      <c r="G1557" s="10">
        <v>6866.66</v>
      </c>
      <c r="H1557">
        <v>0</v>
      </c>
      <c r="I1557" t="s">
        <v>1518</v>
      </c>
      <c r="J1557" t="s">
        <v>34</v>
      </c>
      <c r="K1557" t="s">
        <v>15</v>
      </c>
    </row>
    <row r="1558" spans="1:11" hidden="1" x14ac:dyDescent="0.35">
      <c r="A1558" t="s">
        <v>288</v>
      </c>
      <c r="B1558" t="s">
        <v>289</v>
      </c>
      <c r="C1558">
        <v>29167</v>
      </c>
      <c r="D1558">
        <v>39337</v>
      </c>
      <c r="E1558" s="12">
        <v>45730</v>
      </c>
      <c r="F1558" s="12">
        <v>45880</v>
      </c>
      <c r="G1558" s="10">
        <v>65575.199999999997</v>
      </c>
      <c r="H1558">
        <v>0</v>
      </c>
      <c r="I1558" t="s">
        <v>996</v>
      </c>
      <c r="J1558" t="s">
        <v>34</v>
      </c>
      <c r="K1558" t="s">
        <v>15</v>
      </c>
    </row>
    <row r="1559" spans="1:11" hidden="1" x14ac:dyDescent="0.35">
      <c r="A1559" t="s">
        <v>31</v>
      </c>
      <c r="B1559" t="s">
        <v>32</v>
      </c>
      <c r="C1559">
        <v>29044</v>
      </c>
      <c r="D1559">
        <v>39175</v>
      </c>
      <c r="E1559" s="12">
        <v>45713</v>
      </c>
      <c r="F1559" s="12">
        <v>45880</v>
      </c>
      <c r="G1559" s="10">
        <v>7734.7</v>
      </c>
      <c r="H1559">
        <v>0</v>
      </c>
      <c r="I1559" t="s">
        <v>271</v>
      </c>
      <c r="J1559" t="s">
        <v>34</v>
      </c>
      <c r="K1559" t="s">
        <v>15</v>
      </c>
    </row>
    <row r="1560" spans="1:11" hidden="1" x14ac:dyDescent="0.35">
      <c r="A1560" t="s">
        <v>725</v>
      </c>
      <c r="B1560" t="s">
        <v>726</v>
      </c>
      <c r="C1560">
        <v>29155</v>
      </c>
      <c r="D1560">
        <v>39323</v>
      </c>
      <c r="E1560" s="12">
        <v>45729</v>
      </c>
      <c r="F1560" s="12">
        <v>45880</v>
      </c>
      <c r="G1560" s="10">
        <v>4000</v>
      </c>
      <c r="H1560">
        <v>0</v>
      </c>
      <c r="I1560" t="s">
        <v>727</v>
      </c>
      <c r="J1560" t="s">
        <v>111</v>
      </c>
      <c r="K1560" t="s">
        <v>15</v>
      </c>
    </row>
    <row r="1561" spans="1:11" hidden="1" x14ac:dyDescent="0.35">
      <c r="A1561" t="s">
        <v>31</v>
      </c>
      <c r="B1561" t="s">
        <v>32</v>
      </c>
      <c r="C1561">
        <v>28896</v>
      </c>
      <c r="D1561">
        <v>39001</v>
      </c>
      <c r="E1561" s="12">
        <v>45702</v>
      </c>
      <c r="F1561" s="12">
        <v>45882</v>
      </c>
      <c r="G1561" s="10">
        <v>387.76</v>
      </c>
      <c r="H1561">
        <v>0</v>
      </c>
      <c r="I1561" t="s">
        <v>271</v>
      </c>
      <c r="J1561" t="s">
        <v>34</v>
      </c>
      <c r="K1561" t="s">
        <v>15</v>
      </c>
    </row>
    <row r="1562" spans="1:11" hidden="1" x14ac:dyDescent="0.35">
      <c r="A1562" t="s">
        <v>31</v>
      </c>
      <c r="B1562" t="s">
        <v>32</v>
      </c>
      <c r="C1562">
        <v>28894</v>
      </c>
      <c r="D1562">
        <v>38999</v>
      </c>
      <c r="E1562" s="12">
        <v>45702</v>
      </c>
      <c r="F1562" s="12">
        <v>45882</v>
      </c>
      <c r="G1562" s="10">
        <v>2520</v>
      </c>
      <c r="H1562">
        <v>0</v>
      </c>
      <c r="I1562" t="s">
        <v>271</v>
      </c>
      <c r="J1562" t="s">
        <v>34</v>
      </c>
      <c r="K1562" t="s">
        <v>15</v>
      </c>
    </row>
    <row r="1563" spans="1:11" hidden="1" x14ac:dyDescent="0.35">
      <c r="A1563" t="s">
        <v>288</v>
      </c>
      <c r="B1563" t="s">
        <v>289</v>
      </c>
      <c r="C1563">
        <v>28897</v>
      </c>
      <c r="D1563">
        <v>39002</v>
      </c>
      <c r="E1563" s="12">
        <v>45702</v>
      </c>
      <c r="F1563" s="12">
        <v>45882</v>
      </c>
      <c r="G1563" s="10">
        <v>6096</v>
      </c>
      <c r="H1563">
        <v>0</v>
      </c>
      <c r="I1563" t="s">
        <v>996</v>
      </c>
      <c r="J1563" t="s">
        <v>34</v>
      </c>
      <c r="K1563" t="s">
        <v>15</v>
      </c>
    </row>
    <row r="1564" spans="1:11" hidden="1" x14ac:dyDescent="0.35">
      <c r="A1564" t="s">
        <v>31</v>
      </c>
      <c r="B1564" t="s">
        <v>32</v>
      </c>
      <c r="C1564">
        <v>28895</v>
      </c>
      <c r="D1564">
        <v>39000</v>
      </c>
      <c r="E1564" s="12">
        <v>45702</v>
      </c>
      <c r="F1564" s="12">
        <v>45882</v>
      </c>
      <c r="G1564" s="10">
        <v>1915</v>
      </c>
      <c r="H1564">
        <v>0</v>
      </c>
      <c r="I1564" t="s">
        <v>271</v>
      </c>
      <c r="J1564" t="s">
        <v>34</v>
      </c>
      <c r="K1564" t="s">
        <v>15</v>
      </c>
    </row>
    <row r="1565" spans="1:11" hidden="1" x14ac:dyDescent="0.35">
      <c r="A1565" t="s">
        <v>174</v>
      </c>
      <c r="B1565" t="s">
        <v>175</v>
      </c>
      <c r="C1565">
        <v>29186</v>
      </c>
      <c r="D1565">
        <v>39357</v>
      </c>
      <c r="E1565" s="12">
        <v>45733</v>
      </c>
      <c r="F1565" s="12">
        <v>45883</v>
      </c>
      <c r="G1565" s="10">
        <v>48969.3</v>
      </c>
      <c r="H1565">
        <v>0</v>
      </c>
      <c r="I1565" t="s">
        <v>1418</v>
      </c>
      <c r="J1565" t="s">
        <v>58</v>
      </c>
      <c r="K1565" t="s">
        <v>15</v>
      </c>
    </row>
    <row r="1566" spans="1:11" hidden="1" x14ac:dyDescent="0.35">
      <c r="A1566" t="s">
        <v>770</v>
      </c>
      <c r="B1566" t="s">
        <v>771</v>
      </c>
      <c r="C1566">
        <v>29188</v>
      </c>
      <c r="D1566">
        <v>39359</v>
      </c>
      <c r="E1566" s="12">
        <v>45733</v>
      </c>
      <c r="F1566" s="12">
        <v>45883</v>
      </c>
      <c r="G1566" s="10">
        <v>5267.99</v>
      </c>
      <c r="H1566">
        <v>0</v>
      </c>
      <c r="I1566" t="s">
        <v>772</v>
      </c>
      <c r="J1566" t="s">
        <v>44</v>
      </c>
      <c r="K1566" t="s">
        <v>15</v>
      </c>
    </row>
    <row r="1567" spans="1:11" hidden="1" x14ac:dyDescent="0.35">
      <c r="A1567" t="s">
        <v>791</v>
      </c>
      <c r="B1567" t="s">
        <v>56</v>
      </c>
      <c r="C1567">
        <v>29179</v>
      </c>
      <c r="D1567">
        <v>39350</v>
      </c>
      <c r="E1567" s="12">
        <v>45733</v>
      </c>
      <c r="F1567" s="12">
        <v>45883</v>
      </c>
      <c r="G1567" s="10">
        <v>6648</v>
      </c>
      <c r="H1567">
        <v>0</v>
      </c>
      <c r="I1567" t="s">
        <v>1156</v>
      </c>
      <c r="J1567" t="s">
        <v>44</v>
      </c>
      <c r="K1567" t="s">
        <v>15</v>
      </c>
    </row>
    <row r="1568" spans="1:11" hidden="1" x14ac:dyDescent="0.35">
      <c r="A1568" t="s">
        <v>224</v>
      </c>
      <c r="B1568" t="s">
        <v>225</v>
      </c>
      <c r="C1568">
        <v>29174</v>
      </c>
      <c r="D1568">
        <v>39344</v>
      </c>
      <c r="E1568" s="12">
        <v>45733</v>
      </c>
      <c r="F1568" s="12">
        <v>45883</v>
      </c>
      <c r="G1568" s="10">
        <v>10260.18</v>
      </c>
      <c r="H1568">
        <v>0</v>
      </c>
      <c r="I1568" t="s">
        <v>226</v>
      </c>
      <c r="J1568" t="s">
        <v>194</v>
      </c>
      <c r="K1568" t="s">
        <v>15</v>
      </c>
    </row>
    <row r="1569" spans="1:11" hidden="1" x14ac:dyDescent="0.35">
      <c r="A1569" t="s">
        <v>791</v>
      </c>
      <c r="B1569" t="s">
        <v>56</v>
      </c>
      <c r="C1569">
        <v>29182</v>
      </c>
      <c r="D1569">
        <v>39353</v>
      </c>
      <c r="E1569" s="12">
        <v>45733</v>
      </c>
      <c r="F1569" s="12">
        <v>45883</v>
      </c>
      <c r="G1569" s="10">
        <v>35952</v>
      </c>
      <c r="H1569">
        <v>0</v>
      </c>
      <c r="I1569" t="s">
        <v>1156</v>
      </c>
      <c r="J1569" t="s">
        <v>44</v>
      </c>
      <c r="K1569" t="s">
        <v>15</v>
      </c>
    </row>
    <row r="1570" spans="1:11" hidden="1" x14ac:dyDescent="0.35">
      <c r="A1570" t="s">
        <v>770</v>
      </c>
      <c r="B1570" t="s">
        <v>771</v>
      </c>
      <c r="C1570">
        <v>29189</v>
      </c>
      <c r="D1570">
        <v>39360</v>
      </c>
      <c r="E1570" s="12">
        <v>45733</v>
      </c>
      <c r="F1570" s="12">
        <v>45883</v>
      </c>
      <c r="G1570" s="10">
        <v>6780</v>
      </c>
      <c r="H1570">
        <v>0</v>
      </c>
      <c r="I1570" t="s">
        <v>772</v>
      </c>
      <c r="J1570" t="s">
        <v>44</v>
      </c>
      <c r="K1570" t="s">
        <v>15</v>
      </c>
    </row>
    <row r="1571" spans="1:11" hidden="1" x14ac:dyDescent="0.35">
      <c r="A1571" t="s">
        <v>174</v>
      </c>
      <c r="B1571" t="s">
        <v>175</v>
      </c>
      <c r="C1571">
        <v>29184</v>
      </c>
      <c r="D1571">
        <v>39355</v>
      </c>
      <c r="E1571" s="12">
        <v>45733</v>
      </c>
      <c r="F1571" s="12">
        <v>45883</v>
      </c>
      <c r="G1571" s="10">
        <v>15937.5</v>
      </c>
      <c r="H1571">
        <v>0</v>
      </c>
      <c r="I1571" t="s">
        <v>1418</v>
      </c>
      <c r="J1571" t="s">
        <v>58</v>
      </c>
      <c r="K1571" t="s">
        <v>15</v>
      </c>
    </row>
    <row r="1572" spans="1:11" hidden="1" x14ac:dyDescent="0.35">
      <c r="A1572" t="s">
        <v>550</v>
      </c>
      <c r="B1572" t="s">
        <v>56</v>
      </c>
      <c r="C1572">
        <v>29181</v>
      </c>
      <c r="D1572">
        <v>39352</v>
      </c>
      <c r="E1572" s="12">
        <v>45733</v>
      </c>
      <c r="F1572" s="12">
        <v>45883</v>
      </c>
      <c r="G1572" s="10">
        <v>50088</v>
      </c>
      <c r="H1572">
        <v>0</v>
      </c>
      <c r="I1572" t="s">
        <v>551</v>
      </c>
      <c r="J1572" t="s">
        <v>44</v>
      </c>
    </row>
    <row r="1573" spans="1:11" hidden="1" x14ac:dyDescent="0.35">
      <c r="A1573" t="s">
        <v>205</v>
      </c>
      <c r="B1573" t="s">
        <v>56</v>
      </c>
      <c r="C1573">
        <v>29212</v>
      </c>
      <c r="D1573">
        <v>39386</v>
      </c>
      <c r="E1573" s="12">
        <v>45734</v>
      </c>
      <c r="F1573" s="12">
        <v>45884</v>
      </c>
      <c r="G1573" s="10">
        <v>162240</v>
      </c>
      <c r="H1573">
        <v>0</v>
      </c>
      <c r="I1573" t="s">
        <v>679</v>
      </c>
      <c r="J1573" t="s">
        <v>58</v>
      </c>
      <c r="K1573" t="s">
        <v>15</v>
      </c>
    </row>
    <row r="1574" spans="1:11" hidden="1" x14ac:dyDescent="0.35">
      <c r="A1574" t="s">
        <v>550</v>
      </c>
      <c r="B1574" t="s">
        <v>56</v>
      </c>
      <c r="C1574">
        <v>28922</v>
      </c>
      <c r="D1574">
        <v>39034</v>
      </c>
      <c r="E1574" s="12">
        <v>45705</v>
      </c>
      <c r="F1574" s="12">
        <v>45887</v>
      </c>
      <c r="G1574" s="10">
        <v>16323</v>
      </c>
      <c r="H1574">
        <v>0</v>
      </c>
      <c r="I1574" t="s">
        <v>551</v>
      </c>
      <c r="J1574" t="s">
        <v>44</v>
      </c>
    </row>
    <row r="1575" spans="1:11" hidden="1" x14ac:dyDescent="0.35">
      <c r="A1575" t="s">
        <v>55</v>
      </c>
      <c r="B1575" t="s">
        <v>56</v>
      </c>
      <c r="C1575">
        <v>28960</v>
      </c>
      <c r="D1575">
        <v>39081</v>
      </c>
      <c r="E1575" s="12">
        <v>45707</v>
      </c>
      <c r="F1575" s="12">
        <v>45887</v>
      </c>
      <c r="G1575" s="10">
        <v>2493.9</v>
      </c>
      <c r="H1575">
        <v>0</v>
      </c>
      <c r="I1575" t="s">
        <v>208</v>
      </c>
      <c r="J1575" t="s">
        <v>58</v>
      </c>
      <c r="K1575" t="s">
        <v>15</v>
      </c>
    </row>
    <row r="1576" spans="1:11" hidden="1" x14ac:dyDescent="0.35">
      <c r="A1576" t="s">
        <v>205</v>
      </c>
      <c r="B1576" t="s">
        <v>56</v>
      </c>
      <c r="C1576">
        <v>28959</v>
      </c>
      <c r="D1576">
        <v>39080</v>
      </c>
      <c r="E1576" s="12">
        <v>45707</v>
      </c>
      <c r="F1576" s="12">
        <v>45887</v>
      </c>
      <c r="G1576" s="10">
        <v>3279.42</v>
      </c>
      <c r="H1576">
        <v>0</v>
      </c>
      <c r="I1576" t="s">
        <v>679</v>
      </c>
      <c r="J1576" t="s">
        <v>58</v>
      </c>
      <c r="K1576" t="s">
        <v>15</v>
      </c>
    </row>
    <row r="1577" spans="1:11" hidden="1" x14ac:dyDescent="0.35">
      <c r="A1577" t="s">
        <v>55</v>
      </c>
      <c r="B1577" t="s">
        <v>56</v>
      </c>
      <c r="C1577">
        <v>28958</v>
      </c>
      <c r="D1577">
        <v>39079</v>
      </c>
      <c r="E1577" s="12">
        <v>45707</v>
      </c>
      <c r="F1577" s="12">
        <v>45887</v>
      </c>
      <c r="G1577" s="10">
        <v>988</v>
      </c>
      <c r="H1577">
        <v>0</v>
      </c>
      <c r="I1577" t="s">
        <v>208</v>
      </c>
      <c r="J1577" t="s">
        <v>58</v>
      </c>
      <c r="K1577" t="s">
        <v>15</v>
      </c>
    </row>
    <row r="1578" spans="1:11" hidden="1" x14ac:dyDescent="0.35">
      <c r="A1578" t="s">
        <v>45</v>
      </c>
      <c r="B1578" t="s">
        <v>46</v>
      </c>
      <c r="C1578">
        <v>29220</v>
      </c>
      <c r="D1578">
        <v>39399</v>
      </c>
      <c r="E1578" s="12">
        <v>45735</v>
      </c>
      <c r="F1578" s="12">
        <v>45887</v>
      </c>
      <c r="G1578" s="10">
        <v>21600</v>
      </c>
      <c r="H1578">
        <v>0</v>
      </c>
      <c r="I1578" t="s">
        <v>1435</v>
      </c>
      <c r="J1578" t="s">
        <v>48</v>
      </c>
      <c r="K1578" t="s">
        <v>15</v>
      </c>
    </row>
    <row r="1579" spans="1:11" hidden="1" x14ac:dyDescent="0.35">
      <c r="A1579" t="s">
        <v>174</v>
      </c>
      <c r="B1579" t="s">
        <v>175</v>
      </c>
      <c r="C1579">
        <v>28949</v>
      </c>
      <c r="D1579">
        <v>39070</v>
      </c>
      <c r="E1579" s="12">
        <v>45707</v>
      </c>
      <c r="F1579" s="12">
        <v>45887</v>
      </c>
      <c r="G1579" s="10">
        <v>3705</v>
      </c>
      <c r="H1579">
        <v>0</v>
      </c>
      <c r="I1579" t="s">
        <v>1418</v>
      </c>
      <c r="J1579" t="s">
        <v>58</v>
      </c>
      <c r="K1579" t="s">
        <v>15</v>
      </c>
    </row>
    <row r="1580" spans="1:11" hidden="1" x14ac:dyDescent="0.35">
      <c r="A1580" t="s">
        <v>55</v>
      </c>
      <c r="B1580" t="s">
        <v>56</v>
      </c>
      <c r="C1580">
        <v>28957</v>
      </c>
      <c r="D1580">
        <v>39078</v>
      </c>
      <c r="E1580" s="12">
        <v>45707</v>
      </c>
      <c r="F1580" s="12">
        <v>45887</v>
      </c>
      <c r="G1580" s="10">
        <v>3458</v>
      </c>
      <c r="H1580">
        <v>0</v>
      </c>
      <c r="I1580" t="s">
        <v>208</v>
      </c>
      <c r="J1580" t="s">
        <v>58</v>
      </c>
      <c r="K1580" t="s">
        <v>15</v>
      </c>
    </row>
    <row r="1581" spans="1:11" hidden="1" x14ac:dyDescent="0.35">
      <c r="A1581" t="s">
        <v>174</v>
      </c>
      <c r="B1581" t="s">
        <v>175</v>
      </c>
      <c r="C1581">
        <v>28951</v>
      </c>
      <c r="D1581">
        <v>39072</v>
      </c>
      <c r="E1581" s="12">
        <v>45707</v>
      </c>
      <c r="F1581" s="12">
        <v>45887</v>
      </c>
      <c r="G1581" s="10">
        <v>2493.9</v>
      </c>
      <c r="H1581">
        <v>0</v>
      </c>
      <c r="I1581" t="s">
        <v>1418</v>
      </c>
      <c r="J1581" t="s">
        <v>58</v>
      </c>
      <c r="K1581" t="s">
        <v>15</v>
      </c>
    </row>
    <row r="1582" spans="1:11" hidden="1" x14ac:dyDescent="0.35">
      <c r="A1582" t="s">
        <v>791</v>
      </c>
      <c r="B1582" t="s">
        <v>56</v>
      </c>
      <c r="C1582">
        <v>28926</v>
      </c>
      <c r="D1582">
        <v>39038</v>
      </c>
      <c r="E1582" s="12">
        <v>45705</v>
      </c>
      <c r="F1582" s="12">
        <v>45887</v>
      </c>
      <c r="G1582" s="10">
        <v>1531</v>
      </c>
      <c r="H1582">
        <v>0</v>
      </c>
      <c r="I1582" t="s">
        <v>1156</v>
      </c>
      <c r="J1582" t="s">
        <v>44</v>
      </c>
      <c r="K1582" t="s">
        <v>15</v>
      </c>
    </row>
    <row r="1583" spans="1:11" hidden="1" x14ac:dyDescent="0.35">
      <c r="A1583" t="s">
        <v>791</v>
      </c>
      <c r="B1583" t="s">
        <v>56</v>
      </c>
      <c r="C1583">
        <v>28929</v>
      </c>
      <c r="D1583">
        <v>39041</v>
      </c>
      <c r="E1583" s="12">
        <v>45705</v>
      </c>
      <c r="F1583" s="12">
        <v>45887</v>
      </c>
      <c r="G1583" s="10">
        <v>2650.6</v>
      </c>
      <c r="H1583">
        <v>0</v>
      </c>
      <c r="I1583" t="s">
        <v>1156</v>
      </c>
      <c r="J1583" t="s">
        <v>44</v>
      </c>
      <c r="K1583" t="s">
        <v>15</v>
      </c>
    </row>
    <row r="1584" spans="1:11" hidden="1" x14ac:dyDescent="0.35">
      <c r="A1584" t="s">
        <v>203</v>
      </c>
      <c r="B1584" t="s">
        <v>56</v>
      </c>
      <c r="C1584">
        <v>28992</v>
      </c>
      <c r="D1584">
        <v>39114</v>
      </c>
      <c r="E1584" s="12">
        <v>45708</v>
      </c>
      <c r="F1584" s="12">
        <v>45888</v>
      </c>
      <c r="G1584" s="10">
        <v>60850</v>
      </c>
      <c r="H1584">
        <v>0</v>
      </c>
      <c r="I1584" t="s">
        <v>907</v>
      </c>
      <c r="J1584" t="s">
        <v>58</v>
      </c>
      <c r="K1584" t="s">
        <v>15</v>
      </c>
    </row>
    <row r="1585" spans="1:11" hidden="1" x14ac:dyDescent="0.35">
      <c r="A1585" t="s">
        <v>205</v>
      </c>
      <c r="B1585" t="s">
        <v>56</v>
      </c>
      <c r="C1585">
        <v>28987</v>
      </c>
      <c r="D1585">
        <v>39109</v>
      </c>
      <c r="E1585" s="12">
        <v>45708</v>
      </c>
      <c r="F1585" s="12">
        <v>45888</v>
      </c>
      <c r="G1585" s="10">
        <v>33760.519999999997</v>
      </c>
      <c r="H1585">
        <v>0</v>
      </c>
      <c r="I1585" t="s">
        <v>679</v>
      </c>
      <c r="J1585" t="s">
        <v>58</v>
      </c>
      <c r="K1585" t="s">
        <v>15</v>
      </c>
    </row>
    <row r="1586" spans="1:11" hidden="1" x14ac:dyDescent="0.35">
      <c r="A1586" t="s">
        <v>591</v>
      </c>
      <c r="B1586" t="s">
        <v>592</v>
      </c>
      <c r="C1586">
        <v>29011</v>
      </c>
      <c r="D1586">
        <v>39133</v>
      </c>
      <c r="E1586" s="12">
        <v>45708</v>
      </c>
      <c r="F1586" s="12">
        <v>45888</v>
      </c>
      <c r="G1586" s="10">
        <v>3867.65</v>
      </c>
      <c r="H1586">
        <v>0</v>
      </c>
      <c r="I1586" t="s">
        <v>593</v>
      </c>
      <c r="J1586" t="s">
        <v>194</v>
      </c>
      <c r="K1586" t="s">
        <v>15</v>
      </c>
    </row>
    <row r="1587" spans="1:11" hidden="1" x14ac:dyDescent="0.35">
      <c r="A1587" t="s">
        <v>31</v>
      </c>
      <c r="B1587" t="s">
        <v>32</v>
      </c>
      <c r="C1587">
        <v>29111</v>
      </c>
      <c r="D1587">
        <v>39272</v>
      </c>
      <c r="E1587" s="12">
        <v>45723</v>
      </c>
      <c r="F1587" s="12">
        <v>45888</v>
      </c>
      <c r="G1587" s="10">
        <v>2436.66</v>
      </c>
      <c r="H1587">
        <v>0</v>
      </c>
      <c r="I1587" t="s">
        <v>271</v>
      </c>
      <c r="J1587" t="s">
        <v>34</v>
      </c>
      <c r="K1587" t="s">
        <v>15</v>
      </c>
    </row>
    <row r="1588" spans="1:11" hidden="1" x14ac:dyDescent="0.35">
      <c r="A1588" t="s">
        <v>55</v>
      </c>
      <c r="B1588" t="s">
        <v>56</v>
      </c>
      <c r="C1588">
        <v>28991</v>
      </c>
      <c r="D1588">
        <v>39113</v>
      </c>
      <c r="E1588" s="12">
        <v>45708</v>
      </c>
      <c r="F1588" s="12">
        <v>45888</v>
      </c>
      <c r="G1588" s="10">
        <v>60850</v>
      </c>
      <c r="H1588">
        <v>0</v>
      </c>
      <c r="I1588" t="s">
        <v>208</v>
      </c>
      <c r="J1588" t="s">
        <v>58</v>
      </c>
      <c r="K1588" t="s">
        <v>15</v>
      </c>
    </row>
    <row r="1589" spans="1:11" hidden="1" x14ac:dyDescent="0.35">
      <c r="A1589" t="s">
        <v>31</v>
      </c>
      <c r="B1589" t="s">
        <v>32</v>
      </c>
      <c r="C1589">
        <v>29108</v>
      </c>
      <c r="D1589">
        <v>39269</v>
      </c>
      <c r="E1589" s="12">
        <v>45723</v>
      </c>
      <c r="F1589" s="12">
        <v>45888</v>
      </c>
      <c r="G1589" s="10">
        <v>7822.21</v>
      </c>
      <c r="H1589">
        <v>0</v>
      </c>
      <c r="I1589" t="s">
        <v>271</v>
      </c>
      <c r="J1589" t="s">
        <v>34</v>
      </c>
      <c r="K1589" t="s">
        <v>15</v>
      </c>
    </row>
    <row r="1590" spans="1:11" hidden="1" x14ac:dyDescent="0.35">
      <c r="A1590" t="s">
        <v>174</v>
      </c>
      <c r="B1590" t="s">
        <v>175</v>
      </c>
      <c r="C1590">
        <v>28988</v>
      </c>
      <c r="D1590">
        <v>39110</v>
      </c>
      <c r="E1590" s="12">
        <v>45708</v>
      </c>
      <c r="F1590" s="12">
        <v>45888</v>
      </c>
      <c r="G1590" s="10">
        <v>64501</v>
      </c>
      <c r="H1590">
        <v>0</v>
      </c>
      <c r="I1590" t="s">
        <v>1418</v>
      </c>
      <c r="J1590" t="s">
        <v>58</v>
      </c>
      <c r="K1590" t="s">
        <v>15</v>
      </c>
    </row>
    <row r="1591" spans="1:11" hidden="1" x14ac:dyDescent="0.35">
      <c r="A1591" t="s">
        <v>31</v>
      </c>
      <c r="B1591" t="s">
        <v>32</v>
      </c>
      <c r="C1591">
        <v>29109</v>
      </c>
      <c r="D1591">
        <v>39270</v>
      </c>
      <c r="E1591" s="12">
        <v>45723</v>
      </c>
      <c r="F1591" s="12">
        <v>45888</v>
      </c>
      <c r="G1591" s="10">
        <v>5866.66</v>
      </c>
      <c r="H1591">
        <v>0</v>
      </c>
      <c r="I1591" t="s">
        <v>271</v>
      </c>
      <c r="J1591" t="s">
        <v>34</v>
      </c>
      <c r="K1591" t="s">
        <v>15</v>
      </c>
    </row>
    <row r="1592" spans="1:11" hidden="1" x14ac:dyDescent="0.35">
      <c r="A1592" t="s">
        <v>31</v>
      </c>
      <c r="B1592" t="s">
        <v>32</v>
      </c>
      <c r="C1592">
        <v>29110</v>
      </c>
      <c r="D1592">
        <v>39271</v>
      </c>
      <c r="E1592" s="12">
        <v>45723</v>
      </c>
      <c r="F1592" s="12">
        <v>45888</v>
      </c>
      <c r="G1592" s="10">
        <v>753.33</v>
      </c>
      <c r="H1592">
        <v>0</v>
      </c>
      <c r="I1592" t="s">
        <v>271</v>
      </c>
      <c r="J1592" t="s">
        <v>34</v>
      </c>
      <c r="K1592" t="s">
        <v>15</v>
      </c>
    </row>
    <row r="1593" spans="1:11" hidden="1" x14ac:dyDescent="0.35">
      <c r="A1593" t="s">
        <v>205</v>
      </c>
      <c r="B1593" t="s">
        <v>56</v>
      </c>
      <c r="C1593">
        <v>28990</v>
      </c>
      <c r="D1593">
        <v>39112</v>
      </c>
      <c r="E1593" s="12">
        <v>45708</v>
      </c>
      <c r="F1593" s="12">
        <v>45888</v>
      </c>
      <c r="G1593" s="10">
        <v>28893.4</v>
      </c>
      <c r="H1593">
        <v>0</v>
      </c>
      <c r="I1593" t="s">
        <v>679</v>
      </c>
      <c r="J1593" t="s">
        <v>58</v>
      </c>
      <c r="K1593" t="s">
        <v>15</v>
      </c>
    </row>
    <row r="1594" spans="1:11" hidden="1" x14ac:dyDescent="0.35">
      <c r="A1594" t="s">
        <v>205</v>
      </c>
      <c r="B1594" t="s">
        <v>56</v>
      </c>
      <c r="C1594">
        <v>28989</v>
      </c>
      <c r="D1594">
        <v>39111</v>
      </c>
      <c r="E1594" s="12">
        <v>45708</v>
      </c>
      <c r="F1594" s="12">
        <v>45888</v>
      </c>
      <c r="G1594" s="10">
        <v>36510</v>
      </c>
      <c r="H1594">
        <v>0</v>
      </c>
      <c r="I1594" t="s">
        <v>679</v>
      </c>
      <c r="J1594" t="s">
        <v>58</v>
      </c>
      <c r="K1594" t="s">
        <v>15</v>
      </c>
    </row>
    <row r="1595" spans="1:11" hidden="1" x14ac:dyDescent="0.35">
      <c r="A1595" t="s">
        <v>203</v>
      </c>
      <c r="B1595" t="s">
        <v>56</v>
      </c>
      <c r="C1595">
        <v>28994</v>
      </c>
      <c r="D1595">
        <v>39116</v>
      </c>
      <c r="E1595" s="12">
        <v>45708</v>
      </c>
      <c r="F1595" s="12">
        <v>45888</v>
      </c>
      <c r="G1595" s="10">
        <v>36510</v>
      </c>
      <c r="H1595">
        <v>0</v>
      </c>
      <c r="I1595" t="s">
        <v>907</v>
      </c>
      <c r="J1595" t="s">
        <v>58</v>
      </c>
      <c r="K1595" t="s">
        <v>15</v>
      </c>
    </row>
    <row r="1596" spans="1:11" hidden="1" x14ac:dyDescent="0.35">
      <c r="A1596" t="s">
        <v>203</v>
      </c>
      <c r="B1596" t="s">
        <v>56</v>
      </c>
      <c r="C1596">
        <v>28993</v>
      </c>
      <c r="D1596">
        <v>39115</v>
      </c>
      <c r="E1596" s="12">
        <v>45708</v>
      </c>
      <c r="F1596" s="12">
        <v>45888</v>
      </c>
      <c r="G1596" s="10">
        <v>24340</v>
      </c>
      <c r="H1596">
        <v>0</v>
      </c>
      <c r="I1596" t="s">
        <v>907</v>
      </c>
      <c r="J1596" t="s">
        <v>58</v>
      </c>
      <c r="K1596" t="s">
        <v>15</v>
      </c>
    </row>
    <row r="1597" spans="1:11" hidden="1" x14ac:dyDescent="0.35">
      <c r="A1597" t="s">
        <v>16</v>
      </c>
      <c r="B1597" t="s">
        <v>17</v>
      </c>
      <c r="C1597">
        <v>27063</v>
      </c>
      <c r="D1597">
        <v>36756</v>
      </c>
      <c r="E1597" s="12">
        <v>45559</v>
      </c>
      <c r="F1597" s="12">
        <v>45889</v>
      </c>
      <c r="G1597" s="10">
        <v>123719.16</v>
      </c>
      <c r="H1597">
        <v>0</v>
      </c>
      <c r="I1597" t="s">
        <v>838</v>
      </c>
      <c r="J1597" t="s">
        <v>18</v>
      </c>
      <c r="K1597" t="s">
        <v>15</v>
      </c>
    </row>
    <row r="1598" spans="1:11" hidden="1" x14ac:dyDescent="0.35">
      <c r="A1598" t="s">
        <v>38</v>
      </c>
      <c r="B1598" t="s">
        <v>39</v>
      </c>
      <c r="C1598">
        <v>27639</v>
      </c>
      <c r="D1598">
        <v>37412</v>
      </c>
      <c r="E1598" s="12">
        <v>45596</v>
      </c>
      <c r="F1598" s="12">
        <v>45889</v>
      </c>
      <c r="G1598" s="10">
        <v>16932.45</v>
      </c>
      <c r="H1598">
        <v>0</v>
      </c>
      <c r="I1598" t="s">
        <v>40</v>
      </c>
      <c r="J1598" t="s">
        <v>41</v>
      </c>
      <c r="K1598" t="s">
        <v>15</v>
      </c>
    </row>
    <row r="1599" spans="1:11" hidden="1" x14ac:dyDescent="0.35">
      <c r="A1599" t="s">
        <v>16</v>
      </c>
      <c r="B1599" t="s">
        <v>17</v>
      </c>
      <c r="C1599">
        <v>27185</v>
      </c>
      <c r="D1599">
        <v>36875</v>
      </c>
      <c r="E1599" s="12">
        <v>45565</v>
      </c>
      <c r="F1599" s="12">
        <v>45889</v>
      </c>
      <c r="G1599" s="10">
        <v>41080</v>
      </c>
      <c r="H1599">
        <v>0</v>
      </c>
      <c r="I1599" t="s">
        <v>521</v>
      </c>
      <c r="J1599" t="s">
        <v>18</v>
      </c>
      <c r="K1599" t="s">
        <v>15</v>
      </c>
    </row>
    <row r="1600" spans="1:11" hidden="1" x14ac:dyDescent="0.35">
      <c r="A1600" t="s">
        <v>16</v>
      </c>
      <c r="B1600" t="s">
        <v>17</v>
      </c>
      <c r="C1600">
        <v>27285</v>
      </c>
      <c r="D1600">
        <v>36999</v>
      </c>
      <c r="E1600" s="12">
        <v>45569</v>
      </c>
      <c r="F1600" s="12">
        <v>45889</v>
      </c>
      <c r="G1600" s="10">
        <v>11180</v>
      </c>
      <c r="H1600">
        <v>0</v>
      </c>
      <c r="I1600" t="s">
        <v>522</v>
      </c>
      <c r="J1600" t="s">
        <v>18</v>
      </c>
      <c r="K1600" t="s">
        <v>15</v>
      </c>
    </row>
    <row r="1601" spans="1:11" hidden="1" x14ac:dyDescent="0.35">
      <c r="A1601" t="s">
        <v>468</v>
      </c>
      <c r="B1601" t="s">
        <v>469</v>
      </c>
      <c r="C1601">
        <v>27638</v>
      </c>
      <c r="D1601">
        <v>37411</v>
      </c>
      <c r="E1601" s="12">
        <v>45596</v>
      </c>
      <c r="F1601" s="12">
        <v>45889</v>
      </c>
      <c r="G1601" s="10">
        <v>1887</v>
      </c>
      <c r="H1601">
        <v>0</v>
      </c>
      <c r="I1601" t="s">
        <v>525</v>
      </c>
      <c r="J1601" t="s">
        <v>41</v>
      </c>
      <c r="K1601" t="s">
        <v>15</v>
      </c>
    </row>
    <row r="1602" spans="1:11" hidden="1" x14ac:dyDescent="0.35">
      <c r="A1602" t="s">
        <v>16</v>
      </c>
      <c r="B1602" t="s">
        <v>17</v>
      </c>
      <c r="C1602">
        <v>27092</v>
      </c>
      <c r="D1602">
        <v>36790</v>
      </c>
      <c r="E1602" s="12">
        <v>45561</v>
      </c>
      <c r="F1602" s="12">
        <v>45889</v>
      </c>
      <c r="G1602" s="10">
        <v>122953.2</v>
      </c>
      <c r="H1602">
        <v>0</v>
      </c>
      <c r="I1602" t="s">
        <v>964</v>
      </c>
      <c r="J1602" t="s">
        <v>18</v>
      </c>
      <c r="K1602" t="s">
        <v>15</v>
      </c>
    </row>
    <row r="1603" spans="1:11" hidden="1" x14ac:dyDescent="0.35">
      <c r="A1603" t="s">
        <v>16</v>
      </c>
      <c r="B1603" t="s">
        <v>17</v>
      </c>
      <c r="C1603">
        <v>28282</v>
      </c>
      <c r="D1603">
        <v>38253</v>
      </c>
      <c r="E1603" s="12">
        <v>45659</v>
      </c>
      <c r="F1603" s="12">
        <v>45889</v>
      </c>
      <c r="G1603" s="10">
        <v>139739.88</v>
      </c>
      <c r="H1603">
        <v>0</v>
      </c>
      <c r="I1603" t="s">
        <v>1219</v>
      </c>
      <c r="J1603" t="s">
        <v>18</v>
      </c>
      <c r="K1603" t="s">
        <v>15</v>
      </c>
    </row>
    <row r="1604" spans="1:11" hidden="1" x14ac:dyDescent="0.35">
      <c r="A1604" t="s">
        <v>1193</v>
      </c>
      <c r="B1604" t="s">
        <v>1194</v>
      </c>
      <c r="C1604">
        <v>27646</v>
      </c>
      <c r="D1604">
        <v>37423</v>
      </c>
      <c r="E1604" s="12">
        <v>45596</v>
      </c>
      <c r="F1604" s="12">
        <v>45889</v>
      </c>
      <c r="G1604" s="10">
        <v>2249.6</v>
      </c>
      <c r="H1604">
        <v>0</v>
      </c>
      <c r="I1604" t="s">
        <v>1195</v>
      </c>
      <c r="J1604" t="s">
        <v>41</v>
      </c>
      <c r="K1604" t="s">
        <v>15</v>
      </c>
    </row>
    <row r="1605" spans="1:11" hidden="1" x14ac:dyDescent="0.35">
      <c r="A1605" t="s">
        <v>1057</v>
      </c>
      <c r="B1605" t="s">
        <v>1058</v>
      </c>
      <c r="C1605">
        <v>27641</v>
      </c>
      <c r="D1605">
        <v>37414</v>
      </c>
      <c r="E1605" s="12">
        <v>45596</v>
      </c>
      <c r="F1605" s="12">
        <v>45889</v>
      </c>
      <c r="G1605" s="10">
        <v>15129.6</v>
      </c>
      <c r="H1605">
        <v>0</v>
      </c>
      <c r="I1605" t="s">
        <v>1059</v>
      </c>
      <c r="J1605" t="s">
        <v>41</v>
      </c>
      <c r="K1605" t="s">
        <v>15</v>
      </c>
    </row>
    <row r="1606" spans="1:11" hidden="1" x14ac:dyDescent="0.35">
      <c r="A1606" t="s">
        <v>1064</v>
      </c>
      <c r="B1606" t="s">
        <v>1065</v>
      </c>
      <c r="C1606">
        <v>28350</v>
      </c>
      <c r="D1606">
        <v>38335</v>
      </c>
      <c r="E1606" s="12">
        <v>45666</v>
      </c>
      <c r="F1606" s="12">
        <v>45889</v>
      </c>
      <c r="G1606" s="10">
        <v>4110</v>
      </c>
      <c r="H1606">
        <v>0</v>
      </c>
      <c r="I1606" t="s">
        <v>1066</v>
      </c>
      <c r="J1606" t="s">
        <v>48</v>
      </c>
      <c r="K1606" t="s">
        <v>15</v>
      </c>
    </row>
    <row r="1607" spans="1:11" hidden="1" x14ac:dyDescent="0.35">
      <c r="A1607" t="s">
        <v>468</v>
      </c>
      <c r="B1607" t="s">
        <v>469</v>
      </c>
      <c r="C1607">
        <v>28697</v>
      </c>
      <c r="D1607">
        <v>38737</v>
      </c>
      <c r="E1607" s="12">
        <v>45686</v>
      </c>
      <c r="F1607" s="12">
        <v>45889</v>
      </c>
      <c r="G1607" s="10">
        <v>4096.6000000000004</v>
      </c>
      <c r="H1607">
        <v>0</v>
      </c>
      <c r="I1607" t="s">
        <v>853</v>
      </c>
      <c r="J1607" t="s">
        <v>41</v>
      </c>
      <c r="K1607" t="s">
        <v>15</v>
      </c>
    </row>
    <row r="1608" spans="1:11" hidden="1" x14ac:dyDescent="0.35">
      <c r="A1608" t="s">
        <v>16</v>
      </c>
      <c r="B1608" t="s">
        <v>17</v>
      </c>
      <c r="C1608">
        <v>27186</v>
      </c>
      <c r="D1608">
        <v>36876</v>
      </c>
      <c r="E1608" s="12">
        <v>45565</v>
      </c>
      <c r="F1608" s="12">
        <v>45889</v>
      </c>
      <c r="G1608" s="10">
        <v>34320</v>
      </c>
      <c r="H1608">
        <v>0</v>
      </c>
      <c r="I1608" t="s">
        <v>465</v>
      </c>
      <c r="J1608" t="s">
        <v>18</v>
      </c>
      <c r="K1608" t="s">
        <v>15</v>
      </c>
    </row>
    <row r="1609" spans="1:11" hidden="1" x14ac:dyDescent="0.35">
      <c r="A1609" t="s">
        <v>468</v>
      </c>
      <c r="B1609" t="s">
        <v>469</v>
      </c>
      <c r="C1609">
        <v>27637</v>
      </c>
      <c r="D1609">
        <v>37410</v>
      </c>
      <c r="E1609" s="12">
        <v>45596</v>
      </c>
      <c r="F1609" s="12">
        <v>45889</v>
      </c>
      <c r="G1609" s="10">
        <v>22676.05</v>
      </c>
      <c r="H1609">
        <v>0</v>
      </c>
      <c r="I1609" t="s">
        <v>470</v>
      </c>
      <c r="J1609" t="s">
        <v>41</v>
      </c>
      <c r="K1609" t="s">
        <v>15</v>
      </c>
    </row>
    <row r="1610" spans="1:11" hidden="1" x14ac:dyDescent="0.35">
      <c r="A1610" t="s">
        <v>16</v>
      </c>
      <c r="B1610" t="s">
        <v>17</v>
      </c>
      <c r="C1610">
        <v>28510</v>
      </c>
      <c r="D1610">
        <v>38511</v>
      </c>
      <c r="E1610" s="12">
        <v>45674</v>
      </c>
      <c r="F1610" s="12">
        <v>45889</v>
      </c>
      <c r="G1610" s="10">
        <v>21280</v>
      </c>
      <c r="H1610">
        <v>0</v>
      </c>
      <c r="I1610" t="s">
        <v>882</v>
      </c>
      <c r="J1610" t="s">
        <v>18</v>
      </c>
      <c r="K1610" t="s">
        <v>15</v>
      </c>
    </row>
    <row r="1611" spans="1:11" hidden="1" x14ac:dyDescent="0.35">
      <c r="A1611" t="s">
        <v>288</v>
      </c>
      <c r="B1611" t="s">
        <v>289</v>
      </c>
      <c r="C1611">
        <v>29019</v>
      </c>
      <c r="D1611">
        <v>39143</v>
      </c>
      <c r="E1611" s="12">
        <v>45709</v>
      </c>
      <c r="F1611" s="12">
        <v>45889</v>
      </c>
      <c r="G1611" s="10">
        <v>66959.240000000005</v>
      </c>
      <c r="H1611">
        <v>0</v>
      </c>
      <c r="I1611" t="s">
        <v>996</v>
      </c>
      <c r="J1611" t="s">
        <v>34</v>
      </c>
      <c r="K1611" t="s">
        <v>15</v>
      </c>
    </row>
    <row r="1612" spans="1:11" hidden="1" x14ac:dyDescent="0.35">
      <c r="A1612" t="s">
        <v>38</v>
      </c>
      <c r="B1612" t="s">
        <v>39</v>
      </c>
      <c r="C1612">
        <v>28696</v>
      </c>
      <c r="D1612">
        <v>38736</v>
      </c>
      <c r="E1612" s="12">
        <v>45686</v>
      </c>
      <c r="F1612" s="12">
        <v>45889</v>
      </c>
      <c r="G1612" s="10">
        <v>2048.3000000000002</v>
      </c>
      <c r="H1612">
        <v>0</v>
      </c>
      <c r="I1612" t="s">
        <v>40</v>
      </c>
      <c r="J1612" t="s">
        <v>41</v>
      </c>
      <c r="K1612" t="s">
        <v>15</v>
      </c>
    </row>
    <row r="1613" spans="1:11" hidden="1" x14ac:dyDescent="0.35">
      <c r="A1613" t="s">
        <v>16</v>
      </c>
      <c r="B1613" t="s">
        <v>17</v>
      </c>
      <c r="C1613">
        <v>27286</v>
      </c>
      <c r="D1613">
        <v>37000</v>
      </c>
      <c r="E1613" s="12">
        <v>45569</v>
      </c>
      <c r="F1613" s="12">
        <v>45889</v>
      </c>
      <c r="G1613" s="10">
        <v>4195.3999999999996</v>
      </c>
      <c r="H1613">
        <v>0</v>
      </c>
      <c r="I1613" t="s">
        <v>314</v>
      </c>
      <c r="J1613" t="s">
        <v>18</v>
      </c>
      <c r="K1613" t="s">
        <v>15</v>
      </c>
    </row>
    <row r="1614" spans="1:11" hidden="1" x14ac:dyDescent="0.35">
      <c r="A1614" t="s">
        <v>1064</v>
      </c>
      <c r="B1614" t="s">
        <v>1065</v>
      </c>
      <c r="C1614">
        <v>28349</v>
      </c>
      <c r="D1614">
        <v>38334</v>
      </c>
      <c r="E1614" s="12">
        <v>45666</v>
      </c>
      <c r="F1614" s="12">
        <v>45889</v>
      </c>
      <c r="G1614" s="10">
        <v>5162.0200000000004</v>
      </c>
      <c r="H1614">
        <v>0</v>
      </c>
      <c r="I1614" t="s">
        <v>1553</v>
      </c>
      <c r="J1614" t="s">
        <v>48</v>
      </c>
      <c r="K1614" t="s">
        <v>15</v>
      </c>
    </row>
    <row r="1615" spans="1:11" hidden="1" x14ac:dyDescent="0.35">
      <c r="A1615" t="s">
        <v>1057</v>
      </c>
      <c r="B1615" t="s">
        <v>1058</v>
      </c>
      <c r="C1615">
        <v>27642</v>
      </c>
      <c r="D1615">
        <v>37415</v>
      </c>
      <c r="E1615" s="12">
        <v>45596</v>
      </c>
      <c r="F1615" s="12">
        <v>45889</v>
      </c>
      <c r="G1615" s="10">
        <v>3840</v>
      </c>
      <c r="H1615">
        <v>0</v>
      </c>
      <c r="I1615" t="s">
        <v>1508</v>
      </c>
      <c r="J1615" t="s">
        <v>41</v>
      </c>
      <c r="K1615" t="s">
        <v>15</v>
      </c>
    </row>
    <row r="1616" spans="1:11" hidden="1" x14ac:dyDescent="0.35">
      <c r="A1616" t="s">
        <v>38</v>
      </c>
      <c r="B1616" t="s">
        <v>39</v>
      </c>
      <c r="C1616">
        <v>27640</v>
      </c>
      <c r="D1616">
        <v>37413</v>
      </c>
      <c r="E1616" s="12">
        <v>45596</v>
      </c>
      <c r="F1616" s="12">
        <v>45889</v>
      </c>
      <c r="G1616" s="10">
        <v>1887</v>
      </c>
      <c r="H1616">
        <v>0</v>
      </c>
      <c r="I1616" t="s">
        <v>1603</v>
      </c>
      <c r="J1616" t="s">
        <v>41</v>
      </c>
      <c r="K1616" t="s">
        <v>15</v>
      </c>
    </row>
    <row r="1617" spans="1:11" hidden="1" x14ac:dyDescent="0.35">
      <c r="A1617" t="s">
        <v>16</v>
      </c>
      <c r="B1617" t="s">
        <v>17</v>
      </c>
      <c r="C1617">
        <v>28369</v>
      </c>
      <c r="D1617">
        <v>38360</v>
      </c>
      <c r="E1617" s="12">
        <v>45667</v>
      </c>
      <c r="F1617" s="12">
        <v>45889</v>
      </c>
      <c r="G1617" s="10">
        <v>6720</v>
      </c>
      <c r="H1617">
        <v>0</v>
      </c>
      <c r="I1617" t="s">
        <v>1643</v>
      </c>
      <c r="J1617" t="s">
        <v>18</v>
      </c>
      <c r="K1617" t="s">
        <v>15</v>
      </c>
    </row>
    <row r="1618" spans="1:11" hidden="1" x14ac:dyDescent="0.35">
      <c r="A1618" t="s">
        <v>16</v>
      </c>
      <c r="B1618" t="s">
        <v>17</v>
      </c>
      <c r="C1618">
        <v>27798</v>
      </c>
      <c r="D1618">
        <v>37616</v>
      </c>
      <c r="E1618" s="12">
        <v>45610</v>
      </c>
      <c r="F1618" s="12">
        <v>45889</v>
      </c>
      <c r="G1618" s="10">
        <v>1200</v>
      </c>
      <c r="H1618">
        <v>0</v>
      </c>
      <c r="I1618" t="s">
        <v>1538</v>
      </c>
      <c r="J1618" t="s">
        <v>18</v>
      </c>
      <c r="K1618" t="s">
        <v>15</v>
      </c>
    </row>
    <row r="1619" spans="1:11" hidden="1" x14ac:dyDescent="0.35">
      <c r="A1619" t="s">
        <v>1057</v>
      </c>
      <c r="B1619" t="s">
        <v>1058</v>
      </c>
      <c r="C1619">
        <v>28695</v>
      </c>
      <c r="D1619">
        <v>38735</v>
      </c>
      <c r="E1619" s="12">
        <v>45686</v>
      </c>
      <c r="F1619" s="12">
        <v>45889</v>
      </c>
      <c r="G1619" s="10">
        <v>1885.4</v>
      </c>
      <c r="H1619">
        <v>0</v>
      </c>
      <c r="I1619" t="s">
        <v>1174</v>
      </c>
      <c r="J1619" t="s">
        <v>41</v>
      </c>
      <c r="K1619" t="s">
        <v>15</v>
      </c>
    </row>
    <row r="1620" spans="1:11" hidden="1" x14ac:dyDescent="0.35">
      <c r="A1620" t="s">
        <v>16</v>
      </c>
      <c r="B1620" t="s">
        <v>17</v>
      </c>
      <c r="C1620">
        <v>26440</v>
      </c>
      <c r="D1620">
        <v>36068</v>
      </c>
      <c r="E1620" s="12">
        <v>45516</v>
      </c>
      <c r="F1620" s="12">
        <v>45889</v>
      </c>
      <c r="G1620" s="10">
        <v>109417.56</v>
      </c>
      <c r="H1620">
        <v>0</v>
      </c>
      <c r="I1620" t="s">
        <v>1485</v>
      </c>
      <c r="J1620" t="s">
        <v>18</v>
      </c>
      <c r="K1620" t="s">
        <v>15</v>
      </c>
    </row>
    <row r="1621" spans="1:11" hidden="1" x14ac:dyDescent="0.35">
      <c r="A1621" t="s">
        <v>1193</v>
      </c>
      <c r="B1621" t="s">
        <v>1194</v>
      </c>
      <c r="C1621">
        <v>27644</v>
      </c>
      <c r="D1621">
        <v>37417</v>
      </c>
      <c r="E1621" s="12">
        <v>45596</v>
      </c>
      <c r="F1621" s="12">
        <v>45889</v>
      </c>
      <c r="G1621" s="10">
        <v>35437.699999999997</v>
      </c>
      <c r="H1621">
        <v>0</v>
      </c>
      <c r="I1621" t="s">
        <v>1487</v>
      </c>
      <c r="J1621" t="s">
        <v>41</v>
      </c>
      <c r="K1621" t="s">
        <v>15</v>
      </c>
    </row>
    <row r="1622" spans="1:11" hidden="1" x14ac:dyDescent="0.35">
      <c r="A1622" t="s">
        <v>68</v>
      </c>
      <c r="B1622" t="s">
        <v>69</v>
      </c>
      <c r="C1622">
        <v>28586</v>
      </c>
      <c r="D1622">
        <v>38610</v>
      </c>
      <c r="E1622" s="12">
        <v>45680</v>
      </c>
      <c r="F1622" s="12">
        <v>45890</v>
      </c>
      <c r="G1622" s="10">
        <v>5838.65</v>
      </c>
      <c r="H1622">
        <v>0</v>
      </c>
      <c r="I1622" t="s">
        <v>427</v>
      </c>
      <c r="J1622" t="s">
        <v>14</v>
      </c>
      <c r="K1622" t="s">
        <v>15</v>
      </c>
    </row>
    <row r="1623" spans="1:11" hidden="1" x14ac:dyDescent="0.35">
      <c r="A1623" t="s">
        <v>31</v>
      </c>
      <c r="B1623" t="s">
        <v>32</v>
      </c>
      <c r="C1623">
        <v>29245</v>
      </c>
      <c r="D1623">
        <v>39430</v>
      </c>
      <c r="E1623" s="12">
        <v>45740</v>
      </c>
      <c r="F1623" s="12">
        <v>45890</v>
      </c>
      <c r="G1623" s="10">
        <v>1931.22</v>
      </c>
      <c r="H1623">
        <v>0</v>
      </c>
      <c r="I1623" t="s">
        <v>271</v>
      </c>
      <c r="J1623" t="s">
        <v>34</v>
      </c>
      <c r="K1623" t="s">
        <v>15</v>
      </c>
    </row>
    <row r="1624" spans="1:11" hidden="1" x14ac:dyDescent="0.35">
      <c r="A1624" t="s">
        <v>31</v>
      </c>
      <c r="B1624" t="s">
        <v>32</v>
      </c>
      <c r="C1624">
        <v>29244</v>
      </c>
      <c r="D1624">
        <v>39429</v>
      </c>
      <c r="E1624" s="12">
        <v>45740</v>
      </c>
      <c r="F1624" s="12">
        <v>45890</v>
      </c>
      <c r="G1624" s="10">
        <v>20324.14</v>
      </c>
      <c r="H1624">
        <v>0</v>
      </c>
      <c r="I1624" t="s">
        <v>271</v>
      </c>
      <c r="J1624" t="s">
        <v>34</v>
      </c>
      <c r="K1624" t="s">
        <v>15</v>
      </c>
    </row>
    <row r="1625" spans="1:11" hidden="1" x14ac:dyDescent="0.35">
      <c r="A1625" t="s">
        <v>31</v>
      </c>
      <c r="B1625" t="s">
        <v>32</v>
      </c>
      <c r="C1625">
        <v>29246</v>
      </c>
      <c r="D1625">
        <v>39431</v>
      </c>
      <c r="E1625" s="12">
        <v>45740</v>
      </c>
      <c r="F1625" s="12">
        <v>45890</v>
      </c>
      <c r="G1625" s="10">
        <v>1931.22</v>
      </c>
      <c r="H1625">
        <v>0</v>
      </c>
      <c r="I1625" t="s">
        <v>271</v>
      </c>
      <c r="J1625" t="s">
        <v>34</v>
      </c>
      <c r="K1625" t="s">
        <v>15</v>
      </c>
    </row>
    <row r="1626" spans="1:11" hidden="1" x14ac:dyDescent="0.35">
      <c r="A1626" t="s">
        <v>31</v>
      </c>
      <c r="B1626" t="s">
        <v>32</v>
      </c>
      <c r="C1626">
        <v>29260</v>
      </c>
      <c r="D1626">
        <v>39448</v>
      </c>
      <c r="E1626" s="12">
        <v>45741</v>
      </c>
      <c r="F1626" s="12">
        <v>45891</v>
      </c>
      <c r="G1626" s="10">
        <v>97.4</v>
      </c>
      <c r="H1626">
        <v>0</v>
      </c>
      <c r="I1626" t="s">
        <v>271</v>
      </c>
      <c r="J1626" t="s">
        <v>34</v>
      </c>
      <c r="K1626" t="s">
        <v>15</v>
      </c>
    </row>
    <row r="1627" spans="1:11" hidden="1" x14ac:dyDescent="0.35">
      <c r="A1627" t="s">
        <v>31</v>
      </c>
      <c r="B1627" t="s">
        <v>32</v>
      </c>
      <c r="C1627">
        <v>29258</v>
      </c>
      <c r="D1627">
        <v>39446</v>
      </c>
      <c r="E1627" s="12">
        <v>45741</v>
      </c>
      <c r="F1627" s="12">
        <v>45891</v>
      </c>
      <c r="G1627" s="10">
        <v>353.33</v>
      </c>
      <c r="H1627">
        <v>0</v>
      </c>
      <c r="I1627" t="s">
        <v>271</v>
      </c>
      <c r="J1627" t="s">
        <v>34</v>
      </c>
      <c r="K1627" t="s">
        <v>15</v>
      </c>
    </row>
    <row r="1628" spans="1:11" hidden="1" x14ac:dyDescent="0.35">
      <c r="A1628" t="s">
        <v>288</v>
      </c>
      <c r="B1628" t="s">
        <v>289</v>
      </c>
      <c r="C1628">
        <v>29251</v>
      </c>
      <c r="D1628">
        <v>39437</v>
      </c>
      <c r="E1628" s="12">
        <v>45741</v>
      </c>
      <c r="F1628" s="12">
        <v>45891</v>
      </c>
      <c r="G1628" s="10">
        <v>14223.84</v>
      </c>
      <c r="H1628">
        <v>0</v>
      </c>
      <c r="I1628" t="s">
        <v>996</v>
      </c>
      <c r="J1628" t="s">
        <v>34</v>
      </c>
      <c r="K1628" t="s">
        <v>15</v>
      </c>
    </row>
    <row r="1629" spans="1:11" hidden="1" x14ac:dyDescent="0.35">
      <c r="A1629" t="s">
        <v>31</v>
      </c>
      <c r="B1629" t="s">
        <v>32</v>
      </c>
      <c r="C1629">
        <v>29259</v>
      </c>
      <c r="D1629">
        <v>39447</v>
      </c>
      <c r="E1629" s="12">
        <v>45741</v>
      </c>
      <c r="F1629" s="12">
        <v>45891</v>
      </c>
      <c r="G1629" s="10">
        <v>1965.44</v>
      </c>
      <c r="H1629">
        <v>0</v>
      </c>
      <c r="I1629" t="s">
        <v>271</v>
      </c>
      <c r="J1629" t="s">
        <v>34</v>
      </c>
      <c r="K1629" t="s">
        <v>15</v>
      </c>
    </row>
    <row r="1630" spans="1:11" hidden="1" x14ac:dyDescent="0.35">
      <c r="A1630" t="s">
        <v>31</v>
      </c>
      <c r="B1630" t="s">
        <v>32</v>
      </c>
      <c r="C1630">
        <v>29261</v>
      </c>
      <c r="D1630">
        <v>39449</v>
      </c>
      <c r="E1630" s="12">
        <v>45741</v>
      </c>
      <c r="F1630" s="12">
        <v>45891</v>
      </c>
      <c r="G1630" s="10">
        <v>2271.66</v>
      </c>
      <c r="H1630">
        <v>0</v>
      </c>
      <c r="I1630" t="s">
        <v>271</v>
      </c>
      <c r="J1630" t="s">
        <v>34</v>
      </c>
      <c r="K1630" t="s">
        <v>15</v>
      </c>
    </row>
    <row r="1631" spans="1:11" hidden="1" x14ac:dyDescent="0.35">
      <c r="A1631" t="s">
        <v>954</v>
      </c>
      <c r="B1631" t="s">
        <v>955</v>
      </c>
      <c r="C1631">
        <v>29262</v>
      </c>
      <c r="D1631">
        <v>39451</v>
      </c>
      <c r="E1631" s="12">
        <v>45742</v>
      </c>
      <c r="F1631" s="12">
        <v>45892</v>
      </c>
      <c r="G1631" s="10">
        <v>35558.400000000001</v>
      </c>
      <c r="H1631">
        <v>0</v>
      </c>
      <c r="I1631" t="s">
        <v>1652</v>
      </c>
      <c r="J1631" t="s">
        <v>34</v>
      </c>
      <c r="K1631" t="s">
        <v>15</v>
      </c>
    </row>
    <row r="1632" spans="1:11" hidden="1" x14ac:dyDescent="0.35">
      <c r="A1632" t="s">
        <v>288</v>
      </c>
      <c r="B1632" t="s">
        <v>289</v>
      </c>
      <c r="C1632">
        <v>29025</v>
      </c>
      <c r="D1632">
        <v>39153</v>
      </c>
      <c r="E1632" s="12">
        <v>45712</v>
      </c>
      <c r="F1632" s="12">
        <v>45894</v>
      </c>
      <c r="G1632" s="10">
        <v>19080</v>
      </c>
      <c r="H1632">
        <v>0</v>
      </c>
      <c r="I1632" t="s">
        <v>996</v>
      </c>
      <c r="J1632" t="s">
        <v>34</v>
      </c>
      <c r="K1632" t="s">
        <v>15</v>
      </c>
    </row>
    <row r="1633" spans="1:11" hidden="1" x14ac:dyDescent="0.35">
      <c r="A1633" t="s">
        <v>45</v>
      </c>
      <c r="B1633" t="s">
        <v>46</v>
      </c>
      <c r="C1633">
        <v>29070</v>
      </c>
      <c r="D1633">
        <v>39212</v>
      </c>
      <c r="E1633" s="12">
        <v>45714</v>
      </c>
      <c r="F1633" s="12">
        <v>45894</v>
      </c>
      <c r="G1633" s="10">
        <v>3570</v>
      </c>
      <c r="H1633">
        <v>0</v>
      </c>
      <c r="J1633" t="s">
        <v>48</v>
      </c>
      <c r="K1633" t="s">
        <v>15</v>
      </c>
    </row>
    <row r="1634" spans="1:11" hidden="1" x14ac:dyDescent="0.35">
      <c r="A1634" t="s">
        <v>31</v>
      </c>
      <c r="B1634" t="s">
        <v>32</v>
      </c>
      <c r="C1634">
        <v>29045</v>
      </c>
      <c r="D1634">
        <v>39176</v>
      </c>
      <c r="E1634" s="12">
        <v>45713</v>
      </c>
      <c r="F1634" s="12">
        <v>45894</v>
      </c>
      <c r="G1634" s="10">
        <v>13436.4</v>
      </c>
      <c r="H1634">
        <v>0</v>
      </c>
      <c r="I1634" t="s">
        <v>271</v>
      </c>
      <c r="J1634" t="s">
        <v>34</v>
      </c>
      <c r="K1634" t="s">
        <v>15</v>
      </c>
    </row>
    <row r="1635" spans="1:11" hidden="1" x14ac:dyDescent="0.35">
      <c r="A1635" t="s">
        <v>31</v>
      </c>
      <c r="B1635" t="s">
        <v>32</v>
      </c>
      <c r="C1635">
        <v>29154</v>
      </c>
      <c r="D1635">
        <v>39322</v>
      </c>
      <c r="E1635" s="12">
        <v>45728</v>
      </c>
      <c r="F1635" s="12">
        <v>45894</v>
      </c>
      <c r="G1635" s="10">
        <v>14305.54</v>
      </c>
      <c r="H1635">
        <v>0</v>
      </c>
      <c r="I1635" t="s">
        <v>1459</v>
      </c>
      <c r="J1635" t="s">
        <v>34</v>
      </c>
      <c r="K1635" t="s">
        <v>15</v>
      </c>
    </row>
    <row r="1636" spans="1:11" hidden="1" x14ac:dyDescent="0.35">
      <c r="A1636" t="s">
        <v>31</v>
      </c>
      <c r="B1636" t="s">
        <v>32</v>
      </c>
      <c r="C1636">
        <v>29153</v>
      </c>
      <c r="D1636">
        <v>39321</v>
      </c>
      <c r="E1636" s="12">
        <v>45728</v>
      </c>
      <c r="F1636" s="12">
        <v>45894</v>
      </c>
      <c r="G1636" s="10">
        <v>6866.66</v>
      </c>
      <c r="H1636">
        <v>0</v>
      </c>
      <c r="I1636" t="s">
        <v>1518</v>
      </c>
      <c r="J1636" t="s">
        <v>34</v>
      </c>
      <c r="K1636" t="s">
        <v>15</v>
      </c>
    </row>
    <row r="1637" spans="1:11" hidden="1" x14ac:dyDescent="0.35">
      <c r="A1637" t="s">
        <v>31</v>
      </c>
      <c r="B1637" t="s">
        <v>32</v>
      </c>
      <c r="C1637">
        <v>29044</v>
      </c>
      <c r="D1637">
        <v>39175</v>
      </c>
      <c r="E1637" s="12">
        <v>45713</v>
      </c>
      <c r="F1637" s="12">
        <v>45894</v>
      </c>
      <c r="G1637" s="10">
        <v>7734.8</v>
      </c>
      <c r="H1637">
        <v>0</v>
      </c>
      <c r="I1637" t="s">
        <v>271</v>
      </c>
      <c r="J1637" t="s">
        <v>34</v>
      </c>
      <c r="K1637" t="s">
        <v>15</v>
      </c>
    </row>
    <row r="1638" spans="1:11" hidden="1" x14ac:dyDescent="0.35">
      <c r="A1638" t="s">
        <v>677</v>
      </c>
      <c r="B1638" t="s">
        <v>553</v>
      </c>
      <c r="C1638">
        <v>27917</v>
      </c>
      <c r="D1638">
        <v>37785</v>
      </c>
      <c r="E1638" s="12">
        <v>45625</v>
      </c>
      <c r="F1638" s="12">
        <v>45895</v>
      </c>
      <c r="G1638" s="10">
        <v>43200</v>
      </c>
      <c r="H1638">
        <v>0</v>
      </c>
      <c r="I1638" t="s">
        <v>732</v>
      </c>
      <c r="J1638" t="s">
        <v>58</v>
      </c>
      <c r="K1638" t="s">
        <v>15</v>
      </c>
    </row>
    <row r="1639" spans="1:11" hidden="1" x14ac:dyDescent="0.35">
      <c r="A1639" t="s">
        <v>594</v>
      </c>
      <c r="B1639" t="s">
        <v>595</v>
      </c>
      <c r="C1639">
        <v>27916</v>
      </c>
      <c r="D1639">
        <v>37784</v>
      </c>
      <c r="E1639" s="12">
        <v>45625</v>
      </c>
      <c r="F1639" s="12">
        <v>45895</v>
      </c>
      <c r="G1639" s="10">
        <v>86400</v>
      </c>
      <c r="H1639">
        <v>0</v>
      </c>
      <c r="I1639" t="s">
        <v>807</v>
      </c>
      <c r="J1639" t="s">
        <v>58</v>
      </c>
      <c r="K1639" t="s">
        <v>15</v>
      </c>
    </row>
    <row r="1640" spans="1:11" hidden="1" x14ac:dyDescent="0.35">
      <c r="A1640" t="s">
        <v>68</v>
      </c>
      <c r="B1640" t="s">
        <v>69</v>
      </c>
      <c r="C1640">
        <v>27944</v>
      </c>
      <c r="D1640">
        <v>37812</v>
      </c>
      <c r="E1640" s="12">
        <v>45625</v>
      </c>
      <c r="F1640" s="12">
        <v>45895</v>
      </c>
      <c r="G1640" s="10">
        <v>113700</v>
      </c>
      <c r="H1640">
        <v>0</v>
      </c>
      <c r="I1640" t="s">
        <v>1395</v>
      </c>
      <c r="J1640" t="s">
        <v>14</v>
      </c>
      <c r="K1640" t="s">
        <v>15</v>
      </c>
    </row>
    <row r="1641" spans="1:11" hidden="1" x14ac:dyDescent="0.35">
      <c r="A1641" t="s">
        <v>770</v>
      </c>
      <c r="B1641" t="s">
        <v>771</v>
      </c>
      <c r="C1641">
        <v>28716</v>
      </c>
      <c r="D1641">
        <v>38760</v>
      </c>
      <c r="E1641" s="12">
        <v>45687</v>
      </c>
      <c r="F1641" s="12">
        <v>45897</v>
      </c>
      <c r="G1641" s="10">
        <v>4980.8</v>
      </c>
      <c r="H1641">
        <v>0</v>
      </c>
      <c r="I1641" t="s">
        <v>772</v>
      </c>
      <c r="J1641" t="s">
        <v>44</v>
      </c>
      <c r="K1641" t="s">
        <v>15</v>
      </c>
    </row>
    <row r="1642" spans="1:11" hidden="1" x14ac:dyDescent="0.35">
      <c r="A1642" t="s">
        <v>770</v>
      </c>
      <c r="B1642" t="s">
        <v>771</v>
      </c>
      <c r="C1642">
        <v>28715</v>
      </c>
      <c r="D1642">
        <v>38759</v>
      </c>
      <c r="E1642" s="12">
        <v>45687</v>
      </c>
      <c r="F1642" s="12">
        <v>45897</v>
      </c>
      <c r="G1642" s="10">
        <v>217.6</v>
      </c>
      <c r="H1642">
        <v>0</v>
      </c>
      <c r="I1642" t="s">
        <v>772</v>
      </c>
      <c r="J1642" t="s">
        <v>44</v>
      </c>
      <c r="K1642" t="s">
        <v>15</v>
      </c>
    </row>
    <row r="1643" spans="1:11" hidden="1" x14ac:dyDescent="0.35">
      <c r="A1643" t="s">
        <v>1707</v>
      </c>
      <c r="B1643" t="s">
        <v>1708</v>
      </c>
      <c r="C1643">
        <v>29271</v>
      </c>
      <c r="D1643">
        <v>39468</v>
      </c>
      <c r="E1643" s="12">
        <v>45747</v>
      </c>
      <c r="F1643" s="12">
        <v>45897</v>
      </c>
      <c r="G1643" s="10">
        <v>5140.24</v>
      </c>
      <c r="H1643">
        <v>0</v>
      </c>
      <c r="I1643" t="s">
        <v>1709</v>
      </c>
      <c r="J1643" t="s">
        <v>194</v>
      </c>
      <c r="K1643" t="s">
        <v>15</v>
      </c>
    </row>
    <row r="1644" spans="1:11" hidden="1" x14ac:dyDescent="0.35">
      <c r="A1644" t="s">
        <v>45</v>
      </c>
      <c r="B1644" t="s">
        <v>46</v>
      </c>
      <c r="C1644">
        <v>29274</v>
      </c>
      <c r="D1644">
        <v>39475</v>
      </c>
      <c r="E1644" s="12">
        <v>45748</v>
      </c>
      <c r="F1644" s="12">
        <v>45898</v>
      </c>
      <c r="G1644" s="10">
        <v>25585.599999999999</v>
      </c>
      <c r="H1644">
        <v>0</v>
      </c>
      <c r="I1644" t="s">
        <v>1435</v>
      </c>
      <c r="J1644" t="s">
        <v>48</v>
      </c>
      <c r="K1644" t="s">
        <v>15</v>
      </c>
    </row>
    <row r="1645" spans="1:11" hidden="1" x14ac:dyDescent="0.35">
      <c r="A1645" t="s">
        <v>1179</v>
      </c>
      <c r="B1645" t="s">
        <v>1180</v>
      </c>
      <c r="C1645">
        <v>28933</v>
      </c>
      <c r="D1645">
        <v>39046</v>
      </c>
      <c r="E1645" s="12">
        <v>45706</v>
      </c>
      <c r="F1645" s="12">
        <v>45898</v>
      </c>
      <c r="G1645" s="10">
        <v>62000</v>
      </c>
      <c r="H1645">
        <v>0</v>
      </c>
      <c r="I1645" t="s">
        <v>1181</v>
      </c>
      <c r="J1645" t="s">
        <v>107</v>
      </c>
      <c r="K1645" t="s">
        <v>15</v>
      </c>
    </row>
    <row r="1646" spans="1:11" hidden="1" x14ac:dyDescent="0.35">
      <c r="A1646" t="s">
        <v>205</v>
      </c>
      <c r="B1646" t="s">
        <v>56</v>
      </c>
      <c r="C1646">
        <v>29286</v>
      </c>
      <c r="D1646">
        <v>39487</v>
      </c>
      <c r="E1646" s="12">
        <v>45748</v>
      </c>
      <c r="F1646" s="12">
        <v>45898</v>
      </c>
      <c r="G1646" s="10">
        <v>6204</v>
      </c>
      <c r="H1646">
        <v>0</v>
      </c>
      <c r="I1646" t="s">
        <v>679</v>
      </c>
      <c r="J1646" t="s">
        <v>58</v>
      </c>
      <c r="K1646" t="s">
        <v>15</v>
      </c>
    </row>
    <row r="1647" spans="1:11" hidden="1" x14ac:dyDescent="0.35">
      <c r="A1647" t="s">
        <v>725</v>
      </c>
      <c r="B1647" t="s">
        <v>726</v>
      </c>
      <c r="C1647">
        <v>29280</v>
      </c>
      <c r="D1647">
        <v>39481</v>
      </c>
      <c r="E1647" s="12">
        <v>45748</v>
      </c>
      <c r="F1647" s="12">
        <v>45898</v>
      </c>
      <c r="G1647" s="10">
        <v>30218.400000000001</v>
      </c>
      <c r="H1647">
        <v>0</v>
      </c>
      <c r="I1647" t="s">
        <v>727</v>
      </c>
      <c r="J1647" t="s">
        <v>111</v>
      </c>
      <c r="K1647" t="s">
        <v>15</v>
      </c>
    </row>
    <row r="1648" spans="1:11" hidden="1" x14ac:dyDescent="0.35">
      <c r="A1648" t="s">
        <v>603</v>
      </c>
      <c r="B1648" t="s">
        <v>604</v>
      </c>
      <c r="C1648">
        <v>28963</v>
      </c>
      <c r="D1648">
        <v>39084</v>
      </c>
      <c r="E1648" s="12">
        <v>45707</v>
      </c>
      <c r="F1648" s="12">
        <v>45898</v>
      </c>
      <c r="G1648" s="10">
        <v>14320</v>
      </c>
      <c r="H1648">
        <v>0</v>
      </c>
      <c r="I1648" t="s">
        <v>1528</v>
      </c>
      <c r="J1648" t="s">
        <v>107</v>
      </c>
      <c r="K1648" t="s">
        <v>15</v>
      </c>
    </row>
    <row r="1649" spans="1:11" hidden="1" x14ac:dyDescent="0.35">
      <c r="A1649" t="s">
        <v>632</v>
      </c>
      <c r="B1649" t="s">
        <v>633</v>
      </c>
      <c r="C1649">
        <v>28238</v>
      </c>
      <c r="D1649">
        <v>38183</v>
      </c>
      <c r="E1649" s="12">
        <v>45646</v>
      </c>
      <c r="F1649" s="12">
        <v>45899</v>
      </c>
      <c r="G1649" s="10">
        <v>131720</v>
      </c>
      <c r="H1649">
        <v>0</v>
      </c>
      <c r="I1649" t="s">
        <v>634</v>
      </c>
      <c r="J1649" t="s">
        <v>77</v>
      </c>
      <c r="K1649" t="s">
        <v>15</v>
      </c>
    </row>
    <row r="1650" spans="1:11" hidden="1" x14ac:dyDescent="0.35">
      <c r="A1650" t="s">
        <v>637</v>
      </c>
      <c r="B1650" t="s">
        <v>638</v>
      </c>
      <c r="C1650">
        <v>28406</v>
      </c>
      <c r="D1650">
        <v>38403</v>
      </c>
      <c r="E1650" s="12">
        <v>45670</v>
      </c>
      <c r="F1650" s="12">
        <v>45899</v>
      </c>
      <c r="G1650" s="10">
        <v>151584</v>
      </c>
      <c r="H1650">
        <v>0</v>
      </c>
      <c r="I1650" t="s">
        <v>639</v>
      </c>
      <c r="J1650" t="s">
        <v>30</v>
      </c>
      <c r="K1650" t="s">
        <v>15</v>
      </c>
    </row>
    <row r="1651" spans="1:11" hidden="1" x14ac:dyDescent="0.35">
      <c r="A1651" t="s">
        <v>1611</v>
      </c>
      <c r="B1651" t="s">
        <v>1612</v>
      </c>
      <c r="C1651">
        <v>28523</v>
      </c>
      <c r="D1651">
        <v>38526</v>
      </c>
      <c r="E1651" s="12">
        <v>45674</v>
      </c>
      <c r="F1651" s="12">
        <v>45899</v>
      </c>
      <c r="G1651" s="10">
        <v>20400</v>
      </c>
      <c r="H1651">
        <v>0</v>
      </c>
      <c r="I1651" t="s">
        <v>1613</v>
      </c>
      <c r="J1651" t="s">
        <v>107</v>
      </c>
      <c r="K1651" t="s">
        <v>15</v>
      </c>
    </row>
    <row r="1652" spans="1:11" hidden="1" x14ac:dyDescent="0.35">
      <c r="A1652" t="s">
        <v>163</v>
      </c>
      <c r="B1652" t="s">
        <v>164</v>
      </c>
      <c r="C1652">
        <v>28589</v>
      </c>
      <c r="D1652">
        <v>38614</v>
      </c>
      <c r="E1652" s="12">
        <v>45680</v>
      </c>
      <c r="F1652" s="12">
        <v>45899</v>
      </c>
      <c r="G1652" s="10">
        <v>245616</v>
      </c>
      <c r="H1652">
        <v>0</v>
      </c>
      <c r="I1652" t="s">
        <v>1614</v>
      </c>
      <c r="J1652" t="s">
        <v>107</v>
      </c>
      <c r="K1652" t="s">
        <v>15</v>
      </c>
    </row>
    <row r="1653" spans="1:11" hidden="1" x14ac:dyDescent="0.35">
      <c r="A1653" t="s">
        <v>795</v>
      </c>
      <c r="B1653" t="s">
        <v>796</v>
      </c>
      <c r="C1653">
        <v>28734</v>
      </c>
      <c r="D1653">
        <v>38783</v>
      </c>
      <c r="E1653" s="12">
        <v>45688</v>
      </c>
      <c r="F1653" s="12">
        <v>45899</v>
      </c>
      <c r="G1653" s="10">
        <v>98046</v>
      </c>
      <c r="H1653">
        <v>0</v>
      </c>
      <c r="I1653" t="s">
        <v>797</v>
      </c>
      <c r="J1653" t="s">
        <v>30</v>
      </c>
      <c r="K1653" t="s">
        <v>15</v>
      </c>
    </row>
    <row r="1654" spans="1:11" hidden="1" x14ac:dyDescent="0.35">
      <c r="A1654" t="s">
        <v>230</v>
      </c>
      <c r="B1654" t="s">
        <v>231</v>
      </c>
      <c r="C1654">
        <v>28450</v>
      </c>
      <c r="D1654">
        <v>38447</v>
      </c>
      <c r="E1654" s="12">
        <v>45672</v>
      </c>
      <c r="F1654" s="12">
        <v>45899</v>
      </c>
      <c r="G1654" s="10">
        <v>179220</v>
      </c>
      <c r="H1654">
        <v>0</v>
      </c>
      <c r="I1654" t="s">
        <v>1468</v>
      </c>
      <c r="J1654" t="s">
        <v>30</v>
      </c>
      <c r="K1654" t="s">
        <v>15</v>
      </c>
    </row>
    <row r="1655" spans="1:11" hidden="1" x14ac:dyDescent="0.35">
      <c r="A1655" t="s">
        <v>584</v>
      </c>
      <c r="B1655" t="s">
        <v>585</v>
      </c>
      <c r="C1655">
        <v>28368</v>
      </c>
      <c r="D1655">
        <v>38359</v>
      </c>
      <c r="E1655" s="12">
        <v>45667</v>
      </c>
      <c r="F1655" s="12">
        <v>45899</v>
      </c>
      <c r="G1655" s="10">
        <v>203400</v>
      </c>
      <c r="H1655">
        <v>0</v>
      </c>
      <c r="I1655" t="s">
        <v>586</v>
      </c>
      <c r="J1655" t="s">
        <v>107</v>
      </c>
      <c r="K1655" t="s">
        <v>15</v>
      </c>
    </row>
    <row r="1656" spans="1:11" hidden="1" x14ac:dyDescent="0.35">
      <c r="A1656" t="s">
        <v>230</v>
      </c>
      <c r="B1656" t="s">
        <v>231</v>
      </c>
      <c r="C1656">
        <v>28700</v>
      </c>
      <c r="D1656">
        <v>38741</v>
      </c>
      <c r="E1656" s="12">
        <v>45686</v>
      </c>
      <c r="F1656" s="12">
        <v>45899</v>
      </c>
      <c r="G1656" s="10">
        <v>194523</v>
      </c>
      <c r="H1656">
        <v>0</v>
      </c>
      <c r="I1656" t="s">
        <v>600</v>
      </c>
      <c r="J1656" t="s">
        <v>30</v>
      </c>
      <c r="K1656" t="s">
        <v>15</v>
      </c>
    </row>
    <row r="1657" spans="1:11" hidden="1" x14ac:dyDescent="0.35">
      <c r="A1657" t="s">
        <v>616</v>
      </c>
      <c r="B1657" t="s">
        <v>617</v>
      </c>
      <c r="C1657">
        <v>28529</v>
      </c>
      <c r="D1657">
        <v>38533</v>
      </c>
      <c r="E1657" s="12">
        <v>45674</v>
      </c>
      <c r="F1657" s="12">
        <v>45899</v>
      </c>
      <c r="G1657" s="10">
        <v>61200</v>
      </c>
      <c r="H1657">
        <v>0</v>
      </c>
      <c r="I1657" t="s">
        <v>618</v>
      </c>
      <c r="J1657" t="s">
        <v>107</v>
      </c>
      <c r="K1657" t="s">
        <v>15</v>
      </c>
    </row>
    <row r="1658" spans="1:11" hidden="1" x14ac:dyDescent="0.35">
      <c r="A1658" t="s">
        <v>1316</v>
      </c>
      <c r="B1658" t="s">
        <v>1317</v>
      </c>
      <c r="C1658">
        <v>28549</v>
      </c>
      <c r="D1658">
        <v>38567</v>
      </c>
      <c r="E1658" s="12">
        <v>45678</v>
      </c>
      <c r="F1658" s="12">
        <v>45899</v>
      </c>
      <c r="G1658" s="10">
        <v>81900</v>
      </c>
      <c r="H1658">
        <v>0</v>
      </c>
      <c r="I1658" t="s">
        <v>1318</v>
      </c>
      <c r="J1658" t="s">
        <v>107</v>
      </c>
      <c r="K1658" t="s">
        <v>15</v>
      </c>
    </row>
    <row r="1659" spans="1:11" hidden="1" x14ac:dyDescent="0.35">
      <c r="A1659" t="s">
        <v>1068</v>
      </c>
      <c r="B1659" t="s">
        <v>1069</v>
      </c>
      <c r="C1659">
        <v>28575</v>
      </c>
      <c r="D1659">
        <v>38594</v>
      </c>
      <c r="E1659" s="12">
        <v>45679</v>
      </c>
      <c r="F1659" s="12">
        <v>45899</v>
      </c>
      <c r="G1659" s="10">
        <v>126000</v>
      </c>
      <c r="H1659">
        <v>0</v>
      </c>
      <c r="I1659" t="s">
        <v>1070</v>
      </c>
      <c r="J1659" t="s">
        <v>107</v>
      </c>
      <c r="K1659" t="s">
        <v>15</v>
      </c>
    </row>
    <row r="1660" spans="1:11" hidden="1" x14ac:dyDescent="0.35">
      <c r="A1660" t="s">
        <v>230</v>
      </c>
      <c r="B1660" t="s">
        <v>231</v>
      </c>
      <c r="C1660">
        <v>28675</v>
      </c>
      <c r="D1660">
        <v>38717</v>
      </c>
      <c r="E1660" s="12">
        <v>45685</v>
      </c>
      <c r="F1660" s="12">
        <v>45899</v>
      </c>
      <c r="G1660" s="10">
        <v>158181</v>
      </c>
      <c r="H1660">
        <v>0</v>
      </c>
      <c r="I1660" t="s">
        <v>1071</v>
      </c>
      <c r="J1660" t="s">
        <v>30</v>
      </c>
      <c r="K1660" t="s">
        <v>15</v>
      </c>
    </row>
    <row r="1661" spans="1:11" hidden="1" x14ac:dyDescent="0.35">
      <c r="A1661" t="s">
        <v>309</v>
      </c>
      <c r="B1661" t="s">
        <v>310</v>
      </c>
      <c r="C1661">
        <v>28136</v>
      </c>
      <c r="D1661">
        <v>38073</v>
      </c>
      <c r="E1661" s="12">
        <v>45643</v>
      </c>
      <c r="F1661" s="12">
        <v>45899</v>
      </c>
      <c r="G1661" s="10">
        <v>110090</v>
      </c>
      <c r="H1661">
        <v>0</v>
      </c>
      <c r="I1661" t="s">
        <v>418</v>
      </c>
      <c r="J1661" t="s">
        <v>312</v>
      </c>
      <c r="K1661" t="s">
        <v>15</v>
      </c>
    </row>
    <row r="1662" spans="1:11" hidden="1" x14ac:dyDescent="0.35">
      <c r="A1662" t="s">
        <v>242</v>
      </c>
      <c r="B1662" t="s">
        <v>243</v>
      </c>
      <c r="C1662">
        <v>27779</v>
      </c>
      <c r="D1662">
        <v>37596</v>
      </c>
      <c r="E1662" s="12">
        <v>45610</v>
      </c>
      <c r="F1662" s="12">
        <v>45899</v>
      </c>
      <c r="G1662" s="10">
        <v>8547</v>
      </c>
      <c r="H1662">
        <v>0</v>
      </c>
      <c r="I1662" t="s">
        <v>549</v>
      </c>
      <c r="J1662" t="s">
        <v>48</v>
      </c>
      <c r="K1662" t="s">
        <v>15</v>
      </c>
    </row>
    <row r="1663" spans="1:11" hidden="1" x14ac:dyDescent="0.35">
      <c r="A1663" t="s">
        <v>1292</v>
      </c>
      <c r="B1663" t="s">
        <v>1293</v>
      </c>
      <c r="C1663">
        <v>28407</v>
      </c>
      <c r="D1663">
        <v>38404</v>
      </c>
      <c r="E1663" s="12">
        <v>45670</v>
      </c>
      <c r="F1663" s="12">
        <v>45899</v>
      </c>
      <c r="G1663" s="10">
        <v>26300</v>
      </c>
      <c r="H1663">
        <v>0</v>
      </c>
      <c r="I1663" t="s">
        <v>1294</v>
      </c>
      <c r="J1663" t="s">
        <v>107</v>
      </c>
      <c r="K1663" t="s">
        <v>15</v>
      </c>
    </row>
    <row r="1664" spans="1:11" hidden="1" x14ac:dyDescent="0.35">
      <c r="A1664" t="s">
        <v>230</v>
      </c>
      <c r="B1664" t="s">
        <v>231</v>
      </c>
      <c r="C1664">
        <v>28705</v>
      </c>
      <c r="D1664">
        <v>38746</v>
      </c>
      <c r="E1664" s="12">
        <v>45686</v>
      </c>
      <c r="F1664" s="12">
        <v>45899</v>
      </c>
      <c r="G1664" s="10">
        <v>131817.5</v>
      </c>
      <c r="H1664">
        <v>0</v>
      </c>
      <c r="I1664" t="s">
        <v>1295</v>
      </c>
      <c r="J1664" t="s">
        <v>30</v>
      </c>
      <c r="K1664" t="s">
        <v>15</v>
      </c>
    </row>
    <row r="1665" spans="1:11" hidden="1" x14ac:dyDescent="0.35">
      <c r="A1665" t="s">
        <v>230</v>
      </c>
      <c r="B1665" t="s">
        <v>231</v>
      </c>
      <c r="C1665">
        <v>28415</v>
      </c>
      <c r="D1665">
        <v>38409</v>
      </c>
      <c r="E1665" s="12">
        <v>45671</v>
      </c>
      <c r="F1665" s="12">
        <v>45899</v>
      </c>
      <c r="G1665" s="10">
        <v>111156</v>
      </c>
      <c r="H1665">
        <v>0</v>
      </c>
      <c r="I1665" t="s">
        <v>828</v>
      </c>
      <c r="J1665" t="s">
        <v>30</v>
      </c>
      <c r="K1665" t="s">
        <v>15</v>
      </c>
    </row>
    <row r="1666" spans="1:11" hidden="1" x14ac:dyDescent="0.35">
      <c r="A1666" t="s">
        <v>100</v>
      </c>
      <c r="B1666" t="s">
        <v>101</v>
      </c>
      <c r="C1666">
        <v>28456</v>
      </c>
      <c r="D1666">
        <v>38454</v>
      </c>
      <c r="E1666" s="12">
        <v>45672</v>
      </c>
      <c r="F1666" s="12">
        <v>45899</v>
      </c>
      <c r="G1666" s="10">
        <v>19533</v>
      </c>
      <c r="H1666">
        <v>0</v>
      </c>
      <c r="I1666" t="s">
        <v>102</v>
      </c>
      <c r="J1666" t="s">
        <v>18</v>
      </c>
      <c r="K1666" t="s">
        <v>15</v>
      </c>
    </row>
    <row r="1667" spans="1:11" hidden="1" x14ac:dyDescent="0.35">
      <c r="A1667" t="s">
        <v>104</v>
      </c>
      <c r="B1667" t="s">
        <v>105</v>
      </c>
      <c r="C1667">
        <v>28522</v>
      </c>
      <c r="D1667">
        <v>38525</v>
      </c>
      <c r="E1667" s="12">
        <v>45674</v>
      </c>
      <c r="F1667" s="12">
        <v>45899</v>
      </c>
      <c r="G1667" s="10">
        <v>10200</v>
      </c>
      <c r="H1667">
        <v>0</v>
      </c>
      <c r="I1667" t="s">
        <v>106</v>
      </c>
      <c r="J1667" t="s">
        <v>107</v>
      </c>
      <c r="K1667" t="s">
        <v>15</v>
      </c>
    </row>
    <row r="1668" spans="1:11" hidden="1" x14ac:dyDescent="0.35">
      <c r="A1668" t="s">
        <v>126</v>
      </c>
      <c r="B1668" t="s">
        <v>127</v>
      </c>
      <c r="C1668">
        <v>28760</v>
      </c>
      <c r="D1668">
        <v>38838</v>
      </c>
      <c r="E1668" s="12">
        <v>45692</v>
      </c>
      <c r="F1668" s="12">
        <v>45899</v>
      </c>
      <c r="G1668" s="10">
        <v>162138</v>
      </c>
      <c r="H1668">
        <v>0</v>
      </c>
      <c r="I1668" t="s">
        <v>264</v>
      </c>
      <c r="J1668" t="s">
        <v>30</v>
      </c>
      <c r="K1668" t="s">
        <v>15</v>
      </c>
    </row>
    <row r="1669" spans="1:11" hidden="1" x14ac:dyDescent="0.35">
      <c r="A1669" t="s">
        <v>776</v>
      </c>
      <c r="B1669" t="s">
        <v>777</v>
      </c>
      <c r="C1669">
        <v>28573</v>
      </c>
      <c r="D1669">
        <v>38592</v>
      </c>
      <c r="E1669" s="12">
        <v>45679</v>
      </c>
      <c r="F1669" s="12">
        <v>45899</v>
      </c>
      <c r="G1669" s="10">
        <v>56700</v>
      </c>
      <c r="H1669">
        <v>0</v>
      </c>
      <c r="I1669" t="s">
        <v>778</v>
      </c>
      <c r="J1669" t="s">
        <v>107</v>
      </c>
      <c r="K1669" t="s">
        <v>15</v>
      </c>
    </row>
    <row r="1670" spans="1:11" hidden="1" x14ac:dyDescent="0.35">
      <c r="A1670" t="s">
        <v>795</v>
      </c>
      <c r="B1670" t="s">
        <v>796</v>
      </c>
      <c r="C1670">
        <v>28741</v>
      </c>
      <c r="D1670">
        <v>38797</v>
      </c>
      <c r="E1670" s="12">
        <v>45691</v>
      </c>
      <c r="F1670" s="12">
        <v>45899</v>
      </c>
      <c r="G1670" s="10">
        <v>37710</v>
      </c>
      <c r="H1670">
        <v>0</v>
      </c>
      <c r="I1670" t="s">
        <v>1456</v>
      </c>
      <c r="J1670" t="s">
        <v>30</v>
      </c>
      <c r="K1670" t="s">
        <v>15</v>
      </c>
    </row>
    <row r="1671" spans="1:11" hidden="1" x14ac:dyDescent="0.35">
      <c r="A1671" t="s">
        <v>883</v>
      </c>
      <c r="B1671" t="s">
        <v>884</v>
      </c>
      <c r="C1671">
        <v>28553</v>
      </c>
      <c r="D1671">
        <v>38571</v>
      </c>
      <c r="E1671" s="12">
        <v>45678</v>
      </c>
      <c r="F1671" s="12">
        <v>45899</v>
      </c>
      <c r="G1671" s="10">
        <v>189950</v>
      </c>
      <c r="H1671">
        <v>0</v>
      </c>
      <c r="I1671" t="s">
        <v>885</v>
      </c>
      <c r="J1671" t="s">
        <v>107</v>
      </c>
      <c r="K1671" t="s">
        <v>15</v>
      </c>
    </row>
    <row r="1672" spans="1:11" hidden="1" x14ac:dyDescent="0.35">
      <c r="A1672" t="s">
        <v>230</v>
      </c>
      <c r="B1672" t="s">
        <v>231</v>
      </c>
      <c r="C1672">
        <v>28742</v>
      </c>
      <c r="D1672">
        <v>38799</v>
      </c>
      <c r="E1672" s="12">
        <v>45691</v>
      </c>
      <c r="F1672" s="12">
        <v>45899</v>
      </c>
      <c r="G1672" s="10">
        <v>200080.8</v>
      </c>
      <c r="H1672">
        <v>0</v>
      </c>
      <c r="I1672" t="s">
        <v>929</v>
      </c>
      <c r="J1672" t="s">
        <v>30</v>
      </c>
      <c r="K1672" t="s">
        <v>15</v>
      </c>
    </row>
    <row r="1673" spans="1:11" hidden="1" x14ac:dyDescent="0.35">
      <c r="A1673" t="s">
        <v>766</v>
      </c>
      <c r="B1673" t="s">
        <v>767</v>
      </c>
      <c r="C1673">
        <v>28762</v>
      </c>
      <c r="D1673">
        <v>38840</v>
      </c>
      <c r="E1673" s="12">
        <v>45692</v>
      </c>
      <c r="F1673" s="12">
        <v>45899</v>
      </c>
      <c r="G1673" s="10">
        <v>32427.599999999999</v>
      </c>
      <c r="H1673">
        <v>0</v>
      </c>
      <c r="I1673" t="s">
        <v>1621</v>
      </c>
      <c r="J1673" t="s">
        <v>30</v>
      </c>
      <c r="K1673" t="s">
        <v>15</v>
      </c>
    </row>
    <row r="1674" spans="1:11" hidden="1" x14ac:dyDescent="0.35">
      <c r="A1674" t="s">
        <v>230</v>
      </c>
      <c r="B1674" t="s">
        <v>231</v>
      </c>
      <c r="C1674">
        <v>28551</v>
      </c>
      <c r="D1674">
        <v>38569</v>
      </c>
      <c r="E1674" s="12">
        <v>45678</v>
      </c>
      <c r="F1674" s="12">
        <v>45899</v>
      </c>
      <c r="G1674" s="10">
        <v>277890</v>
      </c>
      <c r="H1674">
        <v>0</v>
      </c>
      <c r="I1674" t="s">
        <v>1267</v>
      </c>
      <c r="J1674" t="s">
        <v>30</v>
      </c>
      <c r="K1674" t="s">
        <v>15</v>
      </c>
    </row>
    <row r="1675" spans="1:11" hidden="1" x14ac:dyDescent="0.35">
      <c r="A1675" t="s">
        <v>632</v>
      </c>
      <c r="B1675" t="s">
        <v>633</v>
      </c>
      <c r="C1675">
        <v>28204</v>
      </c>
      <c r="D1675">
        <v>38145</v>
      </c>
      <c r="E1675" s="12">
        <v>45646</v>
      </c>
      <c r="F1675" s="12">
        <v>45899</v>
      </c>
      <c r="G1675" s="10">
        <v>14455</v>
      </c>
      <c r="H1675">
        <v>0</v>
      </c>
      <c r="I1675" t="s">
        <v>1686</v>
      </c>
      <c r="J1675" t="s">
        <v>77</v>
      </c>
      <c r="K1675" t="s">
        <v>15</v>
      </c>
    </row>
    <row r="1676" spans="1:11" hidden="1" x14ac:dyDescent="0.35">
      <c r="A1676" t="s">
        <v>104</v>
      </c>
      <c r="B1676" t="s">
        <v>105</v>
      </c>
      <c r="C1676">
        <v>28521</v>
      </c>
      <c r="D1676">
        <v>38524</v>
      </c>
      <c r="E1676" s="12">
        <v>45674</v>
      </c>
      <c r="F1676" s="12">
        <v>45899</v>
      </c>
      <c r="G1676" s="10">
        <v>112200</v>
      </c>
      <c r="H1676">
        <v>0</v>
      </c>
      <c r="I1676" t="s">
        <v>1691</v>
      </c>
      <c r="J1676" t="s">
        <v>107</v>
      </c>
      <c r="K1676" t="s">
        <v>15</v>
      </c>
    </row>
    <row r="1677" spans="1:11" hidden="1" x14ac:dyDescent="0.35">
      <c r="A1677" t="s">
        <v>230</v>
      </c>
      <c r="B1677" t="s">
        <v>231</v>
      </c>
      <c r="C1677">
        <v>28825</v>
      </c>
      <c r="D1677">
        <v>38911</v>
      </c>
      <c r="E1677" s="12">
        <v>45695</v>
      </c>
      <c r="F1677" s="12">
        <v>45899</v>
      </c>
      <c r="G1677" s="10">
        <v>189817.2</v>
      </c>
      <c r="H1677">
        <v>0</v>
      </c>
      <c r="I1677" t="s">
        <v>1692</v>
      </c>
      <c r="J1677" t="s">
        <v>30</v>
      </c>
      <c r="K1677" t="s">
        <v>15</v>
      </c>
    </row>
    <row r="1678" spans="1:11" hidden="1" x14ac:dyDescent="0.35">
      <c r="A1678" t="s">
        <v>616</v>
      </c>
      <c r="B1678" t="s">
        <v>617</v>
      </c>
      <c r="C1678">
        <v>28528</v>
      </c>
      <c r="D1678">
        <v>38532</v>
      </c>
      <c r="E1678" s="12">
        <v>45674</v>
      </c>
      <c r="F1678" s="12">
        <v>45899</v>
      </c>
      <c r="G1678" s="10">
        <v>30600</v>
      </c>
      <c r="H1678">
        <v>0</v>
      </c>
      <c r="I1678" t="s">
        <v>1309</v>
      </c>
      <c r="J1678" t="s">
        <v>107</v>
      </c>
      <c r="K1678" t="s">
        <v>15</v>
      </c>
    </row>
    <row r="1679" spans="1:11" hidden="1" x14ac:dyDescent="0.35">
      <c r="A1679" t="s">
        <v>104</v>
      </c>
      <c r="B1679" t="s">
        <v>105</v>
      </c>
      <c r="C1679">
        <v>28610</v>
      </c>
      <c r="D1679">
        <v>38634</v>
      </c>
      <c r="E1679" s="12">
        <v>45681</v>
      </c>
      <c r="F1679" s="12">
        <v>45899</v>
      </c>
      <c r="G1679" s="10">
        <v>163200</v>
      </c>
      <c r="H1679">
        <v>0</v>
      </c>
      <c r="I1679" t="s">
        <v>1310</v>
      </c>
      <c r="J1679" t="s">
        <v>107</v>
      </c>
      <c r="K1679" t="s">
        <v>15</v>
      </c>
    </row>
    <row r="1680" spans="1:11" hidden="1" x14ac:dyDescent="0.35">
      <c r="A1680" t="s">
        <v>230</v>
      </c>
      <c r="B1680" t="s">
        <v>231</v>
      </c>
      <c r="C1680">
        <v>28411</v>
      </c>
      <c r="D1680">
        <v>38406</v>
      </c>
      <c r="E1680" s="12">
        <v>45671</v>
      </c>
      <c r="F1680" s="12">
        <v>45899</v>
      </c>
      <c r="G1680" s="10">
        <v>79090.5</v>
      </c>
      <c r="H1680">
        <v>0</v>
      </c>
      <c r="I1680" t="s">
        <v>998</v>
      </c>
      <c r="J1680" t="s">
        <v>30</v>
      </c>
      <c r="K1680" t="s">
        <v>15</v>
      </c>
    </row>
    <row r="1681" spans="1:11" hidden="1" x14ac:dyDescent="0.35">
      <c r="A1681" t="s">
        <v>230</v>
      </c>
      <c r="B1681" t="s">
        <v>231</v>
      </c>
      <c r="C1681">
        <v>28552</v>
      </c>
      <c r="D1681">
        <v>38570</v>
      </c>
      <c r="E1681" s="12">
        <v>45678</v>
      </c>
      <c r="F1681" s="12">
        <v>45899</v>
      </c>
      <c r="G1681" s="10">
        <v>266774.40000000002</v>
      </c>
      <c r="H1681">
        <v>0</v>
      </c>
      <c r="I1681" t="s">
        <v>1002</v>
      </c>
      <c r="J1681" t="s">
        <v>30</v>
      </c>
      <c r="K1681" t="s">
        <v>15</v>
      </c>
    </row>
    <row r="1682" spans="1:11" hidden="1" x14ac:dyDescent="0.35">
      <c r="A1682" t="s">
        <v>1068</v>
      </c>
      <c r="B1682" t="s">
        <v>1069</v>
      </c>
      <c r="C1682">
        <v>28574</v>
      </c>
      <c r="D1682">
        <v>38593</v>
      </c>
      <c r="E1682" s="12">
        <v>45679</v>
      </c>
      <c r="F1682" s="12">
        <v>45899</v>
      </c>
      <c r="G1682" s="10">
        <v>25200</v>
      </c>
      <c r="H1682">
        <v>0</v>
      </c>
      <c r="I1682" t="s">
        <v>1462</v>
      </c>
      <c r="J1682" t="s">
        <v>107</v>
      </c>
      <c r="K1682" t="s">
        <v>15</v>
      </c>
    </row>
    <row r="1683" spans="1:11" hidden="1" x14ac:dyDescent="0.35">
      <c r="A1683" t="s">
        <v>1316</v>
      </c>
      <c r="B1683" t="s">
        <v>1317</v>
      </c>
      <c r="C1683">
        <v>28550</v>
      </c>
      <c r="D1683">
        <v>38568</v>
      </c>
      <c r="E1683" s="12">
        <v>45678</v>
      </c>
      <c r="F1683" s="12">
        <v>45899</v>
      </c>
      <c r="G1683" s="10">
        <v>163800</v>
      </c>
      <c r="H1683">
        <v>0</v>
      </c>
      <c r="I1683" t="s">
        <v>1416</v>
      </c>
      <c r="J1683" t="s">
        <v>107</v>
      </c>
      <c r="K1683" t="s">
        <v>15</v>
      </c>
    </row>
    <row r="1684" spans="1:11" hidden="1" x14ac:dyDescent="0.35">
      <c r="A1684" t="s">
        <v>163</v>
      </c>
      <c r="B1684" t="s">
        <v>164</v>
      </c>
      <c r="C1684">
        <v>28600</v>
      </c>
      <c r="D1684">
        <v>38625</v>
      </c>
      <c r="E1684" s="12">
        <v>45681</v>
      </c>
      <c r="F1684" s="12">
        <v>45899</v>
      </c>
      <c r="G1684" s="10">
        <v>204680</v>
      </c>
      <c r="H1684">
        <v>0</v>
      </c>
      <c r="I1684" t="s">
        <v>449</v>
      </c>
      <c r="J1684" t="s">
        <v>107</v>
      </c>
      <c r="K1684" t="s">
        <v>15</v>
      </c>
    </row>
    <row r="1685" spans="1:11" hidden="1" x14ac:dyDescent="0.35">
      <c r="A1685" t="s">
        <v>734</v>
      </c>
      <c r="B1685" t="s">
        <v>735</v>
      </c>
      <c r="C1685">
        <v>28554</v>
      </c>
      <c r="D1685">
        <v>38572</v>
      </c>
      <c r="E1685" s="12">
        <v>45678</v>
      </c>
      <c r="F1685" s="12">
        <v>45899</v>
      </c>
      <c r="G1685" s="10">
        <v>58950</v>
      </c>
      <c r="H1685">
        <v>0</v>
      </c>
      <c r="I1685" t="s">
        <v>736</v>
      </c>
      <c r="J1685" t="s">
        <v>107</v>
      </c>
      <c r="K1685" t="s">
        <v>15</v>
      </c>
    </row>
    <row r="1686" spans="1:11" hidden="1" x14ac:dyDescent="0.35">
      <c r="A1686" t="s">
        <v>230</v>
      </c>
      <c r="B1686" t="s">
        <v>231</v>
      </c>
      <c r="C1686">
        <v>28875</v>
      </c>
      <c r="D1686">
        <v>38974</v>
      </c>
      <c r="E1686" s="12">
        <v>45700</v>
      </c>
      <c r="F1686" s="12">
        <v>45899</v>
      </c>
      <c r="G1686" s="10">
        <v>210908</v>
      </c>
      <c r="H1686">
        <v>0</v>
      </c>
      <c r="I1686" t="s">
        <v>740</v>
      </c>
      <c r="J1686" t="s">
        <v>30</v>
      </c>
      <c r="K1686" t="s">
        <v>15</v>
      </c>
    </row>
    <row r="1687" spans="1:11" hidden="1" x14ac:dyDescent="0.35">
      <c r="A1687" t="s">
        <v>104</v>
      </c>
      <c r="B1687" t="s">
        <v>105</v>
      </c>
      <c r="C1687">
        <v>28607</v>
      </c>
      <c r="D1687">
        <v>38632</v>
      </c>
      <c r="E1687" s="12">
        <v>45681</v>
      </c>
      <c r="F1687" s="12">
        <v>45899</v>
      </c>
      <c r="G1687" s="10">
        <v>71400</v>
      </c>
      <c r="H1687">
        <v>0</v>
      </c>
      <c r="I1687" t="s">
        <v>1362</v>
      </c>
      <c r="J1687" t="s">
        <v>107</v>
      </c>
      <c r="K1687" t="s">
        <v>15</v>
      </c>
    </row>
    <row r="1688" spans="1:11" hidden="1" x14ac:dyDescent="0.35">
      <c r="A1688" t="s">
        <v>1365</v>
      </c>
      <c r="B1688" t="s">
        <v>1366</v>
      </c>
      <c r="C1688">
        <v>29209</v>
      </c>
      <c r="D1688">
        <v>39381</v>
      </c>
      <c r="E1688" s="12">
        <v>45734</v>
      </c>
      <c r="F1688" s="12">
        <v>45899</v>
      </c>
      <c r="G1688" s="10">
        <v>186000</v>
      </c>
      <c r="H1688">
        <v>0</v>
      </c>
      <c r="I1688" t="s">
        <v>1367</v>
      </c>
      <c r="J1688" t="s">
        <v>107</v>
      </c>
      <c r="K1688" t="s">
        <v>15</v>
      </c>
    </row>
    <row r="1689" spans="1:11" hidden="1" x14ac:dyDescent="0.35">
      <c r="A1689" t="s">
        <v>776</v>
      </c>
      <c r="B1689" t="s">
        <v>777</v>
      </c>
      <c r="C1689">
        <v>28725</v>
      </c>
      <c r="D1689">
        <v>38770</v>
      </c>
      <c r="E1689" s="12">
        <v>45687</v>
      </c>
      <c r="F1689" s="12">
        <v>45899</v>
      </c>
      <c r="G1689" s="10">
        <v>81900</v>
      </c>
      <c r="H1689">
        <v>0</v>
      </c>
      <c r="I1689" t="s">
        <v>1595</v>
      </c>
      <c r="J1689" t="s">
        <v>107</v>
      </c>
      <c r="K1689" t="s">
        <v>15</v>
      </c>
    </row>
    <row r="1690" spans="1:11" hidden="1" x14ac:dyDescent="0.35">
      <c r="A1690" t="s">
        <v>230</v>
      </c>
      <c r="B1690" t="s">
        <v>231</v>
      </c>
      <c r="C1690">
        <v>29072</v>
      </c>
      <c r="D1690">
        <v>39219</v>
      </c>
      <c r="E1690" s="12">
        <v>45715</v>
      </c>
      <c r="F1690" s="12">
        <v>45899</v>
      </c>
      <c r="G1690" s="10">
        <v>184544.5</v>
      </c>
      <c r="H1690">
        <v>0</v>
      </c>
      <c r="I1690" t="s">
        <v>1597</v>
      </c>
      <c r="J1690" t="s">
        <v>30</v>
      </c>
      <c r="K1690" t="s">
        <v>15</v>
      </c>
    </row>
    <row r="1691" spans="1:11" hidden="1" x14ac:dyDescent="0.35">
      <c r="A1691" t="s">
        <v>163</v>
      </c>
      <c r="B1691" t="s">
        <v>164</v>
      </c>
      <c r="C1691">
        <v>28702</v>
      </c>
      <c r="D1691">
        <v>38743</v>
      </c>
      <c r="E1691" s="12">
        <v>45686</v>
      </c>
      <c r="F1691" s="12">
        <v>45899</v>
      </c>
      <c r="G1691" s="10">
        <v>41904</v>
      </c>
      <c r="H1691">
        <v>0</v>
      </c>
      <c r="I1691" t="s">
        <v>165</v>
      </c>
      <c r="J1691" t="s">
        <v>107</v>
      </c>
      <c r="K1691" t="s">
        <v>15</v>
      </c>
    </row>
    <row r="1692" spans="1:11" hidden="1" x14ac:dyDescent="0.35">
      <c r="A1692" t="s">
        <v>230</v>
      </c>
      <c r="B1692" t="s">
        <v>231</v>
      </c>
      <c r="C1692">
        <v>28703</v>
      </c>
      <c r="D1692">
        <v>38744</v>
      </c>
      <c r="E1692" s="12">
        <v>45686</v>
      </c>
      <c r="F1692" s="12">
        <v>45899</v>
      </c>
      <c r="G1692" s="10">
        <v>55578</v>
      </c>
      <c r="H1692">
        <v>0</v>
      </c>
      <c r="I1692" t="s">
        <v>1517</v>
      </c>
      <c r="J1692" t="s">
        <v>30</v>
      </c>
      <c r="K1692" t="s">
        <v>15</v>
      </c>
    </row>
    <row r="1693" spans="1:11" hidden="1" x14ac:dyDescent="0.35">
      <c r="A1693" t="s">
        <v>664</v>
      </c>
      <c r="B1693" t="s">
        <v>665</v>
      </c>
      <c r="C1693">
        <v>28814</v>
      </c>
      <c r="D1693">
        <v>38902</v>
      </c>
      <c r="E1693" s="12">
        <v>45694</v>
      </c>
      <c r="F1693" s="12">
        <v>45899</v>
      </c>
      <c r="G1693" s="10">
        <v>111720</v>
      </c>
      <c r="H1693">
        <v>0</v>
      </c>
      <c r="I1693" t="s">
        <v>1519</v>
      </c>
      <c r="J1693" t="s">
        <v>107</v>
      </c>
      <c r="K1693" t="s">
        <v>15</v>
      </c>
    </row>
    <row r="1694" spans="1:11" hidden="1" x14ac:dyDescent="0.35">
      <c r="A1694" t="s">
        <v>1560</v>
      </c>
      <c r="B1694" t="s">
        <v>1561</v>
      </c>
      <c r="C1694">
        <v>29046</v>
      </c>
      <c r="D1694">
        <v>39178</v>
      </c>
      <c r="E1694" s="12">
        <v>45713</v>
      </c>
      <c r="F1694" s="12">
        <v>45899</v>
      </c>
      <c r="G1694" s="10">
        <v>186000</v>
      </c>
      <c r="H1694">
        <v>0</v>
      </c>
      <c r="I1694" t="s">
        <v>1562</v>
      </c>
      <c r="J1694" t="s">
        <v>107</v>
      </c>
      <c r="K1694" t="s">
        <v>15</v>
      </c>
    </row>
    <row r="1695" spans="1:11" hidden="1" x14ac:dyDescent="0.35">
      <c r="A1695" t="s">
        <v>1316</v>
      </c>
      <c r="B1695" t="s">
        <v>1317</v>
      </c>
      <c r="C1695">
        <v>28572</v>
      </c>
      <c r="D1695">
        <v>38591</v>
      </c>
      <c r="E1695" s="12">
        <v>45679</v>
      </c>
      <c r="F1695" s="12">
        <v>45899</v>
      </c>
      <c r="G1695" s="10">
        <v>31500</v>
      </c>
      <c r="H1695">
        <v>0</v>
      </c>
      <c r="I1695" t="s">
        <v>1570</v>
      </c>
      <c r="J1695" t="s">
        <v>107</v>
      </c>
      <c r="K1695" t="s">
        <v>15</v>
      </c>
    </row>
    <row r="1696" spans="1:11" hidden="1" x14ac:dyDescent="0.35">
      <c r="A1696" t="s">
        <v>637</v>
      </c>
      <c r="B1696" t="s">
        <v>638</v>
      </c>
      <c r="C1696">
        <v>28733</v>
      </c>
      <c r="D1696">
        <v>38781</v>
      </c>
      <c r="E1696" s="12">
        <v>45688</v>
      </c>
      <c r="F1696" s="12">
        <v>45899</v>
      </c>
      <c r="G1696" s="10">
        <v>75420</v>
      </c>
      <c r="H1696">
        <v>0</v>
      </c>
      <c r="I1696" t="s">
        <v>1492</v>
      </c>
      <c r="J1696" t="s">
        <v>30</v>
      </c>
      <c r="K1696" t="s">
        <v>15</v>
      </c>
    </row>
    <row r="1697" spans="1:11" hidden="1" x14ac:dyDescent="0.35">
      <c r="A1697" t="s">
        <v>230</v>
      </c>
      <c r="B1697" t="s">
        <v>231</v>
      </c>
      <c r="C1697">
        <v>28872</v>
      </c>
      <c r="D1697">
        <v>38966</v>
      </c>
      <c r="E1697" s="12">
        <v>45700</v>
      </c>
      <c r="F1697" s="12">
        <v>45899</v>
      </c>
      <c r="G1697" s="10">
        <v>210908</v>
      </c>
      <c r="H1697">
        <v>0</v>
      </c>
      <c r="I1697" t="s">
        <v>1625</v>
      </c>
      <c r="J1697" t="s">
        <v>30</v>
      </c>
      <c r="K1697" t="s">
        <v>15</v>
      </c>
    </row>
    <row r="1698" spans="1:11" hidden="1" x14ac:dyDescent="0.35">
      <c r="A1698" t="s">
        <v>664</v>
      </c>
      <c r="B1698" t="s">
        <v>665</v>
      </c>
      <c r="C1698">
        <v>28727</v>
      </c>
      <c r="D1698">
        <v>38772</v>
      </c>
      <c r="E1698" s="12">
        <v>45687</v>
      </c>
      <c r="F1698" s="12">
        <v>45899</v>
      </c>
      <c r="G1698" s="10">
        <v>106106</v>
      </c>
      <c r="H1698">
        <v>0</v>
      </c>
      <c r="I1698" t="s">
        <v>666</v>
      </c>
      <c r="J1698" t="s">
        <v>107</v>
      </c>
      <c r="K1698" t="s">
        <v>15</v>
      </c>
    </row>
    <row r="1699" spans="1:11" hidden="1" x14ac:dyDescent="0.35">
      <c r="A1699" t="s">
        <v>303</v>
      </c>
      <c r="B1699" t="s">
        <v>304</v>
      </c>
      <c r="C1699">
        <v>28458</v>
      </c>
      <c r="D1699">
        <v>38458</v>
      </c>
      <c r="E1699" s="12">
        <v>45672</v>
      </c>
      <c r="F1699" s="12">
        <v>45899</v>
      </c>
      <c r="G1699" s="10">
        <v>53852</v>
      </c>
      <c r="H1699">
        <v>0</v>
      </c>
      <c r="I1699" t="s">
        <v>1645</v>
      </c>
      <c r="J1699" t="s">
        <v>18</v>
      </c>
      <c r="K1699" t="s">
        <v>15</v>
      </c>
    </row>
    <row r="1700" spans="1:11" hidden="1" x14ac:dyDescent="0.35">
      <c r="A1700" t="s">
        <v>230</v>
      </c>
      <c r="B1700" t="s">
        <v>231</v>
      </c>
      <c r="C1700">
        <v>28701</v>
      </c>
      <c r="D1700">
        <v>38742</v>
      </c>
      <c r="E1700" s="12">
        <v>45686</v>
      </c>
      <c r="F1700" s="12">
        <v>45899</v>
      </c>
      <c r="G1700" s="10">
        <v>26363.5</v>
      </c>
      <c r="H1700">
        <v>0</v>
      </c>
      <c r="I1700" t="s">
        <v>1648</v>
      </c>
      <c r="J1700" t="s">
        <v>30</v>
      </c>
      <c r="K1700" t="s">
        <v>15</v>
      </c>
    </row>
    <row r="1701" spans="1:11" hidden="1" x14ac:dyDescent="0.35">
      <c r="A1701" t="s">
        <v>163</v>
      </c>
      <c r="B1701" t="s">
        <v>164</v>
      </c>
      <c r="C1701">
        <v>28912</v>
      </c>
      <c r="D1701">
        <v>39023</v>
      </c>
      <c r="E1701" s="12">
        <v>45705</v>
      </c>
      <c r="F1701" s="12">
        <v>45899</v>
      </c>
      <c r="G1701" s="10">
        <v>206350</v>
      </c>
      <c r="H1701">
        <v>0</v>
      </c>
      <c r="I1701" t="s">
        <v>1650</v>
      </c>
      <c r="J1701" t="s">
        <v>107</v>
      </c>
      <c r="K1701" t="s">
        <v>15</v>
      </c>
    </row>
    <row r="1702" spans="1:11" hidden="1" x14ac:dyDescent="0.35">
      <c r="A1702" t="s">
        <v>230</v>
      </c>
      <c r="B1702" t="s">
        <v>231</v>
      </c>
      <c r="C1702">
        <v>29115</v>
      </c>
      <c r="D1702">
        <v>39278</v>
      </c>
      <c r="E1702" s="12">
        <v>45723</v>
      </c>
      <c r="F1702" s="12">
        <v>45899</v>
      </c>
      <c r="G1702" s="10">
        <v>121272.1</v>
      </c>
      <c r="H1702">
        <v>0</v>
      </c>
      <c r="I1702" t="s">
        <v>1565</v>
      </c>
      <c r="J1702" t="s">
        <v>30</v>
      </c>
      <c r="K1702" t="s">
        <v>15</v>
      </c>
    </row>
    <row r="1703" spans="1:11" hidden="1" x14ac:dyDescent="0.35">
      <c r="A1703" t="s">
        <v>776</v>
      </c>
      <c r="B1703" t="s">
        <v>777</v>
      </c>
      <c r="C1703">
        <v>28726</v>
      </c>
      <c r="D1703">
        <v>38771</v>
      </c>
      <c r="E1703" s="12">
        <v>45687</v>
      </c>
      <c r="F1703" s="12">
        <v>45899</v>
      </c>
      <c r="G1703" s="10">
        <v>12600</v>
      </c>
      <c r="H1703">
        <v>0</v>
      </c>
      <c r="I1703" t="s">
        <v>1639</v>
      </c>
      <c r="J1703" t="s">
        <v>107</v>
      </c>
      <c r="K1703" t="s">
        <v>15</v>
      </c>
    </row>
    <row r="1704" spans="1:11" hidden="1" x14ac:dyDescent="0.35">
      <c r="A1704" t="s">
        <v>163</v>
      </c>
      <c r="B1704" t="s">
        <v>164</v>
      </c>
      <c r="C1704">
        <v>28934</v>
      </c>
      <c r="D1704">
        <v>39047</v>
      </c>
      <c r="E1704" s="12">
        <v>45706</v>
      </c>
      <c r="F1704" s="12">
        <v>45899</v>
      </c>
      <c r="G1704" s="10">
        <v>136500</v>
      </c>
      <c r="H1704">
        <v>0</v>
      </c>
      <c r="I1704" t="s">
        <v>1677</v>
      </c>
      <c r="J1704" t="s">
        <v>107</v>
      </c>
      <c r="K1704" t="s">
        <v>15</v>
      </c>
    </row>
    <row r="1705" spans="1:11" hidden="1" x14ac:dyDescent="0.35">
      <c r="A1705" t="s">
        <v>766</v>
      </c>
      <c r="B1705" t="s">
        <v>767</v>
      </c>
      <c r="C1705">
        <v>28935</v>
      </c>
      <c r="D1705">
        <v>39050</v>
      </c>
      <c r="E1705" s="12">
        <v>45706</v>
      </c>
      <c r="F1705" s="12">
        <v>45899</v>
      </c>
      <c r="G1705" s="10">
        <v>129710.39999999999</v>
      </c>
      <c r="H1705">
        <v>0</v>
      </c>
      <c r="I1705" t="s">
        <v>768</v>
      </c>
      <c r="J1705" t="s">
        <v>30</v>
      </c>
      <c r="K1705" t="s">
        <v>15</v>
      </c>
    </row>
    <row r="1706" spans="1:11" hidden="1" x14ac:dyDescent="0.35">
      <c r="A1706" t="s">
        <v>734</v>
      </c>
      <c r="B1706" t="s">
        <v>735</v>
      </c>
      <c r="C1706">
        <v>28631</v>
      </c>
      <c r="D1706">
        <v>38664</v>
      </c>
      <c r="E1706" s="12">
        <v>45684</v>
      </c>
      <c r="F1706" s="12">
        <v>45899</v>
      </c>
      <c r="G1706" s="10">
        <v>131000</v>
      </c>
      <c r="H1706">
        <v>0</v>
      </c>
      <c r="I1706" t="s">
        <v>1481</v>
      </c>
      <c r="J1706" t="s">
        <v>107</v>
      </c>
      <c r="K1706" t="s">
        <v>15</v>
      </c>
    </row>
    <row r="1707" spans="1:11" hidden="1" x14ac:dyDescent="0.35">
      <c r="A1707" t="s">
        <v>734</v>
      </c>
      <c r="B1707" t="s">
        <v>735</v>
      </c>
      <c r="C1707">
        <v>28630</v>
      </c>
      <c r="D1707">
        <v>38663</v>
      </c>
      <c r="E1707" s="12">
        <v>45684</v>
      </c>
      <c r="F1707" s="12">
        <v>45899</v>
      </c>
      <c r="G1707" s="10">
        <v>91700</v>
      </c>
      <c r="H1707">
        <v>0</v>
      </c>
      <c r="I1707" t="s">
        <v>1578</v>
      </c>
      <c r="J1707" t="s">
        <v>107</v>
      </c>
      <c r="K1707" t="s">
        <v>15</v>
      </c>
    </row>
    <row r="1708" spans="1:11" hidden="1" x14ac:dyDescent="0.35">
      <c r="A1708" t="s">
        <v>230</v>
      </c>
      <c r="B1708" t="s">
        <v>231</v>
      </c>
      <c r="C1708">
        <v>28936</v>
      </c>
      <c r="D1708">
        <v>39051</v>
      </c>
      <c r="E1708" s="12">
        <v>45706</v>
      </c>
      <c r="F1708" s="12">
        <v>45899</v>
      </c>
      <c r="G1708" s="10">
        <v>73817.8</v>
      </c>
      <c r="H1708">
        <v>0</v>
      </c>
      <c r="I1708" t="s">
        <v>773</v>
      </c>
      <c r="J1708" t="s">
        <v>30</v>
      </c>
      <c r="K1708" t="s">
        <v>15</v>
      </c>
    </row>
    <row r="1709" spans="1:11" hidden="1" x14ac:dyDescent="0.35">
      <c r="A1709" t="s">
        <v>1159</v>
      </c>
      <c r="B1709" t="s">
        <v>1160</v>
      </c>
      <c r="C1709">
        <v>29227</v>
      </c>
      <c r="D1709">
        <v>39406</v>
      </c>
      <c r="E1709" s="12">
        <v>45736</v>
      </c>
      <c r="F1709" s="12">
        <v>45899</v>
      </c>
      <c r="G1709" s="10">
        <v>222240</v>
      </c>
      <c r="H1709">
        <v>0</v>
      </c>
      <c r="I1709" t="s">
        <v>1161</v>
      </c>
      <c r="J1709" t="s">
        <v>30</v>
      </c>
      <c r="K1709" t="s">
        <v>15</v>
      </c>
    </row>
    <row r="1710" spans="1:11" hidden="1" x14ac:dyDescent="0.35">
      <c r="A1710" t="s">
        <v>541</v>
      </c>
      <c r="B1710" t="s">
        <v>542</v>
      </c>
      <c r="C1710">
        <v>27991</v>
      </c>
      <c r="D1710">
        <v>37887</v>
      </c>
      <c r="E1710" s="12">
        <v>45631</v>
      </c>
      <c r="F1710" s="12">
        <v>45901</v>
      </c>
      <c r="G1710" s="10">
        <v>75000</v>
      </c>
      <c r="H1710">
        <v>0</v>
      </c>
      <c r="I1710" t="s">
        <v>702</v>
      </c>
      <c r="J1710" t="s">
        <v>115</v>
      </c>
      <c r="K1710" t="s">
        <v>15</v>
      </c>
    </row>
    <row r="1711" spans="1:11" hidden="1" x14ac:dyDescent="0.35">
      <c r="A1711" t="s">
        <v>35</v>
      </c>
      <c r="B1711" t="s">
        <v>36</v>
      </c>
      <c r="C1711">
        <v>28668</v>
      </c>
      <c r="D1711">
        <v>38706</v>
      </c>
      <c r="E1711" s="12">
        <v>45685</v>
      </c>
      <c r="F1711" s="12">
        <v>45901</v>
      </c>
      <c r="G1711" s="10">
        <v>19168</v>
      </c>
      <c r="H1711">
        <v>0</v>
      </c>
      <c r="I1711" t="s">
        <v>794</v>
      </c>
      <c r="J1711" t="s">
        <v>22</v>
      </c>
      <c r="K1711" t="s">
        <v>15</v>
      </c>
    </row>
    <row r="1712" spans="1:11" hidden="1" x14ac:dyDescent="0.35">
      <c r="A1712" t="s">
        <v>209</v>
      </c>
      <c r="B1712" t="s">
        <v>210</v>
      </c>
      <c r="C1712">
        <v>28616</v>
      </c>
      <c r="D1712">
        <v>38649</v>
      </c>
      <c r="E1712" s="12">
        <v>45684</v>
      </c>
      <c r="F1712" s="12">
        <v>45901</v>
      </c>
      <c r="G1712" s="10">
        <v>37800</v>
      </c>
      <c r="H1712">
        <v>0</v>
      </c>
      <c r="I1712" t="s">
        <v>211</v>
      </c>
      <c r="J1712" t="s">
        <v>18</v>
      </c>
      <c r="K1712" t="s">
        <v>15</v>
      </c>
    </row>
    <row r="1713" spans="1:11" hidden="1" x14ac:dyDescent="0.35">
      <c r="A1713" t="s">
        <v>209</v>
      </c>
      <c r="B1713" t="s">
        <v>210</v>
      </c>
      <c r="C1713">
        <v>28618</v>
      </c>
      <c r="D1713">
        <v>38651</v>
      </c>
      <c r="E1713" s="12">
        <v>45684</v>
      </c>
      <c r="F1713" s="12">
        <v>45901</v>
      </c>
      <c r="G1713" s="10">
        <v>119294.39999999999</v>
      </c>
      <c r="H1713">
        <v>0</v>
      </c>
      <c r="I1713" t="s">
        <v>211</v>
      </c>
      <c r="J1713" t="s">
        <v>18</v>
      </c>
      <c r="K1713" t="s">
        <v>15</v>
      </c>
    </row>
    <row r="1714" spans="1:11" hidden="1" x14ac:dyDescent="0.35">
      <c r="A1714" t="s">
        <v>85</v>
      </c>
      <c r="B1714" t="s">
        <v>86</v>
      </c>
      <c r="C1714">
        <v>28239</v>
      </c>
      <c r="D1714">
        <v>38184</v>
      </c>
      <c r="E1714" s="12">
        <v>45646</v>
      </c>
      <c r="F1714" s="12">
        <v>45901</v>
      </c>
      <c r="G1714" s="10">
        <v>17974</v>
      </c>
      <c r="H1714">
        <v>0</v>
      </c>
      <c r="I1714" t="s">
        <v>87</v>
      </c>
      <c r="J1714" t="s">
        <v>41</v>
      </c>
      <c r="K1714" t="s">
        <v>15</v>
      </c>
    </row>
    <row r="1715" spans="1:11" hidden="1" x14ac:dyDescent="0.35">
      <c r="A1715" t="s">
        <v>16</v>
      </c>
      <c r="B1715" t="s">
        <v>17</v>
      </c>
      <c r="C1715">
        <v>28504</v>
      </c>
      <c r="D1715">
        <v>38505</v>
      </c>
      <c r="E1715" s="12">
        <v>45674</v>
      </c>
      <c r="F1715" s="12">
        <v>45901</v>
      </c>
      <c r="G1715" s="10">
        <v>14328.2</v>
      </c>
      <c r="H1715">
        <v>0</v>
      </c>
      <c r="I1715" t="s">
        <v>568</v>
      </c>
      <c r="J1715" t="s">
        <v>18</v>
      </c>
      <c r="K1715" t="s">
        <v>15</v>
      </c>
    </row>
    <row r="1716" spans="1:11" hidden="1" x14ac:dyDescent="0.35">
      <c r="A1716" t="s">
        <v>209</v>
      </c>
      <c r="B1716" t="s">
        <v>210</v>
      </c>
      <c r="C1716">
        <v>28495</v>
      </c>
      <c r="D1716">
        <v>38496</v>
      </c>
      <c r="E1716" s="12">
        <v>45674</v>
      </c>
      <c r="F1716" s="12">
        <v>45901</v>
      </c>
      <c r="G1716" s="10">
        <v>156400</v>
      </c>
      <c r="H1716">
        <v>0</v>
      </c>
      <c r="I1716" t="s">
        <v>590</v>
      </c>
      <c r="J1716" t="s">
        <v>18</v>
      </c>
      <c r="K1716" t="s">
        <v>15</v>
      </c>
    </row>
    <row r="1717" spans="1:11" hidden="1" x14ac:dyDescent="0.35">
      <c r="A1717" t="s">
        <v>85</v>
      </c>
      <c r="B1717" t="s">
        <v>86</v>
      </c>
      <c r="C1717">
        <v>27996</v>
      </c>
      <c r="D1717">
        <v>37892</v>
      </c>
      <c r="E1717" s="12">
        <v>45631</v>
      </c>
      <c r="F1717" s="12">
        <v>45901</v>
      </c>
      <c r="G1717" s="10">
        <v>62600</v>
      </c>
      <c r="H1717">
        <v>0</v>
      </c>
      <c r="I1717" t="s">
        <v>970</v>
      </c>
      <c r="J1717" t="s">
        <v>41</v>
      </c>
      <c r="K1717" t="s">
        <v>15</v>
      </c>
    </row>
    <row r="1718" spans="1:11" hidden="1" x14ac:dyDescent="0.35">
      <c r="A1718" t="s">
        <v>16</v>
      </c>
      <c r="B1718" t="s">
        <v>17</v>
      </c>
      <c r="C1718">
        <v>28298</v>
      </c>
      <c r="D1718">
        <v>38274</v>
      </c>
      <c r="E1718" s="12">
        <v>45663</v>
      </c>
      <c r="F1718" s="12">
        <v>45901</v>
      </c>
      <c r="G1718" s="10">
        <v>64896.5</v>
      </c>
      <c r="H1718">
        <v>0</v>
      </c>
      <c r="I1718" t="s">
        <v>614</v>
      </c>
      <c r="J1718" t="s">
        <v>18</v>
      </c>
      <c r="K1718" t="s">
        <v>15</v>
      </c>
    </row>
    <row r="1719" spans="1:11" hidden="1" x14ac:dyDescent="0.35">
      <c r="A1719" t="s">
        <v>16</v>
      </c>
      <c r="B1719" t="s">
        <v>17</v>
      </c>
      <c r="C1719">
        <v>28646</v>
      </c>
      <c r="D1719">
        <v>38679</v>
      </c>
      <c r="E1719" s="12">
        <v>45684</v>
      </c>
      <c r="F1719" s="12">
        <v>45901</v>
      </c>
      <c r="G1719" s="10">
        <v>31988</v>
      </c>
      <c r="H1719">
        <v>0</v>
      </c>
      <c r="I1719" t="s">
        <v>609</v>
      </c>
      <c r="J1719" t="s">
        <v>18</v>
      </c>
      <c r="K1719" t="s">
        <v>15</v>
      </c>
    </row>
    <row r="1720" spans="1:11" hidden="1" x14ac:dyDescent="0.35">
      <c r="A1720" t="s">
        <v>16</v>
      </c>
      <c r="B1720" t="s">
        <v>17</v>
      </c>
      <c r="C1720">
        <v>28645</v>
      </c>
      <c r="D1720">
        <v>38678</v>
      </c>
      <c r="E1720" s="12">
        <v>45684</v>
      </c>
      <c r="F1720" s="12">
        <v>45901</v>
      </c>
      <c r="G1720" s="10">
        <v>33593.800000000003</v>
      </c>
      <c r="H1720">
        <v>0</v>
      </c>
      <c r="I1720" t="s">
        <v>609</v>
      </c>
      <c r="J1720" t="s">
        <v>18</v>
      </c>
      <c r="K1720" t="s">
        <v>15</v>
      </c>
    </row>
    <row r="1721" spans="1:11" hidden="1" x14ac:dyDescent="0.35">
      <c r="A1721" t="s">
        <v>16</v>
      </c>
      <c r="B1721" t="s">
        <v>17</v>
      </c>
      <c r="C1721">
        <v>28967</v>
      </c>
      <c r="D1721">
        <v>39088</v>
      </c>
      <c r="E1721" s="12">
        <v>45707</v>
      </c>
      <c r="F1721" s="12">
        <v>45901</v>
      </c>
      <c r="G1721" s="10">
        <v>11872.6</v>
      </c>
      <c r="H1721">
        <v>0</v>
      </c>
      <c r="I1721" t="s">
        <v>609</v>
      </c>
      <c r="J1721" t="s">
        <v>18</v>
      </c>
      <c r="K1721" t="s">
        <v>15</v>
      </c>
    </row>
    <row r="1722" spans="1:11" hidden="1" x14ac:dyDescent="0.35">
      <c r="A1722" t="s">
        <v>16</v>
      </c>
      <c r="B1722" t="s">
        <v>17</v>
      </c>
      <c r="C1722">
        <v>28654</v>
      </c>
      <c r="D1722">
        <v>38687</v>
      </c>
      <c r="E1722" s="12">
        <v>45684</v>
      </c>
      <c r="F1722" s="12">
        <v>45901</v>
      </c>
      <c r="G1722" s="10">
        <v>3178.8</v>
      </c>
      <c r="H1722">
        <v>0</v>
      </c>
      <c r="I1722" t="s">
        <v>609</v>
      </c>
      <c r="J1722" t="s">
        <v>18</v>
      </c>
      <c r="K1722" t="s">
        <v>15</v>
      </c>
    </row>
    <row r="1723" spans="1:11" hidden="1" x14ac:dyDescent="0.35">
      <c r="A1723" t="s">
        <v>414</v>
      </c>
      <c r="B1723" t="s">
        <v>415</v>
      </c>
      <c r="C1723">
        <v>27904</v>
      </c>
      <c r="D1723">
        <v>37772</v>
      </c>
      <c r="E1723" s="12">
        <v>45625</v>
      </c>
      <c r="F1723" s="12">
        <v>45901</v>
      </c>
      <c r="G1723" s="10">
        <v>297900</v>
      </c>
      <c r="H1723">
        <v>0</v>
      </c>
      <c r="I1723" t="s">
        <v>416</v>
      </c>
      <c r="J1723" t="s">
        <v>115</v>
      </c>
      <c r="K1723" t="s">
        <v>15</v>
      </c>
    </row>
    <row r="1724" spans="1:11" hidden="1" x14ac:dyDescent="0.35">
      <c r="A1724" t="s">
        <v>16</v>
      </c>
      <c r="B1724" t="s">
        <v>17</v>
      </c>
      <c r="C1724">
        <v>28304</v>
      </c>
      <c r="D1724">
        <v>38280</v>
      </c>
      <c r="E1724" s="12">
        <v>45663</v>
      </c>
      <c r="F1724" s="12">
        <v>45901</v>
      </c>
      <c r="G1724" s="10">
        <v>15047.2</v>
      </c>
      <c r="H1724">
        <v>0</v>
      </c>
      <c r="I1724" t="s">
        <v>421</v>
      </c>
      <c r="J1724" t="s">
        <v>18</v>
      </c>
      <c r="K1724" t="s">
        <v>15</v>
      </c>
    </row>
    <row r="1725" spans="1:11" hidden="1" x14ac:dyDescent="0.35">
      <c r="A1725" t="s">
        <v>62</v>
      </c>
      <c r="B1725" t="s">
        <v>63</v>
      </c>
      <c r="C1725">
        <v>28374</v>
      </c>
      <c r="D1725">
        <v>38366</v>
      </c>
      <c r="E1725" s="12">
        <v>45670</v>
      </c>
      <c r="F1725" s="12">
        <v>45901</v>
      </c>
      <c r="G1725" s="10">
        <v>18000</v>
      </c>
      <c r="H1725">
        <v>0</v>
      </c>
      <c r="I1725" t="s">
        <v>422</v>
      </c>
      <c r="J1725" t="s">
        <v>18</v>
      </c>
      <c r="K1725" t="s">
        <v>15</v>
      </c>
    </row>
    <row r="1726" spans="1:11" hidden="1" x14ac:dyDescent="0.35">
      <c r="A1726" t="s">
        <v>16</v>
      </c>
      <c r="B1726" t="s">
        <v>17</v>
      </c>
      <c r="C1726">
        <v>28506</v>
      </c>
      <c r="D1726">
        <v>38507</v>
      </c>
      <c r="E1726" s="12">
        <v>45674</v>
      </c>
      <c r="F1726" s="12">
        <v>45901</v>
      </c>
      <c r="G1726" s="10">
        <v>4195.3999999999996</v>
      </c>
      <c r="H1726">
        <v>0</v>
      </c>
      <c r="I1726" t="s">
        <v>426</v>
      </c>
      <c r="J1726" t="s">
        <v>18</v>
      </c>
      <c r="K1726" t="s">
        <v>15</v>
      </c>
    </row>
    <row r="1727" spans="1:11" hidden="1" x14ac:dyDescent="0.35">
      <c r="A1727" t="s">
        <v>883</v>
      </c>
      <c r="B1727" t="s">
        <v>884</v>
      </c>
      <c r="C1727">
        <v>28854</v>
      </c>
      <c r="D1727">
        <v>38945</v>
      </c>
      <c r="E1727" s="12">
        <v>45699</v>
      </c>
      <c r="F1727" s="12">
        <v>45901</v>
      </c>
      <c r="G1727" s="10">
        <v>10800</v>
      </c>
      <c r="H1727">
        <v>0</v>
      </c>
      <c r="I1727" t="s">
        <v>1111</v>
      </c>
      <c r="J1727" t="s">
        <v>107</v>
      </c>
      <c r="K1727" t="s">
        <v>15</v>
      </c>
    </row>
    <row r="1728" spans="1:11" hidden="1" x14ac:dyDescent="0.35">
      <c r="A1728" t="s">
        <v>16</v>
      </c>
      <c r="B1728" t="s">
        <v>17</v>
      </c>
      <c r="C1728">
        <v>28290</v>
      </c>
      <c r="D1728">
        <v>38261</v>
      </c>
      <c r="E1728" s="12">
        <v>45660</v>
      </c>
      <c r="F1728" s="12">
        <v>45901</v>
      </c>
      <c r="G1728" s="10">
        <v>145961.25</v>
      </c>
      <c r="H1728">
        <v>0</v>
      </c>
      <c r="I1728" t="s">
        <v>1124</v>
      </c>
      <c r="J1728" t="s">
        <v>18</v>
      </c>
      <c r="K1728" t="s">
        <v>15</v>
      </c>
    </row>
    <row r="1729" spans="1:11" hidden="1" x14ac:dyDescent="0.35">
      <c r="A1729" t="s">
        <v>16</v>
      </c>
      <c r="B1729" t="s">
        <v>17</v>
      </c>
      <c r="C1729">
        <v>28647</v>
      </c>
      <c r="D1729">
        <v>38680</v>
      </c>
      <c r="E1729" s="12">
        <v>45684</v>
      </c>
      <c r="F1729" s="12">
        <v>45901</v>
      </c>
      <c r="G1729" s="10">
        <v>7218</v>
      </c>
      <c r="H1729">
        <v>0</v>
      </c>
      <c r="I1729" t="s">
        <v>609</v>
      </c>
      <c r="J1729" t="s">
        <v>18</v>
      </c>
      <c r="K1729" t="s">
        <v>15</v>
      </c>
    </row>
    <row r="1730" spans="1:11" hidden="1" x14ac:dyDescent="0.35">
      <c r="A1730" t="s">
        <v>713</v>
      </c>
      <c r="B1730" t="s">
        <v>36</v>
      </c>
      <c r="C1730">
        <v>28252</v>
      </c>
      <c r="D1730">
        <v>38206</v>
      </c>
      <c r="E1730" s="12">
        <v>45653</v>
      </c>
      <c r="F1730" s="12">
        <v>45901</v>
      </c>
      <c r="G1730" s="10">
        <v>93924</v>
      </c>
      <c r="H1730">
        <v>0</v>
      </c>
      <c r="I1730" t="s">
        <v>808</v>
      </c>
      <c r="J1730" t="s">
        <v>22</v>
      </c>
    </row>
    <row r="1731" spans="1:11" hidden="1" x14ac:dyDescent="0.35">
      <c r="A1731" t="s">
        <v>16</v>
      </c>
      <c r="B1731" t="s">
        <v>17</v>
      </c>
      <c r="C1731">
        <v>28509</v>
      </c>
      <c r="D1731">
        <v>38510</v>
      </c>
      <c r="E1731" s="12">
        <v>45674</v>
      </c>
      <c r="F1731" s="12">
        <v>45901</v>
      </c>
      <c r="G1731" s="10">
        <v>19850.599999999999</v>
      </c>
      <c r="H1731">
        <v>0</v>
      </c>
      <c r="I1731" t="s">
        <v>811</v>
      </c>
      <c r="J1731" t="s">
        <v>18</v>
      </c>
      <c r="K1731" t="s">
        <v>15</v>
      </c>
    </row>
    <row r="1732" spans="1:11" hidden="1" x14ac:dyDescent="0.35">
      <c r="A1732" t="s">
        <v>16</v>
      </c>
      <c r="B1732" t="s">
        <v>17</v>
      </c>
      <c r="C1732">
        <v>28511</v>
      </c>
      <c r="D1732">
        <v>38512</v>
      </c>
      <c r="E1732" s="12">
        <v>45674</v>
      </c>
      <c r="F1732" s="12">
        <v>45901</v>
      </c>
      <c r="G1732" s="10">
        <v>10395.200000000001</v>
      </c>
      <c r="H1732">
        <v>0</v>
      </c>
      <c r="I1732" t="s">
        <v>812</v>
      </c>
      <c r="J1732" t="s">
        <v>18</v>
      </c>
      <c r="K1732" t="s">
        <v>15</v>
      </c>
    </row>
    <row r="1733" spans="1:11" hidden="1" x14ac:dyDescent="0.35">
      <c r="A1733" t="s">
        <v>16</v>
      </c>
      <c r="B1733" t="s">
        <v>17</v>
      </c>
      <c r="C1733">
        <v>28650</v>
      </c>
      <c r="D1733">
        <v>38683</v>
      </c>
      <c r="E1733" s="12">
        <v>45684</v>
      </c>
      <c r="F1733" s="12">
        <v>45901</v>
      </c>
      <c r="G1733" s="10">
        <v>12216.6</v>
      </c>
      <c r="H1733">
        <v>0</v>
      </c>
      <c r="I1733" t="s">
        <v>609</v>
      </c>
      <c r="J1733" t="s">
        <v>18</v>
      </c>
      <c r="K1733" t="s">
        <v>15</v>
      </c>
    </row>
    <row r="1734" spans="1:11" hidden="1" x14ac:dyDescent="0.35">
      <c r="A1734" t="s">
        <v>414</v>
      </c>
      <c r="B1734" t="s">
        <v>415</v>
      </c>
      <c r="C1734">
        <v>28845</v>
      </c>
      <c r="D1734">
        <v>38935</v>
      </c>
      <c r="E1734" s="12">
        <v>45699</v>
      </c>
      <c r="F1734" s="12">
        <v>45901</v>
      </c>
      <c r="G1734" s="10">
        <v>125000</v>
      </c>
      <c r="H1734">
        <v>0</v>
      </c>
      <c r="I1734" t="s">
        <v>814</v>
      </c>
      <c r="J1734" t="s">
        <v>115</v>
      </c>
      <c r="K1734" t="s">
        <v>15</v>
      </c>
    </row>
    <row r="1735" spans="1:11" hidden="1" x14ac:dyDescent="0.35">
      <c r="A1735" t="s">
        <v>16</v>
      </c>
      <c r="B1735" t="s">
        <v>17</v>
      </c>
      <c r="C1735">
        <v>28505</v>
      </c>
      <c r="D1735">
        <v>38506</v>
      </c>
      <c r="E1735" s="12">
        <v>45674</v>
      </c>
      <c r="F1735" s="12">
        <v>45901</v>
      </c>
      <c r="G1735" s="10">
        <v>4958.2</v>
      </c>
      <c r="H1735">
        <v>0</v>
      </c>
      <c r="I1735" t="s">
        <v>905</v>
      </c>
      <c r="J1735" t="s">
        <v>18</v>
      </c>
      <c r="K1735" t="s">
        <v>15</v>
      </c>
    </row>
    <row r="1736" spans="1:11" hidden="1" x14ac:dyDescent="0.35">
      <c r="A1736" t="s">
        <v>16</v>
      </c>
      <c r="B1736" t="s">
        <v>17</v>
      </c>
      <c r="C1736">
        <v>28648</v>
      </c>
      <c r="D1736">
        <v>38681</v>
      </c>
      <c r="E1736" s="12">
        <v>45684</v>
      </c>
      <c r="F1736" s="12">
        <v>45901</v>
      </c>
      <c r="G1736" s="10">
        <v>9624</v>
      </c>
      <c r="H1736">
        <v>0</v>
      </c>
      <c r="I1736" t="s">
        <v>609</v>
      </c>
      <c r="J1736" t="s">
        <v>18</v>
      </c>
      <c r="K1736" t="s">
        <v>15</v>
      </c>
    </row>
    <row r="1737" spans="1:11" hidden="1" x14ac:dyDescent="0.35">
      <c r="A1737" t="s">
        <v>16</v>
      </c>
      <c r="B1737" t="s">
        <v>17</v>
      </c>
      <c r="C1737">
        <v>28507</v>
      </c>
      <c r="D1737">
        <v>38508</v>
      </c>
      <c r="E1737" s="12">
        <v>45674</v>
      </c>
      <c r="F1737" s="12">
        <v>45901</v>
      </c>
      <c r="G1737" s="10">
        <v>21017</v>
      </c>
      <c r="H1737">
        <v>0</v>
      </c>
      <c r="I1737" t="s">
        <v>103</v>
      </c>
      <c r="J1737" t="s">
        <v>18</v>
      </c>
      <c r="K1737" t="s">
        <v>15</v>
      </c>
    </row>
    <row r="1738" spans="1:11" hidden="1" x14ac:dyDescent="0.35">
      <c r="A1738" t="s">
        <v>295</v>
      </c>
      <c r="B1738" t="s">
        <v>36</v>
      </c>
      <c r="C1738">
        <v>28255</v>
      </c>
      <c r="D1738">
        <v>38210</v>
      </c>
      <c r="E1738" s="12">
        <v>45653</v>
      </c>
      <c r="F1738" s="12">
        <v>45901</v>
      </c>
      <c r="G1738" s="10">
        <v>49340</v>
      </c>
      <c r="H1738">
        <v>0</v>
      </c>
      <c r="I1738" t="s">
        <v>296</v>
      </c>
      <c r="J1738" t="s">
        <v>22</v>
      </c>
      <c r="K1738" t="s">
        <v>15</v>
      </c>
    </row>
    <row r="1739" spans="1:11" hidden="1" x14ac:dyDescent="0.35">
      <c r="A1739" t="s">
        <v>16</v>
      </c>
      <c r="B1739" t="s">
        <v>17</v>
      </c>
      <c r="C1739">
        <v>28285</v>
      </c>
      <c r="D1739">
        <v>38255</v>
      </c>
      <c r="E1739" s="12">
        <v>45659</v>
      </c>
      <c r="F1739" s="12">
        <v>45901</v>
      </c>
      <c r="G1739" s="10">
        <v>62164.4</v>
      </c>
      <c r="H1739">
        <v>0</v>
      </c>
      <c r="I1739" t="s">
        <v>880</v>
      </c>
      <c r="J1739" t="s">
        <v>18</v>
      </c>
      <c r="K1739" t="s">
        <v>15</v>
      </c>
    </row>
    <row r="1740" spans="1:11" hidden="1" x14ac:dyDescent="0.35">
      <c r="A1740" t="s">
        <v>713</v>
      </c>
      <c r="B1740" t="s">
        <v>36</v>
      </c>
      <c r="C1740">
        <v>28667</v>
      </c>
      <c r="D1740">
        <v>38705</v>
      </c>
      <c r="E1740" s="12">
        <v>45685</v>
      </c>
      <c r="F1740" s="12">
        <v>45901</v>
      </c>
      <c r="G1740" s="10">
        <v>23040</v>
      </c>
      <c r="H1740">
        <v>0</v>
      </c>
      <c r="I1740" t="s">
        <v>886</v>
      </c>
      <c r="J1740" t="s">
        <v>22</v>
      </c>
    </row>
    <row r="1741" spans="1:11" hidden="1" x14ac:dyDescent="0.35">
      <c r="A1741" t="s">
        <v>62</v>
      </c>
      <c r="B1741" t="s">
        <v>63</v>
      </c>
      <c r="C1741">
        <v>28348</v>
      </c>
      <c r="D1741">
        <v>38333</v>
      </c>
      <c r="E1741" s="12">
        <v>45666</v>
      </c>
      <c r="F1741" s="12">
        <v>45901</v>
      </c>
      <c r="G1741" s="10">
        <v>84232</v>
      </c>
      <c r="H1741">
        <v>0</v>
      </c>
      <c r="I1741" t="s">
        <v>1249</v>
      </c>
      <c r="J1741" t="s">
        <v>18</v>
      </c>
      <c r="K1741" t="s">
        <v>15</v>
      </c>
    </row>
    <row r="1742" spans="1:11" hidden="1" x14ac:dyDescent="0.35">
      <c r="A1742" t="s">
        <v>414</v>
      </c>
      <c r="B1742" t="s">
        <v>415</v>
      </c>
      <c r="C1742">
        <v>27995</v>
      </c>
      <c r="D1742">
        <v>37891</v>
      </c>
      <c r="E1742" s="12">
        <v>45631</v>
      </c>
      <c r="F1742" s="12">
        <v>45901</v>
      </c>
      <c r="G1742" s="10">
        <v>10560</v>
      </c>
      <c r="H1742">
        <v>0</v>
      </c>
      <c r="I1742" t="s">
        <v>924</v>
      </c>
      <c r="J1742" t="s">
        <v>115</v>
      </c>
      <c r="K1742" t="s">
        <v>15</v>
      </c>
    </row>
    <row r="1743" spans="1:11" hidden="1" x14ac:dyDescent="0.35">
      <c r="A1743" t="s">
        <v>594</v>
      </c>
      <c r="B1743" t="s">
        <v>595</v>
      </c>
      <c r="C1743">
        <v>28014</v>
      </c>
      <c r="D1743">
        <v>37916</v>
      </c>
      <c r="E1743" s="12">
        <v>45631</v>
      </c>
      <c r="F1743" s="12">
        <v>45901</v>
      </c>
      <c r="G1743" s="10">
        <v>93700</v>
      </c>
      <c r="H1743">
        <v>0</v>
      </c>
      <c r="I1743" t="s">
        <v>925</v>
      </c>
      <c r="J1743" t="s">
        <v>58</v>
      </c>
      <c r="K1743" t="s">
        <v>15</v>
      </c>
    </row>
    <row r="1744" spans="1:11" hidden="1" x14ac:dyDescent="0.35">
      <c r="A1744" t="s">
        <v>414</v>
      </c>
      <c r="B1744" t="s">
        <v>415</v>
      </c>
      <c r="C1744">
        <v>27990</v>
      </c>
      <c r="D1744">
        <v>37886</v>
      </c>
      <c r="E1744" s="12">
        <v>45631</v>
      </c>
      <c r="F1744" s="12">
        <v>45901</v>
      </c>
      <c r="G1744" s="10">
        <v>96160</v>
      </c>
      <c r="H1744">
        <v>0</v>
      </c>
      <c r="I1744" t="s">
        <v>1262</v>
      </c>
      <c r="J1744" t="s">
        <v>115</v>
      </c>
      <c r="K1744" t="s">
        <v>15</v>
      </c>
    </row>
    <row r="1745" spans="1:11" hidden="1" x14ac:dyDescent="0.35">
      <c r="A1745" t="s">
        <v>1654</v>
      </c>
      <c r="B1745" t="s">
        <v>1655</v>
      </c>
      <c r="C1745">
        <v>29105</v>
      </c>
      <c r="D1745">
        <v>39265</v>
      </c>
      <c r="E1745" s="12">
        <v>45722</v>
      </c>
      <c r="F1745" s="12">
        <v>45901</v>
      </c>
      <c r="G1745" s="10">
        <v>18270.8</v>
      </c>
      <c r="H1745">
        <v>0</v>
      </c>
      <c r="I1745" t="s">
        <v>1656</v>
      </c>
      <c r="J1745" t="s">
        <v>18</v>
      </c>
      <c r="K1745" t="s">
        <v>15</v>
      </c>
    </row>
    <row r="1746" spans="1:11" hidden="1" x14ac:dyDescent="0.35">
      <c r="A1746" t="s">
        <v>35</v>
      </c>
      <c r="B1746" t="s">
        <v>36</v>
      </c>
      <c r="C1746">
        <v>28257</v>
      </c>
      <c r="D1746">
        <v>38213</v>
      </c>
      <c r="E1746" s="12">
        <v>45653</v>
      </c>
      <c r="F1746" s="12">
        <v>45901</v>
      </c>
      <c r="G1746" s="10">
        <v>125912</v>
      </c>
      <c r="H1746">
        <v>0</v>
      </c>
      <c r="I1746" t="s">
        <v>1687</v>
      </c>
      <c r="J1746" t="s">
        <v>22</v>
      </c>
      <c r="K1746" t="s">
        <v>15</v>
      </c>
    </row>
    <row r="1747" spans="1:11" hidden="1" x14ac:dyDescent="0.35">
      <c r="A1747" t="s">
        <v>16</v>
      </c>
      <c r="B1747" t="s">
        <v>17</v>
      </c>
      <c r="C1747">
        <v>28299</v>
      </c>
      <c r="D1747">
        <v>38275</v>
      </c>
      <c r="E1747" s="12">
        <v>45663</v>
      </c>
      <c r="F1747" s="12">
        <v>45901</v>
      </c>
      <c r="G1747" s="10">
        <v>81741.2</v>
      </c>
      <c r="H1747">
        <v>0</v>
      </c>
      <c r="I1747" t="s">
        <v>1304</v>
      </c>
      <c r="J1747" t="s">
        <v>18</v>
      </c>
      <c r="K1747" t="s">
        <v>15</v>
      </c>
    </row>
    <row r="1748" spans="1:11" hidden="1" x14ac:dyDescent="0.35">
      <c r="A1748" t="s">
        <v>16</v>
      </c>
      <c r="B1748" t="s">
        <v>17</v>
      </c>
      <c r="C1748">
        <v>28303</v>
      </c>
      <c r="D1748">
        <v>38279</v>
      </c>
      <c r="E1748" s="12">
        <v>45663</v>
      </c>
      <c r="F1748" s="12">
        <v>45901</v>
      </c>
      <c r="G1748" s="10">
        <v>236013.5</v>
      </c>
      <c r="H1748">
        <v>0</v>
      </c>
      <c r="I1748" t="s">
        <v>1305</v>
      </c>
      <c r="J1748" t="s">
        <v>18</v>
      </c>
      <c r="K1748" t="s">
        <v>15</v>
      </c>
    </row>
    <row r="1749" spans="1:11" hidden="1" x14ac:dyDescent="0.35">
      <c r="A1749" t="s">
        <v>16</v>
      </c>
      <c r="B1749" t="s">
        <v>17</v>
      </c>
      <c r="C1749">
        <v>28503</v>
      </c>
      <c r="D1749">
        <v>38504</v>
      </c>
      <c r="E1749" s="12">
        <v>45674</v>
      </c>
      <c r="F1749" s="12">
        <v>45901</v>
      </c>
      <c r="G1749" s="10">
        <v>2815.2</v>
      </c>
      <c r="H1749">
        <v>0</v>
      </c>
      <c r="I1749" t="s">
        <v>1308</v>
      </c>
      <c r="J1749" t="s">
        <v>18</v>
      </c>
      <c r="K1749" t="s">
        <v>15</v>
      </c>
    </row>
    <row r="1750" spans="1:11" hidden="1" x14ac:dyDescent="0.35">
      <c r="A1750" t="s">
        <v>78</v>
      </c>
      <c r="B1750" t="s">
        <v>79</v>
      </c>
      <c r="C1750">
        <v>29031</v>
      </c>
      <c r="D1750">
        <v>39159</v>
      </c>
      <c r="E1750" s="12">
        <v>45712</v>
      </c>
      <c r="F1750" s="12">
        <v>45901</v>
      </c>
      <c r="G1750" s="10">
        <v>38892</v>
      </c>
      <c r="H1750">
        <v>0</v>
      </c>
      <c r="I1750" t="s">
        <v>1076</v>
      </c>
      <c r="J1750" t="s">
        <v>41</v>
      </c>
      <c r="K1750" t="s">
        <v>15</v>
      </c>
    </row>
    <row r="1751" spans="1:11" hidden="1" x14ac:dyDescent="0.35">
      <c r="A1751" t="s">
        <v>104</v>
      </c>
      <c r="B1751" t="s">
        <v>105</v>
      </c>
      <c r="C1751">
        <v>28903</v>
      </c>
      <c r="D1751">
        <v>39012</v>
      </c>
      <c r="E1751" s="12">
        <v>45705</v>
      </c>
      <c r="F1751" s="12">
        <v>45901</v>
      </c>
      <c r="G1751" s="10">
        <v>6624</v>
      </c>
      <c r="H1751">
        <v>0</v>
      </c>
      <c r="I1751" t="s">
        <v>1420</v>
      </c>
      <c r="J1751" t="s">
        <v>107</v>
      </c>
      <c r="K1751" t="s">
        <v>15</v>
      </c>
    </row>
    <row r="1752" spans="1:11" hidden="1" x14ac:dyDescent="0.35">
      <c r="A1752" t="s">
        <v>209</v>
      </c>
      <c r="B1752" t="s">
        <v>210</v>
      </c>
      <c r="C1752">
        <v>28313</v>
      </c>
      <c r="D1752">
        <v>38293</v>
      </c>
      <c r="E1752" s="12">
        <v>45664</v>
      </c>
      <c r="F1752" s="12">
        <v>45901</v>
      </c>
      <c r="G1752" s="10">
        <v>366078</v>
      </c>
      <c r="H1752">
        <v>0</v>
      </c>
      <c r="I1752" t="s">
        <v>211</v>
      </c>
      <c r="J1752" t="s">
        <v>18</v>
      </c>
      <c r="K1752" t="s">
        <v>15</v>
      </c>
    </row>
    <row r="1753" spans="1:11" hidden="1" x14ac:dyDescent="0.35">
      <c r="A1753" t="s">
        <v>16</v>
      </c>
      <c r="B1753" t="s">
        <v>17</v>
      </c>
      <c r="C1753">
        <v>28649</v>
      </c>
      <c r="D1753">
        <v>38682</v>
      </c>
      <c r="E1753" s="12">
        <v>45684</v>
      </c>
      <c r="F1753" s="12">
        <v>45901</v>
      </c>
      <c r="G1753" s="10">
        <v>18060</v>
      </c>
      <c r="H1753">
        <v>0</v>
      </c>
      <c r="I1753" t="s">
        <v>609</v>
      </c>
      <c r="J1753" t="s">
        <v>18</v>
      </c>
      <c r="K1753" t="s">
        <v>15</v>
      </c>
    </row>
    <row r="1754" spans="1:11" hidden="1" x14ac:dyDescent="0.35">
      <c r="A1754" t="s">
        <v>414</v>
      </c>
      <c r="B1754" t="s">
        <v>415</v>
      </c>
      <c r="C1754">
        <v>28102</v>
      </c>
      <c r="D1754">
        <v>38028</v>
      </c>
      <c r="E1754" s="12">
        <v>45639</v>
      </c>
      <c r="F1754" s="12">
        <v>45901</v>
      </c>
      <c r="G1754" s="10">
        <v>225000</v>
      </c>
      <c r="H1754">
        <v>0</v>
      </c>
      <c r="I1754" t="s">
        <v>658</v>
      </c>
      <c r="J1754" t="s">
        <v>115</v>
      </c>
      <c r="K1754" t="s">
        <v>15</v>
      </c>
    </row>
    <row r="1755" spans="1:11" hidden="1" x14ac:dyDescent="0.35">
      <c r="A1755" t="s">
        <v>16</v>
      </c>
      <c r="B1755" t="s">
        <v>17</v>
      </c>
      <c r="C1755">
        <v>28300</v>
      </c>
      <c r="D1755">
        <v>38276</v>
      </c>
      <c r="E1755" s="12">
        <v>45663</v>
      </c>
      <c r="F1755" s="12">
        <v>45901</v>
      </c>
      <c r="G1755" s="10">
        <v>28744.2</v>
      </c>
      <c r="H1755">
        <v>0</v>
      </c>
      <c r="I1755" t="s">
        <v>148</v>
      </c>
      <c r="J1755" t="s">
        <v>18</v>
      </c>
      <c r="K1755" t="s">
        <v>15</v>
      </c>
    </row>
    <row r="1756" spans="1:11" hidden="1" x14ac:dyDescent="0.35">
      <c r="A1756" t="s">
        <v>209</v>
      </c>
      <c r="B1756" t="s">
        <v>210</v>
      </c>
      <c r="C1756">
        <v>28518</v>
      </c>
      <c r="D1756">
        <v>38521</v>
      </c>
      <c r="E1756" s="12">
        <v>45674</v>
      </c>
      <c r="F1756" s="12">
        <v>45901</v>
      </c>
      <c r="G1756" s="10">
        <v>290986</v>
      </c>
      <c r="H1756">
        <v>0</v>
      </c>
      <c r="I1756" t="s">
        <v>1412</v>
      </c>
      <c r="J1756" t="s">
        <v>18</v>
      </c>
      <c r="K1756" t="s">
        <v>15</v>
      </c>
    </row>
    <row r="1757" spans="1:11" hidden="1" x14ac:dyDescent="0.35">
      <c r="A1757" t="s">
        <v>16</v>
      </c>
      <c r="B1757" t="s">
        <v>17</v>
      </c>
      <c r="C1757">
        <v>28302</v>
      </c>
      <c r="D1757">
        <v>38278</v>
      </c>
      <c r="E1757" s="12">
        <v>45663</v>
      </c>
      <c r="F1757" s="12">
        <v>45901</v>
      </c>
      <c r="G1757" s="10">
        <v>46801.5</v>
      </c>
      <c r="H1757">
        <v>0</v>
      </c>
      <c r="I1757" t="s">
        <v>944</v>
      </c>
      <c r="J1757" t="s">
        <v>18</v>
      </c>
      <c r="K1757" t="s">
        <v>15</v>
      </c>
    </row>
    <row r="1758" spans="1:11" hidden="1" x14ac:dyDescent="0.35">
      <c r="A1758" t="s">
        <v>16</v>
      </c>
      <c r="B1758" t="s">
        <v>17</v>
      </c>
      <c r="C1758">
        <v>28655</v>
      </c>
      <c r="D1758">
        <v>38688</v>
      </c>
      <c r="E1758" s="12">
        <v>45684</v>
      </c>
      <c r="F1758" s="12">
        <v>45901</v>
      </c>
      <c r="G1758" s="10">
        <v>7245</v>
      </c>
      <c r="H1758">
        <v>0</v>
      </c>
      <c r="I1758" t="s">
        <v>609</v>
      </c>
      <c r="J1758" t="s">
        <v>18</v>
      </c>
      <c r="K1758" t="s">
        <v>15</v>
      </c>
    </row>
    <row r="1759" spans="1:11" hidden="1" x14ac:dyDescent="0.35">
      <c r="A1759" t="s">
        <v>55</v>
      </c>
      <c r="B1759" t="s">
        <v>56</v>
      </c>
      <c r="C1759">
        <v>29091</v>
      </c>
      <c r="D1759">
        <v>39249</v>
      </c>
      <c r="E1759" s="12">
        <v>45721</v>
      </c>
      <c r="F1759" s="12">
        <v>45901</v>
      </c>
      <c r="G1759" s="10">
        <v>3784.8</v>
      </c>
      <c r="H1759">
        <v>0</v>
      </c>
      <c r="I1759" t="s">
        <v>208</v>
      </c>
      <c r="J1759" t="s">
        <v>58</v>
      </c>
      <c r="K1759" t="s">
        <v>15</v>
      </c>
    </row>
    <row r="1760" spans="1:11" hidden="1" x14ac:dyDescent="0.35">
      <c r="A1760" t="s">
        <v>1654</v>
      </c>
      <c r="B1760" t="s">
        <v>1655</v>
      </c>
      <c r="C1760">
        <v>29235</v>
      </c>
      <c r="D1760">
        <v>39416</v>
      </c>
      <c r="E1760" s="12">
        <v>45736</v>
      </c>
      <c r="F1760" s="12">
        <v>45901</v>
      </c>
      <c r="G1760" s="10">
        <v>2330</v>
      </c>
      <c r="H1760">
        <v>0</v>
      </c>
      <c r="I1760" t="s">
        <v>1656</v>
      </c>
      <c r="J1760" t="s">
        <v>18</v>
      </c>
      <c r="K1760" t="s">
        <v>15</v>
      </c>
    </row>
    <row r="1761" spans="1:11" hidden="1" x14ac:dyDescent="0.35">
      <c r="A1761" t="s">
        <v>541</v>
      </c>
      <c r="B1761" t="s">
        <v>542</v>
      </c>
      <c r="C1761">
        <v>29224</v>
      </c>
      <c r="D1761">
        <v>39403</v>
      </c>
      <c r="E1761" s="12">
        <v>45736</v>
      </c>
      <c r="F1761" s="12">
        <v>45901</v>
      </c>
      <c r="G1761" s="10">
        <v>25980</v>
      </c>
      <c r="H1761">
        <v>0</v>
      </c>
      <c r="I1761" t="s">
        <v>1598</v>
      </c>
      <c r="J1761" t="s">
        <v>115</v>
      </c>
      <c r="K1761" t="s">
        <v>15</v>
      </c>
    </row>
    <row r="1762" spans="1:11" hidden="1" x14ac:dyDescent="0.35">
      <c r="A1762" t="s">
        <v>16</v>
      </c>
      <c r="B1762" t="s">
        <v>17</v>
      </c>
      <c r="C1762">
        <v>29104</v>
      </c>
      <c r="D1762">
        <v>39264</v>
      </c>
      <c r="E1762" s="12">
        <v>45722</v>
      </c>
      <c r="F1762" s="12">
        <v>45901</v>
      </c>
      <c r="G1762" s="10">
        <v>48700</v>
      </c>
      <c r="H1762">
        <v>0</v>
      </c>
      <c r="I1762" t="s">
        <v>609</v>
      </c>
      <c r="J1762" t="s">
        <v>18</v>
      </c>
      <c r="K1762" t="s">
        <v>15</v>
      </c>
    </row>
    <row r="1763" spans="1:11" hidden="1" x14ac:dyDescent="0.35">
      <c r="A1763" t="s">
        <v>160</v>
      </c>
      <c r="B1763" t="s">
        <v>161</v>
      </c>
      <c r="C1763">
        <v>28461</v>
      </c>
      <c r="D1763">
        <v>38460</v>
      </c>
      <c r="E1763" s="12">
        <v>45672</v>
      </c>
      <c r="F1763" s="12">
        <v>45901</v>
      </c>
      <c r="G1763" s="10">
        <v>66757.600000000006</v>
      </c>
      <c r="H1763">
        <v>0</v>
      </c>
      <c r="I1763" t="s">
        <v>162</v>
      </c>
      <c r="J1763" t="s">
        <v>18</v>
      </c>
      <c r="K1763" t="s">
        <v>15</v>
      </c>
    </row>
    <row r="1764" spans="1:11" hidden="1" x14ac:dyDescent="0.35">
      <c r="A1764" t="s">
        <v>322</v>
      </c>
      <c r="B1764" t="s">
        <v>36</v>
      </c>
      <c r="C1764">
        <v>29054</v>
      </c>
      <c r="D1764">
        <v>39193</v>
      </c>
      <c r="E1764" s="12">
        <v>45713</v>
      </c>
      <c r="F1764" s="12">
        <v>45901</v>
      </c>
      <c r="G1764" s="10">
        <v>5220</v>
      </c>
      <c r="H1764">
        <v>0</v>
      </c>
      <c r="I1764" t="s">
        <v>1541</v>
      </c>
      <c r="J1764" t="s">
        <v>22</v>
      </c>
      <c r="K1764" t="s">
        <v>15</v>
      </c>
    </row>
    <row r="1765" spans="1:11" hidden="1" x14ac:dyDescent="0.35">
      <c r="A1765" t="s">
        <v>16</v>
      </c>
      <c r="B1765" t="s">
        <v>17</v>
      </c>
      <c r="C1765">
        <v>28982</v>
      </c>
      <c r="D1765">
        <v>39102</v>
      </c>
      <c r="E1765" s="12">
        <v>45707</v>
      </c>
      <c r="F1765" s="12">
        <v>45901</v>
      </c>
      <c r="G1765" s="10">
        <v>27458.799999999999</v>
      </c>
      <c r="H1765">
        <v>0</v>
      </c>
      <c r="I1765" t="s">
        <v>609</v>
      </c>
      <c r="J1765" t="s">
        <v>18</v>
      </c>
      <c r="K1765" t="s">
        <v>15</v>
      </c>
    </row>
    <row r="1766" spans="1:11" hidden="1" x14ac:dyDescent="0.35">
      <c r="A1766" t="s">
        <v>16</v>
      </c>
      <c r="B1766" t="s">
        <v>17</v>
      </c>
      <c r="C1766">
        <v>29228</v>
      </c>
      <c r="D1766">
        <v>39409</v>
      </c>
      <c r="E1766" s="12">
        <v>45736</v>
      </c>
      <c r="F1766" s="12">
        <v>45901</v>
      </c>
      <c r="G1766" s="10">
        <v>21408</v>
      </c>
      <c r="H1766">
        <v>0</v>
      </c>
      <c r="I1766" t="s">
        <v>609</v>
      </c>
      <c r="J1766" t="s">
        <v>18</v>
      </c>
      <c r="K1766" t="s">
        <v>15</v>
      </c>
    </row>
    <row r="1767" spans="1:11" hidden="1" x14ac:dyDescent="0.35">
      <c r="A1767" t="s">
        <v>664</v>
      </c>
      <c r="B1767" t="s">
        <v>665</v>
      </c>
      <c r="C1767">
        <v>28380</v>
      </c>
      <c r="D1767">
        <v>38372</v>
      </c>
      <c r="E1767" s="12">
        <v>45670</v>
      </c>
      <c r="F1767" s="12">
        <v>45901</v>
      </c>
      <c r="G1767" s="10">
        <v>3200</v>
      </c>
      <c r="H1767">
        <v>0</v>
      </c>
      <c r="I1767" t="s">
        <v>1019</v>
      </c>
      <c r="J1767" t="s">
        <v>107</v>
      </c>
      <c r="K1767" t="s">
        <v>15</v>
      </c>
    </row>
    <row r="1768" spans="1:11" hidden="1" x14ac:dyDescent="0.35">
      <c r="A1768" t="s">
        <v>160</v>
      </c>
      <c r="B1768" t="s">
        <v>161</v>
      </c>
      <c r="C1768">
        <v>28462</v>
      </c>
      <c r="D1768">
        <v>38461</v>
      </c>
      <c r="E1768" s="12">
        <v>45672</v>
      </c>
      <c r="F1768" s="12">
        <v>45901</v>
      </c>
      <c r="G1768" s="10">
        <v>11374.4</v>
      </c>
      <c r="H1768">
        <v>0</v>
      </c>
      <c r="I1768" t="s">
        <v>1020</v>
      </c>
      <c r="J1768" t="s">
        <v>18</v>
      </c>
      <c r="K1768" t="s">
        <v>15</v>
      </c>
    </row>
    <row r="1769" spans="1:11" hidden="1" x14ac:dyDescent="0.35">
      <c r="A1769" t="s">
        <v>78</v>
      </c>
      <c r="B1769" t="s">
        <v>79</v>
      </c>
      <c r="C1769">
        <v>29266</v>
      </c>
      <c r="D1769">
        <v>39457</v>
      </c>
      <c r="E1769" s="12">
        <v>45743</v>
      </c>
      <c r="F1769" s="12">
        <v>45901</v>
      </c>
      <c r="G1769" s="10">
        <v>16190</v>
      </c>
      <c r="H1769">
        <v>0</v>
      </c>
      <c r="I1769" t="s">
        <v>1076</v>
      </c>
      <c r="J1769" t="s">
        <v>41</v>
      </c>
      <c r="K1769" t="s">
        <v>15</v>
      </c>
    </row>
    <row r="1770" spans="1:11" hidden="1" x14ac:dyDescent="0.35">
      <c r="A1770" t="s">
        <v>163</v>
      </c>
      <c r="B1770" t="s">
        <v>164</v>
      </c>
      <c r="C1770">
        <v>28856</v>
      </c>
      <c r="D1770">
        <v>38947</v>
      </c>
      <c r="E1770" s="12">
        <v>45699</v>
      </c>
      <c r="F1770" s="12">
        <v>45901</v>
      </c>
      <c r="G1770" s="10">
        <v>6000</v>
      </c>
      <c r="H1770">
        <v>0</v>
      </c>
      <c r="I1770" t="s">
        <v>737</v>
      </c>
      <c r="J1770" t="s">
        <v>107</v>
      </c>
      <c r="K1770" t="s">
        <v>15</v>
      </c>
    </row>
    <row r="1771" spans="1:11" hidden="1" x14ac:dyDescent="0.35">
      <c r="A1771" t="s">
        <v>78</v>
      </c>
      <c r="B1771" t="s">
        <v>79</v>
      </c>
      <c r="C1771">
        <v>28867</v>
      </c>
      <c r="D1771">
        <v>38960</v>
      </c>
      <c r="E1771" s="12">
        <v>45700</v>
      </c>
      <c r="F1771" s="12">
        <v>45901</v>
      </c>
      <c r="G1771" s="10">
        <v>63136</v>
      </c>
      <c r="H1771">
        <v>0</v>
      </c>
      <c r="I1771" t="s">
        <v>1076</v>
      </c>
      <c r="J1771" t="s">
        <v>41</v>
      </c>
      <c r="K1771" t="s">
        <v>15</v>
      </c>
    </row>
    <row r="1772" spans="1:11" hidden="1" x14ac:dyDescent="0.35">
      <c r="A1772" t="s">
        <v>205</v>
      </c>
      <c r="B1772" t="s">
        <v>56</v>
      </c>
      <c r="C1772">
        <v>29084</v>
      </c>
      <c r="D1772">
        <v>39242</v>
      </c>
      <c r="E1772" s="12">
        <v>45721</v>
      </c>
      <c r="F1772" s="12">
        <v>45901</v>
      </c>
      <c r="G1772" s="10">
        <v>18225</v>
      </c>
      <c r="H1772">
        <v>0</v>
      </c>
      <c r="I1772" t="s">
        <v>679</v>
      </c>
      <c r="J1772" t="s">
        <v>58</v>
      </c>
      <c r="K1772" t="s">
        <v>15</v>
      </c>
    </row>
    <row r="1773" spans="1:11" hidden="1" x14ac:dyDescent="0.35">
      <c r="A1773" t="s">
        <v>62</v>
      </c>
      <c r="B1773" t="s">
        <v>63</v>
      </c>
      <c r="C1773">
        <v>29231</v>
      </c>
      <c r="D1773">
        <v>39412</v>
      </c>
      <c r="E1773" s="12">
        <v>45736</v>
      </c>
      <c r="F1773" s="12">
        <v>45901</v>
      </c>
      <c r="G1773" s="10">
        <v>10400</v>
      </c>
      <c r="H1773">
        <v>0</v>
      </c>
      <c r="I1773" t="s">
        <v>1522</v>
      </c>
      <c r="J1773" t="s">
        <v>18</v>
      </c>
      <c r="K1773" t="s">
        <v>15</v>
      </c>
    </row>
    <row r="1774" spans="1:11" hidden="1" x14ac:dyDescent="0.35">
      <c r="A1774" t="s">
        <v>285</v>
      </c>
      <c r="B1774" t="s">
        <v>286</v>
      </c>
      <c r="C1774">
        <v>29089</v>
      </c>
      <c r="D1774">
        <v>39247</v>
      </c>
      <c r="E1774" s="12">
        <v>45721</v>
      </c>
      <c r="F1774" s="12">
        <v>45901</v>
      </c>
      <c r="G1774" s="10">
        <v>9235.08</v>
      </c>
      <c r="H1774">
        <v>0</v>
      </c>
      <c r="I1774" t="s">
        <v>287</v>
      </c>
      <c r="J1774" t="s">
        <v>58</v>
      </c>
      <c r="K1774" t="s">
        <v>15</v>
      </c>
    </row>
    <row r="1775" spans="1:11" hidden="1" x14ac:dyDescent="0.35">
      <c r="A1775" t="s">
        <v>1399</v>
      </c>
      <c r="B1775" t="s">
        <v>1400</v>
      </c>
      <c r="C1775">
        <v>28966</v>
      </c>
      <c r="D1775">
        <v>39087</v>
      </c>
      <c r="E1775" s="12">
        <v>45707</v>
      </c>
      <c r="F1775" s="12">
        <v>45901</v>
      </c>
      <c r="G1775" s="10">
        <v>11766</v>
      </c>
      <c r="H1775">
        <v>0</v>
      </c>
      <c r="I1775" t="s">
        <v>1401</v>
      </c>
      <c r="J1775" t="s">
        <v>30</v>
      </c>
      <c r="K1775" t="s">
        <v>15</v>
      </c>
    </row>
    <row r="1776" spans="1:11" hidden="1" x14ac:dyDescent="0.35">
      <c r="A1776" t="s">
        <v>303</v>
      </c>
      <c r="B1776" t="s">
        <v>304</v>
      </c>
      <c r="C1776">
        <v>28494</v>
      </c>
      <c r="D1776">
        <v>38495</v>
      </c>
      <c r="E1776" s="12">
        <v>45674</v>
      </c>
      <c r="F1776" s="12">
        <v>45901</v>
      </c>
      <c r="G1776" s="10">
        <v>74152</v>
      </c>
      <c r="H1776">
        <v>0</v>
      </c>
      <c r="I1776" t="s">
        <v>1647</v>
      </c>
      <c r="J1776" t="s">
        <v>18</v>
      </c>
      <c r="K1776" t="s">
        <v>15</v>
      </c>
    </row>
    <row r="1777" spans="1:11" hidden="1" x14ac:dyDescent="0.35">
      <c r="A1777" t="s">
        <v>16</v>
      </c>
      <c r="B1777" t="s">
        <v>17</v>
      </c>
      <c r="C1777">
        <v>28508</v>
      </c>
      <c r="D1777">
        <v>38509</v>
      </c>
      <c r="E1777" s="12">
        <v>45674</v>
      </c>
      <c r="F1777" s="12">
        <v>45901</v>
      </c>
      <c r="G1777" s="10">
        <v>39494</v>
      </c>
      <c r="H1777">
        <v>0</v>
      </c>
      <c r="I1777" t="s">
        <v>1609</v>
      </c>
      <c r="J1777" t="s">
        <v>18</v>
      </c>
      <c r="K1777" t="s">
        <v>15</v>
      </c>
    </row>
    <row r="1778" spans="1:11" hidden="1" x14ac:dyDescent="0.35">
      <c r="A1778" t="s">
        <v>16</v>
      </c>
      <c r="B1778" t="s">
        <v>17</v>
      </c>
      <c r="C1778">
        <v>28651</v>
      </c>
      <c r="D1778">
        <v>38684</v>
      </c>
      <c r="E1778" s="12">
        <v>45684</v>
      </c>
      <c r="F1778" s="12">
        <v>45901</v>
      </c>
      <c r="G1778" s="10">
        <v>7224</v>
      </c>
      <c r="H1778">
        <v>0</v>
      </c>
      <c r="I1778" t="s">
        <v>609</v>
      </c>
      <c r="J1778" t="s">
        <v>18</v>
      </c>
      <c r="K1778" t="s">
        <v>15</v>
      </c>
    </row>
    <row r="1779" spans="1:11" hidden="1" x14ac:dyDescent="0.35">
      <c r="A1779" t="s">
        <v>322</v>
      </c>
      <c r="B1779" t="s">
        <v>36</v>
      </c>
      <c r="C1779">
        <v>28669</v>
      </c>
      <c r="D1779">
        <v>38707</v>
      </c>
      <c r="E1779" s="12">
        <v>45685</v>
      </c>
      <c r="F1779" s="12">
        <v>45901</v>
      </c>
      <c r="G1779" s="10">
        <v>177780</v>
      </c>
      <c r="H1779">
        <v>0</v>
      </c>
      <c r="I1779" t="s">
        <v>1541</v>
      </c>
      <c r="J1779" t="s">
        <v>22</v>
      </c>
      <c r="K1779" t="s">
        <v>15</v>
      </c>
    </row>
    <row r="1780" spans="1:11" hidden="1" x14ac:dyDescent="0.35">
      <c r="A1780" t="s">
        <v>16</v>
      </c>
      <c r="B1780" t="s">
        <v>17</v>
      </c>
      <c r="C1780">
        <v>28301</v>
      </c>
      <c r="D1780">
        <v>38277</v>
      </c>
      <c r="E1780" s="12">
        <v>45663</v>
      </c>
      <c r="F1780" s="12">
        <v>45901</v>
      </c>
      <c r="G1780" s="10">
        <v>36000</v>
      </c>
      <c r="H1780">
        <v>0</v>
      </c>
      <c r="I1780" t="s">
        <v>1636</v>
      </c>
      <c r="J1780" t="s">
        <v>18</v>
      </c>
      <c r="K1780" t="s">
        <v>15</v>
      </c>
    </row>
    <row r="1781" spans="1:11" hidden="1" x14ac:dyDescent="0.35">
      <c r="A1781" t="s">
        <v>142</v>
      </c>
      <c r="B1781" t="s">
        <v>143</v>
      </c>
      <c r="C1781">
        <v>28904</v>
      </c>
      <c r="D1781">
        <v>39013</v>
      </c>
      <c r="E1781" s="12">
        <v>45705</v>
      </c>
      <c r="F1781" s="12">
        <v>45901</v>
      </c>
      <c r="G1781" s="10">
        <v>10412</v>
      </c>
      <c r="H1781">
        <v>0</v>
      </c>
      <c r="I1781" t="s">
        <v>1527</v>
      </c>
      <c r="J1781" t="s">
        <v>30</v>
      </c>
      <c r="K1781" t="s">
        <v>15</v>
      </c>
    </row>
    <row r="1782" spans="1:11" hidden="1" x14ac:dyDescent="0.35">
      <c r="A1782" t="s">
        <v>209</v>
      </c>
      <c r="B1782" t="s">
        <v>210</v>
      </c>
      <c r="C1782">
        <v>28496</v>
      </c>
      <c r="D1782">
        <v>38497</v>
      </c>
      <c r="E1782" s="12">
        <v>45674</v>
      </c>
      <c r="F1782" s="12">
        <v>45901</v>
      </c>
      <c r="G1782" s="10">
        <v>15872</v>
      </c>
      <c r="H1782">
        <v>0</v>
      </c>
      <c r="I1782" t="s">
        <v>1659</v>
      </c>
      <c r="J1782" t="s">
        <v>18</v>
      </c>
      <c r="K1782" t="s">
        <v>15</v>
      </c>
    </row>
    <row r="1783" spans="1:11" hidden="1" x14ac:dyDescent="0.35">
      <c r="A1783" t="s">
        <v>209</v>
      </c>
      <c r="B1783" t="s">
        <v>210</v>
      </c>
      <c r="C1783">
        <v>28732</v>
      </c>
      <c r="D1783">
        <v>38615</v>
      </c>
      <c r="E1783" s="12">
        <v>45688</v>
      </c>
      <c r="F1783" s="12">
        <v>45901</v>
      </c>
      <c r="G1783" s="10">
        <v>82800</v>
      </c>
      <c r="H1783">
        <v>0</v>
      </c>
      <c r="I1783" t="s">
        <v>1660</v>
      </c>
      <c r="J1783" t="s">
        <v>18</v>
      </c>
      <c r="K1783" t="s">
        <v>15</v>
      </c>
    </row>
    <row r="1784" spans="1:11" hidden="1" x14ac:dyDescent="0.35">
      <c r="A1784" t="s">
        <v>78</v>
      </c>
      <c r="B1784" t="s">
        <v>79</v>
      </c>
      <c r="C1784">
        <v>29166</v>
      </c>
      <c r="D1784">
        <v>39335</v>
      </c>
      <c r="E1784" s="12">
        <v>45729</v>
      </c>
      <c r="F1784" s="12">
        <v>45901</v>
      </c>
      <c r="G1784" s="10">
        <v>49420</v>
      </c>
      <c r="H1784">
        <v>0</v>
      </c>
      <c r="I1784" t="s">
        <v>1076</v>
      </c>
      <c r="J1784" t="s">
        <v>41</v>
      </c>
      <c r="K1784" t="s">
        <v>15</v>
      </c>
    </row>
    <row r="1785" spans="1:11" hidden="1" x14ac:dyDescent="0.35">
      <c r="A1785" t="s">
        <v>85</v>
      </c>
      <c r="B1785" t="s">
        <v>86</v>
      </c>
      <c r="C1785">
        <v>28132</v>
      </c>
      <c r="D1785">
        <v>38069</v>
      </c>
      <c r="E1785" s="12">
        <v>45643</v>
      </c>
      <c r="F1785" s="12">
        <v>45901</v>
      </c>
      <c r="G1785" s="10">
        <v>58913</v>
      </c>
      <c r="H1785">
        <v>0</v>
      </c>
      <c r="I1785" t="s">
        <v>1540</v>
      </c>
      <c r="J1785" t="s">
        <v>41</v>
      </c>
      <c r="K1785" t="s">
        <v>15</v>
      </c>
    </row>
    <row r="1786" spans="1:11" hidden="1" x14ac:dyDescent="0.35">
      <c r="A1786" t="s">
        <v>133</v>
      </c>
      <c r="B1786" t="s">
        <v>134</v>
      </c>
      <c r="C1786">
        <v>28837</v>
      </c>
      <c r="D1786">
        <v>38923</v>
      </c>
      <c r="E1786" s="12">
        <v>45698</v>
      </c>
      <c r="F1786" s="12">
        <v>45901</v>
      </c>
      <c r="G1786" s="10">
        <v>152507.16</v>
      </c>
      <c r="H1786">
        <v>0</v>
      </c>
      <c r="I1786" t="s">
        <v>1175</v>
      </c>
      <c r="J1786" t="s">
        <v>77</v>
      </c>
      <c r="K1786" t="s">
        <v>15</v>
      </c>
    </row>
    <row r="1787" spans="1:11" hidden="1" x14ac:dyDescent="0.35">
      <c r="A1787" t="s">
        <v>129</v>
      </c>
      <c r="B1787" t="s">
        <v>130</v>
      </c>
      <c r="C1787">
        <v>28943</v>
      </c>
      <c r="D1787">
        <v>39063</v>
      </c>
      <c r="E1787" s="12">
        <v>45707</v>
      </c>
      <c r="F1787" s="12">
        <v>45901</v>
      </c>
      <c r="G1787" s="10">
        <v>69000</v>
      </c>
      <c r="H1787">
        <v>0</v>
      </c>
      <c r="I1787" t="s">
        <v>1341</v>
      </c>
      <c r="J1787" t="s">
        <v>99</v>
      </c>
      <c r="K1787" t="s">
        <v>15</v>
      </c>
    </row>
    <row r="1788" spans="1:11" hidden="1" x14ac:dyDescent="0.35">
      <c r="A1788" t="s">
        <v>654</v>
      </c>
      <c r="B1788" t="s">
        <v>655</v>
      </c>
      <c r="C1788">
        <v>28387</v>
      </c>
      <c r="D1788">
        <v>38380</v>
      </c>
      <c r="E1788" s="12">
        <v>45670</v>
      </c>
      <c r="F1788" s="12">
        <v>45901</v>
      </c>
      <c r="G1788" s="10">
        <v>27548</v>
      </c>
      <c r="H1788">
        <v>0</v>
      </c>
      <c r="I1788" t="s">
        <v>1582</v>
      </c>
      <c r="J1788" t="s">
        <v>30</v>
      </c>
      <c r="K1788" t="s">
        <v>15</v>
      </c>
    </row>
    <row r="1789" spans="1:11" hidden="1" x14ac:dyDescent="0.35">
      <c r="A1789" t="s">
        <v>1068</v>
      </c>
      <c r="B1789" t="s">
        <v>1069</v>
      </c>
      <c r="C1789">
        <v>28855</v>
      </c>
      <c r="D1789">
        <v>38946</v>
      </c>
      <c r="E1789" s="12">
        <v>45699</v>
      </c>
      <c r="F1789" s="12">
        <v>45901</v>
      </c>
      <c r="G1789" s="10">
        <v>13800</v>
      </c>
      <c r="H1789">
        <v>0</v>
      </c>
      <c r="I1789" t="s">
        <v>1587</v>
      </c>
      <c r="J1789" t="s">
        <v>107</v>
      </c>
      <c r="K1789" t="s">
        <v>15</v>
      </c>
    </row>
    <row r="1790" spans="1:11" hidden="1" x14ac:dyDescent="0.35">
      <c r="A1790" t="s">
        <v>1399</v>
      </c>
      <c r="B1790" t="s">
        <v>1400</v>
      </c>
      <c r="C1790">
        <v>28906</v>
      </c>
      <c r="D1790">
        <v>39015</v>
      </c>
      <c r="E1790" s="12">
        <v>45705</v>
      </c>
      <c r="F1790" s="12">
        <v>45901</v>
      </c>
      <c r="G1790" s="10">
        <v>27560</v>
      </c>
      <c r="H1790">
        <v>0</v>
      </c>
      <c r="I1790" t="s">
        <v>1401</v>
      </c>
      <c r="J1790" t="s">
        <v>30</v>
      </c>
      <c r="K1790" t="s">
        <v>15</v>
      </c>
    </row>
    <row r="1791" spans="1:11" hidden="1" x14ac:dyDescent="0.35">
      <c r="A1791" t="s">
        <v>654</v>
      </c>
      <c r="B1791" t="s">
        <v>655</v>
      </c>
      <c r="C1791">
        <v>28965</v>
      </c>
      <c r="D1791">
        <v>39086</v>
      </c>
      <c r="E1791" s="12">
        <v>45707</v>
      </c>
      <c r="F1791" s="12">
        <v>45901</v>
      </c>
      <c r="G1791" s="10">
        <v>31595</v>
      </c>
      <c r="H1791">
        <v>0</v>
      </c>
      <c r="I1791" t="s">
        <v>1580</v>
      </c>
      <c r="J1791" t="s">
        <v>30</v>
      </c>
      <c r="K1791" t="s">
        <v>15</v>
      </c>
    </row>
    <row r="1792" spans="1:11" hidden="1" x14ac:dyDescent="0.35">
      <c r="A1792" t="s">
        <v>16</v>
      </c>
      <c r="B1792" t="s">
        <v>17</v>
      </c>
      <c r="C1792">
        <v>28968</v>
      </c>
      <c r="D1792">
        <v>39089</v>
      </c>
      <c r="E1792" s="12">
        <v>45707</v>
      </c>
      <c r="F1792" s="12">
        <v>45901</v>
      </c>
      <c r="G1792" s="10">
        <v>10128.799999999999</v>
      </c>
      <c r="H1792">
        <v>0</v>
      </c>
      <c r="I1792" t="s">
        <v>609</v>
      </c>
      <c r="J1792" t="s">
        <v>18</v>
      </c>
      <c r="K1792" t="s">
        <v>15</v>
      </c>
    </row>
    <row r="1793" spans="1:11" hidden="1" x14ac:dyDescent="0.35">
      <c r="A1793" t="s">
        <v>160</v>
      </c>
      <c r="B1793" t="s">
        <v>161</v>
      </c>
      <c r="C1793">
        <v>29038</v>
      </c>
      <c r="D1793">
        <v>39166</v>
      </c>
      <c r="E1793" s="12">
        <v>45712</v>
      </c>
      <c r="F1793" s="12">
        <v>45901</v>
      </c>
      <c r="G1793" s="10">
        <v>15222.2</v>
      </c>
      <c r="H1793">
        <v>0</v>
      </c>
      <c r="I1793" t="s">
        <v>774</v>
      </c>
      <c r="J1793" t="s">
        <v>18</v>
      </c>
      <c r="K1793" t="s">
        <v>15</v>
      </c>
    </row>
    <row r="1794" spans="1:11" hidden="1" x14ac:dyDescent="0.35">
      <c r="A1794" t="s">
        <v>78</v>
      </c>
      <c r="B1794" t="s">
        <v>79</v>
      </c>
      <c r="C1794">
        <v>28153</v>
      </c>
      <c r="D1794">
        <v>38086</v>
      </c>
      <c r="E1794" s="12">
        <v>45643</v>
      </c>
      <c r="F1794" s="12">
        <v>45902</v>
      </c>
      <c r="G1794" s="10">
        <v>341718.9</v>
      </c>
      <c r="H1794">
        <v>0</v>
      </c>
      <c r="I1794" t="s">
        <v>419</v>
      </c>
      <c r="J1794" t="s">
        <v>41</v>
      </c>
      <c r="K1794" t="s">
        <v>15</v>
      </c>
    </row>
    <row r="1795" spans="1:11" hidden="1" x14ac:dyDescent="0.35">
      <c r="A1795" t="s">
        <v>322</v>
      </c>
      <c r="B1795" t="s">
        <v>36</v>
      </c>
      <c r="C1795">
        <v>28259</v>
      </c>
      <c r="D1795">
        <v>38215</v>
      </c>
      <c r="E1795" s="12">
        <v>45653</v>
      </c>
      <c r="F1795" s="12">
        <v>45902</v>
      </c>
      <c r="G1795" s="10">
        <v>389000</v>
      </c>
      <c r="H1795">
        <v>0</v>
      </c>
      <c r="I1795" t="s">
        <v>1642</v>
      </c>
      <c r="J1795" t="s">
        <v>22</v>
      </c>
      <c r="K1795" t="s">
        <v>15</v>
      </c>
    </row>
    <row r="1796" spans="1:11" hidden="1" x14ac:dyDescent="0.35">
      <c r="A1796" t="s">
        <v>31</v>
      </c>
      <c r="B1796" t="s">
        <v>32</v>
      </c>
      <c r="C1796">
        <v>29111</v>
      </c>
      <c r="D1796">
        <v>39272</v>
      </c>
      <c r="E1796" s="12">
        <v>45723</v>
      </c>
      <c r="F1796" s="12">
        <v>45903</v>
      </c>
      <c r="G1796" s="10">
        <v>2436.7199999999998</v>
      </c>
      <c r="H1796">
        <v>0</v>
      </c>
      <c r="I1796" t="s">
        <v>271</v>
      </c>
      <c r="J1796" t="s">
        <v>34</v>
      </c>
      <c r="K1796" t="s">
        <v>15</v>
      </c>
    </row>
    <row r="1797" spans="1:11" hidden="1" x14ac:dyDescent="0.35">
      <c r="A1797" t="s">
        <v>31</v>
      </c>
      <c r="B1797" t="s">
        <v>32</v>
      </c>
      <c r="C1797">
        <v>29108</v>
      </c>
      <c r="D1797">
        <v>39269</v>
      </c>
      <c r="E1797" s="12">
        <v>45723</v>
      </c>
      <c r="F1797" s="12">
        <v>45903</v>
      </c>
      <c r="G1797" s="10">
        <v>7822.32</v>
      </c>
      <c r="H1797">
        <v>0</v>
      </c>
      <c r="I1797" t="s">
        <v>271</v>
      </c>
      <c r="J1797" t="s">
        <v>34</v>
      </c>
      <c r="K1797" t="s">
        <v>15</v>
      </c>
    </row>
    <row r="1798" spans="1:11" hidden="1" x14ac:dyDescent="0.35">
      <c r="A1798" t="s">
        <v>31</v>
      </c>
      <c r="B1798" t="s">
        <v>32</v>
      </c>
      <c r="C1798">
        <v>29109</v>
      </c>
      <c r="D1798">
        <v>39270</v>
      </c>
      <c r="E1798" s="12">
        <v>45723</v>
      </c>
      <c r="F1798" s="12">
        <v>45903</v>
      </c>
      <c r="G1798" s="10">
        <v>5866.72</v>
      </c>
      <c r="H1798">
        <v>0</v>
      </c>
      <c r="I1798" t="s">
        <v>271</v>
      </c>
      <c r="J1798" t="s">
        <v>34</v>
      </c>
      <c r="K1798" t="s">
        <v>15</v>
      </c>
    </row>
    <row r="1799" spans="1:11" hidden="1" x14ac:dyDescent="0.35">
      <c r="A1799" t="s">
        <v>31</v>
      </c>
      <c r="B1799" t="s">
        <v>32</v>
      </c>
      <c r="C1799">
        <v>29110</v>
      </c>
      <c r="D1799">
        <v>39271</v>
      </c>
      <c r="E1799" s="12">
        <v>45723</v>
      </c>
      <c r="F1799" s="12">
        <v>45903</v>
      </c>
      <c r="G1799" s="10">
        <v>753.36</v>
      </c>
      <c r="H1799">
        <v>0</v>
      </c>
      <c r="I1799" t="s">
        <v>271</v>
      </c>
      <c r="J1799" t="s">
        <v>34</v>
      </c>
      <c r="K1799" t="s">
        <v>15</v>
      </c>
    </row>
    <row r="1800" spans="1:11" hidden="1" x14ac:dyDescent="0.35">
      <c r="A1800" t="s">
        <v>362</v>
      </c>
      <c r="B1800" t="s">
        <v>363</v>
      </c>
      <c r="C1800">
        <v>26764</v>
      </c>
      <c r="D1800">
        <v>36428</v>
      </c>
      <c r="E1800" s="12">
        <v>45545</v>
      </c>
      <c r="F1800" s="12">
        <v>45905</v>
      </c>
      <c r="G1800" s="10">
        <v>96739.9</v>
      </c>
      <c r="H1800">
        <v>0</v>
      </c>
      <c r="I1800" t="s">
        <v>692</v>
      </c>
      <c r="J1800" t="s">
        <v>48</v>
      </c>
      <c r="K1800" t="s">
        <v>15</v>
      </c>
    </row>
    <row r="1801" spans="1:11" hidden="1" x14ac:dyDescent="0.35">
      <c r="A1801" t="s">
        <v>31</v>
      </c>
      <c r="B1801" t="s">
        <v>32</v>
      </c>
      <c r="C1801">
        <v>29245</v>
      </c>
      <c r="D1801">
        <v>39430</v>
      </c>
      <c r="E1801" s="12">
        <v>45740</v>
      </c>
      <c r="F1801" s="12">
        <v>45905</v>
      </c>
      <c r="G1801" s="10">
        <v>1931.22</v>
      </c>
      <c r="H1801">
        <v>0</v>
      </c>
      <c r="I1801" t="s">
        <v>271</v>
      </c>
      <c r="J1801" t="s">
        <v>34</v>
      </c>
      <c r="K1801" t="s">
        <v>15</v>
      </c>
    </row>
    <row r="1802" spans="1:11" hidden="1" x14ac:dyDescent="0.35">
      <c r="A1802" t="s">
        <v>31</v>
      </c>
      <c r="B1802" t="s">
        <v>32</v>
      </c>
      <c r="C1802">
        <v>29244</v>
      </c>
      <c r="D1802">
        <v>39429</v>
      </c>
      <c r="E1802" s="12">
        <v>45740</v>
      </c>
      <c r="F1802" s="12">
        <v>45905</v>
      </c>
      <c r="G1802" s="10">
        <v>20324.14</v>
      </c>
      <c r="H1802">
        <v>0</v>
      </c>
      <c r="I1802" t="s">
        <v>271</v>
      </c>
      <c r="J1802" t="s">
        <v>34</v>
      </c>
      <c r="K1802" t="s">
        <v>15</v>
      </c>
    </row>
    <row r="1803" spans="1:11" hidden="1" x14ac:dyDescent="0.35">
      <c r="A1803" t="s">
        <v>31</v>
      </c>
      <c r="B1803" t="s">
        <v>32</v>
      </c>
      <c r="C1803">
        <v>29246</v>
      </c>
      <c r="D1803">
        <v>39431</v>
      </c>
      <c r="E1803" s="12">
        <v>45740</v>
      </c>
      <c r="F1803" s="12">
        <v>45905</v>
      </c>
      <c r="G1803" s="10">
        <v>1931.22</v>
      </c>
      <c r="H1803">
        <v>0</v>
      </c>
      <c r="I1803" t="s">
        <v>271</v>
      </c>
      <c r="J1803" t="s">
        <v>34</v>
      </c>
      <c r="K1803" t="s">
        <v>15</v>
      </c>
    </row>
    <row r="1804" spans="1:11" hidden="1" x14ac:dyDescent="0.35">
      <c r="A1804" t="s">
        <v>397</v>
      </c>
      <c r="B1804" t="s">
        <v>398</v>
      </c>
      <c r="C1804">
        <v>26802</v>
      </c>
      <c r="D1804">
        <v>36465</v>
      </c>
      <c r="E1804" s="12">
        <v>45546</v>
      </c>
      <c r="F1804" s="12">
        <v>45908</v>
      </c>
      <c r="G1804" s="10">
        <v>210150</v>
      </c>
      <c r="H1804">
        <v>0</v>
      </c>
      <c r="I1804" t="s">
        <v>519</v>
      </c>
      <c r="J1804" t="s">
        <v>48</v>
      </c>
      <c r="K1804" t="s">
        <v>15</v>
      </c>
    </row>
    <row r="1805" spans="1:11" hidden="1" x14ac:dyDescent="0.35">
      <c r="A1805" t="s">
        <v>68</v>
      </c>
      <c r="B1805" t="s">
        <v>69</v>
      </c>
      <c r="C1805">
        <v>28076</v>
      </c>
      <c r="D1805">
        <v>37998</v>
      </c>
      <c r="E1805" s="12">
        <v>45638</v>
      </c>
      <c r="F1805" s="12">
        <v>45908</v>
      </c>
      <c r="G1805" s="10">
        <v>3240.65</v>
      </c>
      <c r="H1805">
        <v>0</v>
      </c>
      <c r="I1805" t="s">
        <v>342</v>
      </c>
      <c r="J1805" t="s">
        <v>14</v>
      </c>
      <c r="K1805" t="s">
        <v>15</v>
      </c>
    </row>
    <row r="1806" spans="1:11" hidden="1" x14ac:dyDescent="0.35">
      <c r="A1806" t="s">
        <v>68</v>
      </c>
      <c r="B1806" t="s">
        <v>69</v>
      </c>
      <c r="C1806">
        <v>28071</v>
      </c>
      <c r="D1806">
        <v>37993</v>
      </c>
      <c r="E1806" s="12">
        <v>45638</v>
      </c>
      <c r="F1806" s="12">
        <v>45908</v>
      </c>
      <c r="G1806" s="10">
        <v>10932</v>
      </c>
      <c r="H1806">
        <v>0</v>
      </c>
      <c r="I1806" t="s">
        <v>1289</v>
      </c>
      <c r="J1806" t="s">
        <v>14</v>
      </c>
      <c r="K1806" t="s">
        <v>15</v>
      </c>
    </row>
    <row r="1807" spans="1:11" hidden="1" x14ac:dyDescent="0.35">
      <c r="A1807" t="s">
        <v>68</v>
      </c>
      <c r="B1807" t="s">
        <v>69</v>
      </c>
      <c r="C1807">
        <v>28073</v>
      </c>
      <c r="D1807">
        <v>37995</v>
      </c>
      <c r="E1807" s="12">
        <v>45638</v>
      </c>
      <c r="F1807" s="12">
        <v>45908</v>
      </c>
      <c r="G1807" s="10">
        <v>20579</v>
      </c>
      <c r="H1807">
        <v>0</v>
      </c>
      <c r="I1807" t="s">
        <v>516</v>
      </c>
      <c r="J1807" t="s">
        <v>14</v>
      </c>
      <c r="K1807" t="s">
        <v>15</v>
      </c>
    </row>
    <row r="1808" spans="1:11" hidden="1" x14ac:dyDescent="0.35">
      <c r="A1808" t="s">
        <v>770</v>
      </c>
      <c r="B1808" t="s">
        <v>771</v>
      </c>
      <c r="C1808">
        <v>29122</v>
      </c>
      <c r="D1808">
        <v>39286</v>
      </c>
      <c r="E1808" s="12">
        <v>45726</v>
      </c>
      <c r="F1808" s="12">
        <v>45908</v>
      </c>
      <c r="G1808" s="10">
        <v>2640.2</v>
      </c>
      <c r="H1808">
        <v>0</v>
      </c>
      <c r="I1808" t="s">
        <v>772</v>
      </c>
      <c r="J1808" t="s">
        <v>44</v>
      </c>
      <c r="K1808" t="s">
        <v>15</v>
      </c>
    </row>
    <row r="1809" spans="1:11" hidden="1" x14ac:dyDescent="0.35">
      <c r="A1809" t="s">
        <v>55</v>
      </c>
      <c r="B1809" t="s">
        <v>56</v>
      </c>
      <c r="C1809">
        <v>29141</v>
      </c>
      <c r="D1809">
        <v>39306</v>
      </c>
      <c r="E1809" s="12">
        <v>45727</v>
      </c>
      <c r="F1809" s="12">
        <v>45908</v>
      </c>
      <c r="G1809" s="10">
        <v>6174</v>
      </c>
      <c r="H1809">
        <v>0</v>
      </c>
      <c r="I1809" t="s">
        <v>208</v>
      </c>
      <c r="J1809" t="s">
        <v>58</v>
      </c>
      <c r="K1809" t="s">
        <v>15</v>
      </c>
    </row>
    <row r="1810" spans="1:11" hidden="1" x14ac:dyDescent="0.35">
      <c r="A1810" t="s">
        <v>770</v>
      </c>
      <c r="B1810" t="s">
        <v>771</v>
      </c>
      <c r="C1810">
        <v>29120</v>
      </c>
      <c r="D1810">
        <v>39284</v>
      </c>
      <c r="E1810" s="12">
        <v>45726</v>
      </c>
      <c r="F1810" s="12">
        <v>45908</v>
      </c>
      <c r="G1810" s="10">
        <v>438.74</v>
      </c>
      <c r="H1810">
        <v>0</v>
      </c>
      <c r="I1810" t="s">
        <v>772</v>
      </c>
      <c r="J1810" t="s">
        <v>44</v>
      </c>
      <c r="K1810" t="s">
        <v>15</v>
      </c>
    </row>
    <row r="1811" spans="1:11" hidden="1" x14ac:dyDescent="0.35">
      <c r="A1811" t="s">
        <v>203</v>
      </c>
      <c r="B1811" t="s">
        <v>56</v>
      </c>
      <c r="C1811">
        <v>29143</v>
      </c>
      <c r="D1811">
        <v>39308</v>
      </c>
      <c r="E1811" s="12">
        <v>45727</v>
      </c>
      <c r="F1811" s="12">
        <v>45908</v>
      </c>
      <c r="G1811" s="10">
        <v>60850</v>
      </c>
      <c r="H1811">
        <v>0</v>
      </c>
      <c r="I1811" t="s">
        <v>907</v>
      </c>
      <c r="J1811" t="s">
        <v>58</v>
      </c>
      <c r="K1811" t="s">
        <v>15</v>
      </c>
    </row>
    <row r="1812" spans="1:11" hidden="1" x14ac:dyDescent="0.35">
      <c r="A1812" t="s">
        <v>31</v>
      </c>
      <c r="B1812" t="s">
        <v>32</v>
      </c>
      <c r="C1812">
        <v>29258</v>
      </c>
      <c r="D1812">
        <v>39446</v>
      </c>
      <c r="E1812" s="12">
        <v>45741</v>
      </c>
      <c r="F1812" s="12">
        <v>45908</v>
      </c>
      <c r="G1812" s="10">
        <v>353.33</v>
      </c>
      <c r="H1812">
        <v>0</v>
      </c>
      <c r="I1812" t="s">
        <v>271</v>
      </c>
      <c r="J1812" t="s">
        <v>34</v>
      </c>
      <c r="K1812" t="s">
        <v>15</v>
      </c>
    </row>
    <row r="1813" spans="1:11" hidden="1" x14ac:dyDescent="0.35">
      <c r="A1813" t="s">
        <v>203</v>
      </c>
      <c r="B1813" t="s">
        <v>56</v>
      </c>
      <c r="C1813">
        <v>29145</v>
      </c>
      <c r="D1813">
        <v>39310</v>
      </c>
      <c r="E1813" s="12">
        <v>45727</v>
      </c>
      <c r="F1813" s="12">
        <v>45908</v>
      </c>
      <c r="G1813" s="10">
        <v>60850</v>
      </c>
      <c r="H1813">
        <v>0</v>
      </c>
      <c r="I1813" t="s">
        <v>907</v>
      </c>
      <c r="J1813" t="s">
        <v>58</v>
      </c>
      <c r="K1813" t="s">
        <v>15</v>
      </c>
    </row>
    <row r="1814" spans="1:11" hidden="1" x14ac:dyDescent="0.35">
      <c r="A1814" t="s">
        <v>68</v>
      </c>
      <c r="B1814" t="s">
        <v>69</v>
      </c>
      <c r="C1814">
        <v>28074</v>
      </c>
      <c r="D1814">
        <v>37996</v>
      </c>
      <c r="E1814" s="12">
        <v>45638</v>
      </c>
      <c r="F1814" s="12">
        <v>45908</v>
      </c>
      <c r="G1814" s="10">
        <v>2800</v>
      </c>
      <c r="H1814">
        <v>0</v>
      </c>
      <c r="I1814" t="s">
        <v>1511</v>
      </c>
      <c r="J1814" t="s">
        <v>14</v>
      </c>
      <c r="K1814" t="s">
        <v>15</v>
      </c>
    </row>
    <row r="1815" spans="1:11" hidden="1" x14ac:dyDescent="0.35">
      <c r="A1815" t="s">
        <v>31</v>
      </c>
      <c r="B1815" t="s">
        <v>32</v>
      </c>
      <c r="C1815">
        <v>29154</v>
      </c>
      <c r="D1815">
        <v>39322</v>
      </c>
      <c r="E1815" s="12">
        <v>45728</v>
      </c>
      <c r="F1815" s="12">
        <v>45908</v>
      </c>
      <c r="G1815" s="10">
        <v>14305.68</v>
      </c>
      <c r="H1815">
        <v>0</v>
      </c>
      <c r="I1815" t="s">
        <v>1459</v>
      </c>
      <c r="J1815" t="s">
        <v>34</v>
      </c>
      <c r="K1815" t="s">
        <v>15</v>
      </c>
    </row>
    <row r="1816" spans="1:11" hidden="1" x14ac:dyDescent="0.35">
      <c r="A1816" t="s">
        <v>55</v>
      </c>
      <c r="B1816" t="s">
        <v>56</v>
      </c>
      <c r="C1816">
        <v>29146</v>
      </c>
      <c r="D1816">
        <v>39311</v>
      </c>
      <c r="E1816" s="12">
        <v>45727</v>
      </c>
      <c r="F1816" s="12">
        <v>45908</v>
      </c>
      <c r="G1816" s="10">
        <v>60850</v>
      </c>
      <c r="H1816">
        <v>0</v>
      </c>
      <c r="I1816" t="s">
        <v>208</v>
      </c>
      <c r="J1816" t="s">
        <v>58</v>
      </c>
      <c r="K1816" t="s">
        <v>15</v>
      </c>
    </row>
    <row r="1817" spans="1:11" hidden="1" x14ac:dyDescent="0.35">
      <c r="A1817" t="s">
        <v>31</v>
      </c>
      <c r="B1817" t="s">
        <v>32</v>
      </c>
      <c r="C1817">
        <v>29153</v>
      </c>
      <c r="D1817">
        <v>39321</v>
      </c>
      <c r="E1817" s="12">
        <v>45728</v>
      </c>
      <c r="F1817" s="12">
        <v>45908</v>
      </c>
      <c r="G1817" s="10">
        <v>6866.72</v>
      </c>
      <c r="H1817">
        <v>0</v>
      </c>
      <c r="I1817" t="s">
        <v>1518</v>
      </c>
      <c r="J1817" t="s">
        <v>34</v>
      </c>
      <c r="K1817" t="s">
        <v>15</v>
      </c>
    </row>
    <row r="1818" spans="1:11" hidden="1" x14ac:dyDescent="0.35">
      <c r="A1818" t="s">
        <v>285</v>
      </c>
      <c r="B1818" t="s">
        <v>286</v>
      </c>
      <c r="C1818">
        <v>29140</v>
      </c>
      <c r="D1818">
        <v>39305</v>
      </c>
      <c r="E1818" s="12">
        <v>45727</v>
      </c>
      <c r="F1818" s="12">
        <v>45908</v>
      </c>
      <c r="G1818" s="10">
        <v>43980</v>
      </c>
      <c r="H1818">
        <v>0</v>
      </c>
      <c r="I1818" t="s">
        <v>287</v>
      </c>
      <c r="J1818" t="s">
        <v>58</v>
      </c>
      <c r="K1818" t="s">
        <v>15</v>
      </c>
    </row>
    <row r="1819" spans="1:11" hidden="1" x14ac:dyDescent="0.35">
      <c r="A1819" t="s">
        <v>174</v>
      </c>
      <c r="B1819" t="s">
        <v>175</v>
      </c>
      <c r="C1819">
        <v>29142</v>
      </c>
      <c r="D1819">
        <v>39307</v>
      </c>
      <c r="E1819" s="12">
        <v>45727</v>
      </c>
      <c r="F1819" s="12">
        <v>45908</v>
      </c>
      <c r="G1819" s="10">
        <v>60850</v>
      </c>
      <c r="H1819">
        <v>0</v>
      </c>
      <c r="I1819" t="s">
        <v>1418</v>
      </c>
      <c r="J1819" t="s">
        <v>58</v>
      </c>
      <c r="K1819" t="s">
        <v>15</v>
      </c>
    </row>
    <row r="1820" spans="1:11" hidden="1" x14ac:dyDescent="0.35">
      <c r="A1820" t="s">
        <v>31</v>
      </c>
      <c r="B1820" t="s">
        <v>32</v>
      </c>
      <c r="C1820">
        <v>29259</v>
      </c>
      <c r="D1820">
        <v>39447</v>
      </c>
      <c r="E1820" s="12">
        <v>45741</v>
      </c>
      <c r="F1820" s="12">
        <v>45908</v>
      </c>
      <c r="G1820" s="10">
        <v>1965.44</v>
      </c>
      <c r="H1820">
        <v>0</v>
      </c>
      <c r="I1820" t="s">
        <v>271</v>
      </c>
      <c r="J1820" t="s">
        <v>34</v>
      </c>
      <c r="K1820" t="s">
        <v>15</v>
      </c>
    </row>
    <row r="1821" spans="1:11" hidden="1" x14ac:dyDescent="0.35">
      <c r="A1821" t="s">
        <v>205</v>
      </c>
      <c r="B1821" t="s">
        <v>56</v>
      </c>
      <c r="C1821">
        <v>29144</v>
      </c>
      <c r="D1821">
        <v>39309</v>
      </c>
      <c r="E1821" s="12">
        <v>45727</v>
      </c>
      <c r="F1821" s="12">
        <v>45908</v>
      </c>
      <c r="G1821" s="10">
        <v>48680</v>
      </c>
      <c r="H1821">
        <v>0</v>
      </c>
      <c r="I1821" t="s">
        <v>679</v>
      </c>
      <c r="J1821" t="s">
        <v>58</v>
      </c>
      <c r="K1821" t="s">
        <v>15</v>
      </c>
    </row>
    <row r="1822" spans="1:11" hidden="1" x14ac:dyDescent="0.35">
      <c r="A1822" t="s">
        <v>31</v>
      </c>
      <c r="B1822" t="s">
        <v>32</v>
      </c>
      <c r="C1822">
        <v>29260</v>
      </c>
      <c r="D1822">
        <v>39448</v>
      </c>
      <c r="E1822" s="12">
        <v>45741</v>
      </c>
      <c r="F1822" s="12">
        <v>45908</v>
      </c>
      <c r="G1822" s="10">
        <v>97.4</v>
      </c>
      <c r="H1822">
        <v>0</v>
      </c>
      <c r="I1822" t="s">
        <v>271</v>
      </c>
      <c r="J1822" t="s">
        <v>34</v>
      </c>
      <c r="K1822" t="s">
        <v>15</v>
      </c>
    </row>
    <row r="1823" spans="1:11" hidden="1" x14ac:dyDescent="0.35">
      <c r="A1823" t="s">
        <v>770</v>
      </c>
      <c r="B1823" t="s">
        <v>771</v>
      </c>
      <c r="C1823">
        <v>29121</v>
      </c>
      <c r="D1823">
        <v>39285</v>
      </c>
      <c r="E1823" s="12">
        <v>45726</v>
      </c>
      <c r="F1823" s="12">
        <v>45908</v>
      </c>
      <c r="G1823" s="10">
        <v>494</v>
      </c>
      <c r="H1823">
        <v>0</v>
      </c>
      <c r="I1823" t="s">
        <v>772</v>
      </c>
      <c r="J1823" t="s">
        <v>44</v>
      </c>
      <c r="K1823" t="s">
        <v>15</v>
      </c>
    </row>
    <row r="1824" spans="1:11" hidden="1" x14ac:dyDescent="0.35">
      <c r="A1824" t="s">
        <v>770</v>
      </c>
      <c r="B1824" t="s">
        <v>771</v>
      </c>
      <c r="C1824">
        <v>29123</v>
      </c>
      <c r="D1824">
        <v>39287</v>
      </c>
      <c r="E1824" s="12">
        <v>45726</v>
      </c>
      <c r="F1824" s="12">
        <v>45908</v>
      </c>
      <c r="G1824" s="10">
        <v>18127.5</v>
      </c>
      <c r="H1824">
        <v>0</v>
      </c>
      <c r="I1824" t="s">
        <v>772</v>
      </c>
      <c r="J1824" t="s">
        <v>44</v>
      </c>
      <c r="K1824" t="s">
        <v>15</v>
      </c>
    </row>
    <row r="1825" spans="1:11" hidden="1" x14ac:dyDescent="0.35">
      <c r="A1825" t="s">
        <v>31</v>
      </c>
      <c r="B1825" t="s">
        <v>32</v>
      </c>
      <c r="C1825">
        <v>29261</v>
      </c>
      <c r="D1825">
        <v>39449</v>
      </c>
      <c r="E1825" s="12">
        <v>45741</v>
      </c>
      <c r="F1825" s="12">
        <v>45908</v>
      </c>
      <c r="G1825" s="10">
        <v>2271.66</v>
      </c>
      <c r="H1825">
        <v>0</v>
      </c>
      <c r="I1825" t="s">
        <v>271</v>
      </c>
      <c r="J1825" t="s">
        <v>34</v>
      </c>
      <c r="K1825" t="s">
        <v>15</v>
      </c>
    </row>
    <row r="1826" spans="1:11" hidden="1" x14ac:dyDescent="0.35">
      <c r="A1826" t="s">
        <v>442</v>
      </c>
      <c r="B1826" t="s">
        <v>443</v>
      </c>
      <c r="C1826">
        <v>28322</v>
      </c>
      <c r="D1826">
        <v>38305</v>
      </c>
      <c r="E1826" s="12">
        <v>45665</v>
      </c>
      <c r="F1826" s="12">
        <v>45910</v>
      </c>
      <c r="G1826" s="10">
        <v>45000</v>
      </c>
      <c r="H1826">
        <v>0</v>
      </c>
      <c r="I1826" t="s">
        <v>1290</v>
      </c>
      <c r="J1826" t="s">
        <v>115</v>
      </c>
      <c r="K1826" t="s">
        <v>15</v>
      </c>
    </row>
    <row r="1827" spans="1:11" hidden="1" x14ac:dyDescent="0.35">
      <c r="A1827" t="s">
        <v>442</v>
      </c>
      <c r="B1827" t="s">
        <v>443</v>
      </c>
      <c r="C1827">
        <v>28067</v>
      </c>
      <c r="D1827">
        <v>37989</v>
      </c>
      <c r="E1827" s="12">
        <v>45638</v>
      </c>
      <c r="F1827" s="12">
        <v>45910</v>
      </c>
      <c r="G1827" s="10">
        <v>60000</v>
      </c>
      <c r="H1827">
        <v>0</v>
      </c>
      <c r="I1827" t="s">
        <v>1300</v>
      </c>
      <c r="J1827" t="s">
        <v>115</v>
      </c>
      <c r="K1827" t="s">
        <v>15</v>
      </c>
    </row>
    <row r="1828" spans="1:11" hidden="1" x14ac:dyDescent="0.35">
      <c r="A1828" t="s">
        <v>908</v>
      </c>
      <c r="B1828" t="s">
        <v>909</v>
      </c>
      <c r="C1828">
        <v>28128</v>
      </c>
      <c r="D1828">
        <v>38061</v>
      </c>
      <c r="E1828" s="12">
        <v>45642</v>
      </c>
      <c r="F1828" s="12">
        <v>45910</v>
      </c>
      <c r="G1828" s="10">
        <v>13082</v>
      </c>
      <c r="H1828">
        <v>0</v>
      </c>
      <c r="I1828" t="s">
        <v>1040</v>
      </c>
      <c r="J1828" t="s">
        <v>48</v>
      </c>
      <c r="K1828" t="s">
        <v>15</v>
      </c>
    </row>
    <row r="1829" spans="1:11" hidden="1" x14ac:dyDescent="0.35">
      <c r="A1829" t="s">
        <v>442</v>
      </c>
      <c r="B1829" t="s">
        <v>443</v>
      </c>
      <c r="C1829">
        <v>28068</v>
      </c>
      <c r="D1829">
        <v>37990</v>
      </c>
      <c r="E1829" s="12">
        <v>45638</v>
      </c>
      <c r="F1829" s="12">
        <v>45910</v>
      </c>
      <c r="G1829" s="10">
        <v>331000</v>
      </c>
      <c r="H1829">
        <v>0</v>
      </c>
      <c r="I1829" t="s">
        <v>942</v>
      </c>
      <c r="J1829" t="s">
        <v>115</v>
      </c>
      <c r="K1829" t="s">
        <v>15</v>
      </c>
    </row>
    <row r="1830" spans="1:11" hidden="1" x14ac:dyDescent="0.35">
      <c r="A1830" t="s">
        <v>442</v>
      </c>
      <c r="B1830" t="s">
        <v>443</v>
      </c>
      <c r="C1830">
        <v>28066</v>
      </c>
      <c r="D1830">
        <v>37988</v>
      </c>
      <c r="E1830" s="12">
        <v>45638</v>
      </c>
      <c r="F1830" s="12">
        <v>45910</v>
      </c>
      <c r="G1830" s="10">
        <v>160000</v>
      </c>
      <c r="H1830">
        <v>0</v>
      </c>
      <c r="I1830" t="s">
        <v>444</v>
      </c>
      <c r="J1830" t="s">
        <v>115</v>
      </c>
      <c r="K1830" t="s">
        <v>15</v>
      </c>
    </row>
    <row r="1831" spans="1:11" hidden="1" x14ac:dyDescent="0.35">
      <c r="A1831" t="s">
        <v>309</v>
      </c>
      <c r="B1831" t="s">
        <v>310</v>
      </c>
      <c r="C1831">
        <v>28883</v>
      </c>
      <c r="D1831">
        <v>38984</v>
      </c>
      <c r="E1831" s="12">
        <v>45700</v>
      </c>
      <c r="F1831" s="12">
        <v>45910</v>
      </c>
      <c r="G1831" s="10">
        <v>16733.599999999999</v>
      </c>
      <c r="H1831">
        <v>0</v>
      </c>
      <c r="I1831" t="s">
        <v>1022</v>
      </c>
      <c r="J1831" t="s">
        <v>312</v>
      </c>
      <c r="K1831" t="s">
        <v>15</v>
      </c>
    </row>
    <row r="1832" spans="1:11" hidden="1" x14ac:dyDescent="0.35">
      <c r="A1832" t="s">
        <v>288</v>
      </c>
      <c r="B1832" t="s">
        <v>289</v>
      </c>
      <c r="C1832">
        <v>29167</v>
      </c>
      <c r="D1832">
        <v>39337</v>
      </c>
      <c r="E1832" s="12">
        <v>45730</v>
      </c>
      <c r="F1832" s="12">
        <v>45910</v>
      </c>
      <c r="G1832" s="10">
        <v>65575.199999999997</v>
      </c>
      <c r="H1832">
        <v>0</v>
      </c>
      <c r="I1832" t="s">
        <v>996</v>
      </c>
      <c r="J1832" t="s">
        <v>34</v>
      </c>
      <c r="K1832" t="s">
        <v>15</v>
      </c>
    </row>
    <row r="1833" spans="1:11" hidden="1" x14ac:dyDescent="0.35">
      <c r="A1833" t="s">
        <v>397</v>
      </c>
      <c r="B1833" t="s">
        <v>398</v>
      </c>
      <c r="C1833">
        <v>28890</v>
      </c>
      <c r="D1833">
        <v>38992</v>
      </c>
      <c r="E1833" s="12">
        <v>45701</v>
      </c>
      <c r="F1833" s="12">
        <v>45911</v>
      </c>
      <c r="G1833" s="10">
        <v>23924</v>
      </c>
      <c r="H1833">
        <v>0</v>
      </c>
      <c r="I1833" t="s">
        <v>1141</v>
      </c>
      <c r="J1833" t="s">
        <v>48</v>
      </c>
      <c r="K1833" t="s">
        <v>15</v>
      </c>
    </row>
    <row r="1834" spans="1:11" hidden="1" x14ac:dyDescent="0.35">
      <c r="A1834" t="s">
        <v>946</v>
      </c>
      <c r="B1834" t="s">
        <v>947</v>
      </c>
      <c r="C1834">
        <v>29171</v>
      </c>
      <c r="D1834">
        <v>39341</v>
      </c>
      <c r="E1834" s="12">
        <v>45733</v>
      </c>
      <c r="F1834" s="12">
        <v>45913</v>
      </c>
      <c r="G1834" s="10">
        <v>29050</v>
      </c>
      <c r="H1834">
        <v>0</v>
      </c>
      <c r="I1834" t="s">
        <v>1417</v>
      </c>
      <c r="J1834" t="s">
        <v>949</v>
      </c>
      <c r="K1834" t="s">
        <v>15</v>
      </c>
    </row>
    <row r="1835" spans="1:11" hidden="1" x14ac:dyDescent="0.35">
      <c r="A1835" t="s">
        <v>770</v>
      </c>
      <c r="B1835" t="s">
        <v>771</v>
      </c>
      <c r="C1835">
        <v>29188</v>
      </c>
      <c r="D1835">
        <v>39359</v>
      </c>
      <c r="E1835" s="12">
        <v>45733</v>
      </c>
      <c r="F1835" s="12">
        <v>45915</v>
      </c>
      <c r="G1835" s="10">
        <v>5267.99</v>
      </c>
      <c r="H1835">
        <v>0</v>
      </c>
      <c r="I1835" t="s">
        <v>772</v>
      </c>
      <c r="J1835" t="s">
        <v>44</v>
      </c>
      <c r="K1835" t="s">
        <v>15</v>
      </c>
    </row>
    <row r="1836" spans="1:11" hidden="1" x14ac:dyDescent="0.35">
      <c r="A1836" t="s">
        <v>45</v>
      </c>
      <c r="B1836" t="s">
        <v>46</v>
      </c>
      <c r="C1836">
        <v>29221</v>
      </c>
      <c r="D1836">
        <v>39400</v>
      </c>
      <c r="E1836" s="12">
        <v>45735</v>
      </c>
      <c r="F1836" s="12">
        <v>45915</v>
      </c>
      <c r="G1836" s="10">
        <v>2390.4</v>
      </c>
      <c r="H1836">
        <v>0</v>
      </c>
      <c r="I1836" t="s">
        <v>1435</v>
      </c>
      <c r="J1836" t="s">
        <v>48</v>
      </c>
      <c r="K1836" t="s">
        <v>15</v>
      </c>
    </row>
    <row r="1837" spans="1:11" hidden="1" x14ac:dyDescent="0.35">
      <c r="A1837" t="s">
        <v>174</v>
      </c>
      <c r="B1837" t="s">
        <v>175</v>
      </c>
      <c r="C1837">
        <v>29185</v>
      </c>
      <c r="D1837">
        <v>39356</v>
      </c>
      <c r="E1837" s="12">
        <v>45733</v>
      </c>
      <c r="F1837" s="12">
        <v>45915</v>
      </c>
      <c r="G1837" s="10">
        <v>25680</v>
      </c>
      <c r="H1837">
        <v>0</v>
      </c>
      <c r="I1837" t="s">
        <v>1418</v>
      </c>
      <c r="J1837" t="s">
        <v>58</v>
      </c>
      <c r="K1837" t="s">
        <v>15</v>
      </c>
    </row>
    <row r="1838" spans="1:11" hidden="1" x14ac:dyDescent="0.35">
      <c r="A1838" t="s">
        <v>45</v>
      </c>
      <c r="B1838" t="s">
        <v>46</v>
      </c>
      <c r="C1838">
        <v>29219</v>
      </c>
      <c r="D1838">
        <v>39398</v>
      </c>
      <c r="E1838" s="12">
        <v>45735</v>
      </c>
      <c r="F1838" s="12">
        <v>45915</v>
      </c>
      <c r="G1838" s="10">
        <v>9180</v>
      </c>
      <c r="H1838">
        <v>0</v>
      </c>
      <c r="I1838" t="s">
        <v>1435</v>
      </c>
      <c r="J1838" t="s">
        <v>48</v>
      </c>
      <c r="K1838" t="s">
        <v>15</v>
      </c>
    </row>
    <row r="1839" spans="1:11" hidden="1" x14ac:dyDescent="0.35">
      <c r="A1839" t="s">
        <v>550</v>
      </c>
      <c r="B1839" t="s">
        <v>56</v>
      </c>
      <c r="C1839">
        <v>29187</v>
      </c>
      <c r="D1839">
        <v>39358</v>
      </c>
      <c r="E1839" s="12">
        <v>45733</v>
      </c>
      <c r="F1839" s="12">
        <v>45915</v>
      </c>
      <c r="G1839" s="10">
        <v>6085</v>
      </c>
      <c r="H1839">
        <v>0</v>
      </c>
      <c r="I1839" t="s">
        <v>551</v>
      </c>
      <c r="J1839" t="s">
        <v>44</v>
      </c>
    </row>
    <row r="1840" spans="1:11" hidden="1" x14ac:dyDescent="0.35">
      <c r="A1840" t="s">
        <v>677</v>
      </c>
      <c r="B1840" t="s">
        <v>553</v>
      </c>
      <c r="C1840">
        <v>28226</v>
      </c>
      <c r="D1840">
        <v>38169</v>
      </c>
      <c r="E1840" s="12">
        <v>45646</v>
      </c>
      <c r="F1840" s="12">
        <v>45916</v>
      </c>
      <c r="G1840" s="10">
        <v>21600</v>
      </c>
      <c r="H1840">
        <v>0</v>
      </c>
      <c r="I1840" t="s">
        <v>1150</v>
      </c>
      <c r="J1840" t="s">
        <v>58</v>
      </c>
      <c r="K1840" t="s">
        <v>15</v>
      </c>
    </row>
    <row r="1841" spans="1:11" hidden="1" x14ac:dyDescent="0.35">
      <c r="A1841" t="s">
        <v>594</v>
      </c>
      <c r="B1841" t="s">
        <v>595</v>
      </c>
      <c r="C1841">
        <v>28219</v>
      </c>
      <c r="D1841">
        <v>38162</v>
      </c>
      <c r="E1841" s="12">
        <v>45646</v>
      </c>
      <c r="F1841" s="12">
        <v>45916</v>
      </c>
      <c r="G1841" s="10">
        <v>49500</v>
      </c>
      <c r="H1841">
        <v>0</v>
      </c>
      <c r="I1841" t="s">
        <v>1170</v>
      </c>
      <c r="J1841" t="s">
        <v>58</v>
      </c>
      <c r="K1841" t="s">
        <v>15</v>
      </c>
    </row>
    <row r="1842" spans="1:11" hidden="1" x14ac:dyDescent="0.35">
      <c r="A1842" t="s">
        <v>281</v>
      </c>
      <c r="B1842" t="s">
        <v>282</v>
      </c>
      <c r="C1842">
        <v>29014</v>
      </c>
      <c r="D1842">
        <v>39136</v>
      </c>
      <c r="E1842" s="12">
        <v>45708</v>
      </c>
      <c r="F1842" s="12">
        <v>45918</v>
      </c>
      <c r="G1842" s="10">
        <v>29000</v>
      </c>
      <c r="H1842">
        <v>0</v>
      </c>
      <c r="I1842" t="s">
        <v>1127</v>
      </c>
      <c r="J1842" t="s">
        <v>194</v>
      </c>
      <c r="K1842" t="s">
        <v>15</v>
      </c>
    </row>
    <row r="1843" spans="1:11" hidden="1" x14ac:dyDescent="0.35">
      <c r="A1843" t="s">
        <v>309</v>
      </c>
      <c r="B1843" t="s">
        <v>310</v>
      </c>
      <c r="C1843">
        <v>29001</v>
      </c>
      <c r="D1843">
        <v>39125</v>
      </c>
      <c r="E1843" s="12">
        <v>45708</v>
      </c>
      <c r="F1843" s="12">
        <v>45918</v>
      </c>
      <c r="G1843" s="10">
        <v>148200</v>
      </c>
      <c r="H1843">
        <v>0</v>
      </c>
      <c r="I1843" t="s">
        <v>1022</v>
      </c>
      <c r="J1843" t="s">
        <v>312</v>
      </c>
      <c r="K1843" t="s">
        <v>15</v>
      </c>
    </row>
    <row r="1844" spans="1:11" hidden="1" x14ac:dyDescent="0.35">
      <c r="A1844" t="s">
        <v>397</v>
      </c>
      <c r="B1844" t="s">
        <v>398</v>
      </c>
      <c r="C1844">
        <v>27051</v>
      </c>
      <c r="D1844">
        <v>36744</v>
      </c>
      <c r="E1844" s="12">
        <v>45559</v>
      </c>
      <c r="F1844" s="12">
        <v>45919</v>
      </c>
      <c r="G1844" s="10">
        <v>208660</v>
      </c>
      <c r="H1844">
        <v>0</v>
      </c>
      <c r="I1844" t="s">
        <v>399</v>
      </c>
      <c r="J1844" t="s">
        <v>48</v>
      </c>
      <c r="K1844" t="s">
        <v>15</v>
      </c>
    </row>
    <row r="1845" spans="1:11" hidden="1" x14ac:dyDescent="0.35">
      <c r="A1845" t="s">
        <v>1112</v>
      </c>
      <c r="B1845" t="s">
        <v>310</v>
      </c>
      <c r="C1845">
        <v>29018</v>
      </c>
      <c r="D1845">
        <v>39141</v>
      </c>
      <c r="E1845" s="12">
        <v>45709</v>
      </c>
      <c r="F1845" s="12">
        <v>45919</v>
      </c>
      <c r="G1845" s="10">
        <v>89768</v>
      </c>
      <c r="H1845">
        <v>0</v>
      </c>
      <c r="I1845" t="s">
        <v>1113</v>
      </c>
      <c r="J1845" t="s">
        <v>312</v>
      </c>
    </row>
    <row r="1846" spans="1:11" hidden="1" x14ac:dyDescent="0.35">
      <c r="A1846" t="s">
        <v>397</v>
      </c>
      <c r="B1846" t="s">
        <v>398</v>
      </c>
      <c r="C1846">
        <v>27049</v>
      </c>
      <c r="D1846">
        <v>36742</v>
      </c>
      <c r="E1846" s="12">
        <v>45559</v>
      </c>
      <c r="F1846" s="12">
        <v>45919</v>
      </c>
      <c r="G1846" s="10">
        <v>17650</v>
      </c>
      <c r="H1846">
        <v>0</v>
      </c>
      <c r="I1846" t="s">
        <v>782</v>
      </c>
      <c r="J1846" t="s">
        <v>48</v>
      </c>
      <c r="K1846" t="s">
        <v>15</v>
      </c>
    </row>
    <row r="1847" spans="1:11" hidden="1" x14ac:dyDescent="0.35">
      <c r="A1847" t="s">
        <v>1112</v>
      </c>
      <c r="B1847" t="s">
        <v>310</v>
      </c>
      <c r="C1847">
        <v>29017</v>
      </c>
      <c r="D1847">
        <v>39140</v>
      </c>
      <c r="E1847" s="12">
        <v>45709</v>
      </c>
      <c r="F1847" s="12">
        <v>45919</v>
      </c>
      <c r="G1847" s="10">
        <v>159600</v>
      </c>
      <c r="H1847">
        <v>0</v>
      </c>
      <c r="I1847" t="s">
        <v>1113</v>
      </c>
      <c r="J1847" t="s">
        <v>312</v>
      </c>
    </row>
    <row r="1848" spans="1:11" hidden="1" x14ac:dyDescent="0.35">
      <c r="A1848" t="s">
        <v>528</v>
      </c>
      <c r="B1848" t="s">
        <v>529</v>
      </c>
      <c r="C1848">
        <v>28463</v>
      </c>
      <c r="D1848">
        <v>38463</v>
      </c>
      <c r="E1848" s="12">
        <v>45673</v>
      </c>
      <c r="F1848" s="12">
        <v>45920</v>
      </c>
      <c r="G1848" s="10">
        <v>4788</v>
      </c>
      <c r="H1848">
        <v>0</v>
      </c>
      <c r="I1848" t="s">
        <v>974</v>
      </c>
      <c r="J1848" t="s">
        <v>18</v>
      </c>
      <c r="K1848" t="s">
        <v>15</v>
      </c>
    </row>
    <row r="1849" spans="1:11" hidden="1" x14ac:dyDescent="0.35">
      <c r="A1849" t="s">
        <v>528</v>
      </c>
      <c r="B1849" t="s">
        <v>529</v>
      </c>
      <c r="C1849">
        <v>28613</v>
      </c>
      <c r="D1849">
        <v>38646</v>
      </c>
      <c r="E1849" s="12">
        <v>45684</v>
      </c>
      <c r="F1849" s="12">
        <v>45920</v>
      </c>
      <c r="G1849" s="10">
        <v>13680</v>
      </c>
      <c r="H1849">
        <v>0</v>
      </c>
      <c r="I1849" t="s">
        <v>1319</v>
      </c>
      <c r="J1849" t="s">
        <v>18</v>
      </c>
      <c r="K1849" t="s">
        <v>15</v>
      </c>
    </row>
    <row r="1850" spans="1:11" hidden="1" x14ac:dyDescent="0.35">
      <c r="A1850" t="s">
        <v>331</v>
      </c>
      <c r="B1850" t="s">
        <v>332</v>
      </c>
      <c r="C1850">
        <v>28373</v>
      </c>
      <c r="D1850">
        <v>38365</v>
      </c>
      <c r="E1850" s="12">
        <v>45670</v>
      </c>
      <c r="F1850" s="12">
        <v>45920</v>
      </c>
      <c r="G1850" s="10">
        <v>36240</v>
      </c>
      <c r="H1850">
        <v>0</v>
      </c>
      <c r="I1850" t="s">
        <v>1291</v>
      </c>
      <c r="J1850" t="s">
        <v>18</v>
      </c>
      <c r="K1850" t="s">
        <v>15</v>
      </c>
    </row>
    <row r="1851" spans="1:11" hidden="1" x14ac:dyDescent="0.35">
      <c r="A1851" t="s">
        <v>400</v>
      </c>
      <c r="B1851" t="s">
        <v>401</v>
      </c>
      <c r="C1851">
        <v>28751</v>
      </c>
      <c r="D1851">
        <v>38829</v>
      </c>
      <c r="E1851" s="12">
        <v>45692</v>
      </c>
      <c r="F1851" s="12">
        <v>45920</v>
      </c>
      <c r="G1851" s="10">
        <v>54420</v>
      </c>
      <c r="H1851">
        <v>0</v>
      </c>
      <c r="I1851" t="s">
        <v>1269</v>
      </c>
      <c r="J1851" t="s">
        <v>18</v>
      </c>
      <c r="K1851" t="s">
        <v>15</v>
      </c>
    </row>
    <row r="1852" spans="1:11" hidden="1" x14ac:dyDescent="0.35">
      <c r="A1852" t="s">
        <v>528</v>
      </c>
      <c r="B1852" t="s">
        <v>529</v>
      </c>
      <c r="C1852">
        <v>28275</v>
      </c>
      <c r="D1852">
        <v>38234</v>
      </c>
      <c r="E1852" s="12">
        <v>45653</v>
      </c>
      <c r="F1852" s="12">
        <v>45920</v>
      </c>
      <c r="G1852" s="10">
        <v>25121.200000000001</v>
      </c>
      <c r="H1852">
        <v>0</v>
      </c>
      <c r="I1852" t="s">
        <v>997</v>
      </c>
      <c r="J1852" t="s">
        <v>18</v>
      </c>
      <c r="K1852" t="s">
        <v>15</v>
      </c>
    </row>
    <row r="1853" spans="1:11" hidden="1" x14ac:dyDescent="0.35">
      <c r="A1853" t="s">
        <v>528</v>
      </c>
      <c r="B1853" t="s">
        <v>529</v>
      </c>
      <c r="C1853">
        <v>28612</v>
      </c>
      <c r="D1853">
        <v>38645</v>
      </c>
      <c r="E1853" s="12">
        <v>45684</v>
      </c>
      <c r="F1853" s="12">
        <v>45920</v>
      </c>
      <c r="G1853" s="10">
        <v>79290</v>
      </c>
      <c r="H1853">
        <v>0</v>
      </c>
      <c r="I1853" t="s">
        <v>1319</v>
      </c>
      <c r="J1853" t="s">
        <v>18</v>
      </c>
      <c r="K1853" t="s">
        <v>15</v>
      </c>
    </row>
    <row r="1854" spans="1:11" hidden="1" x14ac:dyDescent="0.35">
      <c r="A1854" t="s">
        <v>362</v>
      </c>
      <c r="B1854" t="s">
        <v>363</v>
      </c>
      <c r="C1854">
        <v>27129</v>
      </c>
      <c r="D1854">
        <v>36818</v>
      </c>
      <c r="E1854" s="12">
        <v>45561</v>
      </c>
      <c r="F1854" s="12">
        <v>45921</v>
      </c>
      <c r="G1854" s="10">
        <v>11500</v>
      </c>
      <c r="H1854">
        <v>0</v>
      </c>
      <c r="I1854" t="s">
        <v>545</v>
      </c>
      <c r="J1854" t="s">
        <v>48</v>
      </c>
      <c r="K1854" t="s">
        <v>15</v>
      </c>
    </row>
    <row r="1855" spans="1:11" hidden="1" x14ac:dyDescent="0.35">
      <c r="A1855" t="s">
        <v>221</v>
      </c>
      <c r="B1855" t="s">
        <v>222</v>
      </c>
      <c r="C1855">
        <v>28984</v>
      </c>
      <c r="D1855">
        <v>39104</v>
      </c>
      <c r="E1855" s="12">
        <v>45707</v>
      </c>
      <c r="F1855" s="12">
        <v>45922</v>
      </c>
      <c r="G1855" s="10">
        <v>86450</v>
      </c>
      <c r="H1855">
        <v>0</v>
      </c>
      <c r="I1855" t="s">
        <v>223</v>
      </c>
      <c r="J1855" t="s">
        <v>18</v>
      </c>
      <c r="K1855" t="s">
        <v>15</v>
      </c>
    </row>
    <row r="1856" spans="1:11" hidden="1" x14ac:dyDescent="0.35">
      <c r="A1856" t="s">
        <v>16</v>
      </c>
      <c r="B1856" t="s">
        <v>17</v>
      </c>
      <c r="C1856">
        <v>27063</v>
      </c>
      <c r="D1856">
        <v>36756</v>
      </c>
      <c r="E1856" s="12">
        <v>45559</v>
      </c>
      <c r="F1856" s="12">
        <v>45922</v>
      </c>
      <c r="G1856" s="10">
        <v>123719.16</v>
      </c>
      <c r="H1856">
        <v>0</v>
      </c>
      <c r="I1856" t="s">
        <v>838</v>
      </c>
      <c r="J1856" t="s">
        <v>18</v>
      </c>
      <c r="K1856" t="s">
        <v>15</v>
      </c>
    </row>
    <row r="1857" spans="1:11" hidden="1" x14ac:dyDescent="0.35">
      <c r="A1857" t="s">
        <v>16</v>
      </c>
      <c r="B1857" t="s">
        <v>17</v>
      </c>
      <c r="C1857">
        <v>27185</v>
      </c>
      <c r="D1857">
        <v>36875</v>
      </c>
      <c r="E1857" s="12">
        <v>45565</v>
      </c>
      <c r="F1857" s="12">
        <v>45922</v>
      </c>
      <c r="G1857" s="10">
        <v>41080</v>
      </c>
      <c r="H1857">
        <v>0</v>
      </c>
      <c r="I1857" t="s">
        <v>521</v>
      </c>
      <c r="J1857" t="s">
        <v>18</v>
      </c>
      <c r="K1857" t="s">
        <v>15</v>
      </c>
    </row>
    <row r="1858" spans="1:11" hidden="1" x14ac:dyDescent="0.35">
      <c r="A1858" t="s">
        <v>16</v>
      </c>
      <c r="B1858" t="s">
        <v>17</v>
      </c>
      <c r="C1858">
        <v>27285</v>
      </c>
      <c r="D1858">
        <v>36999</v>
      </c>
      <c r="E1858" s="12">
        <v>45569</v>
      </c>
      <c r="F1858" s="12">
        <v>45922</v>
      </c>
      <c r="G1858" s="10">
        <v>11180</v>
      </c>
      <c r="H1858">
        <v>0</v>
      </c>
      <c r="I1858" t="s">
        <v>522</v>
      </c>
      <c r="J1858" t="s">
        <v>18</v>
      </c>
      <c r="K1858" t="s">
        <v>15</v>
      </c>
    </row>
    <row r="1859" spans="1:11" hidden="1" x14ac:dyDescent="0.35">
      <c r="A1859" t="s">
        <v>16</v>
      </c>
      <c r="B1859" t="s">
        <v>17</v>
      </c>
      <c r="C1859">
        <v>27092</v>
      </c>
      <c r="D1859">
        <v>36790</v>
      </c>
      <c r="E1859" s="12">
        <v>45561</v>
      </c>
      <c r="F1859" s="12">
        <v>45922</v>
      </c>
      <c r="G1859" s="10">
        <v>122953.2</v>
      </c>
      <c r="H1859">
        <v>0</v>
      </c>
      <c r="I1859" t="s">
        <v>964</v>
      </c>
      <c r="J1859" t="s">
        <v>18</v>
      </c>
      <c r="K1859" t="s">
        <v>15</v>
      </c>
    </row>
    <row r="1860" spans="1:11" hidden="1" x14ac:dyDescent="0.35">
      <c r="A1860" t="s">
        <v>85</v>
      </c>
      <c r="B1860" t="s">
        <v>86</v>
      </c>
      <c r="C1860">
        <v>28296</v>
      </c>
      <c r="D1860">
        <v>38272</v>
      </c>
      <c r="E1860" s="12">
        <v>45663</v>
      </c>
      <c r="F1860" s="12">
        <v>45922</v>
      </c>
      <c r="G1860" s="10">
        <v>29699</v>
      </c>
      <c r="H1860">
        <v>0</v>
      </c>
      <c r="I1860" t="s">
        <v>972</v>
      </c>
      <c r="J1860" t="s">
        <v>41</v>
      </c>
      <c r="K1860" t="s">
        <v>15</v>
      </c>
    </row>
    <row r="1861" spans="1:11" hidden="1" x14ac:dyDescent="0.35">
      <c r="A1861" t="s">
        <v>16</v>
      </c>
      <c r="B1861" t="s">
        <v>17</v>
      </c>
      <c r="C1861">
        <v>28282</v>
      </c>
      <c r="D1861">
        <v>38253</v>
      </c>
      <c r="E1861" s="12">
        <v>45659</v>
      </c>
      <c r="F1861" s="12">
        <v>45922</v>
      </c>
      <c r="G1861" s="10">
        <v>139739.88</v>
      </c>
      <c r="H1861">
        <v>0</v>
      </c>
      <c r="I1861" t="s">
        <v>1219</v>
      </c>
      <c r="J1861" t="s">
        <v>18</v>
      </c>
      <c r="K1861" t="s">
        <v>15</v>
      </c>
    </row>
    <row r="1862" spans="1:11" hidden="1" x14ac:dyDescent="0.35">
      <c r="A1862" t="s">
        <v>221</v>
      </c>
      <c r="B1862" t="s">
        <v>222</v>
      </c>
      <c r="C1862">
        <v>28759</v>
      </c>
      <c r="D1862">
        <v>38837</v>
      </c>
      <c r="E1862" s="12">
        <v>45692</v>
      </c>
      <c r="F1862" s="12">
        <v>45922</v>
      </c>
      <c r="G1862" s="10">
        <v>18900</v>
      </c>
      <c r="H1862">
        <v>0</v>
      </c>
      <c r="I1862" t="s">
        <v>223</v>
      </c>
      <c r="J1862" t="s">
        <v>18</v>
      </c>
      <c r="K1862" t="s">
        <v>15</v>
      </c>
    </row>
    <row r="1863" spans="1:11" hidden="1" x14ac:dyDescent="0.35">
      <c r="A1863" t="s">
        <v>85</v>
      </c>
      <c r="B1863" t="s">
        <v>86</v>
      </c>
      <c r="C1863">
        <v>28699</v>
      </c>
      <c r="D1863">
        <v>38739</v>
      </c>
      <c r="E1863" s="12">
        <v>45686</v>
      </c>
      <c r="F1863" s="12">
        <v>45922</v>
      </c>
      <c r="G1863" s="10">
        <v>34000</v>
      </c>
      <c r="H1863">
        <v>0</v>
      </c>
      <c r="I1863" t="s">
        <v>831</v>
      </c>
      <c r="J1863" t="s">
        <v>41</v>
      </c>
      <c r="K1863" t="s">
        <v>15</v>
      </c>
    </row>
    <row r="1864" spans="1:11" hidden="1" x14ac:dyDescent="0.35">
      <c r="A1864" t="s">
        <v>755</v>
      </c>
      <c r="B1864" t="s">
        <v>756</v>
      </c>
      <c r="C1864">
        <v>28652</v>
      </c>
      <c r="D1864">
        <v>38685</v>
      </c>
      <c r="E1864" s="12">
        <v>45684</v>
      </c>
      <c r="F1864" s="12">
        <v>45922</v>
      </c>
      <c r="G1864" s="10">
        <v>107940</v>
      </c>
      <c r="H1864">
        <v>0</v>
      </c>
      <c r="I1864" t="s">
        <v>757</v>
      </c>
      <c r="J1864" t="s">
        <v>18</v>
      </c>
      <c r="K1864" t="s">
        <v>15</v>
      </c>
    </row>
    <row r="1865" spans="1:11" hidden="1" x14ac:dyDescent="0.35">
      <c r="A1865" t="s">
        <v>755</v>
      </c>
      <c r="B1865" t="s">
        <v>756</v>
      </c>
      <c r="C1865">
        <v>28913</v>
      </c>
      <c r="D1865">
        <v>39024</v>
      </c>
      <c r="E1865" s="12">
        <v>45705</v>
      </c>
      <c r="F1865" s="12">
        <v>45922</v>
      </c>
      <c r="G1865" s="10">
        <v>10240</v>
      </c>
      <c r="H1865">
        <v>0</v>
      </c>
      <c r="I1865" t="s">
        <v>757</v>
      </c>
      <c r="J1865" t="s">
        <v>18</v>
      </c>
      <c r="K1865" t="s">
        <v>15</v>
      </c>
    </row>
    <row r="1866" spans="1:11" hidden="1" x14ac:dyDescent="0.35">
      <c r="A1866" t="s">
        <v>400</v>
      </c>
      <c r="B1866" t="s">
        <v>401</v>
      </c>
      <c r="C1866">
        <v>28920</v>
      </c>
      <c r="D1866">
        <v>39031</v>
      </c>
      <c r="E1866" s="12">
        <v>45705</v>
      </c>
      <c r="F1866" s="12">
        <v>45922</v>
      </c>
      <c r="G1866" s="10">
        <v>29740</v>
      </c>
      <c r="H1866">
        <v>0</v>
      </c>
      <c r="I1866" t="s">
        <v>1269</v>
      </c>
      <c r="J1866" t="s">
        <v>18</v>
      </c>
      <c r="K1866" t="s">
        <v>15</v>
      </c>
    </row>
    <row r="1867" spans="1:11" hidden="1" x14ac:dyDescent="0.35">
      <c r="A1867" t="s">
        <v>423</v>
      </c>
      <c r="B1867" t="s">
        <v>424</v>
      </c>
      <c r="C1867">
        <v>28404</v>
      </c>
      <c r="D1867">
        <v>38401</v>
      </c>
      <c r="E1867" s="12">
        <v>45670</v>
      </c>
      <c r="F1867" s="12">
        <v>45922</v>
      </c>
      <c r="G1867" s="10">
        <v>13100</v>
      </c>
      <c r="H1867">
        <v>0</v>
      </c>
      <c r="I1867" t="s">
        <v>425</v>
      </c>
      <c r="J1867" t="s">
        <v>18</v>
      </c>
      <c r="K1867" t="s">
        <v>15</v>
      </c>
    </row>
    <row r="1868" spans="1:11" hidden="1" x14ac:dyDescent="0.35">
      <c r="A1868" t="s">
        <v>255</v>
      </c>
      <c r="B1868" t="s">
        <v>256</v>
      </c>
      <c r="C1868">
        <v>28643</v>
      </c>
      <c r="D1868">
        <v>38676</v>
      </c>
      <c r="E1868" s="12">
        <v>45684</v>
      </c>
      <c r="F1868" s="12">
        <v>45922</v>
      </c>
      <c r="G1868" s="10">
        <v>81310</v>
      </c>
      <c r="H1868">
        <v>0</v>
      </c>
      <c r="I1868" t="s">
        <v>257</v>
      </c>
      <c r="J1868" t="s">
        <v>18</v>
      </c>
      <c r="K1868" t="s">
        <v>15</v>
      </c>
    </row>
    <row r="1869" spans="1:11" hidden="1" x14ac:dyDescent="0.35">
      <c r="A1869" t="s">
        <v>273</v>
      </c>
      <c r="B1869" t="s">
        <v>274</v>
      </c>
      <c r="C1869">
        <v>28918</v>
      </c>
      <c r="D1869">
        <v>39029</v>
      </c>
      <c r="E1869" s="12">
        <v>45705</v>
      </c>
      <c r="F1869" s="12">
        <v>45922</v>
      </c>
      <c r="G1869" s="10">
        <v>20680</v>
      </c>
      <c r="H1869">
        <v>0</v>
      </c>
      <c r="I1869" t="s">
        <v>738</v>
      </c>
      <c r="J1869" t="s">
        <v>18</v>
      </c>
      <c r="K1869" t="s">
        <v>15</v>
      </c>
    </row>
    <row r="1870" spans="1:11" hidden="1" x14ac:dyDescent="0.35">
      <c r="A1870" t="s">
        <v>85</v>
      </c>
      <c r="B1870" t="s">
        <v>86</v>
      </c>
      <c r="C1870">
        <v>28430</v>
      </c>
      <c r="D1870">
        <v>38426</v>
      </c>
      <c r="E1870" s="12">
        <v>45671</v>
      </c>
      <c r="F1870" s="12">
        <v>45922</v>
      </c>
      <c r="G1870" s="10">
        <v>51504</v>
      </c>
      <c r="H1870">
        <v>0</v>
      </c>
      <c r="I1870" t="s">
        <v>829</v>
      </c>
      <c r="J1870" t="s">
        <v>41</v>
      </c>
      <c r="K1870" t="s">
        <v>15</v>
      </c>
    </row>
    <row r="1871" spans="1:11" hidden="1" x14ac:dyDescent="0.35">
      <c r="A1871" t="s">
        <v>85</v>
      </c>
      <c r="B1871" t="s">
        <v>86</v>
      </c>
      <c r="C1871">
        <v>28698</v>
      </c>
      <c r="D1871">
        <v>38738</v>
      </c>
      <c r="E1871" s="12">
        <v>45686</v>
      </c>
      <c r="F1871" s="12">
        <v>45922</v>
      </c>
      <c r="G1871" s="10">
        <v>47700</v>
      </c>
      <c r="H1871">
        <v>0</v>
      </c>
      <c r="I1871" t="s">
        <v>831</v>
      </c>
      <c r="J1871" t="s">
        <v>41</v>
      </c>
      <c r="K1871" t="s">
        <v>15</v>
      </c>
    </row>
    <row r="1872" spans="1:11" hidden="1" x14ac:dyDescent="0.35">
      <c r="A1872" t="s">
        <v>255</v>
      </c>
      <c r="B1872" t="s">
        <v>256</v>
      </c>
      <c r="C1872">
        <v>28653</v>
      </c>
      <c r="D1872">
        <v>38686</v>
      </c>
      <c r="E1872" s="12">
        <v>45684</v>
      </c>
      <c r="F1872" s="12">
        <v>45922</v>
      </c>
      <c r="G1872" s="10">
        <v>29920</v>
      </c>
      <c r="H1872">
        <v>0</v>
      </c>
      <c r="I1872" t="s">
        <v>257</v>
      </c>
      <c r="J1872" t="s">
        <v>18</v>
      </c>
      <c r="K1872" t="s">
        <v>15</v>
      </c>
    </row>
    <row r="1873" spans="1:11" hidden="1" x14ac:dyDescent="0.35">
      <c r="A1873" t="s">
        <v>16</v>
      </c>
      <c r="B1873" t="s">
        <v>17</v>
      </c>
      <c r="C1873">
        <v>27186</v>
      </c>
      <c r="D1873">
        <v>36876</v>
      </c>
      <c r="E1873" s="12">
        <v>45565</v>
      </c>
      <c r="F1873" s="12">
        <v>45922</v>
      </c>
      <c r="G1873" s="10">
        <v>34320</v>
      </c>
      <c r="H1873">
        <v>0</v>
      </c>
      <c r="I1873" t="s">
        <v>465</v>
      </c>
      <c r="J1873" t="s">
        <v>18</v>
      </c>
      <c r="K1873" t="s">
        <v>15</v>
      </c>
    </row>
    <row r="1874" spans="1:11" hidden="1" x14ac:dyDescent="0.35">
      <c r="A1874" t="s">
        <v>16</v>
      </c>
      <c r="B1874" t="s">
        <v>17</v>
      </c>
      <c r="C1874">
        <v>28510</v>
      </c>
      <c r="D1874">
        <v>38511</v>
      </c>
      <c r="E1874" s="12">
        <v>45674</v>
      </c>
      <c r="F1874" s="12">
        <v>45922</v>
      </c>
      <c r="G1874" s="10">
        <v>21280</v>
      </c>
      <c r="H1874">
        <v>0</v>
      </c>
      <c r="I1874" t="s">
        <v>882</v>
      </c>
      <c r="J1874" t="s">
        <v>18</v>
      </c>
      <c r="K1874" t="s">
        <v>15</v>
      </c>
    </row>
    <row r="1875" spans="1:11" hidden="1" x14ac:dyDescent="0.35">
      <c r="A1875" t="s">
        <v>397</v>
      </c>
      <c r="B1875" t="s">
        <v>398</v>
      </c>
      <c r="C1875">
        <v>27125</v>
      </c>
      <c r="D1875">
        <v>36814</v>
      </c>
      <c r="E1875" s="12">
        <v>45561</v>
      </c>
      <c r="F1875" s="12">
        <v>45922</v>
      </c>
      <c r="G1875" s="10">
        <v>37500</v>
      </c>
      <c r="H1875">
        <v>0</v>
      </c>
      <c r="I1875" t="s">
        <v>1239</v>
      </c>
      <c r="J1875" t="s">
        <v>48</v>
      </c>
      <c r="K1875" t="s">
        <v>15</v>
      </c>
    </row>
    <row r="1876" spans="1:11" hidden="1" x14ac:dyDescent="0.35">
      <c r="A1876" t="s">
        <v>255</v>
      </c>
      <c r="B1876" t="s">
        <v>256</v>
      </c>
      <c r="C1876">
        <v>28983</v>
      </c>
      <c r="D1876">
        <v>39103</v>
      </c>
      <c r="E1876" s="12">
        <v>45707</v>
      </c>
      <c r="F1876" s="12">
        <v>45922</v>
      </c>
      <c r="G1876" s="10">
        <v>18880</v>
      </c>
      <c r="H1876">
        <v>0</v>
      </c>
      <c r="I1876" t="s">
        <v>257</v>
      </c>
      <c r="J1876" t="s">
        <v>18</v>
      </c>
      <c r="K1876" t="s">
        <v>15</v>
      </c>
    </row>
    <row r="1877" spans="1:11" hidden="1" x14ac:dyDescent="0.35">
      <c r="A1877" t="s">
        <v>221</v>
      </c>
      <c r="B1877" t="s">
        <v>222</v>
      </c>
      <c r="C1877">
        <v>28763</v>
      </c>
      <c r="D1877">
        <v>38841</v>
      </c>
      <c r="E1877" s="12">
        <v>45692</v>
      </c>
      <c r="F1877" s="12">
        <v>45922</v>
      </c>
      <c r="G1877" s="10">
        <v>12720</v>
      </c>
      <c r="H1877">
        <v>0</v>
      </c>
      <c r="I1877" t="s">
        <v>223</v>
      </c>
      <c r="J1877" t="s">
        <v>18</v>
      </c>
      <c r="K1877" t="s">
        <v>15</v>
      </c>
    </row>
    <row r="1878" spans="1:11" hidden="1" x14ac:dyDescent="0.35">
      <c r="A1878" t="s">
        <v>362</v>
      </c>
      <c r="B1878" t="s">
        <v>363</v>
      </c>
      <c r="C1878">
        <v>27127</v>
      </c>
      <c r="D1878">
        <v>36816</v>
      </c>
      <c r="E1878" s="12">
        <v>45561</v>
      </c>
      <c r="F1878" s="12">
        <v>45922</v>
      </c>
      <c r="G1878" s="10">
        <v>3178</v>
      </c>
      <c r="H1878">
        <v>0</v>
      </c>
      <c r="I1878" t="s">
        <v>1003</v>
      </c>
      <c r="J1878" t="s">
        <v>48</v>
      </c>
      <c r="K1878" t="s">
        <v>15</v>
      </c>
    </row>
    <row r="1879" spans="1:11" hidden="1" x14ac:dyDescent="0.35">
      <c r="A1879" t="s">
        <v>157</v>
      </c>
      <c r="B1879" t="s">
        <v>158</v>
      </c>
      <c r="C1879">
        <v>28402</v>
      </c>
      <c r="D1879">
        <v>38399</v>
      </c>
      <c r="E1879" s="12">
        <v>45670</v>
      </c>
      <c r="F1879" s="12">
        <v>45922</v>
      </c>
      <c r="G1879" s="10">
        <v>94785</v>
      </c>
      <c r="H1879">
        <v>0</v>
      </c>
      <c r="I1879" t="s">
        <v>159</v>
      </c>
      <c r="J1879" t="s">
        <v>18</v>
      </c>
      <c r="K1879" t="s">
        <v>15</v>
      </c>
    </row>
    <row r="1880" spans="1:11" hidden="1" x14ac:dyDescent="0.35">
      <c r="A1880" t="s">
        <v>16</v>
      </c>
      <c r="B1880" t="s">
        <v>17</v>
      </c>
      <c r="C1880">
        <v>27286</v>
      </c>
      <c r="D1880">
        <v>37000</v>
      </c>
      <c r="E1880" s="12">
        <v>45569</v>
      </c>
      <c r="F1880" s="12">
        <v>45922</v>
      </c>
      <c r="G1880" s="10">
        <v>4195.3999999999996</v>
      </c>
      <c r="H1880">
        <v>0</v>
      </c>
      <c r="I1880" t="s">
        <v>314</v>
      </c>
      <c r="J1880" t="s">
        <v>18</v>
      </c>
      <c r="K1880" t="s">
        <v>15</v>
      </c>
    </row>
    <row r="1881" spans="1:11" hidden="1" x14ac:dyDescent="0.35">
      <c r="A1881" t="s">
        <v>68</v>
      </c>
      <c r="B1881" t="s">
        <v>69</v>
      </c>
      <c r="C1881">
        <v>28586</v>
      </c>
      <c r="D1881">
        <v>38610</v>
      </c>
      <c r="E1881" s="12">
        <v>45680</v>
      </c>
      <c r="F1881" s="12">
        <v>45922</v>
      </c>
      <c r="G1881" s="10">
        <v>5838.65</v>
      </c>
      <c r="H1881">
        <v>0</v>
      </c>
      <c r="I1881" t="s">
        <v>427</v>
      </c>
      <c r="J1881" t="s">
        <v>14</v>
      </c>
      <c r="K1881" t="s">
        <v>15</v>
      </c>
    </row>
    <row r="1882" spans="1:11" hidden="1" x14ac:dyDescent="0.35">
      <c r="A1882" t="s">
        <v>273</v>
      </c>
      <c r="B1882" t="s">
        <v>274</v>
      </c>
      <c r="C1882">
        <v>28756</v>
      </c>
      <c r="D1882">
        <v>38834</v>
      </c>
      <c r="E1882" s="12">
        <v>45692</v>
      </c>
      <c r="F1882" s="12">
        <v>45922</v>
      </c>
      <c r="G1882" s="10">
        <v>44176</v>
      </c>
      <c r="H1882">
        <v>0</v>
      </c>
      <c r="I1882" t="s">
        <v>738</v>
      </c>
      <c r="J1882" t="s">
        <v>18</v>
      </c>
      <c r="K1882" t="s">
        <v>15</v>
      </c>
    </row>
    <row r="1883" spans="1:11" hidden="1" x14ac:dyDescent="0.35">
      <c r="A1883" t="s">
        <v>755</v>
      </c>
      <c r="B1883" t="s">
        <v>756</v>
      </c>
      <c r="C1883">
        <v>28628</v>
      </c>
      <c r="D1883">
        <v>38662</v>
      </c>
      <c r="E1883" s="12">
        <v>45684</v>
      </c>
      <c r="F1883" s="12">
        <v>45922</v>
      </c>
      <c r="G1883" s="10">
        <v>10840</v>
      </c>
      <c r="H1883">
        <v>0</v>
      </c>
      <c r="I1883" t="s">
        <v>757</v>
      </c>
      <c r="J1883" t="s">
        <v>18</v>
      </c>
      <c r="K1883" t="s">
        <v>15</v>
      </c>
    </row>
    <row r="1884" spans="1:11" hidden="1" x14ac:dyDescent="0.35">
      <c r="A1884" t="s">
        <v>31</v>
      </c>
      <c r="B1884" t="s">
        <v>32</v>
      </c>
      <c r="C1884">
        <v>29245</v>
      </c>
      <c r="D1884">
        <v>39430</v>
      </c>
      <c r="E1884" s="12">
        <v>45740</v>
      </c>
      <c r="F1884" s="12">
        <v>45922</v>
      </c>
      <c r="G1884" s="10">
        <v>1931.24</v>
      </c>
      <c r="H1884">
        <v>0</v>
      </c>
      <c r="I1884" t="s">
        <v>271</v>
      </c>
      <c r="J1884" t="s">
        <v>34</v>
      </c>
      <c r="K1884" t="s">
        <v>15</v>
      </c>
    </row>
    <row r="1885" spans="1:11" hidden="1" x14ac:dyDescent="0.35">
      <c r="A1885" t="s">
        <v>1082</v>
      </c>
      <c r="B1885" t="s">
        <v>1083</v>
      </c>
      <c r="C1885">
        <v>28636</v>
      </c>
      <c r="D1885">
        <v>38669</v>
      </c>
      <c r="E1885" s="12">
        <v>45684</v>
      </c>
      <c r="F1885" s="12">
        <v>45922</v>
      </c>
      <c r="G1885" s="10">
        <v>15640</v>
      </c>
      <c r="H1885">
        <v>0</v>
      </c>
      <c r="I1885" t="s">
        <v>1096</v>
      </c>
      <c r="J1885" t="s">
        <v>18</v>
      </c>
      <c r="K1885" t="s">
        <v>15</v>
      </c>
    </row>
    <row r="1886" spans="1:11" hidden="1" x14ac:dyDescent="0.35">
      <c r="A1886" t="s">
        <v>1421</v>
      </c>
      <c r="B1886" t="s">
        <v>1422</v>
      </c>
      <c r="C1886">
        <v>28910</v>
      </c>
      <c r="D1886">
        <v>39021</v>
      </c>
      <c r="E1886" s="12">
        <v>45705</v>
      </c>
      <c r="F1886" s="12">
        <v>45922</v>
      </c>
      <c r="G1886" s="10">
        <v>6450</v>
      </c>
      <c r="H1886">
        <v>0</v>
      </c>
      <c r="I1886" t="s">
        <v>1423</v>
      </c>
      <c r="J1886" t="s">
        <v>18</v>
      </c>
      <c r="K1886" t="s">
        <v>15</v>
      </c>
    </row>
    <row r="1887" spans="1:11" hidden="1" x14ac:dyDescent="0.35">
      <c r="A1887" t="s">
        <v>136</v>
      </c>
      <c r="B1887" t="s">
        <v>137</v>
      </c>
      <c r="C1887">
        <v>29035</v>
      </c>
      <c r="D1887">
        <v>39163</v>
      </c>
      <c r="E1887" s="12">
        <v>45712</v>
      </c>
      <c r="F1887" s="12">
        <v>45922</v>
      </c>
      <c r="G1887" s="10">
        <v>541290</v>
      </c>
      <c r="H1887">
        <v>0</v>
      </c>
      <c r="I1887" t="s">
        <v>1424</v>
      </c>
      <c r="J1887" t="s">
        <v>18</v>
      </c>
      <c r="K1887" t="s">
        <v>15</v>
      </c>
    </row>
    <row r="1888" spans="1:11" hidden="1" x14ac:dyDescent="0.35">
      <c r="A1888" t="s">
        <v>528</v>
      </c>
      <c r="B1888" t="s">
        <v>529</v>
      </c>
      <c r="C1888">
        <v>28975</v>
      </c>
      <c r="D1888">
        <v>39096</v>
      </c>
      <c r="E1888" s="12">
        <v>45707</v>
      </c>
      <c r="F1888" s="12">
        <v>45922</v>
      </c>
      <c r="G1888" s="10">
        <v>1373.9</v>
      </c>
      <c r="H1888">
        <v>0</v>
      </c>
      <c r="I1888" t="s">
        <v>1319</v>
      </c>
      <c r="J1888" t="s">
        <v>18</v>
      </c>
      <c r="K1888" t="s">
        <v>15</v>
      </c>
    </row>
    <row r="1889" spans="1:11" hidden="1" x14ac:dyDescent="0.35">
      <c r="A1889" t="s">
        <v>528</v>
      </c>
      <c r="B1889" t="s">
        <v>529</v>
      </c>
      <c r="C1889">
        <v>29107</v>
      </c>
      <c r="D1889">
        <v>39267</v>
      </c>
      <c r="E1889" s="12">
        <v>45722</v>
      </c>
      <c r="F1889" s="12">
        <v>45922</v>
      </c>
      <c r="G1889" s="10">
        <v>26829.5</v>
      </c>
      <c r="H1889">
        <v>0</v>
      </c>
      <c r="I1889" t="s">
        <v>1319</v>
      </c>
      <c r="J1889" t="s">
        <v>18</v>
      </c>
      <c r="K1889" t="s">
        <v>15</v>
      </c>
    </row>
    <row r="1890" spans="1:11" hidden="1" x14ac:dyDescent="0.35">
      <c r="A1890" t="s">
        <v>755</v>
      </c>
      <c r="B1890" t="s">
        <v>756</v>
      </c>
      <c r="C1890">
        <v>28981</v>
      </c>
      <c r="D1890">
        <v>39101</v>
      </c>
      <c r="E1890" s="12">
        <v>45707</v>
      </c>
      <c r="F1890" s="12">
        <v>45922</v>
      </c>
      <c r="G1890" s="10">
        <v>96160</v>
      </c>
      <c r="H1890">
        <v>0</v>
      </c>
      <c r="I1890" t="s">
        <v>757</v>
      </c>
      <c r="J1890" t="s">
        <v>18</v>
      </c>
      <c r="K1890" t="s">
        <v>15</v>
      </c>
    </row>
    <row r="1891" spans="1:11" hidden="1" x14ac:dyDescent="0.35">
      <c r="A1891" t="s">
        <v>85</v>
      </c>
      <c r="B1891" t="s">
        <v>86</v>
      </c>
      <c r="C1891">
        <v>29032</v>
      </c>
      <c r="D1891">
        <v>39160</v>
      </c>
      <c r="E1891" s="12">
        <v>45712</v>
      </c>
      <c r="F1891" s="12">
        <v>45922</v>
      </c>
      <c r="G1891" s="10">
        <v>87082</v>
      </c>
      <c r="H1891">
        <v>0</v>
      </c>
      <c r="I1891" t="s">
        <v>831</v>
      </c>
      <c r="J1891" t="s">
        <v>41</v>
      </c>
      <c r="K1891" t="s">
        <v>15</v>
      </c>
    </row>
    <row r="1892" spans="1:11" hidden="1" x14ac:dyDescent="0.35">
      <c r="A1892" t="s">
        <v>31</v>
      </c>
      <c r="B1892" t="s">
        <v>32</v>
      </c>
      <c r="C1892">
        <v>29258</v>
      </c>
      <c r="D1892">
        <v>39446</v>
      </c>
      <c r="E1892" s="12">
        <v>45741</v>
      </c>
      <c r="F1892" s="12">
        <v>45922</v>
      </c>
      <c r="G1892" s="10">
        <v>353.36</v>
      </c>
      <c r="H1892">
        <v>0</v>
      </c>
      <c r="I1892" t="s">
        <v>271</v>
      </c>
      <c r="J1892" t="s">
        <v>34</v>
      </c>
      <c r="K1892" t="s">
        <v>15</v>
      </c>
    </row>
    <row r="1893" spans="1:11" hidden="1" x14ac:dyDescent="0.35">
      <c r="A1893" t="s">
        <v>85</v>
      </c>
      <c r="B1893" t="s">
        <v>86</v>
      </c>
      <c r="C1893">
        <v>28889</v>
      </c>
      <c r="D1893">
        <v>38991</v>
      </c>
      <c r="E1893" s="12">
        <v>45701</v>
      </c>
      <c r="F1893" s="12">
        <v>45922</v>
      </c>
      <c r="G1893" s="10">
        <v>165292.6</v>
      </c>
      <c r="H1893">
        <v>0</v>
      </c>
      <c r="I1893" t="s">
        <v>831</v>
      </c>
      <c r="J1893" t="s">
        <v>41</v>
      </c>
      <c r="K1893" t="s">
        <v>15</v>
      </c>
    </row>
    <row r="1894" spans="1:11" hidden="1" x14ac:dyDescent="0.35">
      <c r="A1894" t="s">
        <v>136</v>
      </c>
      <c r="B1894" t="s">
        <v>137</v>
      </c>
      <c r="C1894">
        <v>29047</v>
      </c>
      <c r="D1894">
        <v>39179</v>
      </c>
      <c r="E1894" s="12">
        <v>45713</v>
      </c>
      <c r="F1894" s="12">
        <v>45922</v>
      </c>
      <c r="G1894" s="10">
        <v>45600</v>
      </c>
      <c r="H1894">
        <v>0</v>
      </c>
      <c r="I1894" t="s">
        <v>1424</v>
      </c>
      <c r="J1894" t="s">
        <v>18</v>
      </c>
      <c r="K1894" t="s">
        <v>15</v>
      </c>
    </row>
    <row r="1895" spans="1:11" hidden="1" x14ac:dyDescent="0.35">
      <c r="A1895" t="s">
        <v>288</v>
      </c>
      <c r="B1895" t="s">
        <v>289</v>
      </c>
      <c r="C1895">
        <v>29251</v>
      </c>
      <c r="D1895">
        <v>39437</v>
      </c>
      <c r="E1895" s="12">
        <v>45741</v>
      </c>
      <c r="F1895" s="12">
        <v>45922</v>
      </c>
      <c r="G1895" s="10">
        <v>14223.84</v>
      </c>
      <c r="H1895">
        <v>0</v>
      </c>
      <c r="I1895" t="s">
        <v>996</v>
      </c>
      <c r="J1895" t="s">
        <v>34</v>
      </c>
      <c r="K1895" t="s">
        <v>15</v>
      </c>
    </row>
    <row r="1896" spans="1:11" hidden="1" x14ac:dyDescent="0.35">
      <c r="A1896" t="s">
        <v>136</v>
      </c>
      <c r="B1896" t="s">
        <v>137</v>
      </c>
      <c r="C1896">
        <v>29230</v>
      </c>
      <c r="D1896">
        <v>39411</v>
      </c>
      <c r="E1896" s="12">
        <v>45736</v>
      </c>
      <c r="F1896" s="12">
        <v>45922</v>
      </c>
      <c r="G1896" s="10">
        <v>8960</v>
      </c>
      <c r="H1896">
        <v>0</v>
      </c>
      <c r="I1896" t="s">
        <v>1424</v>
      </c>
      <c r="J1896" t="s">
        <v>18</v>
      </c>
      <c r="K1896" t="s">
        <v>15</v>
      </c>
    </row>
    <row r="1897" spans="1:11" hidden="1" x14ac:dyDescent="0.35">
      <c r="A1897" t="s">
        <v>85</v>
      </c>
      <c r="B1897" t="s">
        <v>86</v>
      </c>
      <c r="C1897">
        <v>29269</v>
      </c>
      <c r="D1897">
        <v>39463</v>
      </c>
      <c r="E1897" s="12">
        <v>45744</v>
      </c>
      <c r="F1897" s="12">
        <v>45922</v>
      </c>
      <c r="G1897" s="10">
        <v>18000</v>
      </c>
      <c r="H1897">
        <v>0</v>
      </c>
      <c r="I1897" t="s">
        <v>831</v>
      </c>
      <c r="J1897" t="s">
        <v>41</v>
      </c>
      <c r="K1897" t="s">
        <v>15</v>
      </c>
    </row>
    <row r="1898" spans="1:11" hidden="1" x14ac:dyDescent="0.35">
      <c r="A1898" t="s">
        <v>297</v>
      </c>
      <c r="B1898" t="s">
        <v>298</v>
      </c>
      <c r="C1898">
        <v>28972</v>
      </c>
      <c r="D1898">
        <v>39093</v>
      </c>
      <c r="E1898" s="12">
        <v>45707</v>
      </c>
      <c r="F1898" s="12">
        <v>45922</v>
      </c>
      <c r="G1898" s="10">
        <v>3270</v>
      </c>
      <c r="H1898">
        <v>0</v>
      </c>
      <c r="I1898" t="s">
        <v>1586</v>
      </c>
      <c r="J1898" t="s">
        <v>18</v>
      </c>
      <c r="K1898" t="s">
        <v>15</v>
      </c>
    </row>
    <row r="1899" spans="1:11" hidden="1" x14ac:dyDescent="0.35">
      <c r="A1899" t="s">
        <v>273</v>
      </c>
      <c r="B1899" t="s">
        <v>274</v>
      </c>
      <c r="C1899">
        <v>28921</v>
      </c>
      <c r="D1899">
        <v>39032</v>
      </c>
      <c r="E1899" s="12">
        <v>45705</v>
      </c>
      <c r="F1899" s="12">
        <v>45922</v>
      </c>
      <c r="G1899" s="10">
        <v>28160</v>
      </c>
      <c r="H1899">
        <v>0</v>
      </c>
      <c r="I1899" t="s">
        <v>738</v>
      </c>
      <c r="J1899" t="s">
        <v>18</v>
      </c>
      <c r="K1899" t="s">
        <v>15</v>
      </c>
    </row>
    <row r="1900" spans="1:11" hidden="1" x14ac:dyDescent="0.35">
      <c r="A1900" t="s">
        <v>755</v>
      </c>
      <c r="B1900" t="s">
        <v>756</v>
      </c>
      <c r="C1900">
        <v>28757</v>
      </c>
      <c r="D1900">
        <v>38835</v>
      </c>
      <c r="E1900" s="12">
        <v>45692</v>
      </c>
      <c r="F1900" s="12">
        <v>45922</v>
      </c>
      <c r="G1900" s="10">
        <v>52470</v>
      </c>
      <c r="H1900">
        <v>0</v>
      </c>
      <c r="I1900" t="s">
        <v>757</v>
      </c>
      <c r="J1900" t="s">
        <v>18</v>
      </c>
      <c r="K1900" t="s">
        <v>15</v>
      </c>
    </row>
    <row r="1901" spans="1:11" hidden="1" x14ac:dyDescent="0.35">
      <c r="A1901" t="s">
        <v>528</v>
      </c>
      <c r="B1901" t="s">
        <v>529</v>
      </c>
      <c r="C1901">
        <v>29106</v>
      </c>
      <c r="D1901">
        <v>39266</v>
      </c>
      <c r="E1901" s="12">
        <v>45722</v>
      </c>
      <c r="F1901" s="12">
        <v>45922</v>
      </c>
      <c r="G1901" s="10">
        <v>132127.5</v>
      </c>
      <c r="H1901">
        <v>0</v>
      </c>
      <c r="I1901" t="s">
        <v>1319</v>
      </c>
      <c r="J1901" t="s">
        <v>18</v>
      </c>
      <c r="K1901" t="s">
        <v>15</v>
      </c>
    </row>
    <row r="1902" spans="1:11" hidden="1" x14ac:dyDescent="0.35">
      <c r="A1902" t="s">
        <v>268</v>
      </c>
      <c r="B1902" t="s">
        <v>269</v>
      </c>
      <c r="C1902">
        <v>28498</v>
      </c>
      <c r="D1902">
        <v>38499</v>
      </c>
      <c r="E1902" s="12">
        <v>45674</v>
      </c>
      <c r="F1902" s="12">
        <v>45922</v>
      </c>
      <c r="G1902" s="10">
        <v>80400</v>
      </c>
      <c r="H1902">
        <v>0</v>
      </c>
      <c r="I1902" t="s">
        <v>1398</v>
      </c>
      <c r="J1902" t="s">
        <v>18</v>
      </c>
      <c r="K1902" t="s">
        <v>15</v>
      </c>
    </row>
    <row r="1903" spans="1:11" hidden="1" x14ac:dyDescent="0.35">
      <c r="A1903" t="s">
        <v>400</v>
      </c>
      <c r="B1903" t="s">
        <v>401</v>
      </c>
      <c r="C1903">
        <v>28765</v>
      </c>
      <c r="D1903">
        <v>38843</v>
      </c>
      <c r="E1903" s="12">
        <v>45692</v>
      </c>
      <c r="F1903" s="12">
        <v>45922</v>
      </c>
      <c r="G1903" s="10">
        <v>12000</v>
      </c>
      <c r="H1903">
        <v>0</v>
      </c>
      <c r="I1903" t="s">
        <v>1269</v>
      </c>
      <c r="J1903" t="s">
        <v>18</v>
      </c>
      <c r="K1903" t="s">
        <v>15</v>
      </c>
    </row>
    <row r="1904" spans="1:11" hidden="1" x14ac:dyDescent="0.35">
      <c r="A1904" t="s">
        <v>430</v>
      </c>
      <c r="B1904" t="s">
        <v>431</v>
      </c>
      <c r="C1904">
        <v>29037</v>
      </c>
      <c r="D1904">
        <v>39165</v>
      </c>
      <c r="E1904" s="12">
        <v>45712</v>
      </c>
      <c r="F1904" s="12">
        <v>45922</v>
      </c>
      <c r="G1904" s="10">
        <v>20615</v>
      </c>
      <c r="H1904">
        <v>0</v>
      </c>
      <c r="I1904" t="s">
        <v>1243</v>
      </c>
      <c r="J1904" t="s">
        <v>18</v>
      </c>
      <c r="K1904" t="s">
        <v>15</v>
      </c>
    </row>
    <row r="1905" spans="1:11" hidden="1" x14ac:dyDescent="0.35">
      <c r="A1905" t="s">
        <v>16</v>
      </c>
      <c r="B1905" t="s">
        <v>17</v>
      </c>
      <c r="C1905">
        <v>28369</v>
      </c>
      <c r="D1905">
        <v>38360</v>
      </c>
      <c r="E1905" s="12">
        <v>45667</v>
      </c>
      <c r="F1905" s="12">
        <v>45922</v>
      </c>
      <c r="G1905" s="10">
        <v>6720</v>
      </c>
      <c r="H1905">
        <v>0</v>
      </c>
      <c r="I1905" t="s">
        <v>1643</v>
      </c>
      <c r="J1905" t="s">
        <v>18</v>
      </c>
      <c r="K1905" t="s">
        <v>15</v>
      </c>
    </row>
    <row r="1906" spans="1:11" hidden="1" x14ac:dyDescent="0.35">
      <c r="A1906" t="s">
        <v>31</v>
      </c>
      <c r="B1906" t="s">
        <v>32</v>
      </c>
      <c r="C1906">
        <v>29259</v>
      </c>
      <c r="D1906">
        <v>39447</v>
      </c>
      <c r="E1906" s="12">
        <v>45741</v>
      </c>
      <c r="F1906" s="12">
        <v>45922</v>
      </c>
      <c r="G1906" s="10">
        <v>1965.48</v>
      </c>
      <c r="H1906">
        <v>0</v>
      </c>
      <c r="I1906" t="s">
        <v>271</v>
      </c>
      <c r="J1906" t="s">
        <v>34</v>
      </c>
      <c r="K1906" t="s">
        <v>15</v>
      </c>
    </row>
    <row r="1907" spans="1:11" hidden="1" x14ac:dyDescent="0.35">
      <c r="A1907" t="s">
        <v>85</v>
      </c>
      <c r="B1907" t="s">
        <v>86</v>
      </c>
      <c r="C1907">
        <v>29033</v>
      </c>
      <c r="D1907">
        <v>39161</v>
      </c>
      <c r="E1907" s="12">
        <v>45712</v>
      </c>
      <c r="F1907" s="12">
        <v>45922</v>
      </c>
      <c r="G1907" s="10">
        <v>19464</v>
      </c>
      <c r="H1907">
        <v>0</v>
      </c>
      <c r="I1907" t="s">
        <v>831</v>
      </c>
      <c r="J1907" t="s">
        <v>41</v>
      </c>
      <c r="K1907" t="s">
        <v>15</v>
      </c>
    </row>
    <row r="1908" spans="1:11" hidden="1" x14ac:dyDescent="0.35">
      <c r="A1908" t="s">
        <v>273</v>
      </c>
      <c r="B1908" t="s">
        <v>274</v>
      </c>
      <c r="C1908">
        <v>28761</v>
      </c>
      <c r="D1908">
        <v>38839</v>
      </c>
      <c r="E1908" s="12">
        <v>45692</v>
      </c>
      <c r="F1908" s="12">
        <v>45922</v>
      </c>
      <c r="G1908" s="10">
        <v>9360</v>
      </c>
      <c r="H1908">
        <v>0</v>
      </c>
      <c r="I1908" t="s">
        <v>738</v>
      </c>
      <c r="J1908" t="s">
        <v>18</v>
      </c>
      <c r="K1908" t="s">
        <v>15</v>
      </c>
    </row>
    <row r="1909" spans="1:11" hidden="1" x14ac:dyDescent="0.35">
      <c r="A1909" t="s">
        <v>580</v>
      </c>
      <c r="B1909" t="s">
        <v>581</v>
      </c>
      <c r="C1909">
        <v>29036</v>
      </c>
      <c r="D1909">
        <v>39164</v>
      </c>
      <c r="E1909" s="12">
        <v>45712</v>
      </c>
      <c r="F1909" s="12">
        <v>45922</v>
      </c>
      <c r="G1909" s="10">
        <v>14525</v>
      </c>
      <c r="H1909">
        <v>0</v>
      </c>
      <c r="I1909" t="s">
        <v>1529</v>
      </c>
      <c r="J1909" t="s">
        <v>18</v>
      </c>
      <c r="K1909" t="s">
        <v>15</v>
      </c>
    </row>
    <row r="1910" spans="1:11" hidden="1" x14ac:dyDescent="0.35">
      <c r="A1910" t="s">
        <v>528</v>
      </c>
      <c r="B1910" t="s">
        <v>529</v>
      </c>
      <c r="C1910">
        <v>29236</v>
      </c>
      <c r="D1910">
        <v>39417</v>
      </c>
      <c r="E1910" s="12">
        <v>45736</v>
      </c>
      <c r="F1910" s="12">
        <v>45922</v>
      </c>
      <c r="G1910" s="10">
        <v>74006.600000000006</v>
      </c>
      <c r="H1910">
        <v>0</v>
      </c>
      <c r="I1910" t="s">
        <v>1319</v>
      </c>
      <c r="J1910" t="s">
        <v>18</v>
      </c>
      <c r="K1910" t="s">
        <v>15</v>
      </c>
    </row>
    <row r="1911" spans="1:11" hidden="1" x14ac:dyDescent="0.35">
      <c r="A1911" t="s">
        <v>85</v>
      </c>
      <c r="B1911" t="s">
        <v>86</v>
      </c>
      <c r="C1911">
        <v>29255</v>
      </c>
      <c r="D1911">
        <v>39441</v>
      </c>
      <c r="E1911" s="12">
        <v>45741</v>
      </c>
      <c r="F1911" s="12">
        <v>45922</v>
      </c>
      <c r="G1911" s="10">
        <v>117380</v>
      </c>
      <c r="H1911">
        <v>0</v>
      </c>
      <c r="I1911" t="s">
        <v>831</v>
      </c>
      <c r="J1911" t="s">
        <v>41</v>
      </c>
      <c r="K1911" t="s">
        <v>15</v>
      </c>
    </row>
    <row r="1912" spans="1:11" hidden="1" x14ac:dyDescent="0.35">
      <c r="A1912" t="s">
        <v>31</v>
      </c>
      <c r="B1912" t="s">
        <v>32</v>
      </c>
      <c r="C1912">
        <v>29260</v>
      </c>
      <c r="D1912">
        <v>39448</v>
      </c>
      <c r="E1912" s="12">
        <v>45741</v>
      </c>
      <c r="F1912" s="12">
        <v>45922</v>
      </c>
      <c r="G1912" s="10">
        <v>97.4</v>
      </c>
      <c r="H1912">
        <v>0</v>
      </c>
      <c r="I1912" t="s">
        <v>271</v>
      </c>
      <c r="J1912" t="s">
        <v>34</v>
      </c>
      <c r="K1912" t="s">
        <v>15</v>
      </c>
    </row>
    <row r="1913" spans="1:11" hidden="1" x14ac:dyDescent="0.35">
      <c r="A1913" t="s">
        <v>1421</v>
      </c>
      <c r="B1913" t="s">
        <v>1422</v>
      </c>
      <c r="C1913">
        <v>28899</v>
      </c>
      <c r="D1913">
        <v>39008</v>
      </c>
      <c r="E1913" s="12">
        <v>45705</v>
      </c>
      <c r="F1913" s="12">
        <v>45922</v>
      </c>
      <c r="G1913" s="10">
        <v>25285</v>
      </c>
      <c r="H1913">
        <v>0</v>
      </c>
      <c r="I1913" t="s">
        <v>1423</v>
      </c>
      <c r="J1913" t="s">
        <v>18</v>
      </c>
      <c r="K1913" t="s">
        <v>15</v>
      </c>
    </row>
    <row r="1914" spans="1:11" hidden="1" x14ac:dyDescent="0.35">
      <c r="A1914" t="s">
        <v>16</v>
      </c>
      <c r="B1914" t="s">
        <v>17</v>
      </c>
      <c r="C1914">
        <v>27798</v>
      </c>
      <c r="D1914">
        <v>37616</v>
      </c>
      <c r="E1914" s="12">
        <v>45610</v>
      </c>
      <c r="F1914" s="12">
        <v>45922</v>
      </c>
      <c r="G1914" s="10">
        <v>1200</v>
      </c>
      <c r="H1914">
        <v>0</v>
      </c>
      <c r="I1914" t="s">
        <v>1538</v>
      </c>
      <c r="J1914" t="s">
        <v>18</v>
      </c>
      <c r="K1914" t="s">
        <v>15</v>
      </c>
    </row>
    <row r="1915" spans="1:11" hidden="1" x14ac:dyDescent="0.35">
      <c r="A1915" t="s">
        <v>85</v>
      </c>
      <c r="B1915" t="s">
        <v>86</v>
      </c>
      <c r="C1915">
        <v>28693</v>
      </c>
      <c r="D1915">
        <v>38733</v>
      </c>
      <c r="E1915" s="12">
        <v>45686</v>
      </c>
      <c r="F1915" s="12">
        <v>45922</v>
      </c>
      <c r="G1915" s="10">
        <v>33840</v>
      </c>
      <c r="H1915">
        <v>0</v>
      </c>
      <c r="I1915" t="s">
        <v>831</v>
      </c>
      <c r="J1915" t="s">
        <v>41</v>
      </c>
      <c r="K1915" t="s">
        <v>15</v>
      </c>
    </row>
    <row r="1916" spans="1:11" hidden="1" x14ac:dyDescent="0.35">
      <c r="A1916" t="s">
        <v>31</v>
      </c>
      <c r="B1916" t="s">
        <v>32</v>
      </c>
      <c r="C1916">
        <v>29244</v>
      </c>
      <c r="D1916">
        <v>39429</v>
      </c>
      <c r="E1916" s="12">
        <v>45740</v>
      </c>
      <c r="F1916" s="12">
        <v>45922</v>
      </c>
      <c r="G1916" s="10">
        <v>20324.28</v>
      </c>
      <c r="H1916">
        <v>0</v>
      </c>
      <c r="I1916" t="s">
        <v>271</v>
      </c>
      <c r="J1916" t="s">
        <v>34</v>
      </c>
      <c r="K1916" t="s">
        <v>15</v>
      </c>
    </row>
    <row r="1917" spans="1:11" hidden="1" x14ac:dyDescent="0.35">
      <c r="A1917" t="s">
        <v>31</v>
      </c>
      <c r="B1917" t="s">
        <v>32</v>
      </c>
      <c r="C1917">
        <v>29246</v>
      </c>
      <c r="D1917">
        <v>39431</v>
      </c>
      <c r="E1917" s="12">
        <v>45740</v>
      </c>
      <c r="F1917" s="12">
        <v>45922</v>
      </c>
      <c r="G1917" s="10">
        <v>1931.24</v>
      </c>
      <c r="H1917">
        <v>0</v>
      </c>
      <c r="I1917" t="s">
        <v>271</v>
      </c>
      <c r="J1917" t="s">
        <v>34</v>
      </c>
      <c r="K1917" t="s">
        <v>15</v>
      </c>
    </row>
    <row r="1918" spans="1:11" hidden="1" x14ac:dyDescent="0.35">
      <c r="A1918" t="s">
        <v>755</v>
      </c>
      <c r="B1918" t="s">
        <v>756</v>
      </c>
      <c r="C1918">
        <v>28914</v>
      </c>
      <c r="D1918">
        <v>39025</v>
      </c>
      <c r="E1918" s="12">
        <v>45705</v>
      </c>
      <c r="F1918" s="12">
        <v>45922</v>
      </c>
      <c r="G1918" s="10">
        <v>57920</v>
      </c>
      <c r="H1918">
        <v>0</v>
      </c>
      <c r="I1918" t="s">
        <v>757</v>
      </c>
      <c r="J1918" t="s">
        <v>18</v>
      </c>
      <c r="K1918" t="s">
        <v>15</v>
      </c>
    </row>
    <row r="1919" spans="1:11" hidden="1" x14ac:dyDescent="0.35">
      <c r="A1919" t="s">
        <v>16</v>
      </c>
      <c r="B1919" t="s">
        <v>17</v>
      </c>
      <c r="C1919">
        <v>26440</v>
      </c>
      <c r="D1919">
        <v>36068</v>
      </c>
      <c r="E1919" s="12">
        <v>45516</v>
      </c>
      <c r="F1919" s="12">
        <v>45922</v>
      </c>
      <c r="G1919" s="10">
        <v>109417.56</v>
      </c>
      <c r="H1919">
        <v>0</v>
      </c>
      <c r="I1919" t="s">
        <v>1485</v>
      </c>
      <c r="J1919" t="s">
        <v>18</v>
      </c>
      <c r="K1919" t="s">
        <v>15</v>
      </c>
    </row>
    <row r="1920" spans="1:11" hidden="1" x14ac:dyDescent="0.35">
      <c r="A1920" t="s">
        <v>268</v>
      </c>
      <c r="B1920" t="s">
        <v>269</v>
      </c>
      <c r="C1920">
        <v>28497</v>
      </c>
      <c r="D1920">
        <v>38498</v>
      </c>
      <c r="E1920" s="12">
        <v>45674</v>
      </c>
      <c r="F1920" s="12">
        <v>45922</v>
      </c>
      <c r="G1920" s="10">
        <v>21500</v>
      </c>
      <c r="H1920">
        <v>0</v>
      </c>
      <c r="I1920" t="s">
        <v>1576</v>
      </c>
      <c r="J1920" t="s">
        <v>18</v>
      </c>
      <c r="K1920" t="s">
        <v>15</v>
      </c>
    </row>
    <row r="1921" spans="1:11" hidden="1" x14ac:dyDescent="0.35">
      <c r="A1921" t="s">
        <v>31</v>
      </c>
      <c r="B1921" t="s">
        <v>32</v>
      </c>
      <c r="C1921">
        <v>29261</v>
      </c>
      <c r="D1921">
        <v>39449</v>
      </c>
      <c r="E1921" s="12">
        <v>45741</v>
      </c>
      <c r="F1921" s="12">
        <v>45922</v>
      </c>
      <c r="G1921" s="10">
        <v>2271.7199999999998</v>
      </c>
      <c r="H1921">
        <v>0</v>
      </c>
      <c r="I1921" t="s">
        <v>271</v>
      </c>
      <c r="J1921" t="s">
        <v>34</v>
      </c>
      <c r="K1921" t="s">
        <v>15</v>
      </c>
    </row>
    <row r="1922" spans="1:11" hidden="1" x14ac:dyDescent="0.35">
      <c r="A1922" t="s">
        <v>297</v>
      </c>
      <c r="B1922" t="s">
        <v>298</v>
      </c>
      <c r="C1922">
        <v>28347</v>
      </c>
      <c r="D1922">
        <v>38332</v>
      </c>
      <c r="E1922" s="12">
        <v>45666</v>
      </c>
      <c r="F1922" s="12">
        <v>45924</v>
      </c>
      <c r="G1922" s="10">
        <v>68980</v>
      </c>
      <c r="H1922">
        <v>0</v>
      </c>
      <c r="I1922" t="s">
        <v>615</v>
      </c>
      <c r="J1922" t="s">
        <v>18</v>
      </c>
      <c r="K1922" t="s">
        <v>15</v>
      </c>
    </row>
    <row r="1923" spans="1:11" hidden="1" x14ac:dyDescent="0.35">
      <c r="A1923" t="s">
        <v>866</v>
      </c>
      <c r="B1923" t="s">
        <v>867</v>
      </c>
      <c r="C1923">
        <v>28344</v>
      </c>
      <c r="D1923">
        <v>38329</v>
      </c>
      <c r="E1923" s="12">
        <v>45666</v>
      </c>
      <c r="F1923" s="12">
        <v>45924</v>
      </c>
      <c r="G1923" s="10">
        <v>9730</v>
      </c>
      <c r="H1923">
        <v>0</v>
      </c>
      <c r="I1923" t="s">
        <v>1264</v>
      </c>
      <c r="J1923" t="s">
        <v>18</v>
      </c>
      <c r="K1923" t="s">
        <v>15</v>
      </c>
    </row>
    <row r="1924" spans="1:11" hidden="1" x14ac:dyDescent="0.35">
      <c r="A1924" t="s">
        <v>645</v>
      </c>
      <c r="B1924" t="s">
        <v>646</v>
      </c>
      <c r="C1924">
        <v>28346</v>
      </c>
      <c r="D1924">
        <v>38331</v>
      </c>
      <c r="E1924" s="12">
        <v>45666</v>
      </c>
      <c r="F1924" s="12">
        <v>45924</v>
      </c>
      <c r="G1924" s="10">
        <v>27300</v>
      </c>
      <c r="H1924">
        <v>0</v>
      </c>
      <c r="I1924" t="s">
        <v>1043</v>
      </c>
      <c r="J1924" t="s">
        <v>18</v>
      </c>
      <c r="K1924" t="s">
        <v>15</v>
      </c>
    </row>
    <row r="1925" spans="1:11" hidden="1" x14ac:dyDescent="0.35">
      <c r="A1925" t="s">
        <v>913</v>
      </c>
      <c r="B1925" t="s">
        <v>914</v>
      </c>
      <c r="C1925">
        <v>28345</v>
      </c>
      <c r="D1925">
        <v>38330</v>
      </c>
      <c r="E1925" s="12">
        <v>45666</v>
      </c>
      <c r="F1925" s="12">
        <v>45924</v>
      </c>
      <c r="G1925" s="10">
        <v>21715</v>
      </c>
      <c r="H1925">
        <v>0</v>
      </c>
      <c r="I1925" t="s">
        <v>1128</v>
      </c>
      <c r="J1925" t="s">
        <v>18</v>
      </c>
      <c r="K1925" t="s">
        <v>15</v>
      </c>
    </row>
    <row r="1926" spans="1:11" hidden="1" x14ac:dyDescent="0.35">
      <c r="A1926" t="s">
        <v>174</v>
      </c>
      <c r="B1926" t="s">
        <v>175</v>
      </c>
      <c r="C1926">
        <v>29291</v>
      </c>
      <c r="D1926">
        <v>39492</v>
      </c>
      <c r="E1926" s="12">
        <v>45748</v>
      </c>
      <c r="F1926" s="12">
        <v>45929</v>
      </c>
      <c r="G1926" s="10">
        <v>60850</v>
      </c>
      <c r="H1926">
        <v>0</v>
      </c>
      <c r="I1926" t="s">
        <v>1418</v>
      </c>
      <c r="J1926" t="s">
        <v>58</v>
      </c>
      <c r="K1926" t="s">
        <v>15</v>
      </c>
    </row>
    <row r="1927" spans="1:11" hidden="1" x14ac:dyDescent="0.35">
      <c r="A1927" t="s">
        <v>203</v>
      </c>
      <c r="B1927" t="s">
        <v>56</v>
      </c>
      <c r="C1927">
        <v>29290</v>
      </c>
      <c r="D1927">
        <v>39491</v>
      </c>
      <c r="E1927" s="12">
        <v>45748</v>
      </c>
      <c r="F1927" s="12">
        <v>45929</v>
      </c>
      <c r="G1927" s="10">
        <v>7010</v>
      </c>
      <c r="H1927">
        <v>0</v>
      </c>
      <c r="I1927" t="s">
        <v>907</v>
      </c>
      <c r="J1927" t="s">
        <v>58</v>
      </c>
      <c r="K1927" t="s">
        <v>15</v>
      </c>
    </row>
    <row r="1928" spans="1:11" hidden="1" x14ac:dyDescent="0.35">
      <c r="A1928" t="s">
        <v>550</v>
      </c>
      <c r="B1928" t="s">
        <v>56</v>
      </c>
      <c r="C1928">
        <v>29278</v>
      </c>
      <c r="D1928">
        <v>39479</v>
      </c>
      <c r="E1928" s="12">
        <v>45748</v>
      </c>
      <c r="F1928" s="12">
        <v>45929</v>
      </c>
      <c r="G1928" s="10">
        <v>8667.2000000000007</v>
      </c>
      <c r="H1928">
        <v>0</v>
      </c>
      <c r="I1928" t="s">
        <v>551</v>
      </c>
      <c r="J1928" t="s">
        <v>44</v>
      </c>
    </row>
    <row r="1929" spans="1:11" hidden="1" x14ac:dyDescent="0.35">
      <c r="A1929" t="s">
        <v>203</v>
      </c>
      <c r="B1929" t="s">
        <v>56</v>
      </c>
      <c r="C1929">
        <v>29285</v>
      </c>
      <c r="D1929">
        <v>39486</v>
      </c>
      <c r="E1929" s="12">
        <v>45748</v>
      </c>
      <c r="F1929" s="12">
        <v>45929</v>
      </c>
      <c r="G1929" s="10">
        <v>60850</v>
      </c>
      <c r="H1929">
        <v>0</v>
      </c>
      <c r="I1929" t="s">
        <v>907</v>
      </c>
      <c r="J1929" t="s">
        <v>58</v>
      </c>
      <c r="K1929" t="s">
        <v>15</v>
      </c>
    </row>
    <row r="1930" spans="1:11" hidden="1" x14ac:dyDescent="0.35">
      <c r="A1930" t="s">
        <v>205</v>
      </c>
      <c r="B1930" t="s">
        <v>56</v>
      </c>
      <c r="C1930">
        <v>29287</v>
      </c>
      <c r="D1930">
        <v>39488</v>
      </c>
      <c r="E1930" s="12">
        <v>45748</v>
      </c>
      <c r="F1930" s="12">
        <v>45929</v>
      </c>
      <c r="G1930" s="10">
        <v>11399.4</v>
      </c>
      <c r="H1930">
        <v>0</v>
      </c>
      <c r="I1930" t="s">
        <v>679</v>
      </c>
      <c r="J1930" t="s">
        <v>58</v>
      </c>
      <c r="K1930" t="s">
        <v>15</v>
      </c>
    </row>
    <row r="1931" spans="1:11" hidden="1" x14ac:dyDescent="0.35">
      <c r="A1931" t="s">
        <v>242</v>
      </c>
      <c r="B1931" t="s">
        <v>243</v>
      </c>
      <c r="C1931">
        <v>28428</v>
      </c>
      <c r="D1931">
        <v>38424</v>
      </c>
      <c r="E1931" s="12">
        <v>45671</v>
      </c>
      <c r="F1931" s="12">
        <v>45930</v>
      </c>
      <c r="G1931" s="10">
        <v>62640</v>
      </c>
      <c r="H1931">
        <v>0</v>
      </c>
      <c r="I1931" t="s">
        <v>852</v>
      </c>
      <c r="J1931" t="s">
        <v>48</v>
      </c>
      <c r="K1931" t="s">
        <v>15</v>
      </c>
    </row>
    <row r="1932" spans="1:11" hidden="1" x14ac:dyDescent="0.35">
      <c r="A1932" t="s">
        <v>673</v>
      </c>
      <c r="B1932" t="s">
        <v>674</v>
      </c>
      <c r="C1932">
        <v>28585</v>
      </c>
      <c r="D1932">
        <v>38609</v>
      </c>
      <c r="E1932" s="12">
        <v>45680</v>
      </c>
      <c r="F1932" s="12">
        <v>45930</v>
      </c>
      <c r="G1932" s="10">
        <v>127890</v>
      </c>
      <c r="H1932">
        <v>0</v>
      </c>
      <c r="I1932" t="s">
        <v>957</v>
      </c>
      <c r="J1932" t="s">
        <v>26</v>
      </c>
      <c r="K1932" t="s">
        <v>15</v>
      </c>
    </row>
    <row r="1933" spans="1:11" hidden="1" x14ac:dyDescent="0.35">
      <c r="A1933" t="s">
        <v>242</v>
      </c>
      <c r="B1933" t="s">
        <v>243</v>
      </c>
      <c r="C1933">
        <v>28023</v>
      </c>
      <c r="D1933">
        <v>37924</v>
      </c>
      <c r="E1933" s="12">
        <v>45631</v>
      </c>
      <c r="F1933" s="12">
        <v>45930</v>
      </c>
      <c r="G1933" s="10">
        <v>2280</v>
      </c>
      <c r="H1933">
        <v>0</v>
      </c>
      <c r="I1933" t="s">
        <v>681</v>
      </c>
      <c r="J1933" t="s">
        <v>48</v>
      </c>
      <c r="K1933" t="s">
        <v>15</v>
      </c>
    </row>
    <row r="1934" spans="1:11" hidden="1" x14ac:dyDescent="0.35">
      <c r="A1934" t="s">
        <v>23</v>
      </c>
      <c r="B1934" t="s">
        <v>24</v>
      </c>
      <c r="C1934">
        <v>28408</v>
      </c>
      <c r="D1934">
        <v>38405</v>
      </c>
      <c r="E1934" s="12">
        <v>45671</v>
      </c>
      <c r="F1934" s="12">
        <v>45930</v>
      </c>
      <c r="G1934" s="10">
        <v>17065.75</v>
      </c>
      <c r="H1934">
        <v>0</v>
      </c>
      <c r="I1934" t="s">
        <v>1154</v>
      </c>
      <c r="J1934" t="s">
        <v>26</v>
      </c>
      <c r="K1934" t="s">
        <v>15</v>
      </c>
    </row>
    <row r="1935" spans="1:11" hidden="1" x14ac:dyDescent="0.35">
      <c r="A1935" t="s">
        <v>96</v>
      </c>
      <c r="B1935" t="s">
        <v>97</v>
      </c>
      <c r="C1935">
        <v>28844</v>
      </c>
      <c r="D1935">
        <v>38934</v>
      </c>
      <c r="E1935" s="12">
        <v>45699</v>
      </c>
      <c r="F1935" s="12">
        <v>45930</v>
      </c>
      <c r="G1935" s="10">
        <v>5952</v>
      </c>
      <c r="H1935">
        <v>0</v>
      </c>
      <c r="I1935" t="s">
        <v>1157</v>
      </c>
      <c r="J1935" t="s">
        <v>99</v>
      </c>
      <c r="K1935" t="s">
        <v>15</v>
      </c>
    </row>
    <row r="1936" spans="1:11" hidden="1" x14ac:dyDescent="0.35">
      <c r="A1936" t="s">
        <v>60</v>
      </c>
      <c r="B1936" t="s">
        <v>20</v>
      </c>
      <c r="C1936">
        <v>28243</v>
      </c>
      <c r="D1936">
        <v>38189</v>
      </c>
      <c r="E1936" s="12">
        <v>45649</v>
      </c>
      <c r="F1936" s="12">
        <v>45930</v>
      </c>
      <c r="G1936" s="10">
        <v>27000</v>
      </c>
      <c r="H1936">
        <v>0</v>
      </c>
      <c r="I1936" t="s">
        <v>61</v>
      </c>
      <c r="J1936" t="s">
        <v>22</v>
      </c>
      <c r="K1936" t="s">
        <v>15</v>
      </c>
    </row>
    <row r="1937" spans="1:11" hidden="1" x14ac:dyDescent="0.35">
      <c r="A1937" t="s">
        <v>96</v>
      </c>
      <c r="B1937" t="s">
        <v>97</v>
      </c>
      <c r="C1937">
        <v>28390</v>
      </c>
      <c r="D1937">
        <v>38387</v>
      </c>
      <c r="E1937" s="12">
        <v>45670</v>
      </c>
      <c r="F1937" s="12">
        <v>45930</v>
      </c>
      <c r="G1937" s="10">
        <v>170024</v>
      </c>
      <c r="H1937">
        <v>0</v>
      </c>
      <c r="I1937" t="s">
        <v>98</v>
      </c>
      <c r="J1937" t="s">
        <v>99</v>
      </c>
      <c r="K1937" t="s">
        <v>15</v>
      </c>
    </row>
    <row r="1938" spans="1:11" hidden="1" x14ac:dyDescent="0.35">
      <c r="A1938" t="s">
        <v>360</v>
      </c>
      <c r="B1938" t="s">
        <v>20</v>
      </c>
      <c r="C1938">
        <v>28189</v>
      </c>
      <c r="D1938">
        <v>38128</v>
      </c>
      <c r="E1938" s="12">
        <v>45645</v>
      </c>
      <c r="F1938" s="12">
        <v>45930</v>
      </c>
      <c r="G1938" s="10">
        <v>2900</v>
      </c>
      <c r="H1938">
        <v>0</v>
      </c>
      <c r="I1938" t="s">
        <v>532</v>
      </c>
      <c r="J1938" t="s">
        <v>22</v>
      </c>
      <c r="K1938" t="s">
        <v>15</v>
      </c>
    </row>
    <row r="1939" spans="1:11" hidden="1" x14ac:dyDescent="0.35">
      <c r="A1939" t="s">
        <v>565</v>
      </c>
      <c r="B1939" t="s">
        <v>566</v>
      </c>
      <c r="C1939">
        <v>28457</v>
      </c>
      <c r="D1939">
        <v>38457</v>
      </c>
      <c r="E1939" s="12">
        <v>45672</v>
      </c>
      <c r="F1939" s="12">
        <v>45930</v>
      </c>
      <c r="G1939" s="10">
        <v>74741.600000000006</v>
      </c>
      <c r="H1939">
        <v>0</v>
      </c>
      <c r="I1939" t="s">
        <v>567</v>
      </c>
      <c r="J1939" t="s">
        <v>18</v>
      </c>
      <c r="K1939" t="s">
        <v>15</v>
      </c>
    </row>
    <row r="1940" spans="1:11" hidden="1" x14ac:dyDescent="0.35">
      <c r="A1940" t="s">
        <v>664</v>
      </c>
      <c r="B1940" t="s">
        <v>665</v>
      </c>
      <c r="C1940">
        <v>28852</v>
      </c>
      <c r="D1940">
        <v>38943</v>
      </c>
      <c r="E1940" s="12">
        <v>45699</v>
      </c>
      <c r="F1940" s="12">
        <v>45930</v>
      </c>
      <c r="G1940" s="10">
        <v>68784</v>
      </c>
      <c r="H1940">
        <v>0</v>
      </c>
      <c r="I1940" t="s">
        <v>762</v>
      </c>
      <c r="J1940" t="s">
        <v>107</v>
      </c>
      <c r="K1940" t="s">
        <v>15</v>
      </c>
    </row>
    <row r="1941" spans="1:11" hidden="1" x14ac:dyDescent="0.35">
      <c r="A1941" t="s">
        <v>163</v>
      </c>
      <c r="B1941" t="s">
        <v>164</v>
      </c>
      <c r="C1941">
        <v>28596</v>
      </c>
      <c r="D1941">
        <v>38621</v>
      </c>
      <c r="E1941" s="12">
        <v>45681</v>
      </c>
      <c r="F1941" s="12">
        <v>45930</v>
      </c>
      <c r="G1941" s="10">
        <v>77810</v>
      </c>
      <c r="H1941">
        <v>0</v>
      </c>
      <c r="I1941" t="s">
        <v>976</v>
      </c>
      <c r="J1941" t="s">
        <v>107</v>
      </c>
      <c r="K1941" t="s">
        <v>15</v>
      </c>
    </row>
    <row r="1942" spans="1:11" hidden="1" x14ac:dyDescent="0.35">
      <c r="A1942" t="s">
        <v>722</v>
      </c>
      <c r="B1942" t="s">
        <v>723</v>
      </c>
      <c r="C1942">
        <v>27592</v>
      </c>
      <c r="D1942">
        <v>37360</v>
      </c>
      <c r="E1942" s="12">
        <v>45594</v>
      </c>
      <c r="F1942" s="12">
        <v>45930</v>
      </c>
      <c r="G1942" s="10">
        <v>79595</v>
      </c>
      <c r="H1942">
        <v>0</v>
      </c>
      <c r="I1942" t="s">
        <v>724</v>
      </c>
      <c r="J1942" t="s">
        <v>48</v>
      </c>
      <c r="K1942" t="s">
        <v>15</v>
      </c>
    </row>
    <row r="1943" spans="1:11" hidden="1" x14ac:dyDescent="0.35">
      <c r="A1943" t="s">
        <v>166</v>
      </c>
      <c r="B1943" t="s">
        <v>167</v>
      </c>
      <c r="C1943">
        <v>28371</v>
      </c>
      <c r="D1943">
        <v>38363</v>
      </c>
      <c r="E1943" s="12">
        <v>45667</v>
      </c>
      <c r="F1943" s="12">
        <v>45930</v>
      </c>
      <c r="G1943" s="10">
        <v>6455</v>
      </c>
      <c r="H1943">
        <v>0</v>
      </c>
      <c r="I1943" t="s">
        <v>1125</v>
      </c>
      <c r="J1943" t="s">
        <v>18</v>
      </c>
      <c r="K1943" t="s">
        <v>15</v>
      </c>
    </row>
    <row r="1944" spans="1:11" x14ac:dyDescent="0.35">
      <c r="A1944" t="s">
        <v>139</v>
      </c>
      <c r="B1944" t="s">
        <v>140</v>
      </c>
      <c r="C1944">
        <v>28429</v>
      </c>
      <c r="D1944">
        <v>38425</v>
      </c>
      <c r="E1944" s="12">
        <v>45671</v>
      </c>
      <c r="F1944" s="12">
        <v>45930</v>
      </c>
      <c r="G1944" s="10">
        <v>13300</v>
      </c>
      <c r="H1944">
        <v>0</v>
      </c>
      <c r="I1944" t="s">
        <v>561</v>
      </c>
      <c r="J1944" t="s">
        <v>26</v>
      </c>
      <c r="K1944" t="s">
        <v>15</v>
      </c>
    </row>
    <row r="1945" spans="1:11" hidden="1" x14ac:dyDescent="0.35">
      <c r="A1945" t="s">
        <v>180</v>
      </c>
      <c r="B1945" t="s">
        <v>181</v>
      </c>
      <c r="C1945">
        <v>28580</v>
      </c>
      <c r="D1945">
        <v>38603</v>
      </c>
      <c r="E1945" s="12">
        <v>45679</v>
      </c>
      <c r="F1945" s="12">
        <v>45930</v>
      </c>
      <c r="G1945" s="10">
        <v>225800</v>
      </c>
      <c r="H1945">
        <v>0</v>
      </c>
      <c r="I1945" t="s">
        <v>709</v>
      </c>
      <c r="J1945" t="s">
        <v>99</v>
      </c>
      <c r="K1945" t="s">
        <v>15</v>
      </c>
    </row>
    <row r="1946" spans="1:11" hidden="1" x14ac:dyDescent="0.35">
      <c r="A1946" t="s">
        <v>242</v>
      </c>
      <c r="B1946" t="s">
        <v>243</v>
      </c>
      <c r="C1946">
        <v>27301</v>
      </c>
      <c r="D1946">
        <v>37016</v>
      </c>
      <c r="E1946" s="12">
        <v>45569</v>
      </c>
      <c r="F1946" s="12">
        <v>45930</v>
      </c>
      <c r="G1946" s="10">
        <v>49500</v>
      </c>
      <c r="H1946">
        <v>0</v>
      </c>
      <c r="I1946" t="s">
        <v>1278</v>
      </c>
      <c r="J1946" t="s">
        <v>48</v>
      </c>
      <c r="K1946" t="s">
        <v>15</v>
      </c>
    </row>
    <row r="1947" spans="1:11" hidden="1" x14ac:dyDescent="0.35">
      <c r="A1947" t="s">
        <v>242</v>
      </c>
      <c r="B1947" t="s">
        <v>243</v>
      </c>
      <c r="C1947">
        <v>28218</v>
      </c>
      <c r="D1947">
        <v>38160</v>
      </c>
      <c r="E1947" s="12">
        <v>45646</v>
      </c>
      <c r="F1947" s="12">
        <v>45930</v>
      </c>
      <c r="G1947" s="10">
        <v>41760</v>
      </c>
      <c r="H1947">
        <v>0</v>
      </c>
      <c r="I1947" t="s">
        <v>888</v>
      </c>
      <c r="J1947" t="s">
        <v>48</v>
      </c>
      <c r="K1947" t="s">
        <v>15</v>
      </c>
    </row>
    <row r="1948" spans="1:11" hidden="1" x14ac:dyDescent="0.35">
      <c r="A1948" t="s">
        <v>242</v>
      </c>
      <c r="B1948" t="s">
        <v>243</v>
      </c>
      <c r="C1948">
        <v>27735</v>
      </c>
      <c r="D1948">
        <v>37533</v>
      </c>
      <c r="E1948" s="12">
        <v>45604</v>
      </c>
      <c r="F1948" s="12">
        <v>45930</v>
      </c>
      <c r="G1948" s="10">
        <v>43500</v>
      </c>
      <c r="H1948">
        <v>0</v>
      </c>
      <c r="I1948" t="s">
        <v>900</v>
      </c>
      <c r="J1948" t="s">
        <v>48</v>
      </c>
      <c r="K1948" t="s">
        <v>15</v>
      </c>
    </row>
    <row r="1949" spans="1:11" hidden="1" x14ac:dyDescent="0.35">
      <c r="A1949" t="s">
        <v>180</v>
      </c>
      <c r="B1949" t="s">
        <v>181</v>
      </c>
      <c r="C1949">
        <v>28847</v>
      </c>
      <c r="D1949">
        <v>38937</v>
      </c>
      <c r="E1949" s="12">
        <v>45699</v>
      </c>
      <c r="F1949" s="12">
        <v>45930</v>
      </c>
      <c r="G1949" s="10">
        <v>37200</v>
      </c>
      <c r="H1949">
        <v>0</v>
      </c>
      <c r="I1949" t="s">
        <v>709</v>
      </c>
      <c r="J1949" t="s">
        <v>99</v>
      </c>
      <c r="K1949" t="s">
        <v>15</v>
      </c>
    </row>
    <row r="1950" spans="1:11" hidden="1" x14ac:dyDescent="0.35">
      <c r="A1950" t="s">
        <v>19</v>
      </c>
      <c r="B1950" t="s">
        <v>20</v>
      </c>
      <c r="C1950">
        <v>28249</v>
      </c>
      <c r="D1950">
        <v>38202</v>
      </c>
      <c r="E1950" s="12">
        <v>45652</v>
      </c>
      <c r="F1950" s="12">
        <v>45930</v>
      </c>
      <c r="G1950" s="10">
        <v>27000</v>
      </c>
      <c r="H1950">
        <v>0</v>
      </c>
      <c r="I1950" t="s">
        <v>248</v>
      </c>
      <c r="J1950" t="s">
        <v>22</v>
      </c>
      <c r="K1950" t="s">
        <v>15</v>
      </c>
    </row>
    <row r="1951" spans="1:11" hidden="1" x14ac:dyDescent="0.35">
      <c r="A1951" t="s">
        <v>163</v>
      </c>
      <c r="B1951" t="s">
        <v>164</v>
      </c>
      <c r="C1951">
        <v>28722</v>
      </c>
      <c r="D1951">
        <v>38766</v>
      </c>
      <c r="E1951" s="12">
        <v>45687</v>
      </c>
      <c r="F1951" s="12">
        <v>45930</v>
      </c>
      <c r="G1951" s="10">
        <v>144696</v>
      </c>
      <c r="H1951">
        <v>0</v>
      </c>
      <c r="I1951" t="s">
        <v>737</v>
      </c>
      <c r="J1951" t="s">
        <v>107</v>
      </c>
      <c r="K1951" t="s">
        <v>15</v>
      </c>
    </row>
    <row r="1952" spans="1:11" hidden="1" x14ac:dyDescent="0.35">
      <c r="A1952" t="s">
        <v>166</v>
      </c>
      <c r="B1952" t="s">
        <v>167</v>
      </c>
      <c r="C1952">
        <v>28444</v>
      </c>
      <c r="D1952">
        <v>38441</v>
      </c>
      <c r="E1952" s="12">
        <v>45672</v>
      </c>
      <c r="F1952" s="12">
        <v>45930</v>
      </c>
      <c r="G1952" s="10">
        <v>100379.55</v>
      </c>
      <c r="H1952">
        <v>0</v>
      </c>
      <c r="I1952" t="s">
        <v>1429</v>
      </c>
      <c r="J1952" t="s">
        <v>18</v>
      </c>
      <c r="K1952" t="s">
        <v>15</v>
      </c>
    </row>
    <row r="1953" spans="1:11" x14ac:dyDescent="0.35">
      <c r="A1953" t="s">
        <v>139</v>
      </c>
      <c r="B1953" t="s">
        <v>140</v>
      </c>
      <c r="C1953">
        <v>28295</v>
      </c>
      <c r="D1953">
        <v>38270</v>
      </c>
      <c r="E1953" s="12">
        <v>45663</v>
      </c>
      <c r="F1953" s="12">
        <v>45930</v>
      </c>
      <c r="G1953" s="10">
        <v>57500</v>
      </c>
      <c r="H1953">
        <v>0</v>
      </c>
      <c r="I1953" t="s">
        <v>928</v>
      </c>
      <c r="J1953" t="s">
        <v>26</v>
      </c>
      <c r="K1953" t="s">
        <v>15</v>
      </c>
    </row>
    <row r="1954" spans="1:11" hidden="1" x14ac:dyDescent="0.35">
      <c r="A1954" t="s">
        <v>242</v>
      </c>
      <c r="B1954" t="s">
        <v>243</v>
      </c>
      <c r="C1954">
        <v>28019</v>
      </c>
      <c r="D1954">
        <v>37921</v>
      </c>
      <c r="E1954" s="12">
        <v>45631</v>
      </c>
      <c r="F1954" s="12">
        <v>45930</v>
      </c>
      <c r="G1954" s="10">
        <v>62500</v>
      </c>
      <c r="H1954">
        <v>0</v>
      </c>
      <c r="I1954" t="s">
        <v>1685</v>
      </c>
      <c r="J1954" t="s">
        <v>48</v>
      </c>
      <c r="K1954" t="s">
        <v>15</v>
      </c>
    </row>
    <row r="1955" spans="1:11" hidden="1" x14ac:dyDescent="0.35">
      <c r="A1955" t="s">
        <v>60</v>
      </c>
      <c r="B1955" t="s">
        <v>20</v>
      </c>
      <c r="C1955">
        <v>28942</v>
      </c>
      <c r="D1955">
        <v>39062</v>
      </c>
      <c r="E1955" s="12">
        <v>45707</v>
      </c>
      <c r="F1955" s="12">
        <v>45930</v>
      </c>
      <c r="G1955" s="10">
        <v>87098</v>
      </c>
      <c r="H1955">
        <v>0</v>
      </c>
      <c r="I1955" t="s">
        <v>1694</v>
      </c>
      <c r="J1955" t="s">
        <v>22</v>
      </c>
      <c r="K1955" t="s">
        <v>15</v>
      </c>
    </row>
    <row r="1956" spans="1:11" x14ac:dyDescent="0.35">
      <c r="A1956" t="s">
        <v>139</v>
      </c>
      <c r="B1956" t="s">
        <v>140</v>
      </c>
      <c r="C1956">
        <v>28871</v>
      </c>
      <c r="D1956">
        <v>38964</v>
      </c>
      <c r="E1956" s="12">
        <v>45700</v>
      </c>
      <c r="F1956" s="12">
        <v>45930</v>
      </c>
      <c r="G1956" s="10">
        <v>16500</v>
      </c>
      <c r="H1956">
        <v>0</v>
      </c>
      <c r="I1956" t="s">
        <v>389</v>
      </c>
      <c r="J1956" t="s">
        <v>26</v>
      </c>
      <c r="K1956" t="s">
        <v>15</v>
      </c>
    </row>
    <row r="1957" spans="1:11" x14ac:dyDescent="0.35">
      <c r="A1957" t="s">
        <v>139</v>
      </c>
      <c r="B1957" t="s">
        <v>140</v>
      </c>
      <c r="C1957">
        <v>28133</v>
      </c>
      <c r="D1957">
        <v>38070</v>
      </c>
      <c r="E1957" s="12">
        <v>45643</v>
      </c>
      <c r="F1957" s="12">
        <v>45930</v>
      </c>
      <c r="G1957" s="10">
        <v>36000</v>
      </c>
      <c r="H1957">
        <v>0</v>
      </c>
      <c r="I1957" t="s">
        <v>1107</v>
      </c>
      <c r="J1957" t="s">
        <v>26</v>
      </c>
      <c r="K1957" t="s">
        <v>15</v>
      </c>
    </row>
    <row r="1958" spans="1:11" hidden="1" x14ac:dyDescent="0.35">
      <c r="A1958" t="s">
        <v>459</v>
      </c>
      <c r="B1958" t="s">
        <v>460</v>
      </c>
      <c r="C1958">
        <v>28326</v>
      </c>
      <c r="D1958">
        <v>38310</v>
      </c>
      <c r="E1958" s="12">
        <v>45665</v>
      </c>
      <c r="F1958" s="12">
        <v>45930</v>
      </c>
      <c r="G1958" s="10">
        <v>306299</v>
      </c>
      <c r="H1958">
        <v>0</v>
      </c>
      <c r="I1958" t="s">
        <v>1109</v>
      </c>
      <c r="J1958" t="s">
        <v>18</v>
      </c>
      <c r="K1958" t="s">
        <v>15</v>
      </c>
    </row>
    <row r="1959" spans="1:11" x14ac:dyDescent="0.35">
      <c r="A1959" t="s">
        <v>139</v>
      </c>
      <c r="B1959" t="s">
        <v>140</v>
      </c>
      <c r="C1959">
        <v>28583</v>
      </c>
      <c r="D1959">
        <v>38607</v>
      </c>
      <c r="E1959" s="12">
        <v>45680</v>
      </c>
      <c r="F1959" s="12">
        <v>45930</v>
      </c>
      <c r="G1959" s="10">
        <v>17000</v>
      </c>
      <c r="H1959">
        <v>0</v>
      </c>
      <c r="I1959" t="s">
        <v>389</v>
      </c>
      <c r="J1959" t="s">
        <v>26</v>
      </c>
      <c r="K1959" t="s">
        <v>15</v>
      </c>
    </row>
    <row r="1960" spans="1:11" x14ac:dyDescent="0.35">
      <c r="A1960" t="s">
        <v>139</v>
      </c>
      <c r="B1960" t="s">
        <v>140</v>
      </c>
      <c r="C1960">
        <v>28869</v>
      </c>
      <c r="D1960">
        <v>38962</v>
      </c>
      <c r="E1960" s="12">
        <v>45700</v>
      </c>
      <c r="F1960" s="12">
        <v>45930</v>
      </c>
      <c r="G1960" s="10">
        <v>87000</v>
      </c>
      <c r="H1960">
        <v>0</v>
      </c>
      <c r="I1960" t="s">
        <v>389</v>
      </c>
      <c r="J1960" t="s">
        <v>26</v>
      </c>
      <c r="K1960" t="s">
        <v>15</v>
      </c>
    </row>
    <row r="1961" spans="1:11" hidden="1" x14ac:dyDescent="0.35">
      <c r="A1961" t="s">
        <v>397</v>
      </c>
      <c r="B1961" t="s">
        <v>398</v>
      </c>
      <c r="C1961">
        <v>29139</v>
      </c>
      <c r="D1961">
        <v>39303</v>
      </c>
      <c r="E1961" s="12">
        <v>45727</v>
      </c>
      <c r="F1961" s="12">
        <v>45930</v>
      </c>
      <c r="G1961" s="10">
        <v>108574.92</v>
      </c>
      <c r="H1961">
        <v>0</v>
      </c>
      <c r="I1961" t="s">
        <v>1141</v>
      </c>
      <c r="J1961" t="s">
        <v>48</v>
      </c>
      <c r="K1961" t="s">
        <v>15</v>
      </c>
    </row>
    <row r="1962" spans="1:11" hidden="1" x14ac:dyDescent="0.35">
      <c r="A1962" t="s">
        <v>242</v>
      </c>
      <c r="B1962" t="s">
        <v>243</v>
      </c>
      <c r="C1962">
        <v>28025</v>
      </c>
      <c r="D1962">
        <v>37926</v>
      </c>
      <c r="E1962" s="12">
        <v>45631</v>
      </c>
      <c r="F1962" s="12">
        <v>45930</v>
      </c>
      <c r="G1962" s="10">
        <v>38280</v>
      </c>
      <c r="H1962">
        <v>0</v>
      </c>
      <c r="I1962" t="s">
        <v>657</v>
      </c>
      <c r="J1962" t="s">
        <v>48</v>
      </c>
      <c r="K1962" t="s">
        <v>15</v>
      </c>
    </row>
    <row r="1963" spans="1:11" x14ac:dyDescent="0.35">
      <c r="A1963" t="s">
        <v>139</v>
      </c>
      <c r="B1963" t="s">
        <v>140</v>
      </c>
      <c r="C1963">
        <v>28293</v>
      </c>
      <c r="D1963">
        <v>38268</v>
      </c>
      <c r="E1963" s="12">
        <v>45663</v>
      </c>
      <c r="F1963" s="12">
        <v>45930</v>
      </c>
      <c r="G1963" s="10">
        <v>76480</v>
      </c>
      <c r="H1963">
        <v>0</v>
      </c>
      <c r="I1963" t="s">
        <v>660</v>
      </c>
      <c r="J1963" t="s">
        <v>26</v>
      </c>
      <c r="K1963" t="s">
        <v>15</v>
      </c>
    </row>
    <row r="1964" spans="1:11" x14ac:dyDescent="0.35">
      <c r="A1964" t="s">
        <v>139</v>
      </c>
      <c r="B1964" t="s">
        <v>140</v>
      </c>
      <c r="C1964">
        <v>28134</v>
      </c>
      <c r="D1964">
        <v>38071</v>
      </c>
      <c r="E1964" s="12">
        <v>45643</v>
      </c>
      <c r="F1964" s="12">
        <v>45930</v>
      </c>
      <c r="G1964" s="10">
        <v>120000</v>
      </c>
      <c r="H1964">
        <v>0</v>
      </c>
      <c r="I1964" t="s">
        <v>943</v>
      </c>
      <c r="J1964" t="s">
        <v>26</v>
      </c>
      <c r="K1964" t="s">
        <v>15</v>
      </c>
    </row>
    <row r="1965" spans="1:11" hidden="1" x14ac:dyDescent="0.35">
      <c r="A1965" t="s">
        <v>459</v>
      </c>
      <c r="B1965" t="s">
        <v>460</v>
      </c>
      <c r="C1965">
        <v>28325</v>
      </c>
      <c r="D1965">
        <v>38309</v>
      </c>
      <c r="E1965" s="12">
        <v>45665</v>
      </c>
      <c r="F1965" s="12">
        <v>45930</v>
      </c>
      <c r="G1965" s="10">
        <v>25476</v>
      </c>
      <c r="H1965">
        <v>0</v>
      </c>
      <c r="I1965" t="s">
        <v>945</v>
      </c>
      <c r="J1965" t="s">
        <v>18</v>
      </c>
      <c r="K1965" t="s">
        <v>15</v>
      </c>
    </row>
    <row r="1966" spans="1:11" hidden="1" x14ac:dyDescent="0.35">
      <c r="A1966" t="s">
        <v>722</v>
      </c>
      <c r="B1966" t="s">
        <v>723</v>
      </c>
      <c r="C1966">
        <v>27593</v>
      </c>
      <c r="D1966">
        <v>37361</v>
      </c>
      <c r="E1966" s="12">
        <v>45594</v>
      </c>
      <c r="F1966" s="12">
        <v>45930</v>
      </c>
      <c r="G1966" s="10">
        <v>9700</v>
      </c>
      <c r="H1966">
        <v>0</v>
      </c>
      <c r="I1966" t="s">
        <v>1010</v>
      </c>
      <c r="J1966" t="s">
        <v>48</v>
      </c>
      <c r="K1966" t="s">
        <v>15</v>
      </c>
    </row>
    <row r="1967" spans="1:11" hidden="1" x14ac:dyDescent="0.35">
      <c r="A1967" t="s">
        <v>360</v>
      </c>
      <c r="B1967" t="s">
        <v>20</v>
      </c>
      <c r="C1967">
        <v>28187</v>
      </c>
      <c r="D1967">
        <v>38126</v>
      </c>
      <c r="E1967" s="12">
        <v>45645</v>
      </c>
      <c r="F1967" s="12">
        <v>45930</v>
      </c>
      <c r="G1967" s="10">
        <v>156967.5</v>
      </c>
      <c r="H1967">
        <v>0</v>
      </c>
      <c r="I1967" t="s">
        <v>361</v>
      </c>
      <c r="J1967" t="s">
        <v>22</v>
      </c>
      <c r="K1967" t="s">
        <v>15</v>
      </c>
    </row>
    <row r="1968" spans="1:11" x14ac:dyDescent="0.35">
      <c r="A1968" t="s">
        <v>139</v>
      </c>
      <c r="B1968" t="s">
        <v>140</v>
      </c>
      <c r="C1968">
        <v>28318</v>
      </c>
      <c r="D1968">
        <v>38302</v>
      </c>
      <c r="E1968" s="12">
        <v>45664</v>
      </c>
      <c r="F1968" s="12">
        <v>45930</v>
      </c>
      <c r="G1968" s="10">
        <v>33000</v>
      </c>
      <c r="H1968">
        <v>0</v>
      </c>
      <c r="I1968" t="s">
        <v>386</v>
      </c>
      <c r="J1968" t="s">
        <v>26</v>
      </c>
      <c r="K1968" t="s">
        <v>15</v>
      </c>
    </row>
    <row r="1969" spans="1:11" x14ac:dyDescent="0.35">
      <c r="A1969" t="s">
        <v>139</v>
      </c>
      <c r="B1969" t="s">
        <v>140</v>
      </c>
      <c r="C1969">
        <v>28584</v>
      </c>
      <c r="D1969">
        <v>38608</v>
      </c>
      <c r="E1969" s="12">
        <v>45680</v>
      </c>
      <c r="F1969" s="12">
        <v>45930</v>
      </c>
      <c r="G1969" s="10">
        <v>34000</v>
      </c>
      <c r="H1969">
        <v>0</v>
      </c>
      <c r="I1969" t="s">
        <v>389</v>
      </c>
      <c r="J1969" t="s">
        <v>26</v>
      </c>
      <c r="K1969" t="s">
        <v>15</v>
      </c>
    </row>
    <row r="1970" spans="1:11" hidden="1" x14ac:dyDescent="0.35">
      <c r="A1970" t="s">
        <v>664</v>
      </c>
      <c r="B1970" t="s">
        <v>665</v>
      </c>
      <c r="C1970">
        <v>28853</v>
      </c>
      <c r="D1970">
        <v>38944</v>
      </c>
      <c r="E1970" s="12">
        <v>45699</v>
      </c>
      <c r="F1970" s="12">
        <v>45930</v>
      </c>
      <c r="G1970" s="10">
        <v>80484</v>
      </c>
      <c r="H1970">
        <v>0</v>
      </c>
      <c r="I1970" t="s">
        <v>762</v>
      </c>
      <c r="J1970" t="s">
        <v>107</v>
      </c>
      <c r="K1970" t="s">
        <v>15</v>
      </c>
    </row>
    <row r="1971" spans="1:11" hidden="1" x14ac:dyDescent="0.35">
      <c r="A1971" t="s">
        <v>242</v>
      </c>
      <c r="B1971" t="s">
        <v>243</v>
      </c>
      <c r="C1971">
        <v>28792</v>
      </c>
      <c r="D1971">
        <v>38878</v>
      </c>
      <c r="E1971" s="12">
        <v>45693</v>
      </c>
      <c r="F1971" s="12">
        <v>45930</v>
      </c>
      <c r="G1971" s="10">
        <v>74820</v>
      </c>
      <c r="H1971">
        <v>0</v>
      </c>
      <c r="I1971" t="s">
        <v>980</v>
      </c>
      <c r="J1971" t="s">
        <v>48</v>
      </c>
      <c r="K1971" t="s">
        <v>15</v>
      </c>
    </row>
    <row r="1972" spans="1:11" hidden="1" x14ac:dyDescent="0.35">
      <c r="A1972" t="s">
        <v>180</v>
      </c>
      <c r="B1972" t="s">
        <v>181</v>
      </c>
      <c r="C1972">
        <v>28599</v>
      </c>
      <c r="D1972">
        <v>38624</v>
      </c>
      <c r="E1972" s="12">
        <v>45681</v>
      </c>
      <c r="F1972" s="12">
        <v>45930</v>
      </c>
      <c r="G1972" s="10">
        <v>15600</v>
      </c>
      <c r="H1972">
        <v>0</v>
      </c>
      <c r="I1972" t="s">
        <v>709</v>
      </c>
      <c r="J1972" t="s">
        <v>99</v>
      </c>
      <c r="K1972" t="s">
        <v>15</v>
      </c>
    </row>
    <row r="1973" spans="1:11" hidden="1" x14ac:dyDescent="0.35">
      <c r="A1973" t="s">
        <v>180</v>
      </c>
      <c r="B1973" t="s">
        <v>181</v>
      </c>
      <c r="C1973">
        <v>28598</v>
      </c>
      <c r="D1973">
        <v>38623</v>
      </c>
      <c r="E1973" s="12">
        <v>45681</v>
      </c>
      <c r="F1973" s="12">
        <v>45930</v>
      </c>
      <c r="G1973" s="10">
        <v>12480</v>
      </c>
      <c r="H1973">
        <v>0</v>
      </c>
      <c r="I1973" t="s">
        <v>709</v>
      </c>
      <c r="J1973" t="s">
        <v>99</v>
      </c>
      <c r="K1973" t="s">
        <v>15</v>
      </c>
    </row>
    <row r="1974" spans="1:11" hidden="1" x14ac:dyDescent="0.35">
      <c r="A1974" t="s">
        <v>397</v>
      </c>
      <c r="B1974" t="s">
        <v>398</v>
      </c>
      <c r="C1974">
        <v>28791</v>
      </c>
      <c r="D1974">
        <v>38877</v>
      </c>
      <c r="E1974" s="12">
        <v>45693</v>
      </c>
      <c r="F1974" s="12">
        <v>45930</v>
      </c>
      <c r="G1974" s="10">
        <v>44170</v>
      </c>
      <c r="H1974">
        <v>0</v>
      </c>
      <c r="I1974" t="s">
        <v>1141</v>
      </c>
      <c r="J1974" t="s">
        <v>48</v>
      </c>
      <c r="K1974" t="s">
        <v>15</v>
      </c>
    </row>
    <row r="1975" spans="1:11" hidden="1" x14ac:dyDescent="0.35">
      <c r="A1975" t="s">
        <v>163</v>
      </c>
      <c r="B1975" t="s">
        <v>164</v>
      </c>
      <c r="C1975">
        <v>28857</v>
      </c>
      <c r="D1975">
        <v>38948</v>
      </c>
      <c r="E1975" s="12">
        <v>45699</v>
      </c>
      <c r="F1975" s="12">
        <v>45930</v>
      </c>
      <c r="G1975" s="10">
        <v>194089</v>
      </c>
      <c r="H1975">
        <v>0</v>
      </c>
      <c r="I1975" t="s">
        <v>737</v>
      </c>
      <c r="J1975" t="s">
        <v>107</v>
      </c>
      <c r="K1975" t="s">
        <v>15</v>
      </c>
    </row>
    <row r="1976" spans="1:11" hidden="1" x14ac:dyDescent="0.35">
      <c r="A1976" t="s">
        <v>360</v>
      </c>
      <c r="B1976" t="s">
        <v>20</v>
      </c>
      <c r="C1976">
        <v>28898</v>
      </c>
      <c r="D1976">
        <v>39003</v>
      </c>
      <c r="E1976" s="12">
        <v>45702</v>
      </c>
      <c r="F1976" s="12">
        <v>45930</v>
      </c>
      <c r="G1976" s="10">
        <v>28370</v>
      </c>
      <c r="H1976">
        <v>0</v>
      </c>
      <c r="I1976" t="s">
        <v>671</v>
      </c>
      <c r="J1976" t="s">
        <v>22</v>
      </c>
      <c r="K1976" t="s">
        <v>15</v>
      </c>
    </row>
    <row r="1977" spans="1:11" x14ac:dyDescent="0.35">
      <c r="A1977" t="s">
        <v>139</v>
      </c>
      <c r="B1977" t="s">
        <v>140</v>
      </c>
      <c r="C1977">
        <v>28868</v>
      </c>
      <c r="D1977">
        <v>38961</v>
      </c>
      <c r="E1977" s="12">
        <v>45700</v>
      </c>
      <c r="F1977" s="12">
        <v>45930</v>
      </c>
      <c r="G1977" s="10">
        <v>36000</v>
      </c>
      <c r="H1977">
        <v>0</v>
      </c>
      <c r="I1977" t="s">
        <v>389</v>
      </c>
      <c r="J1977" t="s">
        <v>26</v>
      </c>
      <c r="K1977" t="s">
        <v>15</v>
      </c>
    </row>
    <row r="1978" spans="1:11" hidden="1" x14ac:dyDescent="0.35">
      <c r="A1978" t="s">
        <v>163</v>
      </c>
      <c r="B1978" t="s">
        <v>164</v>
      </c>
      <c r="C1978">
        <v>28587</v>
      </c>
      <c r="D1978">
        <v>38612</v>
      </c>
      <c r="E1978" s="12">
        <v>45680</v>
      </c>
      <c r="F1978" s="12">
        <v>45930</v>
      </c>
      <c r="G1978" s="10">
        <v>683043</v>
      </c>
      <c r="H1978">
        <v>0</v>
      </c>
      <c r="I1978" t="s">
        <v>737</v>
      </c>
      <c r="J1978" t="s">
        <v>107</v>
      </c>
      <c r="K1978" t="s">
        <v>15</v>
      </c>
    </row>
    <row r="1979" spans="1:11" x14ac:dyDescent="0.35">
      <c r="A1979" t="s">
        <v>139</v>
      </c>
      <c r="B1979" t="s">
        <v>140</v>
      </c>
      <c r="C1979">
        <v>28870</v>
      </c>
      <c r="D1979">
        <v>38963</v>
      </c>
      <c r="E1979" s="12">
        <v>45700</v>
      </c>
      <c r="F1979" s="12">
        <v>45930</v>
      </c>
      <c r="G1979" s="10">
        <v>51000</v>
      </c>
      <c r="H1979">
        <v>0</v>
      </c>
      <c r="I1979" t="s">
        <v>389</v>
      </c>
      <c r="J1979" t="s">
        <v>26</v>
      </c>
      <c r="K1979" t="s">
        <v>15</v>
      </c>
    </row>
    <row r="1980" spans="1:11" hidden="1" x14ac:dyDescent="0.35">
      <c r="A1980" t="s">
        <v>163</v>
      </c>
      <c r="B1980" t="s">
        <v>164</v>
      </c>
      <c r="C1980">
        <v>28964</v>
      </c>
      <c r="D1980">
        <v>39085</v>
      </c>
      <c r="E1980" s="12">
        <v>45707</v>
      </c>
      <c r="F1980" s="12">
        <v>45930</v>
      </c>
      <c r="G1980" s="10">
        <v>134366</v>
      </c>
      <c r="H1980">
        <v>0</v>
      </c>
      <c r="I1980" t="s">
        <v>737</v>
      </c>
      <c r="J1980" t="s">
        <v>107</v>
      </c>
      <c r="K1980" t="s">
        <v>15</v>
      </c>
    </row>
    <row r="1981" spans="1:11" x14ac:dyDescent="0.35">
      <c r="A1981" t="s">
        <v>139</v>
      </c>
      <c r="B1981" t="s">
        <v>140</v>
      </c>
      <c r="C1981">
        <v>28294</v>
      </c>
      <c r="D1981">
        <v>38269</v>
      </c>
      <c r="E1981" s="12">
        <v>45663</v>
      </c>
      <c r="F1981" s="12">
        <v>45930</v>
      </c>
      <c r="G1981" s="10">
        <v>29140</v>
      </c>
      <c r="H1981">
        <v>0</v>
      </c>
      <c r="I1981" t="s">
        <v>1171</v>
      </c>
      <c r="J1981" t="s">
        <v>26</v>
      </c>
      <c r="K1981" t="s">
        <v>15</v>
      </c>
    </row>
    <row r="1982" spans="1:11" hidden="1" x14ac:dyDescent="0.35">
      <c r="A1982" t="s">
        <v>180</v>
      </c>
      <c r="B1982" t="s">
        <v>181</v>
      </c>
      <c r="C1982">
        <v>28843</v>
      </c>
      <c r="D1982">
        <v>38933</v>
      </c>
      <c r="E1982" s="12">
        <v>45699</v>
      </c>
      <c r="F1982" s="12">
        <v>45930</v>
      </c>
      <c r="G1982" s="10">
        <v>37200</v>
      </c>
      <c r="H1982">
        <v>0</v>
      </c>
      <c r="I1982" t="s">
        <v>709</v>
      </c>
      <c r="J1982" t="s">
        <v>99</v>
      </c>
      <c r="K1982" t="s">
        <v>15</v>
      </c>
    </row>
    <row r="1983" spans="1:11" hidden="1" x14ac:dyDescent="0.35">
      <c r="A1983" t="s">
        <v>96</v>
      </c>
      <c r="B1983" t="s">
        <v>97</v>
      </c>
      <c r="C1983">
        <v>28579</v>
      </c>
      <c r="D1983">
        <v>38602</v>
      </c>
      <c r="E1983" s="12">
        <v>45679</v>
      </c>
      <c r="F1983" s="12">
        <v>45930</v>
      </c>
      <c r="G1983" s="10">
        <v>141264</v>
      </c>
      <c r="H1983">
        <v>0</v>
      </c>
      <c r="I1983" t="s">
        <v>1157</v>
      </c>
      <c r="J1983" t="s">
        <v>99</v>
      </c>
      <c r="K1983" t="s">
        <v>15</v>
      </c>
    </row>
    <row r="1984" spans="1:11" hidden="1" x14ac:dyDescent="0.35">
      <c r="A1984" t="s">
        <v>770</v>
      </c>
      <c r="B1984" t="s">
        <v>771</v>
      </c>
      <c r="C1984">
        <v>29122</v>
      </c>
      <c r="D1984">
        <v>39286</v>
      </c>
      <c r="E1984" s="12">
        <v>45726</v>
      </c>
      <c r="F1984" s="12">
        <v>45936</v>
      </c>
      <c r="G1984" s="10">
        <v>2640.2</v>
      </c>
      <c r="H1984">
        <v>0</v>
      </c>
      <c r="I1984" t="s">
        <v>772</v>
      </c>
      <c r="J1984" t="s">
        <v>44</v>
      </c>
      <c r="K1984" t="s">
        <v>15</v>
      </c>
    </row>
    <row r="1985" spans="1:11" hidden="1" x14ac:dyDescent="0.35">
      <c r="A1985" t="s">
        <v>770</v>
      </c>
      <c r="B1985" t="s">
        <v>771</v>
      </c>
      <c r="C1985">
        <v>29121</v>
      </c>
      <c r="D1985">
        <v>39285</v>
      </c>
      <c r="E1985" s="12">
        <v>45726</v>
      </c>
      <c r="F1985" s="12">
        <v>45936</v>
      </c>
      <c r="G1985" s="10">
        <v>494</v>
      </c>
      <c r="H1985">
        <v>0</v>
      </c>
      <c r="I1985" t="s">
        <v>772</v>
      </c>
      <c r="J1985" t="s">
        <v>44</v>
      </c>
      <c r="K1985" t="s">
        <v>15</v>
      </c>
    </row>
    <row r="1986" spans="1:11" hidden="1" x14ac:dyDescent="0.35">
      <c r="A1986" t="s">
        <v>397</v>
      </c>
      <c r="B1986" t="s">
        <v>398</v>
      </c>
      <c r="C1986">
        <v>27354</v>
      </c>
      <c r="D1986">
        <v>37075</v>
      </c>
      <c r="E1986" s="12">
        <v>45575</v>
      </c>
      <c r="F1986" s="12">
        <v>45937</v>
      </c>
      <c r="G1986" s="10">
        <v>33240</v>
      </c>
      <c r="H1986">
        <v>0</v>
      </c>
      <c r="I1986" t="s">
        <v>1324</v>
      </c>
      <c r="J1986" t="s">
        <v>48</v>
      </c>
      <c r="K1986" t="s">
        <v>15</v>
      </c>
    </row>
    <row r="1987" spans="1:11" hidden="1" x14ac:dyDescent="0.35">
      <c r="A1987" t="s">
        <v>677</v>
      </c>
      <c r="B1987" t="s">
        <v>553</v>
      </c>
      <c r="C1987">
        <v>28438</v>
      </c>
      <c r="D1987">
        <v>38435</v>
      </c>
      <c r="E1987" s="12">
        <v>45671</v>
      </c>
      <c r="F1987" s="12">
        <v>45943</v>
      </c>
      <c r="G1987" s="10">
        <v>52200</v>
      </c>
      <c r="H1987">
        <v>0</v>
      </c>
      <c r="I1987" t="s">
        <v>685</v>
      </c>
      <c r="J1987" t="s">
        <v>58</v>
      </c>
      <c r="K1987" t="s">
        <v>15</v>
      </c>
    </row>
    <row r="1988" spans="1:11" hidden="1" x14ac:dyDescent="0.35">
      <c r="A1988" t="s">
        <v>770</v>
      </c>
      <c r="B1988" t="s">
        <v>771</v>
      </c>
      <c r="C1988">
        <v>29188</v>
      </c>
      <c r="D1988">
        <v>39359</v>
      </c>
      <c r="E1988" s="12">
        <v>45733</v>
      </c>
      <c r="F1988" s="12">
        <v>45943</v>
      </c>
      <c r="G1988" s="10">
        <v>5268.02</v>
      </c>
      <c r="H1988">
        <v>0</v>
      </c>
      <c r="I1988" t="s">
        <v>772</v>
      </c>
      <c r="J1988" t="s">
        <v>44</v>
      </c>
      <c r="K1988" t="s">
        <v>15</v>
      </c>
    </row>
    <row r="1989" spans="1:11" hidden="1" x14ac:dyDescent="0.35">
      <c r="A1989" t="s">
        <v>242</v>
      </c>
      <c r="B1989" t="s">
        <v>243</v>
      </c>
      <c r="C1989">
        <v>27417</v>
      </c>
      <c r="D1989">
        <v>37167</v>
      </c>
      <c r="E1989" s="12">
        <v>45582</v>
      </c>
      <c r="F1989" s="12">
        <v>45944</v>
      </c>
      <c r="G1989" s="10">
        <v>14400</v>
      </c>
      <c r="H1989">
        <v>0</v>
      </c>
      <c r="I1989" t="s">
        <v>784</v>
      </c>
      <c r="J1989" t="s">
        <v>48</v>
      </c>
      <c r="K1989" t="s">
        <v>15</v>
      </c>
    </row>
    <row r="1990" spans="1:11" hidden="1" x14ac:dyDescent="0.35">
      <c r="A1990" t="s">
        <v>16</v>
      </c>
      <c r="B1990" t="s">
        <v>17</v>
      </c>
      <c r="C1990">
        <v>27063</v>
      </c>
      <c r="D1990">
        <v>36756</v>
      </c>
      <c r="E1990" s="12">
        <v>45559</v>
      </c>
      <c r="F1990" s="12">
        <v>45950</v>
      </c>
      <c r="G1990" s="10">
        <v>123719.16</v>
      </c>
      <c r="H1990">
        <v>0</v>
      </c>
      <c r="I1990" t="s">
        <v>838</v>
      </c>
      <c r="J1990" t="s">
        <v>18</v>
      </c>
      <c r="K1990" t="s">
        <v>15</v>
      </c>
    </row>
    <row r="1991" spans="1:11" hidden="1" x14ac:dyDescent="0.35">
      <c r="A1991" t="s">
        <v>16</v>
      </c>
      <c r="B1991" t="s">
        <v>17</v>
      </c>
      <c r="C1991">
        <v>27185</v>
      </c>
      <c r="D1991">
        <v>36875</v>
      </c>
      <c r="E1991" s="12">
        <v>45565</v>
      </c>
      <c r="F1991" s="12">
        <v>45950</v>
      </c>
      <c r="G1991" s="10">
        <v>41080</v>
      </c>
      <c r="H1991">
        <v>0</v>
      </c>
      <c r="I1991" t="s">
        <v>521</v>
      </c>
      <c r="J1991" t="s">
        <v>18</v>
      </c>
      <c r="K1991" t="s">
        <v>15</v>
      </c>
    </row>
    <row r="1992" spans="1:11" hidden="1" x14ac:dyDescent="0.35">
      <c r="A1992" t="s">
        <v>16</v>
      </c>
      <c r="B1992" t="s">
        <v>17</v>
      </c>
      <c r="C1992">
        <v>27285</v>
      </c>
      <c r="D1992">
        <v>36999</v>
      </c>
      <c r="E1992" s="12">
        <v>45569</v>
      </c>
      <c r="F1992" s="12">
        <v>45950</v>
      </c>
      <c r="G1992" s="10">
        <v>11180</v>
      </c>
      <c r="H1992">
        <v>0</v>
      </c>
      <c r="I1992" t="s">
        <v>522</v>
      </c>
      <c r="J1992" t="s">
        <v>18</v>
      </c>
      <c r="K1992" t="s">
        <v>15</v>
      </c>
    </row>
    <row r="1993" spans="1:11" hidden="1" x14ac:dyDescent="0.35">
      <c r="A1993" t="s">
        <v>16</v>
      </c>
      <c r="B1993" t="s">
        <v>17</v>
      </c>
      <c r="C1993">
        <v>27092</v>
      </c>
      <c r="D1993">
        <v>36790</v>
      </c>
      <c r="E1993" s="12">
        <v>45561</v>
      </c>
      <c r="F1993" s="12">
        <v>45950</v>
      </c>
      <c r="G1993" s="10">
        <v>122953.2</v>
      </c>
      <c r="H1993">
        <v>0</v>
      </c>
      <c r="I1993" t="s">
        <v>964</v>
      </c>
      <c r="J1993" t="s">
        <v>18</v>
      </c>
      <c r="K1993" t="s">
        <v>15</v>
      </c>
    </row>
    <row r="1994" spans="1:11" hidden="1" x14ac:dyDescent="0.35">
      <c r="A1994" t="s">
        <v>16</v>
      </c>
      <c r="B1994" t="s">
        <v>17</v>
      </c>
      <c r="C1994">
        <v>28282</v>
      </c>
      <c r="D1994">
        <v>38253</v>
      </c>
      <c r="E1994" s="12">
        <v>45659</v>
      </c>
      <c r="F1994" s="12">
        <v>45950</v>
      </c>
      <c r="G1994" s="10">
        <v>139739.88</v>
      </c>
      <c r="H1994">
        <v>0</v>
      </c>
      <c r="I1994" t="s">
        <v>1219</v>
      </c>
      <c r="J1994" t="s">
        <v>18</v>
      </c>
      <c r="K1994" t="s">
        <v>15</v>
      </c>
    </row>
    <row r="1995" spans="1:11" hidden="1" x14ac:dyDescent="0.35">
      <c r="A1995" t="s">
        <v>397</v>
      </c>
      <c r="B1995" t="s">
        <v>398</v>
      </c>
      <c r="C1995">
        <v>27538</v>
      </c>
      <c r="D1995">
        <v>37301</v>
      </c>
      <c r="E1995" s="12">
        <v>45590</v>
      </c>
      <c r="F1995" s="12">
        <v>45950</v>
      </c>
      <c r="G1995" s="10">
        <v>46000</v>
      </c>
      <c r="H1995">
        <v>0</v>
      </c>
      <c r="I1995" t="s">
        <v>404</v>
      </c>
      <c r="J1995" t="s">
        <v>48</v>
      </c>
      <c r="K1995" t="s">
        <v>15</v>
      </c>
    </row>
    <row r="1996" spans="1:11" hidden="1" x14ac:dyDescent="0.35">
      <c r="A1996" t="s">
        <v>677</v>
      </c>
      <c r="B1996" t="s">
        <v>553</v>
      </c>
      <c r="C1996">
        <v>28820</v>
      </c>
      <c r="D1996">
        <v>38907</v>
      </c>
      <c r="E1996" s="12">
        <v>45695</v>
      </c>
      <c r="F1996" s="12">
        <v>45950</v>
      </c>
      <c r="G1996" s="10">
        <v>60000</v>
      </c>
      <c r="H1996">
        <v>0</v>
      </c>
      <c r="I1996" t="s">
        <v>894</v>
      </c>
      <c r="J1996" t="s">
        <v>58</v>
      </c>
      <c r="K1996" t="s">
        <v>15</v>
      </c>
    </row>
    <row r="1997" spans="1:11" hidden="1" x14ac:dyDescent="0.35">
      <c r="A1997" t="s">
        <v>16</v>
      </c>
      <c r="B1997" t="s">
        <v>17</v>
      </c>
      <c r="C1997">
        <v>27186</v>
      </c>
      <c r="D1997">
        <v>36876</v>
      </c>
      <c r="E1997" s="12">
        <v>45565</v>
      </c>
      <c r="F1997" s="12">
        <v>45950</v>
      </c>
      <c r="G1997" s="10">
        <v>34320</v>
      </c>
      <c r="H1997">
        <v>0</v>
      </c>
      <c r="I1997" t="s">
        <v>465</v>
      </c>
      <c r="J1997" t="s">
        <v>18</v>
      </c>
      <c r="K1997" t="s">
        <v>15</v>
      </c>
    </row>
    <row r="1998" spans="1:11" hidden="1" x14ac:dyDescent="0.35">
      <c r="A1998" t="s">
        <v>16</v>
      </c>
      <c r="B1998" t="s">
        <v>17</v>
      </c>
      <c r="C1998">
        <v>28510</v>
      </c>
      <c r="D1998">
        <v>38511</v>
      </c>
      <c r="E1998" s="12">
        <v>45674</v>
      </c>
      <c r="F1998" s="12">
        <v>45950</v>
      </c>
      <c r="G1998" s="10">
        <v>21280</v>
      </c>
      <c r="H1998">
        <v>0</v>
      </c>
      <c r="I1998" t="s">
        <v>882</v>
      </c>
      <c r="J1998" t="s">
        <v>18</v>
      </c>
      <c r="K1998" t="s">
        <v>15</v>
      </c>
    </row>
    <row r="1999" spans="1:11" hidden="1" x14ac:dyDescent="0.35">
      <c r="A1999" t="s">
        <v>16</v>
      </c>
      <c r="B1999" t="s">
        <v>17</v>
      </c>
      <c r="C1999">
        <v>27286</v>
      </c>
      <c r="D1999">
        <v>37000</v>
      </c>
      <c r="E1999" s="12">
        <v>45569</v>
      </c>
      <c r="F1999" s="12">
        <v>45950</v>
      </c>
      <c r="G1999" s="10">
        <v>4195.3999999999996</v>
      </c>
      <c r="H1999">
        <v>0</v>
      </c>
      <c r="I1999" t="s">
        <v>314</v>
      </c>
      <c r="J1999" t="s">
        <v>18</v>
      </c>
      <c r="K1999" t="s">
        <v>15</v>
      </c>
    </row>
    <row r="2000" spans="1:11" hidden="1" x14ac:dyDescent="0.35">
      <c r="A2000" t="s">
        <v>68</v>
      </c>
      <c r="B2000" t="s">
        <v>69</v>
      </c>
      <c r="C2000">
        <v>28586</v>
      </c>
      <c r="D2000">
        <v>38610</v>
      </c>
      <c r="E2000" s="12">
        <v>45680</v>
      </c>
      <c r="F2000" s="12">
        <v>45950</v>
      </c>
      <c r="G2000" s="10">
        <v>5838.65</v>
      </c>
      <c r="H2000">
        <v>0</v>
      </c>
      <c r="I2000" t="s">
        <v>427</v>
      </c>
      <c r="J2000" t="s">
        <v>14</v>
      </c>
      <c r="K2000" t="s">
        <v>15</v>
      </c>
    </row>
    <row r="2001" spans="1:11" hidden="1" x14ac:dyDescent="0.35">
      <c r="A2001" t="s">
        <v>16</v>
      </c>
      <c r="B2001" t="s">
        <v>17</v>
      </c>
      <c r="C2001">
        <v>28369</v>
      </c>
      <c r="D2001">
        <v>38360</v>
      </c>
      <c r="E2001" s="12">
        <v>45667</v>
      </c>
      <c r="F2001" s="12">
        <v>45950</v>
      </c>
      <c r="G2001" s="10">
        <v>6720</v>
      </c>
      <c r="H2001">
        <v>0</v>
      </c>
      <c r="I2001" t="s">
        <v>1643</v>
      </c>
      <c r="J2001" t="s">
        <v>18</v>
      </c>
      <c r="K2001" t="s">
        <v>15</v>
      </c>
    </row>
    <row r="2002" spans="1:11" hidden="1" x14ac:dyDescent="0.35">
      <c r="A2002" t="s">
        <v>16</v>
      </c>
      <c r="B2002" t="s">
        <v>17</v>
      </c>
      <c r="C2002">
        <v>27798</v>
      </c>
      <c r="D2002">
        <v>37616</v>
      </c>
      <c r="E2002" s="12">
        <v>45610</v>
      </c>
      <c r="F2002" s="12">
        <v>45950</v>
      </c>
      <c r="G2002" s="10">
        <v>1200</v>
      </c>
      <c r="H2002">
        <v>0</v>
      </c>
      <c r="I2002" t="s">
        <v>1538</v>
      </c>
      <c r="J2002" t="s">
        <v>18</v>
      </c>
      <c r="K2002" t="s">
        <v>15</v>
      </c>
    </row>
    <row r="2003" spans="1:11" hidden="1" x14ac:dyDescent="0.35">
      <c r="A2003" t="s">
        <v>16</v>
      </c>
      <c r="B2003" t="s">
        <v>17</v>
      </c>
      <c r="C2003">
        <v>26440</v>
      </c>
      <c r="D2003">
        <v>36068</v>
      </c>
      <c r="E2003" s="12">
        <v>45516</v>
      </c>
      <c r="F2003" s="12">
        <v>45950</v>
      </c>
      <c r="G2003" s="10">
        <v>109417.56</v>
      </c>
      <c r="H2003">
        <v>0</v>
      </c>
      <c r="I2003" t="s">
        <v>1485</v>
      </c>
      <c r="J2003" t="s">
        <v>18</v>
      </c>
      <c r="K2003" t="s">
        <v>15</v>
      </c>
    </row>
    <row r="2004" spans="1:11" hidden="1" x14ac:dyDescent="0.35">
      <c r="A2004" t="s">
        <v>309</v>
      </c>
      <c r="B2004" t="s">
        <v>310</v>
      </c>
      <c r="C2004">
        <v>29297</v>
      </c>
      <c r="D2004">
        <v>39498</v>
      </c>
      <c r="E2004" s="12">
        <v>45749</v>
      </c>
      <c r="F2004" s="12">
        <v>45959</v>
      </c>
      <c r="G2004" s="10">
        <v>26124</v>
      </c>
      <c r="H2004">
        <v>0</v>
      </c>
      <c r="I2004" t="s">
        <v>1022</v>
      </c>
      <c r="J2004" t="s">
        <v>312</v>
      </c>
      <c r="K2004" t="s">
        <v>15</v>
      </c>
    </row>
    <row r="2005" spans="1:11" hidden="1" x14ac:dyDescent="0.35">
      <c r="A2005" t="s">
        <v>261</v>
      </c>
      <c r="B2005" t="s">
        <v>262</v>
      </c>
      <c r="C2005">
        <v>28351</v>
      </c>
      <c r="D2005">
        <v>38336</v>
      </c>
      <c r="E2005" s="12">
        <v>45666</v>
      </c>
      <c r="F2005" s="12">
        <v>45960</v>
      </c>
      <c r="G2005" s="10">
        <v>122285</v>
      </c>
      <c r="H2005">
        <v>0</v>
      </c>
      <c r="I2005" t="s">
        <v>1153</v>
      </c>
      <c r="J2005" t="s">
        <v>18</v>
      </c>
      <c r="K2005" t="s">
        <v>15</v>
      </c>
    </row>
    <row r="2006" spans="1:11" hidden="1" x14ac:dyDescent="0.35">
      <c r="A2006" t="s">
        <v>261</v>
      </c>
      <c r="B2006" t="s">
        <v>262</v>
      </c>
      <c r="C2006">
        <v>28475</v>
      </c>
      <c r="D2006">
        <v>38474</v>
      </c>
      <c r="E2006" s="12">
        <v>45673</v>
      </c>
      <c r="F2006" s="12">
        <v>45960</v>
      </c>
      <c r="G2006" s="10">
        <v>248480</v>
      </c>
      <c r="H2006">
        <v>0</v>
      </c>
      <c r="I2006" t="s">
        <v>1067</v>
      </c>
      <c r="J2006" t="s">
        <v>18</v>
      </c>
      <c r="K2006" t="s">
        <v>15</v>
      </c>
    </row>
    <row r="2007" spans="1:11" hidden="1" x14ac:dyDescent="0.35">
      <c r="A2007" t="s">
        <v>558</v>
      </c>
      <c r="B2007" t="s">
        <v>559</v>
      </c>
      <c r="C2007">
        <v>28397</v>
      </c>
      <c r="D2007">
        <v>38395</v>
      </c>
      <c r="E2007" s="12">
        <v>45670</v>
      </c>
      <c r="F2007" s="12">
        <v>45960</v>
      </c>
      <c r="G2007" s="10">
        <v>94145</v>
      </c>
      <c r="H2007">
        <v>0</v>
      </c>
      <c r="I2007" t="s">
        <v>560</v>
      </c>
      <c r="J2007" t="s">
        <v>18</v>
      </c>
      <c r="K2007" t="s">
        <v>15</v>
      </c>
    </row>
    <row r="2008" spans="1:11" hidden="1" x14ac:dyDescent="0.35">
      <c r="A2008" t="s">
        <v>558</v>
      </c>
      <c r="B2008" t="s">
        <v>559</v>
      </c>
      <c r="C2008">
        <v>28477</v>
      </c>
      <c r="D2008">
        <v>38477</v>
      </c>
      <c r="E2008" s="12">
        <v>45673</v>
      </c>
      <c r="F2008" s="12">
        <v>45960</v>
      </c>
      <c r="G2008" s="10">
        <v>11400</v>
      </c>
      <c r="H2008">
        <v>0</v>
      </c>
      <c r="I2008" t="s">
        <v>889</v>
      </c>
      <c r="J2008" t="s">
        <v>18</v>
      </c>
      <c r="K2008" t="s">
        <v>15</v>
      </c>
    </row>
    <row r="2009" spans="1:11" hidden="1" x14ac:dyDescent="0.35">
      <c r="A2009" t="s">
        <v>261</v>
      </c>
      <c r="B2009" t="s">
        <v>262</v>
      </c>
      <c r="C2009">
        <v>28622</v>
      </c>
      <c r="D2009">
        <v>38655</v>
      </c>
      <c r="E2009" s="12">
        <v>45684</v>
      </c>
      <c r="F2009" s="12">
        <v>45960</v>
      </c>
      <c r="G2009" s="10">
        <v>20900</v>
      </c>
      <c r="H2009">
        <v>0</v>
      </c>
      <c r="I2009" t="s">
        <v>263</v>
      </c>
      <c r="J2009" t="s">
        <v>18</v>
      </c>
      <c r="K2009" t="s">
        <v>15</v>
      </c>
    </row>
    <row r="2010" spans="1:11" hidden="1" x14ac:dyDescent="0.35">
      <c r="A2010" t="s">
        <v>258</v>
      </c>
      <c r="B2010" t="s">
        <v>259</v>
      </c>
      <c r="C2010">
        <v>28911</v>
      </c>
      <c r="D2010">
        <v>39022</v>
      </c>
      <c r="E2010" s="12">
        <v>45705</v>
      </c>
      <c r="F2010" s="12">
        <v>45960</v>
      </c>
      <c r="G2010" s="10">
        <v>43160</v>
      </c>
      <c r="H2010">
        <v>0</v>
      </c>
      <c r="I2010" t="s">
        <v>260</v>
      </c>
      <c r="J2010" t="s">
        <v>18</v>
      </c>
      <c r="K2010" t="s">
        <v>15</v>
      </c>
    </row>
    <row r="2011" spans="1:11" hidden="1" x14ac:dyDescent="0.35">
      <c r="A2011" t="s">
        <v>252</v>
      </c>
      <c r="B2011" t="s">
        <v>253</v>
      </c>
      <c r="C2011">
        <v>28492</v>
      </c>
      <c r="D2011">
        <v>38494</v>
      </c>
      <c r="E2011" s="12">
        <v>45674</v>
      </c>
      <c r="F2011" s="12">
        <v>45960</v>
      </c>
      <c r="G2011" s="10">
        <v>176310</v>
      </c>
      <c r="H2011">
        <v>0</v>
      </c>
      <c r="I2011" t="s">
        <v>254</v>
      </c>
      <c r="J2011" t="s">
        <v>18</v>
      </c>
      <c r="K2011" t="s">
        <v>15</v>
      </c>
    </row>
    <row r="2012" spans="1:11" hidden="1" x14ac:dyDescent="0.35">
      <c r="A2012" t="s">
        <v>258</v>
      </c>
      <c r="B2012" t="s">
        <v>259</v>
      </c>
      <c r="C2012">
        <v>28660</v>
      </c>
      <c r="D2012">
        <v>38698</v>
      </c>
      <c r="E2012" s="12">
        <v>45685</v>
      </c>
      <c r="F2012" s="12">
        <v>45960</v>
      </c>
      <c r="G2012" s="10">
        <v>38000</v>
      </c>
      <c r="H2012">
        <v>0</v>
      </c>
      <c r="I2012" t="s">
        <v>260</v>
      </c>
      <c r="J2012" t="s">
        <v>18</v>
      </c>
      <c r="K2012" t="s">
        <v>15</v>
      </c>
    </row>
    <row r="2013" spans="1:11" hidden="1" x14ac:dyDescent="0.35">
      <c r="A2013" t="s">
        <v>261</v>
      </c>
      <c r="B2013" t="s">
        <v>262</v>
      </c>
      <c r="C2013">
        <v>28753</v>
      </c>
      <c r="D2013">
        <v>38831</v>
      </c>
      <c r="E2013" s="12">
        <v>45692</v>
      </c>
      <c r="F2013" s="12">
        <v>45960</v>
      </c>
      <c r="G2013" s="10">
        <v>20900</v>
      </c>
      <c r="H2013">
        <v>0</v>
      </c>
      <c r="I2013" t="s">
        <v>263</v>
      </c>
      <c r="J2013" t="s">
        <v>18</v>
      </c>
      <c r="K2013" t="s">
        <v>15</v>
      </c>
    </row>
    <row r="2014" spans="1:11" hidden="1" x14ac:dyDescent="0.35">
      <c r="A2014" t="s">
        <v>153</v>
      </c>
      <c r="B2014" t="s">
        <v>154</v>
      </c>
      <c r="C2014">
        <v>27654</v>
      </c>
      <c r="D2014">
        <v>37432</v>
      </c>
      <c r="E2014" s="12">
        <v>45596</v>
      </c>
      <c r="F2014" s="12">
        <v>45960</v>
      </c>
      <c r="G2014" s="10">
        <v>17445</v>
      </c>
      <c r="H2014">
        <v>0</v>
      </c>
      <c r="I2014" t="s">
        <v>471</v>
      </c>
      <c r="J2014" t="s">
        <v>99</v>
      </c>
      <c r="K2014" t="s">
        <v>15</v>
      </c>
    </row>
    <row r="2015" spans="1:11" hidden="1" x14ac:dyDescent="0.35">
      <c r="A2015" t="s">
        <v>482</v>
      </c>
      <c r="B2015" t="s">
        <v>483</v>
      </c>
      <c r="C2015">
        <v>28405</v>
      </c>
      <c r="D2015">
        <v>38402</v>
      </c>
      <c r="E2015" s="12">
        <v>45670</v>
      </c>
      <c r="F2015" s="12">
        <v>45960</v>
      </c>
      <c r="G2015" s="10">
        <v>51970</v>
      </c>
      <c r="H2015">
        <v>0</v>
      </c>
      <c r="I2015" t="s">
        <v>484</v>
      </c>
      <c r="J2015" t="s">
        <v>18</v>
      </c>
      <c r="K2015" t="s">
        <v>15</v>
      </c>
    </row>
    <row r="2016" spans="1:11" hidden="1" x14ac:dyDescent="0.35">
      <c r="A2016" t="s">
        <v>153</v>
      </c>
      <c r="B2016" t="s">
        <v>154</v>
      </c>
      <c r="C2016">
        <v>27655</v>
      </c>
      <c r="D2016">
        <v>37433</v>
      </c>
      <c r="E2016" s="12">
        <v>45596</v>
      </c>
      <c r="F2016" s="12">
        <v>45960</v>
      </c>
      <c r="G2016" s="10">
        <v>127077</v>
      </c>
      <c r="H2016">
        <v>0</v>
      </c>
      <c r="I2016" t="s">
        <v>280</v>
      </c>
      <c r="J2016" t="s">
        <v>99</v>
      </c>
      <c r="K2016" t="s">
        <v>15</v>
      </c>
    </row>
    <row r="2017" spans="1:11" hidden="1" x14ac:dyDescent="0.35">
      <c r="A2017" t="s">
        <v>153</v>
      </c>
      <c r="B2017" t="s">
        <v>154</v>
      </c>
      <c r="C2017">
        <v>28846</v>
      </c>
      <c r="D2017">
        <v>38936</v>
      </c>
      <c r="E2017" s="12">
        <v>45699</v>
      </c>
      <c r="F2017" s="12">
        <v>45960</v>
      </c>
      <c r="G2017" s="10">
        <v>139650</v>
      </c>
      <c r="H2017">
        <v>0</v>
      </c>
      <c r="I2017" t="s">
        <v>388</v>
      </c>
      <c r="J2017" t="s">
        <v>99</v>
      </c>
      <c r="K2017" t="s">
        <v>15</v>
      </c>
    </row>
    <row r="2018" spans="1:11" hidden="1" x14ac:dyDescent="0.35">
      <c r="A2018" t="s">
        <v>123</v>
      </c>
      <c r="B2018" t="s">
        <v>124</v>
      </c>
      <c r="C2018">
        <v>28619</v>
      </c>
      <c r="D2018">
        <v>38652</v>
      </c>
      <c r="E2018" s="12">
        <v>45684</v>
      </c>
      <c r="F2018" s="12">
        <v>45960</v>
      </c>
      <c r="G2018" s="10">
        <v>52035</v>
      </c>
      <c r="H2018">
        <v>0</v>
      </c>
      <c r="I2018" t="s">
        <v>448</v>
      </c>
      <c r="J2018" t="s">
        <v>18</v>
      </c>
      <c r="K2018" t="s">
        <v>15</v>
      </c>
    </row>
    <row r="2019" spans="1:11" hidden="1" x14ac:dyDescent="0.35">
      <c r="A2019" t="s">
        <v>258</v>
      </c>
      <c r="B2019" t="s">
        <v>259</v>
      </c>
      <c r="C2019">
        <v>28501</v>
      </c>
      <c r="D2019">
        <v>38502</v>
      </c>
      <c r="E2019" s="12">
        <v>45674</v>
      </c>
      <c r="F2019" s="12">
        <v>45960</v>
      </c>
      <c r="G2019" s="10">
        <v>205440</v>
      </c>
      <c r="H2019">
        <v>0</v>
      </c>
      <c r="I2019" t="s">
        <v>1266</v>
      </c>
      <c r="J2019" t="s">
        <v>18</v>
      </c>
      <c r="K2019" t="s">
        <v>15</v>
      </c>
    </row>
    <row r="2020" spans="1:11" hidden="1" x14ac:dyDescent="0.35">
      <c r="A2020" t="s">
        <v>153</v>
      </c>
      <c r="B2020" t="s">
        <v>154</v>
      </c>
      <c r="C2020">
        <v>28576</v>
      </c>
      <c r="D2020">
        <v>38599</v>
      </c>
      <c r="E2020" s="12">
        <v>45679</v>
      </c>
      <c r="F2020" s="12">
        <v>45960</v>
      </c>
      <c r="G2020" s="10">
        <v>25090</v>
      </c>
      <c r="H2020">
        <v>0</v>
      </c>
      <c r="I2020" t="s">
        <v>388</v>
      </c>
      <c r="J2020" t="s">
        <v>99</v>
      </c>
      <c r="K2020" t="s">
        <v>15</v>
      </c>
    </row>
    <row r="2021" spans="1:11" hidden="1" x14ac:dyDescent="0.35">
      <c r="A2021" t="s">
        <v>482</v>
      </c>
      <c r="B2021" t="s">
        <v>483</v>
      </c>
      <c r="C2021">
        <v>28478</v>
      </c>
      <c r="D2021">
        <v>38480</v>
      </c>
      <c r="E2021" s="12">
        <v>45673</v>
      </c>
      <c r="F2021" s="12">
        <v>45960</v>
      </c>
      <c r="G2021" s="10">
        <v>5700</v>
      </c>
      <c r="H2021">
        <v>0</v>
      </c>
      <c r="I2021" t="s">
        <v>1307</v>
      </c>
      <c r="J2021" t="s">
        <v>18</v>
      </c>
      <c r="K2021" t="s">
        <v>15</v>
      </c>
    </row>
    <row r="2022" spans="1:11" hidden="1" x14ac:dyDescent="0.35">
      <c r="A2022" t="s">
        <v>153</v>
      </c>
      <c r="B2022" t="s">
        <v>154</v>
      </c>
      <c r="C2022">
        <v>28391</v>
      </c>
      <c r="D2022">
        <v>38388</v>
      </c>
      <c r="E2022" s="12">
        <v>45670</v>
      </c>
      <c r="F2022" s="12">
        <v>45960</v>
      </c>
      <c r="G2022" s="10">
        <v>168000</v>
      </c>
      <c r="H2022">
        <v>0</v>
      </c>
      <c r="I2022" t="s">
        <v>155</v>
      </c>
      <c r="J2022" t="s">
        <v>99</v>
      </c>
      <c r="K2022" t="s">
        <v>15</v>
      </c>
    </row>
    <row r="2023" spans="1:11" hidden="1" x14ac:dyDescent="0.35">
      <c r="A2023" t="s">
        <v>123</v>
      </c>
      <c r="B2023" t="s">
        <v>124</v>
      </c>
      <c r="C2023">
        <v>28917</v>
      </c>
      <c r="D2023">
        <v>39028</v>
      </c>
      <c r="E2023" s="12">
        <v>45705</v>
      </c>
      <c r="F2023" s="12">
        <v>45960</v>
      </c>
      <c r="G2023" s="10">
        <v>12520</v>
      </c>
      <c r="H2023">
        <v>0</v>
      </c>
      <c r="I2023" t="s">
        <v>448</v>
      </c>
      <c r="J2023" t="s">
        <v>18</v>
      </c>
      <c r="K2023" t="s">
        <v>15</v>
      </c>
    </row>
    <row r="2024" spans="1:11" hidden="1" x14ac:dyDescent="0.35">
      <c r="A2024" t="s">
        <v>261</v>
      </c>
      <c r="B2024" t="s">
        <v>262</v>
      </c>
      <c r="C2024">
        <v>28754</v>
      </c>
      <c r="D2024">
        <v>38832</v>
      </c>
      <c r="E2024" s="12">
        <v>45692</v>
      </c>
      <c r="F2024" s="12">
        <v>45960</v>
      </c>
      <c r="G2024" s="10">
        <v>20140</v>
      </c>
      <c r="H2024">
        <v>0</v>
      </c>
      <c r="I2024" t="s">
        <v>263</v>
      </c>
      <c r="J2024" t="s">
        <v>18</v>
      </c>
      <c r="K2024" t="s">
        <v>15</v>
      </c>
    </row>
    <row r="2025" spans="1:11" hidden="1" x14ac:dyDescent="0.35">
      <c r="A2025" t="s">
        <v>153</v>
      </c>
      <c r="B2025" t="s">
        <v>154</v>
      </c>
      <c r="C2025">
        <v>26755</v>
      </c>
      <c r="D2025">
        <v>36418</v>
      </c>
      <c r="E2025" s="12">
        <v>45545</v>
      </c>
      <c r="F2025" s="12">
        <v>45960</v>
      </c>
      <c r="G2025" s="10">
        <v>18700</v>
      </c>
      <c r="H2025">
        <v>0</v>
      </c>
      <c r="I2025" t="s">
        <v>940</v>
      </c>
      <c r="J2025" t="s">
        <v>99</v>
      </c>
      <c r="K2025" t="s">
        <v>15</v>
      </c>
    </row>
    <row r="2026" spans="1:11" hidden="1" x14ac:dyDescent="0.35">
      <c r="A2026" t="s">
        <v>153</v>
      </c>
      <c r="B2026" t="s">
        <v>154</v>
      </c>
      <c r="C2026">
        <v>27766</v>
      </c>
      <c r="D2026">
        <v>37574</v>
      </c>
      <c r="E2026" s="12">
        <v>45609</v>
      </c>
      <c r="F2026" s="12">
        <v>45960</v>
      </c>
      <c r="G2026" s="10">
        <v>29580</v>
      </c>
      <c r="H2026">
        <v>0</v>
      </c>
      <c r="I2026" t="s">
        <v>388</v>
      </c>
      <c r="J2026" t="s">
        <v>99</v>
      </c>
      <c r="K2026" t="s">
        <v>15</v>
      </c>
    </row>
    <row r="2027" spans="1:11" hidden="1" x14ac:dyDescent="0.35">
      <c r="A2027" t="s">
        <v>153</v>
      </c>
      <c r="B2027" t="s">
        <v>154</v>
      </c>
      <c r="C2027">
        <v>27768</v>
      </c>
      <c r="D2027">
        <v>37576</v>
      </c>
      <c r="E2027" s="12">
        <v>45609</v>
      </c>
      <c r="F2027" s="12">
        <v>45960</v>
      </c>
      <c r="G2027" s="10">
        <v>101500</v>
      </c>
      <c r="H2027">
        <v>0</v>
      </c>
      <c r="I2027" t="s">
        <v>941</v>
      </c>
      <c r="J2027" t="s">
        <v>99</v>
      </c>
      <c r="K2027" t="s">
        <v>15</v>
      </c>
    </row>
    <row r="2028" spans="1:11" hidden="1" x14ac:dyDescent="0.35">
      <c r="A2028" t="s">
        <v>951</v>
      </c>
      <c r="B2028" t="s">
        <v>952</v>
      </c>
      <c r="C2028">
        <v>28500</v>
      </c>
      <c r="D2028">
        <v>38501</v>
      </c>
      <c r="E2028" s="12">
        <v>45674</v>
      </c>
      <c r="F2028" s="12">
        <v>45960</v>
      </c>
      <c r="G2028" s="10">
        <v>144360</v>
      </c>
      <c r="H2028">
        <v>0</v>
      </c>
      <c r="I2028" t="s">
        <v>953</v>
      </c>
      <c r="J2028" t="s">
        <v>18</v>
      </c>
      <c r="K2028" t="s">
        <v>15</v>
      </c>
    </row>
    <row r="2029" spans="1:11" hidden="1" x14ac:dyDescent="0.35">
      <c r="A2029" t="s">
        <v>261</v>
      </c>
      <c r="B2029" t="s">
        <v>262</v>
      </c>
      <c r="C2029">
        <v>28621</v>
      </c>
      <c r="D2029">
        <v>38654</v>
      </c>
      <c r="E2029" s="12">
        <v>45684</v>
      </c>
      <c r="F2029" s="12">
        <v>45960</v>
      </c>
      <c r="G2029" s="10">
        <v>20900</v>
      </c>
      <c r="H2029">
        <v>0</v>
      </c>
      <c r="I2029" t="s">
        <v>263</v>
      </c>
      <c r="J2029" t="s">
        <v>18</v>
      </c>
      <c r="K2029" t="s">
        <v>15</v>
      </c>
    </row>
    <row r="2030" spans="1:11" hidden="1" x14ac:dyDescent="0.35">
      <c r="A2030" t="s">
        <v>261</v>
      </c>
      <c r="B2030" t="s">
        <v>262</v>
      </c>
      <c r="C2030">
        <v>28352</v>
      </c>
      <c r="D2030">
        <v>38337</v>
      </c>
      <c r="E2030" s="12">
        <v>45666</v>
      </c>
      <c r="F2030" s="12">
        <v>45960</v>
      </c>
      <c r="G2030" s="10">
        <v>114475</v>
      </c>
      <c r="H2030">
        <v>0</v>
      </c>
      <c r="I2030" t="s">
        <v>387</v>
      </c>
      <c r="J2030" t="s">
        <v>18</v>
      </c>
      <c r="K2030" t="s">
        <v>15</v>
      </c>
    </row>
    <row r="2031" spans="1:11" hidden="1" x14ac:dyDescent="0.35">
      <c r="A2031" t="s">
        <v>153</v>
      </c>
      <c r="B2031" t="s">
        <v>154</v>
      </c>
      <c r="C2031">
        <v>28577</v>
      </c>
      <c r="D2031">
        <v>38600</v>
      </c>
      <c r="E2031" s="12">
        <v>45679</v>
      </c>
      <c r="F2031" s="12">
        <v>45960</v>
      </c>
      <c r="G2031" s="10">
        <v>36400</v>
      </c>
      <c r="H2031">
        <v>0</v>
      </c>
      <c r="I2031" t="s">
        <v>388</v>
      </c>
      <c r="J2031" t="s">
        <v>99</v>
      </c>
      <c r="K2031" t="s">
        <v>15</v>
      </c>
    </row>
    <row r="2032" spans="1:11" hidden="1" x14ac:dyDescent="0.35">
      <c r="A2032" t="s">
        <v>258</v>
      </c>
      <c r="B2032" t="s">
        <v>259</v>
      </c>
      <c r="C2032">
        <v>28327</v>
      </c>
      <c r="D2032">
        <v>38311</v>
      </c>
      <c r="E2032" s="12">
        <v>45665</v>
      </c>
      <c r="F2032" s="12">
        <v>45960</v>
      </c>
      <c r="G2032" s="10">
        <v>389400</v>
      </c>
      <c r="H2032">
        <v>0</v>
      </c>
      <c r="I2032" t="s">
        <v>446</v>
      </c>
      <c r="J2032" t="s">
        <v>18</v>
      </c>
      <c r="K2032" t="s">
        <v>15</v>
      </c>
    </row>
    <row r="2033" spans="1:11" hidden="1" x14ac:dyDescent="0.35">
      <c r="A2033" t="s">
        <v>258</v>
      </c>
      <c r="B2033" t="s">
        <v>259</v>
      </c>
      <c r="C2033">
        <v>28758</v>
      </c>
      <c r="D2033">
        <v>38836</v>
      </c>
      <c r="E2033" s="12">
        <v>45692</v>
      </c>
      <c r="F2033" s="12">
        <v>45960</v>
      </c>
      <c r="G2033" s="10">
        <v>22800</v>
      </c>
      <c r="H2033">
        <v>0</v>
      </c>
      <c r="I2033" t="s">
        <v>260</v>
      </c>
      <c r="J2033" t="s">
        <v>18</v>
      </c>
      <c r="K2033" t="s">
        <v>15</v>
      </c>
    </row>
    <row r="2034" spans="1:11" hidden="1" x14ac:dyDescent="0.35">
      <c r="A2034" t="s">
        <v>1311</v>
      </c>
      <c r="B2034" t="s">
        <v>1312</v>
      </c>
      <c r="C2034">
        <v>28617</v>
      </c>
      <c r="D2034">
        <v>38650</v>
      </c>
      <c r="E2034" s="12">
        <v>45684</v>
      </c>
      <c r="F2034" s="12">
        <v>45960</v>
      </c>
      <c r="G2034" s="10">
        <v>7600</v>
      </c>
      <c r="H2034">
        <v>0</v>
      </c>
      <c r="I2034" t="s">
        <v>1313</v>
      </c>
      <c r="J2034" t="s">
        <v>18</v>
      </c>
      <c r="K2034" t="s">
        <v>15</v>
      </c>
    </row>
    <row r="2035" spans="1:11" hidden="1" x14ac:dyDescent="0.35">
      <c r="A2035" t="s">
        <v>261</v>
      </c>
      <c r="B2035" t="s">
        <v>262</v>
      </c>
      <c r="C2035">
        <v>28971</v>
      </c>
      <c r="D2035">
        <v>39092</v>
      </c>
      <c r="E2035" s="12">
        <v>45707</v>
      </c>
      <c r="F2035" s="12">
        <v>45960</v>
      </c>
      <c r="G2035" s="10">
        <v>52000</v>
      </c>
      <c r="H2035">
        <v>0</v>
      </c>
      <c r="I2035" t="s">
        <v>263</v>
      </c>
      <c r="J2035" t="s">
        <v>18</v>
      </c>
      <c r="K2035" t="s">
        <v>15</v>
      </c>
    </row>
    <row r="2036" spans="1:11" hidden="1" x14ac:dyDescent="0.35">
      <c r="A2036" t="s">
        <v>1311</v>
      </c>
      <c r="B2036" t="s">
        <v>1312</v>
      </c>
      <c r="C2036">
        <v>28755</v>
      </c>
      <c r="D2036">
        <v>38833</v>
      </c>
      <c r="E2036" s="12">
        <v>45692</v>
      </c>
      <c r="F2036" s="12">
        <v>45960</v>
      </c>
      <c r="G2036" s="10">
        <v>16940</v>
      </c>
      <c r="H2036">
        <v>0</v>
      </c>
      <c r="I2036" t="s">
        <v>1313</v>
      </c>
      <c r="J2036" t="s">
        <v>18</v>
      </c>
      <c r="K2036" t="s">
        <v>15</v>
      </c>
    </row>
    <row r="2037" spans="1:11" hidden="1" x14ac:dyDescent="0.35">
      <c r="A2037" t="s">
        <v>166</v>
      </c>
      <c r="B2037" t="s">
        <v>167</v>
      </c>
      <c r="C2037">
        <v>28768</v>
      </c>
      <c r="D2037">
        <v>38849</v>
      </c>
      <c r="E2037" s="12">
        <v>45692</v>
      </c>
      <c r="F2037" s="12">
        <v>45960</v>
      </c>
      <c r="G2037" s="10">
        <v>312.2</v>
      </c>
      <c r="H2037">
        <v>0</v>
      </c>
      <c r="I2037" t="s">
        <v>168</v>
      </c>
      <c r="J2037" t="s">
        <v>18</v>
      </c>
      <c r="K2037" t="s">
        <v>15</v>
      </c>
    </row>
    <row r="2038" spans="1:11" hidden="1" x14ac:dyDescent="0.35">
      <c r="A2038" t="s">
        <v>261</v>
      </c>
      <c r="B2038" t="s">
        <v>262</v>
      </c>
      <c r="C2038">
        <v>28916</v>
      </c>
      <c r="D2038">
        <v>39027</v>
      </c>
      <c r="E2038" s="12">
        <v>45705</v>
      </c>
      <c r="F2038" s="12">
        <v>45960</v>
      </c>
      <c r="G2038" s="10">
        <v>42300</v>
      </c>
      <c r="H2038">
        <v>0</v>
      </c>
      <c r="I2038" t="s">
        <v>263</v>
      </c>
      <c r="J2038" t="s">
        <v>18</v>
      </c>
      <c r="K2038" t="s">
        <v>15</v>
      </c>
    </row>
    <row r="2039" spans="1:11" hidden="1" x14ac:dyDescent="0.35">
      <c r="A2039" t="s">
        <v>153</v>
      </c>
      <c r="B2039" t="s">
        <v>154</v>
      </c>
      <c r="C2039">
        <v>28292</v>
      </c>
      <c r="D2039">
        <v>38267</v>
      </c>
      <c r="E2039" s="12">
        <v>45663</v>
      </c>
      <c r="F2039" s="12">
        <v>45960</v>
      </c>
      <c r="G2039" s="10">
        <v>326540</v>
      </c>
      <c r="H2039">
        <v>0</v>
      </c>
      <c r="I2039" t="s">
        <v>1512</v>
      </c>
      <c r="J2039" t="s">
        <v>99</v>
      </c>
      <c r="K2039" t="s">
        <v>15</v>
      </c>
    </row>
    <row r="2040" spans="1:11" hidden="1" x14ac:dyDescent="0.35">
      <c r="A2040" t="s">
        <v>23</v>
      </c>
      <c r="B2040" t="s">
        <v>24</v>
      </c>
      <c r="C2040">
        <v>29003</v>
      </c>
      <c r="D2040">
        <v>39126</v>
      </c>
      <c r="E2040" s="12">
        <v>45708</v>
      </c>
      <c r="F2040" s="12">
        <v>45960</v>
      </c>
      <c r="G2040" s="10">
        <v>556959</v>
      </c>
      <c r="H2040">
        <v>0</v>
      </c>
      <c r="I2040" t="s">
        <v>1559</v>
      </c>
      <c r="J2040" t="s">
        <v>26</v>
      </c>
      <c r="K2040" t="s">
        <v>15</v>
      </c>
    </row>
    <row r="2041" spans="1:11" hidden="1" x14ac:dyDescent="0.35">
      <c r="A2041" t="s">
        <v>261</v>
      </c>
      <c r="B2041" t="s">
        <v>262</v>
      </c>
      <c r="C2041">
        <v>28915</v>
      </c>
      <c r="D2041">
        <v>39026</v>
      </c>
      <c r="E2041" s="12">
        <v>45705</v>
      </c>
      <c r="F2041" s="12">
        <v>45960</v>
      </c>
      <c r="G2041" s="10">
        <v>45580</v>
      </c>
      <c r="H2041">
        <v>0</v>
      </c>
      <c r="I2041" t="s">
        <v>263</v>
      </c>
      <c r="J2041" t="s">
        <v>18</v>
      </c>
      <c r="K2041" t="s">
        <v>15</v>
      </c>
    </row>
    <row r="2042" spans="1:11" hidden="1" x14ac:dyDescent="0.35">
      <c r="A2042" t="s">
        <v>153</v>
      </c>
      <c r="B2042" t="s">
        <v>154</v>
      </c>
      <c r="C2042">
        <v>29137</v>
      </c>
      <c r="D2042">
        <v>39300</v>
      </c>
      <c r="E2042" s="12">
        <v>45727</v>
      </c>
      <c r="F2042" s="12">
        <v>45960</v>
      </c>
      <c r="G2042" s="10">
        <v>404660</v>
      </c>
      <c r="H2042">
        <v>0</v>
      </c>
      <c r="I2042" t="s">
        <v>388</v>
      </c>
      <c r="J2042" t="s">
        <v>99</v>
      </c>
      <c r="K2042" t="s">
        <v>15</v>
      </c>
    </row>
    <row r="2043" spans="1:11" hidden="1" x14ac:dyDescent="0.35">
      <c r="A2043" t="s">
        <v>153</v>
      </c>
      <c r="B2043" t="s">
        <v>154</v>
      </c>
      <c r="C2043">
        <v>26754</v>
      </c>
      <c r="D2043">
        <v>36417</v>
      </c>
      <c r="E2043" s="12">
        <v>45545</v>
      </c>
      <c r="F2043" s="12">
        <v>45960</v>
      </c>
      <c r="G2043" s="10">
        <v>137776</v>
      </c>
      <c r="H2043">
        <v>0</v>
      </c>
      <c r="I2043" t="s">
        <v>1629</v>
      </c>
      <c r="J2043" t="s">
        <v>99</v>
      </c>
      <c r="K2043" t="s">
        <v>15</v>
      </c>
    </row>
    <row r="2044" spans="1:11" hidden="1" x14ac:dyDescent="0.35">
      <c r="A2044" t="s">
        <v>252</v>
      </c>
      <c r="B2044" t="s">
        <v>253</v>
      </c>
      <c r="C2044">
        <v>28985</v>
      </c>
      <c r="D2044">
        <v>39105</v>
      </c>
      <c r="E2044" s="12">
        <v>45707</v>
      </c>
      <c r="F2044" s="12">
        <v>45960</v>
      </c>
      <c r="G2044" s="10">
        <v>42120</v>
      </c>
      <c r="H2044">
        <v>0</v>
      </c>
      <c r="I2044" t="s">
        <v>1375</v>
      </c>
      <c r="J2044" t="s">
        <v>18</v>
      </c>
      <c r="K2044" t="s">
        <v>15</v>
      </c>
    </row>
    <row r="2045" spans="1:11" hidden="1" x14ac:dyDescent="0.35">
      <c r="A2045" t="s">
        <v>252</v>
      </c>
      <c r="B2045" t="s">
        <v>253</v>
      </c>
      <c r="C2045">
        <v>28615</v>
      </c>
      <c r="D2045">
        <v>38648</v>
      </c>
      <c r="E2045" s="12">
        <v>45684</v>
      </c>
      <c r="F2045" s="12">
        <v>45960</v>
      </c>
      <c r="G2045" s="10">
        <v>24700</v>
      </c>
      <c r="H2045">
        <v>0</v>
      </c>
      <c r="I2045" t="s">
        <v>1375</v>
      </c>
      <c r="J2045" t="s">
        <v>18</v>
      </c>
      <c r="K2045" t="s">
        <v>15</v>
      </c>
    </row>
    <row r="2046" spans="1:11" hidden="1" x14ac:dyDescent="0.35">
      <c r="A2046" t="s">
        <v>153</v>
      </c>
      <c r="B2046" t="s">
        <v>154</v>
      </c>
      <c r="C2046">
        <v>29237</v>
      </c>
      <c r="D2046">
        <v>39418</v>
      </c>
      <c r="E2046" s="12">
        <v>45736</v>
      </c>
      <c r="F2046" s="12">
        <v>45960</v>
      </c>
      <c r="G2046" s="10">
        <v>177740</v>
      </c>
      <c r="H2046">
        <v>0</v>
      </c>
      <c r="I2046" t="s">
        <v>388</v>
      </c>
      <c r="J2046" t="s">
        <v>99</v>
      </c>
      <c r="K2046" t="s">
        <v>15</v>
      </c>
    </row>
    <row r="2047" spans="1:11" hidden="1" x14ac:dyDescent="0.35">
      <c r="A2047" t="s">
        <v>258</v>
      </c>
      <c r="B2047" t="s">
        <v>259</v>
      </c>
      <c r="C2047">
        <v>28902</v>
      </c>
      <c r="D2047">
        <v>39011</v>
      </c>
      <c r="E2047" s="12">
        <v>45705</v>
      </c>
      <c r="F2047" s="12">
        <v>45960</v>
      </c>
      <c r="G2047" s="10">
        <v>104720</v>
      </c>
      <c r="H2047">
        <v>0</v>
      </c>
      <c r="I2047" t="s">
        <v>260</v>
      </c>
      <c r="J2047" t="s">
        <v>18</v>
      </c>
      <c r="K2047" t="s">
        <v>15</v>
      </c>
    </row>
    <row r="2048" spans="1:11" hidden="1" x14ac:dyDescent="0.35">
      <c r="A2048" t="s">
        <v>1311</v>
      </c>
      <c r="B2048" t="s">
        <v>1312</v>
      </c>
      <c r="C2048">
        <v>28919</v>
      </c>
      <c r="D2048">
        <v>39030</v>
      </c>
      <c r="E2048" s="12">
        <v>45705</v>
      </c>
      <c r="F2048" s="12">
        <v>45960</v>
      </c>
      <c r="G2048" s="10">
        <v>25920</v>
      </c>
      <c r="H2048">
        <v>0</v>
      </c>
      <c r="I2048" t="s">
        <v>1313</v>
      </c>
      <c r="J2048" t="s">
        <v>18</v>
      </c>
      <c r="K2048" t="s">
        <v>15</v>
      </c>
    </row>
    <row r="2049" spans="1:11" hidden="1" x14ac:dyDescent="0.35">
      <c r="A2049" t="s">
        <v>153</v>
      </c>
      <c r="B2049" t="s">
        <v>154</v>
      </c>
      <c r="C2049">
        <v>29136</v>
      </c>
      <c r="D2049">
        <v>39299</v>
      </c>
      <c r="E2049" s="12">
        <v>45727</v>
      </c>
      <c r="F2049" s="12">
        <v>45960</v>
      </c>
      <c r="G2049" s="10">
        <v>25650</v>
      </c>
      <c r="H2049">
        <v>0</v>
      </c>
      <c r="I2049" t="s">
        <v>388</v>
      </c>
      <c r="J2049" t="s">
        <v>99</v>
      </c>
      <c r="K2049" t="s">
        <v>15</v>
      </c>
    </row>
    <row r="2050" spans="1:11" hidden="1" x14ac:dyDescent="0.35">
      <c r="A2050" t="s">
        <v>261</v>
      </c>
      <c r="B2050" t="s">
        <v>262</v>
      </c>
      <c r="C2050">
        <v>28472</v>
      </c>
      <c r="D2050">
        <v>38471</v>
      </c>
      <c r="E2050" s="12">
        <v>45673</v>
      </c>
      <c r="F2050" s="12">
        <v>45960</v>
      </c>
      <c r="G2050" s="10">
        <v>97560</v>
      </c>
      <c r="H2050">
        <v>0</v>
      </c>
      <c r="I2050" t="s">
        <v>1583</v>
      </c>
      <c r="J2050" t="s">
        <v>18</v>
      </c>
      <c r="K2050" t="s">
        <v>15</v>
      </c>
    </row>
    <row r="2051" spans="1:11" hidden="1" x14ac:dyDescent="0.35">
      <c r="A2051" t="s">
        <v>261</v>
      </c>
      <c r="B2051" t="s">
        <v>262</v>
      </c>
      <c r="C2051">
        <v>28970</v>
      </c>
      <c r="D2051">
        <v>39091</v>
      </c>
      <c r="E2051" s="12">
        <v>45707</v>
      </c>
      <c r="F2051" s="12">
        <v>45960</v>
      </c>
      <c r="G2051" s="10">
        <v>20800</v>
      </c>
      <c r="H2051">
        <v>0</v>
      </c>
      <c r="I2051" t="s">
        <v>263</v>
      </c>
      <c r="J2051" t="s">
        <v>18</v>
      </c>
      <c r="K2051" t="s">
        <v>15</v>
      </c>
    </row>
    <row r="2052" spans="1:11" hidden="1" x14ac:dyDescent="0.35">
      <c r="A2052" t="s">
        <v>166</v>
      </c>
      <c r="B2052" t="s">
        <v>167</v>
      </c>
      <c r="C2052">
        <v>28491</v>
      </c>
      <c r="D2052">
        <v>38493</v>
      </c>
      <c r="E2052" s="12">
        <v>45674</v>
      </c>
      <c r="F2052" s="12">
        <v>45961</v>
      </c>
      <c r="G2052" s="10">
        <v>22120</v>
      </c>
      <c r="H2052">
        <v>0</v>
      </c>
      <c r="I2052" t="s">
        <v>687</v>
      </c>
      <c r="J2052" t="s">
        <v>18</v>
      </c>
      <c r="K2052" t="s">
        <v>15</v>
      </c>
    </row>
    <row r="2053" spans="1:11" hidden="1" x14ac:dyDescent="0.35">
      <c r="A2053" t="s">
        <v>166</v>
      </c>
      <c r="B2053" t="s">
        <v>167</v>
      </c>
      <c r="C2053">
        <v>28624</v>
      </c>
      <c r="D2053">
        <v>38656</v>
      </c>
      <c r="E2053" s="12">
        <v>45684</v>
      </c>
      <c r="F2053" s="12">
        <v>45961</v>
      </c>
      <c r="G2053" s="10">
        <v>23032.35</v>
      </c>
      <c r="H2053">
        <v>0</v>
      </c>
      <c r="I2053" t="s">
        <v>168</v>
      </c>
      <c r="J2053" t="s">
        <v>18</v>
      </c>
      <c r="K2053" t="s">
        <v>15</v>
      </c>
    </row>
    <row r="2054" spans="1:11" hidden="1" x14ac:dyDescent="0.35">
      <c r="A2054" t="s">
        <v>166</v>
      </c>
      <c r="B2054" t="s">
        <v>167</v>
      </c>
      <c r="C2054">
        <v>28490</v>
      </c>
      <c r="D2054">
        <v>38492</v>
      </c>
      <c r="E2054" s="12">
        <v>45674</v>
      </c>
      <c r="F2054" s="12">
        <v>45961</v>
      </c>
      <c r="G2054" s="10">
        <v>120972</v>
      </c>
      <c r="H2054">
        <v>0</v>
      </c>
      <c r="I2054" t="s">
        <v>1333</v>
      </c>
      <c r="J2054" t="s">
        <v>18</v>
      </c>
      <c r="K2054" t="s">
        <v>15</v>
      </c>
    </row>
    <row r="2055" spans="1:11" hidden="1" x14ac:dyDescent="0.35">
      <c r="A2055" t="s">
        <v>594</v>
      </c>
      <c r="B2055" t="s">
        <v>595</v>
      </c>
      <c r="C2055">
        <v>28986</v>
      </c>
      <c r="D2055">
        <v>39108</v>
      </c>
      <c r="E2055" s="12">
        <v>45708</v>
      </c>
      <c r="F2055" s="12">
        <v>45978</v>
      </c>
      <c r="G2055" s="10">
        <v>40000</v>
      </c>
      <c r="H2055">
        <v>0</v>
      </c>
      <c r="I2055" t="s">
        <v>596</v>
      </c>
      <c r="J2055" t="s">
        <v>58</v>
      </c>
      <c r="K2055" t="s">
        <v>15</v>
      </c>
    </row>
    <row r="2056" spans="1:11" hidden="1" x14ac:dyDescent="0.35">
      <c r="A2056" t="s">
        <v>16</v>
      </c>
      <c r="B2056" t="s">
        <v>17</v>
      </c>
      <c r="C2056">
        <v>27063</v>
      </c>
      <c r="D2056">
        <v>36756</v>
      </c>
      <c r="E2056" s="12">
        <v>45559</v>
      </c>
      <c r="F2056" s="12">
        <v>45982</v>
      </c>
      <c r="G2056" s="10">
        <v>123719.16</v>
      </c>
      <c r="H2056">
        <v>0</v>
      </c>
      <c r="I2056" t="s">
        <v>838</v>
      </c>
      <c r="J2056" t="s">
        <v>18</v>
      </c>
      <c r="K2056" t="s">
        <v>15</v>
      </c>
    </row>
    <row r="2057" spans="1:11" hidden="1" x14ac:dyDescent="0.35">
      <c r="A2057" t="s">
        <v>16</v>
      </c>
      <c r="B2057" t="s">
        <v>17</v>
      </c>
      <c r="C2057">
        <v>27185</v>
      </c>
      <c r="D2057">
        <v>36875</v>
      </c>
      <c r="E2057" s="12">
        <v>45565</v>
      </c>
      <c r="F2057" s="12">
        <v>45982</v>
      </c>
      <c r="G2057" s="10">
        <v>41080</v>
      </c>
      <c r="H2057">
        <v>0</v>
      </c>
      <c r="I2057" t="s">
        <v>521</v>
      </c>
      <c r="J2057" t="s">
        <v>18</v>
      </c>
      <c r="K2057" t="s">
        <v>15</v>
      </c>
    </row>
    <row r="2058" spans="1:11" hidden="1" x14ac:dyDescent="0.35">
      <c r="A2058" t="s">
        <v>16</v>
      </c>
      <c r="B2058" t="s">
        <v>17</v>
      </c>
      <c r="C2058">
        <v>27285</v>
      </c>
      <c r="D2058">
        <v>36999</v>
      </c>
      <c r="E2058" s="12">
        <v>45569</v>
      </c>
      <c r="F2058" s="12">
        <v>45982</v>
      </c>
      <c r="G2058" s="10">
        <v>11180</v>
      </c>
      <c r="H2058">
        <v>0</v>
      </c>
      <c r="I2058" t="s">
        <v>522</v>
      </c>
      <c r="J2058" t="s">
        <v>18</v>
      </c>
      <c r="K2058" t="s">
        <v>15</v>
      </c>
    </row>
    <row r="2059" spans="1:11" hidden="1" x14ac:dyDescent="0.35">
      <c r="A2059" t="s">
        <v>16</v>
      </c>
      <c r="B2059" t="s">
        <v>17</v>
      </c>
      <c r="C2059">
        <v>27092</v>
      </c>
      <c r="D2059">
        <v>36790</v>
      </c>
      <c r="E2059" s="12">
        <v>45561</v>
      </c>
      <c r="F2059" s="12">
        <v>45982</v>
      </c>
      <c r="G2059" s="10">
        <v>122953.2</v>
      </c>
      <c r="H2059">
        <v>0</v>
      </c>
      <c r="I2059" t="s">
        <v>964</v>
      </c>
      <c r="J2059" t="s">
        <v>18</v>
      </c>
      <c r="K2059" t="s">
        <v>15</v>
      </c>
    </row>
    <row r="2060" spans="1:11" hidden="1" x14ac:dyDescent="0.35">
      <c r="A2060" t="s">
        <v>16</v>
      </c>
      <c r="B2060" t="s">
        <v>17</v>
      </c>
      <c r="C2060">
        <v>28282</v>
      </c>
      <c r="D2060">
        <v>38253</v>
      </c>
      <c r="E2060" s="12">
        <v>45659</v>
      </c>
      <c r="F2060" s="12">
        <v>45982</v>
      </c>
      <c r="G2060" s="10">
        <v>139739.88</v>
      </c>
      <c r="H2060">
        <v>0</v>
      </c>
      <c r="I2060" t="s">
        <v>1219</v>
      </c>
      <c r="J2060" t="s">
        <v>18</v>
      </c>
      <c r="K2060" t="s">
        <v>15</v>
      </c>
    </row>
    <row r="2061" spans="1:11" hidden="1" x14ac:dyDescent="0.35">
      <c r="A2061" t="s">
        <v>397</v>
      </c>
      <c r="B2061" t="s">
        <v>398</v>
      </c>
      <c r="C2061">
        <v>27886</v>
      </c>
      <c r="D2061">
        <v>37734</v>
      </c>
      <c r="E2061" s="12">
        <v>45622</v>
      </c>
      <c r="F2061" s="12">
        <v>45982</v>
      </c>
      <c r="G2061" s="10">
        <v>86730</v>
      </c>
      <c r="H2061">
        <v>0</v>
      </c>
      <c r="I2061" t="s">
        <v>514</v>
      </c>
      <c r="J2061" t="s">
        <v>48</v>
      </c>
      <c r="K2061" t="s">
        <v>15</v>
      </c>
    </row>
    <row r="2062" spans="1:11" hidden="1" x14ac:dyDescent="0.35">
      <c r="A2062" t="s">
        <v>16</v>
      </c>
      <c r="B2062" t="s">
        <v>17</v>
      </c>
      <c r="C2062">
        <v>27186</v>
      </c>
      <c r="D2062">
        <v>36876</v>
      </c>
      <c r="E2062" s="12">
        <v>45565</v>
      </c>
      <c r="F2062" s="12">
        <v>45982</v>
      </c>
      <c r="G2062" s="10">
        <v>34320</v>
      </c>
      <c r="H2062">
        <v>0</v>
      </c>
      <c r="I2062" t="s">
        <v>465</v>
      </c>
      <c r="J2062" t="s">
        <v>18</v>
      </c>
      <c r="K2062" t="s">
        <v>15</v>
      </c>
    </row>
    <row r="2063" spans="1:11" hidden="1" x14ac:dyDescent="0.35">
      <c r="A2063" t="s">
        <v>16</v>
      </c>
      <c r="B2063" t="s">
        <v>17</v>
      </c>
      <c r="C2063">
        <v>28510</v>
      </c>
      <c r="D2063">
        <v>38511</v>
      </c>
      <c r="E2063" s="12">
        <v>45674</v>
      </c>
      <c r="F2063" s="12">
        <v>45982</v>
      </c>
      <c r="G2063" s="10">
        <v>21280</v>
      </c>
      <c r="H2063">
        <v>0</v>
      </c>
      <c r="I2063" t="s">
        <v>882</v>
      </c>
      <c r="J2063" t="s">
        <v>18</v>
      </c>
      <c r="K2063" t="s">
        <v>15</v>
      </c>
    </row>
    <row r="2064" spans="1:11" hidden="1" x14ac:dyDescent="0.35">
      <c r="A2064" t="s">
        <v>16</v>
      </c>
      <c r="B2064" t="s">
        <v>17</v>
      </c>
      <c r="C2064">
        <v>27286</v>
      </c>
      <c r="D2064">
        <v>37000</v>
      </c>
      <c r="E2064" s="12">
        <v>45569</v>
      </c>
      <c r="F2064" s="12">
        <v>45982</v>
      </c>
      <c r="G2064" s="10">
        <v>4195.3999999999996</v>
      </c>
      <c r="H2064">
        <v>0</v>
      </c>
      <c r="I2064" t="s">
        <v>314</v>
      </c>
      <c r="J2064" t="s">
        <v>18</v>
      </c>
      <c r="K2064" t="s">
        <v>15</v>
      </c>
    </row>
    <row r="2065" spans="1:11" hidden="1" x14ac:dyDescent="0.35">
      <c r="A2065" t="s">
        <v>16</v>
      </c>
      <c r="B2065" t="s">
        <v>17</v>
      </c>
      <c r="C2065">
        <v>28369</v>
      </c>
      <c r="D2065">
        <v>38360</v>
      </c>
      <c r="E2065" s="12">
        <v>45667</v>
      </c>
      <c r="F2065" s="12">
        <v>45982</v>
      </c>
      <c r="G2065" s="10">
        <v>6720</v>
      </c>
      <c r="H2065">
        <v>0</v>
      </c>
      <c r="I2065" t="s">
        <v>1643</v>
      </c>
      <c r="J2065" t="s">
        <v>18</v>
      </c>
      <c r="K2065" t="s">
        <v>15</v>
      </c>
    </row>
    <row r="2066" spans="1:11" hidden="1" x14ac:dyDescent="0.35">
      <c r="A2066" t="s">
        <v>16</v>
      </c>
      <c r="B2066" t="s">
        <v>17</v>
      </c>
      <c r="C2066">
        <v>27798</v>
      </c>
      <c r="D2066">
        <v>37616</v>
      </c>
      <c r="E2066" s="12">
        <v>45610</v>
      </c>
      <c r="F2066" s="12">
        <v>45982</v>
      </c>
      <c r="G2066" s="10">
        <v>1200</v>
      </c>
      <c r="H2066">
        <v>0</v>
      </c>
      <c r="I2066" t="s">
        <v>1538</v>
      </c>
      <c r="J2066" t="s">
        <v>18</v>
      </c>
      <c r="K2066" t="s">
        <v>15</v>
      </c>
    </row>
    <row r="2067" spans="1:11" hidden="1" x14ac:dyDescent="0.35">
      <c r="A2067" t="s">
        <v>16</v>
      </c>
      <c r="B2067" t="s">
        <v>17</v>
      </c>
      <c r="C2067">
        <v>26440</v>
      </c>
      <c r="D2067">
        <v>36068</v>
      </c>
      <c r="E2067" s="12">
        <v>45516</v>
      </c>
      <c r="F2067" s="12">
        <v>45982</v>
      </c>
      <c r="G2067" s="10">
        <v>109417.56</v>
      </c>
      <c r="H2067">
        <v>0</v>
      </c>
      <c r="I2067" t="s">
        <v>1485</v>
      </c>
      <c r="J2067" t="s">
        <v>18</v>
      </c>
      <c r="K2067" t="s">
        <v>15</v>
      </c>
    </row>
    <row r="2068" spans="1:11" hidden="1" x14ac:dyDescent="0.35">
      <c r="A2068" t="s">
        <v>397</v>
      </c>
      <c r="B2068" t="s">
        <v>398</v>
      </c>
      <c r="C2068">
        <v>27962</v>
      </c>
      <c r="D2068">
        <v>37830</v>
      </c>
      <c r="E2068" s="12">
        <v>45626</v>
      </c>
      <c r="F2068" s="12">
        <v>45986</v>
      </c>
      <c r="G2068" s="10">
        <v>46000</v>
      </c>
      <c r="H2068">
        <v>0</v>
      </c>
      <c r="I2068" t="s">
        <v>1396</v>
      </c>
      <c r="J2068" t="s">
        <v>48</v>
      </c>
      <c r="K2068" t="s">
        <v>15</v>
      </c>
    </row>
    <row r="2069" spans="1:11" hidden="1" x14ac:dyDescent="0.35">
      <c r="A2069" t="s">
        <v>397</v>
      </c>
      <c r="B2069" t="s">
        <v>398</v>
      </c>
      <c r="C2069">
        <v>28355</v>
      </c>
      <c r="D2069">
        <v>38342</v>
      </c>
      <c r="E2069" s="12">
        <v>45666</v>
      </c>
      <c r="F2069" s="12">
        <v>46027</v>
      </c>
      <c r="G2069" s="10">
        <v>12500</v>
      </c>
      <c r="H2069">
        <v>0</v>
      </c>
      <c r="I2069" t="s">
        <v>635</v>
      </c>
      <c r="J2069" t="s">
        <v>48</v>
      </c>
      <c r="K2069" t="s">
        <v>15</v>
      </c>
    </row>
    <row r="2070" spans="1:11" hidden="1" x14ac:dyDescent="0.35">
      <c r="A2070" t="s">
        <v>397</v>
      </c>
      <c r="B2070" t="s">
        <v>398</v>
      </c>
      <c r="C2070">
        <v>28799</v>
      </c>
      <c r="D2070">
        <v>38884</v>
      </c>
      <c r="E2070" s="12">
        <v>45693</v>
      </c>
      <c r="F2070" s="12">
        <v>46055</v>
      </c>
      <c r="G2070" s="10">
        <v>18400</v>
      </c>
      <c r="H2070">
        <v>0</v>
      </c>
      <c r="I2070" t="s">
        <v>1141</v>
      </c>
      <c r="J2070" t="s">
        <v>48</v>
      </c>
      <c r="K2070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C7CB-217F-467C-87F3-08D0D65A818A}">
  <sheetPr>
    <tabColor theme="5" tint="0.59999389629810485"/>
  </sheetPr>
  <dimension ref="A1:K96"/>
  <sheetViews>
    <sheetView showGridLines="0" tabSelected="1" zoomScale="76" workbookViewId="0">
      <pane ySplit="1" topLeftCell="A2" activePane="bottomLeft" state="frozen"/>
      <selection pane="bottomLeft" sqref="A1:K96"/>
    </sheetView>
  </sheetViews>
  <sheetFormatPr defaultRowHeight="14.5" x14ac:dyDescent="0.35"/>
  <cols>
    <col min="1" max="1" width="12.7265625" bestFit="1" customWidth="1"/>
    <col min="2" max="2" width="51.08984375" bestFit="1" customWidth="1"/>
    <col min="3" max="3" width="12.6328125" bestFit="1" customWidth="1"/>
    <col min="4" max="4" width="9.6328125" bestFit="1" customWidth="1"/>
    <col min="5" max="5" width="11.1796875" bestFit="1" customWidth="1"/>
    <col min="6" max="6" width="14.1796875" bestFit="1" customWidth="1"/>
    <col min="7" max="7" width="14.453125" bestFit="1" customWidth="1"/>
    <col min="8" max="8" width="13.453125" bestFit="1" customWidth="1"/>
    <col min="9" max="9" width="28.81640625" bestFit="1" customWidth="1"/>
    <col min="10" max="10" width="25.08984375" bestFit="1" customWidth="1"/>
    <col min="11" max="11" width="1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13" t="s">
        <v>112</v>
      </c>
      <c r="B2" s="13" t="s">
        <v>113</v>
      </c>
      <c r="C2" s="13">
        <v>20750</v>
      </c>
      <c r="D2" s="13">
        <v>29860</v>
      </c>
      <c r="E2" s="14">
        <v>44844</v>
      </c>
      <c r="F2" s="14">
        <v>45076</v>
      </c>
      <c r="G2" s="15">
        <v>296573.94</v>
      </c>
      <c r="H2" s="13">
        <v>673</v>
      </c>
      <c r="I2" s="13" t="s">
        <v>343</v>
      </c>
      <c r="J2" s="13" t="s">
        <v>115</v>
      </c>
      <c r="K2" s="13" t="s">
        <v>15</v>
      </c>
    </row>
    <row r="3" spans="1:11" x14ac:dyDescent="0.35">
      <c r="A3" s="13" t="s">
        <v>112</v>
      </c>
      <c r="B3" s="13" t="s">
        <v>113</v>
      </c>
      <c r="C3" s="13">
        <v>20867</v>
      </c>
      <c r="D3" s="13">
        <v>29996</v>
      </c>
      <c r="E3" s="14">
        <v>44858</v>
      </c>
      <c r="F3" s="14">
        <v>45076</v>
      </c>
      <c r="G3" s="15">
        <v>104000</v>
      </c>
      <c r="H3" s="13">
        <v>673</v>
      </c>
      <c r="I3" s="13" t="s">
        <v>344</v>
      </c>
      <c r="J3" s="13" t="s">
        <v>115</v>
      </c>
      <c r="K3" s="13" t="s">
        <v>15</v>
      </c>
    </row>
    <row r="4" spans="1:11" x14ac:dyDescent="0.35">
      <c r="A4" s="13" t="s">
        <v>112</v>
      </c>
      <c r="B4" s="13" t="s">
        <v>113</v>
      </c>
      <c r="C4" s="13">
        <v>20847</v>
      </c>
      <c r="D4" s="13">
        <v>29968</v>
      </c>
      <c r="E4" s="14">
        <v>44854</v>
      </c>
      <c r="F4" s="14">
        <v>45076</v>
      </c>
      <c r="G4" s="15">
        <v>67036.320000000007</v>
      </c>
      <c r="H4" s="13">
        <v>673</v>
      </c>
      <c r="I4" s="13" t="s">
        <v>1500</v>
      </c>
      <c r="J4" s="13" t="s">
        <v>115</v>
      </c>
      <c r="K4" s="13" t="s">
        <v>15</v>
      </c>
    </row>
    <row r="5" spans="1:11" x14ac:dyDescent="0.35">
      <c r="A5" s="13" t="s">
        <v>112</v>
      </c>
      <c r="B5" s="13" t="s">
        <v>113</v>
      </c>
      <c r="C5" s="13">
        <v>21739</v>
      </c>
      <c r="D5" s="13">
        <v>30890</v>
      </c>
      <c r="E5" s="14">
        <v>44961</v>
      </c>
      <c r="F5" s="14">
        <v>45168</v>
      </c>
      <c r="G5" s="15">
        <v>22000</v>
      </c>
      <c r="H5" s="13">
        <v>581</v>
      </c>
      <c r="I5" s="13" t="s">
        <v>619</v>
      </c>
      <c r="J5" s="13" t="s">
        <v>115</v>
      </c>
      <c r="K5" s="13" t="s">
        <v>15</v>
      </c>
    </row>
    <row r="6" spans="1:11" x14ac:dyDescent="0.35">
      <c r="A6" s="13" t="s">
        <v>112</v>
      </c>
      <c r="B6" s="13" t="s">
        <v>113</v>
      </c>
      <c r="C6" s="13">
        <v>21546</v>
      </c>
      <c r="D6" s="13">
        <v>30701</v>
      </c>
      <c r="E6" s="14">
        <v>44944</v>
      </c>
      <c r="F6" s="14">
        <v>45168</v>
      </c>
      <c r="G6" s="15">
        <v>15600</v>
      </c>
      <c r="H6" s="13">
        <v>581</v>
      </c>
      <c r="I6" s="13" t="s">
        <v>601</v>
      </c>
      <c r="J6" s="13" t="s">
        <v>115</v>
      </c>
      <c r="K6" s="13" t="s">
        <v>15</v>
      </c>
    </row>
    <row r="7" spans="1:11" x14ac:dyDescent="0.35">
      <c r="A7" s="13" t="s">
        <v>112</v>
      </c>
      <c r="B7" s="13" t="s">
        <v>113</v>
      </c>
      <c r="C7" s="13">
        <v>21379</v>
      </c>
      <c r="D7" s="13">
        <v>30540</v>
      </c>
      <c r="E7" s="14">
        <v>44921</v>
      </c>
      <c r="F7" s="14">
        <v>45168</v>
      </c>
      <c r="G7" s="15">
        <v>248695</v>
      </c>
      <c r="H7" s="13">
        <v>581</v>
      </c>
      <c r="I7" s="13" t="s">
        <v>1182</v>
      </c>
      <c r="J7" s="13" t="s">
        <v>115</v>
      </c>
      <c r="K7" s="13" t="s">
        <v>15</v>
      </c>
    </row>
    <row r="8" spans="1:11" x14ac:dyDescent="0.35">
      <c r="A8" s="13" t="s">
        <v>112</v>
      </c>
      <c r="B8" s="13" t="s">
        <v>113</v>
      </c>
      <c r="C8" s="13">
        <v>21617</v>
      </c>
      <c r="D8" s="13">
        <v>30775</v>
      </c>
      <c r="E8" s="14">
        <v>44950</v>
      </c>
      <c r="F8" s="14">
        <v>45168</v>
      </c>
      <c r="G8" s="15">
        <v>353500</v>
      </c>
      <c r="H8" s="13">
        <v>581</v>
      </c>
      <c r="I8" s="13" t="s">
        <v>1599</v>
      </c>
      <c r="J8" s="13" t="s">
        <v>115</v>
      </c>
      <c r="K8" s="13" t="s">
        <v>15</v>
      </c>
    </row>
    <row r="9" spans="1:11" x14ac:dyDescent="0.35">
      <c r="A9" s="13" t="s">
        <v>112</v>
      </c>
      <c r="B9" s="13" t="s">
        <v>113</v>
      </c>
      <c r="C9" s="13">
        <v>21616</v>
      </c>
      <c r="D9" s="13">
        <v>30774</v>
      </c>
      <c r="E9" s="14">
        <v>44950</v>
      </c>
      <c r="F9" s="14">
        <v>45199</v>
      </c>
      <c r="G9" s="15">
        <v>335040</v>
      </c>
      <c r="H9" s="13">
        <v>550</v>
      </c>
      <c r="I9" s="13" t="s">
        <v>688</v>
      </c>
      <c r="J9" s="13" t="s">
        <v>115</v>
      </c>
      <c r="K9" s="13" t="s">
        <v>15</v>
      </c>
    </row>
    <row r="10" spans="1:11" x14ac:dyDescent="0.35">
      <c r="A10" s="13" t="s">
        <v>112</v>
      </c>
      <c r="B10" s="13" t="s">
        <v>113</v>
      </c>
      <c r="C10" s="13">
        <v>21740</v>
      </c>
      <c r="D10" s="13">
        <v>30891</v>
      </c>
      <c r="E10" s="14">
        <v>44961</v>
      </c>
      <c r="F10" s="14">
        <v>45199</v>
      </c>
      <c r="G10" s="15">
        <v>168960</v>
      </c>
      <c r="H10" s="13">
        <v>550</v>
      </c>
      <c r="I10" s="13" t="s">
        <v>779</v>
      </c>
      <c r="J10" s="13" t="s">
        <v>115</v>
      </c>
      <c r="K10" s="13" t="s">
        <v>15</v>
      </c>
    </row>
    <row r="11" spans="1:11" x14ac:dyDescent="0.35">
      <c r="A11" s="13" t="s">
        <v>112</v>
      </c>
      <c r="B11" s="13" t="s">
        <v>113</v>
      </c>
      <c r="C11" s="13">
        <v>21707</v>
      </c>
      <c r="D11" s="13">
        <v>30862</v>
      </c>
      <c r="E11" s="14">
        <v>44959</v>
      </c>
      <c r="F11" s="14">
        <v>45199</v>
      </c>
      <c r="G11" s="15">
        <v>330000</v>
      </c>
      <c r="H11" s="13">
        <v>550</v>
      </c>
      <c r="I11" s="13" t="s">
        <v>114</v>
      </c>
      <c r="J11" s="13" t="s">
        <v>115</v>
      </c>
      <c r="K11" s="13" t="s">
        <v>15</v>
      </c>
    </row>
    <row r="12" spans="1:11" x14ac:dyDescent="0.35">
      <c r="A12" s="13" t="s">
        <v>112</v>
      </c>
      <c r="B12" s="13" t="s">
        <v>113</v>
      </c>
      <c r="C12" s="13">
        <v>21548</v>
      </c>
      <c r="D12" s="13">
        <v>30703</v>
      </c>
      <c r="E12" s="14">
        <v>44944</v>
      </c>
      <c r="F12" s="14">
        <v>45199</v>
      </c>
      <c r="G12" s="15">
        <v>270000</v>
      </c>
      <c r="H12" s="13">
        <v>550</v>
      </c>
      <c r="I12" s="13" t="s">
        <v>428</v>
      </c>
      <c r="J12" s="13" t="s">
        <v>115</v>
      </c>
      <c r="K12" s="13" t="s">
        <v>15</v>
      </c>
    </row>
    <row r="13" spans="1:11" x14ac:dyDescent="0.35">
      <c r="A13" s="13" t="s">
        <v>112</v>
      </c>
      <c r="B13" s="13" t="s">
        <v>113</v>
      </c>
      <c r="C13" s="13">
        <v>21711</v>
      </c>
      <c r="D13" s="13">
        <v>30866</v>
      </c>
      <c r="E13" s="14">
        <v>44959</v>
      </c>
      <c r="F13" s="14">
        <v>45199</v>
      </c>
      <c r="G13" s="15">
        <v>160000</v>
      </c>
      <c r="H13" s="13">
        <v>550</v>
      </c>
      <c r="I13" s="13" t="s">
        <v>1544</v>
      </c>
      <c r="J13" s="13" t="s">
        <v>115</v>
      </c>
      <c r="K13" s="13" t="s">
        <v>15</v>
      </c>
    </row>
    <row r="14" spans="1:11" x14ac:dyDescent="0.35">
      <c r="A14" s="13" t="s">
        <v>11</v>
      </c>
      <c r="B14" s="13" t="s">
        <v>12</v>
      </c>
      <c r="C14" s="13">
        <v>23868</v>
      </c>
      <c r="D14" s="13">
        <v>33222</v>
      </c>
      <c r="E14" s="14">
        <v>45222</v>
      </c>
      <c r="F14" s="14">
        <v>45402</v>
      </c>
      <c r="G14" s="15">
        <v>108000</v>
      </c>
      <c r="H14" s="13">
        <v>347</v>
      </c>
      <c r="I14" s="13" t="s">
        <v>172</v>
      </c>
      <c r="J14" s="13" t="s">
        <v>14</v>
      </c>
      <c r="K14" s="13" t="s">
        <v>15</v>
      </c>
    </row>
    <row r="15" spans="1:11" x14ac:dyDescent="0.35">
      <c r="A15" s="13" t="s">
        <v>11</v>
      </c>
      <c r="B15" s="13" t="s">
        <v>12</v>
      </c>
      <c r="C15" s="13">
        <v>23855</v>
      </c>
      <c r="D15" s="13">
        <v>33209</v>
      </c>
      <c r="E15" s="14">
        <v>45222</v>
      </c>
      <c r="F15" s="14">
        <v>45402</v>
      </c>
      <c r="G15" s="15">
        <v>45040.65</v>
      </c>
      <c r="H15" s="13">
        <v>347</v>
      </c>
      <c r="I15" s="13" t="s">
        <v>710</v>
      </c>
      <c r="J15" s="13" t="s">
        <v>14</v>
      </c>
      <c r="K15" s="13" t="s">
        <v>15</v>
      </c>
    </row>
    <row r="16" spans="1:11" x14ac:dyDescent="0.35">
      <c r="A16" s="13" t="s">
        <v>11</v>
      </c>
      <c r="B16" s="13" t="s">
        <v>12</v>
      </c>
      <c r="C16" s="13">
        <v>23861</v>
      </c>
      <c r="D16" s="13">
        <v>33215</v>
      </c>
      <c r="E16" s="14">
        <v>45222</v>
      </c>
      <c r="F16" s="14">
        <v>45402</v>
      </c>
      <c r="G16" s="15">
        <v>112500</v>
      </c>
      <c r="H16" s="13">
        <v>347</v>
      </c>
      <c r="I16" s="13" t="s">
        <v>502</v>
      </c>
      <c r="J16" s="13" t="s">
        <v>14</v>
      </c>
      <c r="K16" s="13" t="s">
        <v>15</v>
      </c>
    </row>
    <row r="17" spans="1:11" x14ac:dyDescent="0.35">
      <c r="A17" s="13" t="s">
        <v>11</v>
      </c>
      <c r="B17" s="13" t="s">
        <v>12</v>
      </c>
      <c r="C17" s="13">
        <v>23862</v>
      </c>
      <c r="D17" s="13">
        <v>33216</v>
      </c>
      <c r="E17" s="14">
        <v>45222</v>
      </c>
      <c r="F17" s="14">
        <v>45402</v>
      </c>
      <c r="G17" s="15">
        <v>27000</v>
      </c>
      <c r="H17" s="13">
        <v>347</v>
      </c>
      <c r="I17" s="13" t="s">
        <v>1296</v>
      </c>
      <c r="J17" s="13" t="s">
        <v>14</v>
      </c>
      <c r="K17" s="13" t="s">
        <v>15</v>
      </c>
    </row>
    <row r="18" spans="1:11" x14ac:dyDescent="0.35">
      <c r="A18" s="13" t="s">
        <v>11</v>
      </c>
      <c r="B18" s="13" t="s">
        <v>12</v>
      </c>
      <c r="C18" s="13">
        <v>23859</v>
      </c>
      <c r="D18" s="13">
        <v>33213</v>
      </c>
      <c r="E18" s="14">
        <v>45222</v>
      </c>
      <c r="F18" s="14">
        <v>45402</v>
      </c>
      <c r="G18" s="15">
        <v>112500</v>
      </c>
      <c r="H18" s="13">
        <v>347</v>
      </c>
      <c r="I18" s="13" t="s">
        <v>1321</v>
      </c>
      <c r="J18" s="13" t="s">
        <v>14</v>
      </c>
      <c r="K18" s="13" t="s">
        <v>15</v>
      </c>
    </row>
    <row r="19" spans="1:11" x14ac:dyDescent="0.35">
      <c r="A19" s="13" t="s">
        <v>11</v>
      </c>
      <c r="B19" s="13" t="s">
        <v>12</v>
      </c>
      <c r="C19" s="13">
        <v>23856</v>
      </c>
      <c r="D19" s="13">
        <v>33210</v>
      </c>
      <c r="E19" s="14">
        <v>45222</v>
      </c>
      <c r="F19" s="14">
        <v>45402</v>
      </c>
      <c r="G19" s="15">
        <v>75000</v>
      </c>
      <c r="H19" s="13">
        <v>347</v>
      </c>
      <c r="I19" s="13" t="s">
        <v>1534</v>
      </c>
      <c r="J19" s="13" t="s">
        <v>14</v>
      </c>
      <c r="K19" s="13" t="s">
        <v>15</v>
      </c>
    </row>
    <row r="20" spans="1:11" x14ac:dyDescent="0.35">
      <c r="A20" s="13" t="s">
        <v>11</v>
      </c>
      <c r="B20" s="13" t="s">
        <v>12</v>
      </c>
      <c r="C20" s="13">
        <v>23870</v>
      </c>
      <c r="D20" s="13">
        <v>33224</v>
      </c>
      <c r="E20" s="14">
        <v>45222</v>
      </c>
      <c r="F20" s="14">
        <v>45402</v>
      </c>
      <c r="G20" s="15">
        <v>56250</v>
      </c>
      <c r="H20" s="13">
        <v>347</v>
      </c>
      <c r="I20" s="13" t="s">
        <v>1345</v>
      </c>
      <c r="J20" s="13" t="s">
        <v>14</v>
      </c>
      <c r="K20" s="13" t="s">
        <v>15</v>
      </c>
    </row>
    <row r="21" spans="1:11" x14ac:dyDescent="0.35">
      <c r="A21" s="13" t="s">
        <v>11</v>
      </c>
      <c r="B21" s="13" t="s">
        <v>12</v>
      </c>
      <c r="C21" s="13">
        <v>23560</v>
      </c>
      <c r="D21" s="13">
        <v>32888</v>
      </c>
      <c r="E21" s="14">
        <v>45194</v>
      </c>
      <c r="F21" s="14">
        <v>45404</v>
      </c>
      <c r="G21" s="15">
        <v>123872</v>
      </c>
      <c r="H21" s="13">
        <v>345</v>
      </c>
      <c r="I21" s="13" t="s">
        <v>517</v>
      </c>
      <c r="J21" s="13" t="s">
        <v>14</v>
      </c>
      <c r="K21" s="13" t="s">
        <v>15</v>
      </c>
    </row>
    <row r="22" spans="1:11" x14ac:dyDescent="0.35">
      <c r="A22" s="13" t="s">
        <v>11</v>
      </c>
      <c r="B22" s="13" t="s">
        <v>12</v>
      </c>
      <c r="C22" s="13">
        <v>23559</v>
      </c>
      <c r="D22" s="13">
        <v>32887</v>
      </c>
      <c r="E22" s="14">
        <v>45194</v>
      </c>
      <c r="F22" s="14">
        <v>45404</v>
      </c>
      <c r="G22" s="15">
        <v>39000</v>
      </c>
      <c r="H22" s="13">
        <v>345</v>
      </c>
      <c r="I22" s="13" t="s">
        <v>1320</v>
      </c>
      <c r="J22" s="13" t="s">
        <v>14</v>
      </c>
      <c r="K22" s="13" t="s">
        <v>15</v>
      </c>
    </row>
    <row r="23" spans="1:11" x14ac:dyDescent="0.35">
      <c r="A23" s="13" t="s">
        <v>11</v>
      </c>
      <c r="B23" s="13" t="s">
        <v>12</v>
      </c>
      <c r="C23" s="13">
        <v>23871</v>
      </c>
      <c r="D23" s="13">
        <v>33225</v>
      </c>
      <c r="E23" s="14">
        <v>45222</v>
      </c>
      <c r="F23" s="14">
        <v>45432</v>
      </c>
      <c r="G23" s="15">
        <v>41413</v>
      </c>
      <c r="H23" s="13">
        <v>317</v>
      </c>
      <c r="I23" s="13" t="s">
        <v>319</v>
      </c>
      <c r="J23" s="13" t="s">
        <v>14</v>
      </c>
      <c r="K23" s="13" t="s">
        <v>15</v>
      </c>
    </row>
    <row r="24" spans="1:11" x14ac:dyDescent="0.35">
      <c r="A24" s="13" t="s">
        <v>11</v>
      </c>
      <c r="B24" s="13" t="s">
        <v>12</v>
      </c>
      <c r="C24" s="13">
        <v>23858</v>
      </c>
      <c r="D24" s="13">
        <v>33212</v>
      </c>
      <c r="E24" s="14">
        <v>45222</v>
      </c>
      <c r="F24" s="14">
        <v>45432</v>
      </c>
      <c r="G24" s="15">
        <v>22375</v>
      </c>
      <c r="H24" s="13">
        <v>317</v>
      </c>
      <c r="I24" s="13" t="s">
        <v>390</v>
      </c>
      <c r="J24" s="13" t="s">
        <v>14</v>
      </c>
      <c r="K24" s="13" t="s">
        <v>15</v>
      </c>
    </row>
    <row r="25" spans="1:11" x14ac:dyDescent="0.35">
      <c r="A25" s="13" t="s">
        <v>11</v>
      </c>
      <c r="B25" s="13" t="s">
        <v>12</v>
      </c>
      <c r="C25" s="13">
        <v>23874</v>
      </c>
      <c r="D25" s="13">
        <v>33228</v>
      </c>
      <c r="E25" s="14">
        <v>45222</v>
      </c>
      <c r="F25" s="14">
        <v>45432</v>
      </c>
      <c r="G25" s="15">
        <v>37930</v>
      </c>
      <c r="H25" s="13">
        <v>317</v>
      </c>
      <c r="I25" s="13" t="s">
        <v>1369</v>
      </c>
      <c r="J25" s="13" t="s">
        <v>14</v>
      </c>
      <c r="K25" s="13" t="s">
        <v>15</v>
      </c>
    </row>
    <row r="26" spans="1:11" x14ac:dyDescent="0.35">
      <c r="A26" s="13" t="s">
        <v>11</v>
      </c>
      <c r="B26" s="13" t="s">
        <v>12</v>
      </c>
      <c r="C26" s="13">
        <v>24608</v>
      </c>
      <c r="D26" s="13">
        <v>34078</v>
      </c>
      <c r="E26" s="14">
        <v>45307</v>
      </c>
      <c r="F26" s="14">
        <v>45457</v>
      </c>
      <c r="G26" s="15">
        <v>216000</v>
      </c>
      <c r="H26" s="13">
        <v>292</v>
      </c>
      <c r="I26" s="13" t="s">
        <v>13</v>
      </c>
      <c r="J26" s="13" t="s">
        <v>14</v>
      </c>
      <c r="K26" s="13" t="s">
        <v>15</v>
      </c>
    </row>
    <row r="27" spans="1:11" x14ac:dyDescent="0.35">
      <c r="A27" s="13" t="s">
        <v>11</v>
      </c>
      <c r="B27" s="13" t="s">
        <v>12</v>
      </c>
      <c r="C27" s="13">
        <v>24613</v>
      </c>
      <c r="D27" s="13">
        <v>34082</v>
      </c>
      <c r="E27" s="14">
        <v>45307</v>
      </c>
      <c r="F27" s="14">
        <v>45457</v>
      </c>
      <c r="G27" s="15">
        <v>126000</v>
      </c>
      <c r="H27" s="13">
        <v>292</v>
      </c>
      <c r="I27" s="13" t="s">
        <v>517</v>
      </c>
      <c r="J27" s="13" t="s">
        <v>14</v>
      </c>
      <c r="K27" s="13" t="s">
        <v>15</v>
      </c>
    </row>
    <row r="28" spans="1:11" x14ac:dyDescent="0.35">
      <c r="A28" s="13" t="s">
        <v>11</v>
      </c>
      <c r="B28" s="13" t="s">
        <v>12</v>
      </c>
      <c r="C28" s="13">
        <v>24612</v>
      </c>
      <c r="D28" s="13">
        <v>34081</v>
      </c>
      <c r="E28" s="14">
        <v>45307</v>
      </c>
      <c r="F28" s="14">
        <v>45457</v>
      </c>
      <c r="G28" s="15">
        <v>243000</v>
      </c>
      <c r="H28" s="13">
        <v>292</v>
      </c>
      <c r="I28" s="13" t="s">
        <v>1114</v>
      </c>
      <c r="J28" s="13" t="s">
        <v>14</v>
      </c>
      <c r="K28" s="13" t="s">
        <v>15</v>
      </c>
    </row>
    <row r="29" spans="1:11" x14ac:dyDescent="0.35">
      <c r="A29" s="13" t="s">
        <v>11</v>
      </c>
      <c r="B29" s="13" t="s">
        <v>12</v>
      </c>
      <c r="C29" s="13">
        <v>24609</v>
      </c>
      <c r="D29" s="13">
        <v>34079</v>
      </c>
      <c r="E29" s="14">
        <v>45307</v>
      </c>
      <c r="F29" s="14">
        <v>45457</v>
      </c>
      <c r="G29" s="15">
        <v>84000</v>
      </c>
      <c r="H29" s="13">
        <v>292</v>
      </c>
      <c r="I29" s="13" t="s">
        <v>1501</v>
      </c>
      <c r="J29" s="13" t="s">
        <v>14</v>
      </c>
      <c r="K29" s="13" t="s">
        <v>15</v>
      </c>
    </row>
    <row r="30" spans="1:11" x14ac:dyDescent="0.35">
      <c r="A30" s="13" t="s">
        <v>11</v>
      </c>
      <c r="B30" s="13" t="s">
        <v>12</v>
      </c>
      <c r="C30" s="13">
        <v>24635</v>
      </c>
      <c r="D30" s="13">
        <v>34106</v>
      </c>
      <c r="E30" s="14">
        <v>45309</v>
      </c>
      <c r="F30" s="14">
        <v>45460</v>
      </c>
      <c r="G30" s="15">
        <v>251400</v>
      </c>
      <c r="H30" s="13">
        <v>289</v>
      </c>
      <c r="I30" s="13" t="s">
        <v>1235</v>
      </c>
      <c r="J30" s="13" t="s">
        <v>14</v>
      </c>
      <c r="K30" s="13" t="s">
        <v>15</v>
      </c>
    </row>
    <row r="31" spans="1:11" x14ac:dyDescent="0.35">
      <c r="A31" s="13" t="s">
        <v>11</v>
      </c>
      <c r="B31" s="13" t="s">
        <v>12</v>
      </c>
      <c r="C31" s="13">
        <v>24649</v>
      </c>
      <c r="D31" s="13">
        <v>34120</v>
      </c>
      <c r="E31" s="14">
        <v>45309</v>
      </c>
      <c r="F31" s="14">
        <v>45460</v>
      </c>
      <c r="G31" s="15">
        <v>250560</v>
      </c>
      <c r="H31" s="13">
        <v>289</v>
      </c>
      <c r="I31" s="13" t="s">
        <v>934</v>
      </c>
      <c r="J31" s="13" t="s">
        <v>14</v>
      </c>
      <c r="K31" s="13" t="s">
        <v>15</v>
      </c>
    </row>
    <row r="32" spans="1:11" x14ac:dyDescent="0.35">
      <c r="A32" s="13" t="s">
        <v>11</v>
      </c>
      <c r="B32" s="13" t="s">
        <v>12</v>
      </c>
      <c r="C32" s="13">
        <v>23871</v>
      </c>
      <c r="D32" s="13">
        <v>33225</v>
      </c>
      <c r="E32" s="14">
        <v>45222</v>
      </c>
      <c r="F32" s="14">
        <v>45462</v>
      </c>
      <c r="G32" s="15">
        <v>41413</v>
      </c>
      <c r="H32" s="13">
        <v>287</v>
      </c>
      <c r="I32" s="13" t="s">
        <v>319</v>
      </c>
      <c r="J32" s="13" t="s">
        <v>14</v>
      </c>
      <c r="K32" s="13" t="s">
        <v>15</v>
      </c>
    </row>
    <row r="33" spans="1:11" x14ac:dyDescent="0.35">
      <c r="A33" s="13" t="s">
        <v>11</v>
      </c>
      <c r="B33" s="13" t="s">
        <v>12</v>
      </c>
      <c r="C33" s="13">
        <v>23858</v>
      </c>
      <c r="D33" s="13">
        <v>33212</v>
      </c>
      <c r="E33" s="14">
        <v>45222</v>
      </c>
      <c r="F33" s="14">
        <v>45462</v>
      </c>
      <c r="G33" s="15">
        <v>22375</v>
      </c>
      <c r="H33" s="13">
        <v>287</v>
      </c>
      <c r="I33" s="13" t="s">
        <v>390</v>
      </c>
      <c r="J33" s="13" t="s">
        <v>14</v>
      </c>
      <c r="K33" s="13" t="s">
        <v>15</v>
      </c>
    </row>
    <row r="34" spans="1:11" x14ac:dyDescent="0.35">
      <c r="A34" s="13" t="s">
        <v>11</v>
      </c>
      <c r="B34" s="13" t="s">
        <v>12</v>
      </c>
      <c r="C34" s="13">
        <v>23874</v>
      </c>
      <c r="D34" s="13">
        <v>33228</v>
      </c>
      <c r="E34" s="14">
        <v>45222</v>
      </c>
      <c r="F34" s="14">
        <v>45462</v>
      </c>
      <c r="G34" s="15">
        <v>38180</v>
      </c>
      <c r="H34" s="13">
        <v>287</v>
      </c>
      <c r="I34" s="13" t="s">
        <v>1369</v>
      </c>
      <c r="J34" s="13" t="s">
        <v>14</v>
      </c>
      <c r="K34" s="13" t="s">
        <v>15</v>
      </c>
    </row>
    <row r="35" spans="1:11" x14ac:dyDescent="0.35">
      <c r="A35" s="13" t="s">
        <v>11</v>
      </c>
      <c r="B35" s="13" t="s">
        <v>12</v>
      </c>
      <c r="C35" s="13">
        <v>24673</v>
      </c>
      <c r="D35" s="13">
        <v>34148</v>
      </c>
      <c r="E35" s="14">
        <v>45313</v>
      </c>
      <c r="F35" s="14">
        <v>45463</v>
      </c>
      <c r="G35" s="15">
        <v>198720</v>
      </c>
      <c r="H35" s="13">
        <v>286</v>
      </c>
      <c r="I35" s="13" t="s">
        <v>1502</v>
      </c>
      <c r="J35" s="13" t="s">
        <v>14</v>
      </c>
      <c r="K35" s="13" t="s">
        <v>15</v>
      </c>
    </row>
    <row r="36" spans="1:11" x14ac:dyDescent="0.35">
      <c r="A36" s="13" t="s">
        <v>11</v>
      </c>
      <c r="B36" s="13" t="s">
        <v>12</v>
      </c>
      <c r="C36" s="13">
        <v>24868</v>
      </c>
      <c r="D36" s="13">
        <v>34358</v>
      </c>
      <c r="E36" s="14">
        <v>45323</v>
      </c>
      <c r="F36" s="14">
        <v>45474</v>
      </c>
      <c r="G36" s="15">
        <v>57900</v>
      </c>
      <c r="H36" s="13">
        <v>275</v>
      </c>
      <c r="I36" s="13" t="s">
        <v>1080</v>
      </c>
      <c r="J36" s="13" t="s">
        <v>14</v>
      </c>
      <c r="K36" s="13" t="s">
        <v>15</v>
      </c>
    </row>
    <row r="37" spans="1:11" x14ac:dyDescent="0.35">
      <c r="A37" s="13" t="s">
        <v>11</v>
      </c>
      <c r="B37" s="13" t="s">
        <v>12</v>
      </c>
      <c r="C37" s="13">
        <v>24876</v>
      </c>
      <c r="D37" s="13">
        <v>34365</v>
      </c>
      <c r="E37" s="14">
        <v>45324</v>
      </c>
      <c r="F37" s="14">
        <v>45474</v>
      </c>
      <c r="G37" s="15">
        <v>310000</v>
      </c>
      <c r="H37" s="13">
        <v>275</v>
      </c>
      <c r="I37" s="13" t="s">
        <v>1221</v>
      </c>
      <c r="J37" s="13" t="s">
        <v>14</v>
      </c>
      <c r="K37" s="13" t="s">
        <v>15</v>
      </c>
    </row>
    <row r="38" spans="1:11" x14ac:dyDescent="0.35">
      <c r="A38" s="13" t="s">
        <v>11</v>
      </c>
      <c r="B38" s="13" t="s">
        <v>12</v>
      </c>
      <c r="C38" s="13">
        <v>24867</v>
      </c>
      <c r="D38" s="13">
        <v>34357</v>
      </c>
      <c r="E38" s="14">
        <v>45323</v>
      </c>
      <c r="F38" s="14">
        <v>45474</v>
      </c>
      <c r="G38" s="15">
        <v>222000</v>
      </c>
      <c r="H38" s="13">
        <v>275</v>
      </c>
      <c r="I38" s="13" t="s">
        <v>798</v>
      </c>
      <c r="J38" s="13" t="s">
        <v>14</v>
      </c>
      <c r="K38" s="13" t="s">
        <v>15</v>
      </c>
    </row>
    <row r="39" spans="1:11" x14ac:dyDescent="0.35">
      <c r="A39" s="13" t="s">
        <v>11</v>
      </c>
      <c r="B39" s="13" t="s">
        <v>12</v>
      </c>
      <c r="C39" s="13">
        <v>24871</v>
      </c>
      <c r="D39" s="13">
        <v>34361</v>
      </c>
      <c r="E39" s="14">
        <v>45323</v>
      </c>
      <c r="F39" s="14">
        <v>45474</v>
      </c>
      <c r="G39" s="15">
        <v>87000</v>
      </c>
      <c r="H39" s="13">
        <v>275</v>
      </c>
      <c r="I39" s="13" t="s">
        <v>817</v>
      </c>
      <c r="J39" s="13" t="s">
        <v>14</v>
      </c>
      <c r="K39" s="13" t="s">
        <v>15</v>
      </c>
    </row>
    <row r="40" spans="1:11" x14ac:dyDescent="0.35">
      <c r="A40" s="13" t="s">
        <v>11</v>
      </c>
      <c r="B40" s="13" t="s">
        <v>12</v>
      </c>
      <c r="C40" s="13">
        <v>24872</v>
      </c>
      <c r="D40" s="13">
        <v>34362</v>
      </c>
      <c r="E40" s="14">
        <v>45323</v>
      </c>
      <c r="F40" s="14">
        <v>45474</v>
      </c>
      <c r="G40" s="15">
        <v>42000</v>
      </c>
      <c r="H40" s="13">
        <v>275</v>
      </c>
      <c r="I40" s="13" t="s">
        <v>1484</v>
      </c>
      <c r="J40" s="13" t="s">
        <v>14</v>
      </c>
      <c r="K40" s="13" t="s">
        <v>15</v>
      </c>
    </row>
    <row r="41" spans="1:11" x14ac:dyDescent="0.35">
      <c r="A41" s="13" t="s">
        <v>11</v>
      </c>
      <c r="B41" s="13" t="s">
        <v>12</v>
      </c>
      <c r="C41" s="13">
        <v>24892</v>
      </c>
      <c r="D41" s="13">
        <v>34383</v>
      </c>
      <c r="E41" s="14">
        <v>45327</v>
      </c>
      <c r="F41" s="14">
        <v>45477</v>
      </c>
      <c r="G41" s="15">
        <v>240000</v>
      </c>
      <c r="H41" s="13">
        <v>272</v>
      </c>
      <c r="I41" s="13" t="s">
        <v>640</v>
      </c>
      <c r="J41" s="13" t="s">
        <v>14</v>
      </c>
      <c r="K41" s="13" t="s">
        <v>15</v>
      </c>
    </row>
    <row r="42" spans="1:11" x14ac:dyDescent="0.35">
      <c r="A42" s="13" t="s">
        <v>11</v>
      </c>
      <c r="B42" s="13" t="s">
        <v>12</v>
      </c>
      <c r="C42" s="13">
        <v>24925</v>
      </c>
      <c r="D42" s="13">
        <v>34416</v>
      </c>
      <c r="E42" s="14">
        <v>45328</v>
      </c>
      <c r="F42" s="14">
        <v>45478</v>
      </c>
      <c r="G42" s="15">
        <v>106600</v>
      </c>
      <c r="H42" s="13">
        <v>271</v>
      </c>
      <c r="I42" s="13" t="s">
        <v>1142</v>
      </c>
      <c r="J42" s="13" t="s">
        <v>14</v>
      </c>
      <c r="K42" s="13" t="s">
        <v>15</v>
      </c>
    </row>
    <row r="43" spans="1:11" x14ac:dyDescent="0.35">
      <c r="A43" s="13" t="s">
        <v>11</v>
      </c>
      <c r="B43" s="13" t="s">
        <v>12</v>
      </c>
      <c r="C43" s="13">
        <v>24924</v>
      </c>
      <c r="D43" s="13">
        <v>34415</v>
      </c>
      <c r="E43" s="14">
        <v>45328</v>
      </c>
      <c r="F43" s="14">
        <v>45478</v>
      </c>
      <c r="G43" s="15">
        <v>34600</v>
      </c>
      <c r="H43" s="13">
        <v>271</v>
      </c>
      <c r="I43" s="13" t="s">
        <v>1666</v>
      </c>
      <c r="J43" s="13" t="s">
        <v>14</v>
      </c>
      <c r="K43" s="13" t="s">
        <v>15</v>
      </c>
    </row>
    <row r="44" spans="1:11" x14ac:dyDescent="0.35">
      <c r="A44" s="13" t="s">
        <v>163</v>
      </c>
      <c r="B44" s="13" t="s">
        <v>164</v>
      </c>
      <c r="C44" s="13">
        <v>24652</v>
      </c>
      <c r="D44" s="13">
        <v>34123</v>
      </c>
      <c r="E44" s="14">
        <v>45310</v>
      </c>
      <c r="F44" s="14">
        <v>45534</v>
      </c>
      <c r="G44" s="15">
        <v>92064.07</v>
      </c>
      <c r="H44" s="13">
        <v>215</v>
      </c>
      <c r="I44" s="13" t="s">
        <v>1202</v>
      </c>
      <c r="J44" s="13" t="s">
        <v>107</v>
      </c>
      <c r="K44" s="13" t="s">
        <v>15</v>
      </c>
    </row>
    <row r="45" spans="1:11" x14ac:dyDescent="0.35">
      <c r="A45" s="13" t="s">
        <v>163</v>
      </c>
      <c r="B45" s="13" t="s">
        <v>164</v>
      </c>
      <c r="C45" s="13">
        <v>24576</v>
      </c>
      <c r="D45" s="13">
        <v>34042</v>
      </c>
      <c r="E45" s="14">
        <v>45302</v>
      </c>
      <c r="F45" s="14">
        <v>45534</v>
      </c>
      <c r="G45" s="15">
        <v>184300</v>
      </c>
      <c r="H45" s="13">
        <v>215</v>
      </c>
      <c r="I45" s="13" t="s">
        <v>1220</v>
      </c>
      <c r="J45" s="13" t="s">
        <v>107</v>
      </c>
      <c r="K45" s="13" t="s">
        <v>15</v>
      </c>
    </row>
    <row r="46" spans="1:11" x14ac:dyDescent="0.35">
      <c r="A46" s="13" t="s">
        <v>163</v>
      </c>
      <c r="B46" s="13" t="s">
        <v>164</v>
      </c>
      <c r="C46" s="13">
        <v>24789</v>
      </c>
      <c r="D46" s="13">
        <v>34276</v>
      </c>
      <c r="E46" s="14">
        <v>45321</v>
      </c>
      <c r="F46" s="14">
        <v>45534</v>
      </c>
      <c r="G46" s="15">
        <v>158360</v>
      </c>
      <c r="H46" s="13">
        <v>215</v>
      </c>
      <c r="I46" s="13" t="s">
        <v>536</v>
      </c>
      <c r="J46" s="13" t="s">
        <v>107</v>
      </c>
      <c r="K46" s="13" t="s">
        <v>15</v>
      </c>
    </row>
    <row r="47" spans="1:11" x14ac:dyDescent="0.35">
      <c r="A47" s="13" t="s">
        <v>163</v>
      </c>
      <c r="B47" s="13" t="s">
        <v>164</v>
      </c>
      <c r="C47" s="13">
        <v>25154</v>
      </c>
      <c r="D47" s="13">
        <v>34651</v>
      </c>
      <c r="E47" s="14">
        <v>45345</v>
      </c>
      <c r="F47" s="14">
        <v>45534</v>
      </c>
      <c r="G47" s="15">
        <v>67890</v>
      </c>
      <c r="H47" s="13">
        <v>215</v>
      </c>
      <c r="I47" s="13" t="s">
        <v>537</v>
      </c>
      <c r="J47" s="13" t="s">
        <v>107</v>
      </c>
      <c r="K47" s="13" t="s">
        <v>15</v>
      </c>
    </row>
    <row r="48" spans="1:11" x14ac:dyDescent="0.35">
      <c r="A48" s="13" t="s">
        <v>163</v>
      </c>
      <c r="B48" s="13" t="s">
        <v>164</v>
      </c>
      <c r="C48" s="13">
        <v>25149</v>
      </c>
      <c r="D48" s="13">
        <v>34643</v>
      </c>
      <c r="E48" s="14">
        <v>45344</v>
      </c>
      <c r="F48" s="14">
        <v>45534</v>
      </c>
      <c r="G48" s="15">
        <v>95046</v>
      </c>
      <c r="H48" s="13">
        <v>215</v>
      </c>
      <c r="I48" s="13" t="s">
        <v>935</v>
      </c>
      <c r="J48" s="13" t="s">
        <v>107</v>
      </c>
      <c r="K48" s="13" t="s">
        <v>15</v>
      </c>
    </row>
    <row r="49" spans="1:11" x14ac:dyDescent="0.35">
      <c r="A49" s="13" t="s">
        <v>163</v>
      </c>
      <c r="B49" s="13" t="s">
        <v>164</v>
      </c>
      <c r="C49" s="13">
        <v>25148</v>
      </c>
      <c r="D49" s="13">
        <v>34642</v>
      </c>
      <c r="E49" s="14">
        <v>45344</v>
      </c>
      <c r="F49" s="14">
        <v>45534</v>
      </c>
      <c r="G49" s="15">
        <v>68480</v>
      </c>
      <c r="H49" s="13">
        <v>215</v>
      </c>
      <c r="I49" s="13" t="s">
        <v>300</v>
      </c>
      <c r="J49" s="13" t="s">
        <v>107</v>
      </c>
      <c r="K49" s="13" t="s">
        <v>15</v>
      </c>
    </row>
    <row r="50" spans="1:11" x14ac:dyDescent="0.35">
      <c r="A50" s="13" t="s">
        <v>163</v>
      </c>
      <c r="B50" s="13" t="s">
        <v>164</v>
      </c>
      <c r="C50" s="13">
        <v>24998</v>
      </c>
      <c r="D50" s="13">
        <v>34489</v>
      </c>
      <c r="E50" s="14">
        <v>45332</v>
      </c>
      <c r="F50" s="14">
        <v>45534</v>
      </c>
      <c r="G50" s="15">
        <v>162640</v>
      </c>
      <c r="H50" s="13">
        <v>215</v>
      </c>
      <c r="I50" s="13" t="s">
        <v>1496</v>
      </c>
      <c r="J50" s="13" t="s">
        <v>107</v>
      </c>
      <c r="K50" s="13" t="s">
        <v>15</v>
      </c>
    </row>
    <row r="51" spans="1:11" x14ac:dyDescent="0.35">
      <c r="A51" s="13" t="s">
        <v>163</v>
      </c>
      <c r="B51" s="13" t="s">
        <v>164</v>
      </c>
      <c r="C51" s="13">
        <v>24837</v>
      </c>
      <c r="D51" s="13">
        <v>34326</v>
      </c>
      <c r="E51" s="14">
        <v>45322</v>
      </c>
      <c r="F51" s="14">
        <v>45565</v>
      </c>
      <c r="G51" s="15">
        <v>477510</v>
      </c>
      <c r="H51" s="13">
        <v>184</v>
      </c>
      <c r="I51" s="13" t="s">
        <v>1203</v>
      </c>
      <c r="J51" s="13" t="s">
        <v>107</v>
      </c>
      <c r="K51" s="13" t="s">
        <v>15</v>
      </c>
    </row>
    <row r="52" spans="1:11" x14ac:dyDescent="0.35">
      <c r="A52" s="13" t="s">
        <v>163</v>
      </c>
      <c r="B52" s="13" t="s">
        <v>164</v>
      </c>
      <c r="C52" s="13">
        <v>24812</v>
      </c>
      <c r="D52" s="13">
        <v>34305</v>
      </c>
      <c r="E52" s="14">
        <v>45321</v>
      </c>
      <c r="F52" s="14">
        <v>45565</v>
      </c>
      <c r="G52" s="15">
        <v>459600</v>
      </c>
      <c r="H52" s="13">
        <v>184</v>
      </c>
      <c r="I52" s="13" t="s">
        <v>503</v>
      </c>
      <c r="J52" s="13" t="s">
        <v>107</v>
      </c>
      <c r="K52" s="13" t="s">
        <v>15</v>
      </c>
    </row>
    <row r="53" spans="1:11" x14ac:dyDescent="0.35">
      <c r="A53" s="13" t="s">
        <v>163</v>
      </c>
      <c r="B53" s="13" t="s">
        <v>164</v>
      </c>
      <c r="C53" s="13">
        <v>24844</v>
      </c>
      <c r="D53" s="13">
        <v>34333</v>
      </c>
      <c r="E53" s="14">
        <v>45322</v>
      </c>
      <c r="F53" s="14">
        <v>45565</v>
      </c>
      <c r="G53" s="15">
        <v>40636.800000000003</v>
      </c>
      <c r="H53" s="13">
        <v>184</v>
      </c>
      <c r="I53" s="13" t="s">
        <v>737</v>
      </c>
      <c r="J53" s="13" t="s">
        <v>107</v>
      </c>
      <c r="K53" s="13" t="s">
        <v>15</v>
      </c>
    </row>
    <row r="54" spans="1:11" x14ac:dyDescent="0.35">
      <c r="A54" s="13" t="s">
        <v>163</v>
      </c>
      <c r="B54" s="13" t="s">
        <v>164</v>
      </c>
      <c r="C54" s="13">
        <v>25117</v>
      </c>
      <c r="D54" s="13">
        <v>34609</v>
      </c>
      <c r="E54" s="14">
        <v>45343</v>
      </c>
      <c r="F54" s="14">
        <v>45565</v>
      </c>
      <c r="G54" s="15">
        <v>519840</v>
      </c>
      <c r="H54" s="13">
        <v>184</v>
      </c>
      <c r="I54" s="13" t="s">
        <v>429</v>
      </c>
      <c r="J54" s="13" t="s">
        <v>107</v>
      </c>
      <c r="K54" s="13" t="s">
        <v>15</v>
      </c>
    </row>
    <row r="55" spans="1:11" x14ac:dyDescent="0.35">
      <c r="A55" s="13" t="s">
        <v>163</v>
      </c>
      <c r="B55" s="13" t="s">
        <v>164</v>
      </c>
      <c r="C55" s="13">
        <v>25123</v>
      </c>
      <c r="D55" s="13">
        <v>34613</v>
      </c>
      <c r="E55" s="14">
        <v>45343</v>
      </c>
      <c r="F55" s="14">
        <v>45565</v>
      </c>
      <c r="G55" s="15">
        <v>31775</v>
      </c>
      <c r="H55" s="13">
        <v>184</v>
      </c>
      <c r="I55" s="13" t="s">
        <v>1346</v>
      </c>
      <c r="J55" s="13" t="s">
        <v>107</v>
      </c>
      <c r="K55" s="13" t="s">
        <v>15</v>
      </c>
    </row>
    <row r="56" spans="1:11" x14ac:dyDescent="0.35">
      <c r="A56" s="13" t="s">
        <v>11</v>
      </c>
      <c r="B56" s="13" t="s">
        <v>12</v>
      </c>
      <c r="C56" s="13">
        <v>25687</v>
      </c>
      <c r="D56" s="13">
        <v>35250</v>
      </c>
      <c r="E56" s="14">
        <v>45426</v>
      </c>
      <c r="F56" s="14">
        <v>45576</v>
      </c>
      <c r="G56" s="15">
        <v>124620</v>
      </c>
      <c r="H56" s="13">
        <v>173</v>
      </c>
      <c r="I56" s="13" t="s">
        <v>569</v>
      </c>
      <c r="J56" s="13" t="s">
        <v>14</v>
      </c>
      <c r="K56" s="13" t="s">
        <v>15</v>
      </c>
    </row>
    <row r="57" spans="1:11" x14ac:dyDescent="0.35">
      <c r="A57" s="13" t="s">
        <v>11</v>
      </c>
      <c r="B57" s="13" t="s">
        <v>12</v>
      </c>
      <c r="C57" s="13">
        <v>25737</v>
      </c>
      <c r="D57" s="13">
        <v>35299</v>
      </c>
      <c r="E57" s="14">
        <v>45435</v>
      </c>
      <c r="F57" s="14">
        <v>45586</v>
      </c>
      <c r="G57" s="15">
        <v>124900</v>
      </c>
      <c r="H57" s="13">
        <v>163</v>
      </c>
      <c r="I57" s="13" t="s">
        <v>799</v>
      </c>
      <c r="J57" s="13" t="s">
        <v>14</v>
      </c>
      <c r="K57" s="13" t="s">
        <v>15</v>
      </c>
    </row>
    <row r="58" spans="1:11" x14ac:dyDescent="0.35">
      <c r="A58" s="13" t="s">
        <v>11</v>
      </c>
      <c r="B58" s="13" t="s">
        <v>12</v>
      </c>
      <c r="C58" s="13">
        <v>25774</v>
      </c>
      <c r="D58" s="13">
        <v>35339</v>
      </c>
      <c r="E58" s="14">
        <v>45441</v>
      </c>
      <c r="F58" s="14">
        <v>45593</v>
      </c>
      <c r="G58" s="15">
        <v>126750</v>
      </c>
      <c r="H58" s="13">
        <v>156</v>
      </c>
      <c r="I58" s="13" t="s">
        <v>958</v>
      </c>
      <c r="J58" s="13" t="s">
        <v>14</v>
      </c>
      <c r="K58" s="13" t="s">
        <v>15</v>
      </c>
    </row>
    <row r="59" spans="1:11" x14ac:dyDescent="0.35">
      <c r="A59" s="13" t="s">
        <v>163</v>
      </c>
      <c r="B59" s="13" t="s">
        <v>164</v>
      </c>
      <c r="C59" s="13">
        <v>25775</v>
      </c>
      <c r="D59" s="13">
        <v>35341</v>
      </c>
      <c r="E59" s="14">
        <v>45441</v>
      </c>
      <c r="F59" s="14">
        <v>45595</v>
      </c>
      <c r="G59" s="15">
        <v>106730</v>
      </c>
      <c r="H59" s="13">
        <v>154</v>
      </c>
      <c r="I59" s="13" t="s">
        <v>173</v>
      </c>
      <c r="J59" s="13" t="s">
        <v>107</v>
      </c>
      <c r="K59" s="13" t="s">
        <v>15</v>
      </c>
    </row>
    <row r="60" spans="1:11" x14ac:dyDescent="0.35">
      <c r="A60" s="13" t="s">
        <v>11</v>
      </c>
      <c r="B60" s="13" t="s">
        <v>12</v>
      </c>
      <c r="C60" s="13">
        <v>25900</v>
      </c>
      <c r="D60" s="13">
        <v>35479</v>
      </c>
      <c r="E60" s="14">
        <v>45460</v>
      </c>
      <c r="F60" s="14">
        <v>45610</v>
      </c>
      <c r="G60" s="15">
        <v>129750</v>
      </c>
      <c r="H60" s="13">
        <v>139</v>
      </c>
      <c r="I60" s="13" t="s">
        <v>1680</v>
      </c>
      <c r="J60" s="13" t="s">
        <v>14</v>
      </c>
      <c r="K60" s="13" t="s">
        <v>15</v>
      </c>
    </row>
    <row r="61" spans="1:11" x14ac:dyDescent="0.35">
      <c r="A61" s="13" t="s">
        <v>538</v>
      </c>
      <c r="B61" s="13" t="s">
        <v>539</v>
      </c>
      <c r="C61" s="13">
        <v>25939</v>
      </c>
      <c r="D61" s="13">
        <v>35520</v>
      </c>
      <c r="E61" s="14">
        <v>45463</v>
      </c>
      <c r="F61" s="14">
        <v>45625</v>
      </c>
      <c r="G61" s="15">
        <v>125588</v>
      </c>
      <c r="H61" s="13">
        <v>124</v>
      </c>
      <c r="I61" s="13" t="s">
        <v>540</v>
      </c>
      <c r="J61" s="13" t="s">
        <v>77</v>
      </c>
      <c r="K61" s="13" t="s">
        <v>15</v>
      </c>
    </row>
    <row r="62" spans="1:11" x14ac:dyDescent="0.35">
      <c r="A62" s="13" t="s">
        <v>538</v>
      </c>
      <c r="B62" s="13" t="s">
        <v>539</v>
      </c>
      <c r="C62" s="13">
        <v>25940</v>
      </c>
      <c r="D62" s="13">
        <v>35521</v>
      </c>
      <c r="E62" s="14">
        <v>45463</v>
      </c>
      <c r="F62" s="14">
        <v>45625</v>
      </c>
      <c r="G62" s="15">
        <v>75042</v>
      </c>
      <c r="H62" s="13">
        <v>124</v>
      </c>
      <c r="I62" s="13" t="s">
        <v>1004</v>
      </c>
      <c r="J62" s="13" t="s">
        <v>77</v>
      </c>
      <c r="K62" s="13" t="s">
        <v>15</v>
      </c>
    </row>
    <row r="63" spans="1:11" x14ac:dyDescent="0.35">
      <c r="A63" s="13" t="s">
        <v>642</v>
      </c>
      <c r="B63" s="13" t="s">
        <v>643</v>
      </c>
      <c r="C63" s="13">
        <v>27458</v>
      </c>
      <c r="D63" s="13">
        <v>37223</v>
      </c>
      <c r="E63" s="14">
        <v>45587</v>
      </c>
      <c r="F63" s="14">
        <v>45649</v>
      </c>
      <c r="G63" s="15">
        <v>13087.48</v>
      </c>
      <c r="H63" s="13">
        <v>100</v>
      </c>
      <c r="I63" s="13" t="s">
        <v>1103</v>
      </c>
      <c r="J63" s="13" t="s">
        <v>194</v>
      </c>
      <c r="K63" s="13" t="s">
        <v>15</v>
      </c>
    </row>
    <row r="64" spans="1:11" x14ac:dyDescent="0.35">
      <c r="A64" s="13" t="s">
        <v>11</v>
      </c>
      <c r="B64" s="13" t="s">
        <v>12</v>
      </c>
      <c r="C64" s="13">
        <v>26459</v>
      </c>
      <c r="D64" s="13">
        <v>36086</v>
      </c>
      <c r="E64" s="14">
        <v>45517</v>
      </c>
      <c r="F64" s="14">
        <v>45667</v>
      </c>
      <c r="G64" s="15">
        <v>238000</v>
      </c>
      <c r="H64" s="13">
        <v>82</v>
      </c>
      <c r="I64" s="13" t="s">
        <v>1204</v>
      </c>
      <c r="J64" s="13" t="s">
        <v>14</v>
      </c>
      <c r="K64" s="13" t="s">
        <v>15</v>
      </c>
    </row>
    <row r="65" spans="1:11" x14ac:dyDescent="0.35">
      <c r="A65" s="13" t="s">
        <v>11</v>
      </c>
      <c r="B65" s="13" t="s">
        <v>12</v>
      </c>
      <c r="C65" s="13">
        <v>26460</v>
      </c>
      <c r="D65" s="13">
        <v>36087</v>
      </c>
      <c r="E65" s="14">
        <v>45517</v>
      </c>
      <c r="F65" s="14">
        <v>45667</v>
      </c>
      <c r="G65" s="15">
        <v>63840</v>
      </c>
      <c r="H65" s="13">
        <v>82</v>
      </c>
      <c r="I65" s="13" t="s">
        <v>912</v>
      </c>
      <c r="J65" s="13" t="s">
        <v>14</v>
      </c>
      <c r="K65" s="13" t="s">
        <v>15</v>
      </c>
    </row>
    <row r="66" spans="1:11" x14ac:dyDescent="0.35">
      <c r="A66" s="13" t="s">
        <v>11</v>
      </c>
      <c r="B66" s="13" t="s">
        <v>12</v>
      </c>
      <c r="C66" s="13">
        <v>26477</v>
      </c>
      <c r="D66" s="13">
        <v>36107</v>
      </c>
      <c r="E66" s="14">
        <v>45519</v>
      </c>
      <c r="F66" s="14">
        <v>45670</v>
      </c>
      <c r="G66" s="15">
        <v>23950</v>
      </c>
      <c r="H66" s="13">
        <v>79</v>
      </c>
      <c r="I66" s="13" t="s">
        <v>1205</v>
      </c>
      <c r="J66" s="13" t="s">
        <v>14</v>
      </c>
      <c r="K66" s="13" t="s">
        <v>15</v>
      </c>
    </row>
    <row r="67" spans="1:11" x14ac:dyDescent="0.35">
      <c r="A67" s="13" t="s">
        <v>11</v>
      </c>
      <c r="B67" s="13" t="s">
        <v>12</v>
      </c>
      <c r="C67" s="13">
        <v>26514</v>
      </c>
      <c r="D67" s="13">
        <v>36151</v>
      </c>
      <c r="E67" s="14">
        <v>45523</v>
      </c>
      <c r="F67" s="14">
        <v>45673</v>
      </c>
      <c r="G67" s="15">
        <v>53500</v>
      </c>
      <c r="H67" s="13">
        <v>76</v>
      </c>
      <c r="I67" s="13" t="s">
        <v>367</v>
      </c>
      <c r="J67" s="13" t="s">
        <v>14</v>
      </c>
      <c r="K67" s="13" t="s">
        <v>15</v>
      </c>
    </row>
    <row r="68" spans="1:11" x14ac:dyDescent="0.35">
      <c r="A68" s="13" t="s">
        <v>642</v>
      </c>
      <c r="B68" s="13" t="s">
        <v>643</v>
      </c>
      <c r="C68" s="13">
        <v>27458</v>
      </c>
      <c r="D68" s="13">
        <v>37223</v>
      </c>
      <c r="E68" s="14">
        <v>45587</v>
      </c>
      <c r="F68" s="14">
        <v>45677</v>
      </c>
      <c r="G68" s="15">
        <v>19293.75</v>
      </c>
      <c r="H68" s="13">
        <v>72</v>
      </c>
      <c r="I68" s="13" t="s">
        <v>1103</v>
      </c>
      <c r="J68" s="13" t="s">
        <v>194</v>
      </c>
      <c r="K68" s="13" t="s">
        <v>15</v>
      </c>
    </row>
    <row r="69" spans="1:11" x14ac:dyDescent="0.35">
      <c r="A69" s="13" t="s">
        <v>11</v>
      </c>
      <c r="B69" s="13" t="s">
        <v>12</v>
      </c>
      <c r="C69" s="13">
        <v>26780</v>
      </c>
      <c r="D69" s="13">
        <v>36440</v>
      </c>
      <c r="E69" s="14">
        <v>45545</v>
      </c>
      <c r="F69" s="14">
        <v>45695</v>
      </c>
      <c r="G69" s="15">
        <v>30000</v>
      </c>
      <c r="H69" s="13">
        <v>54</v>
      </c>
      <c r="I69" s="13" t="s">
        <v>802</v>
      </c>
      <c r="J69" s="13" t="s">
        <v>14</v>
      </c>
      <c r="K69" s="13" t="s">
        <v>15</v>
      </c>
    </row>
    <row r="70" spans="1:11" x14ac:dyDescent="0.35">
      <c r="A70" s="13" t="s">
        <v>11</v>
      </c>
      <c r="B70" s="13" t="s">
        <v>12</v>
      </c>
      <c r="C70" s="13">
        <v>26779</v>
      </c>
      <c r="D70" s="13">
        <v>36439</v>
      </c>
      <c r="E70" s="14">
        <v>45545</v>
      </c>
      <c r="F70" s="14">
        <v>45695</v>
      </c>
      <c r="G70" s="15">
        <v>250200</v>
      </c>
      <c r="H70" s="13">
        <v>54</v>
      </c>
      <c r="I70" s="13" t="s">
        <v>1100</v>
      </c>
      <c r="J70" s="13" t="s">
        <v>14</v>
      </c>
      <c r="K70" s="13" t="s">
        <v>15</v>
      </c>
    </row>
    <row r="71" spans="1:11" x14ac:dyDescent="0.35">
      <c r="A71" s="13" t="s">
        <v>116</v>
      </c>
      <c r="B71" s="13" t="s">
        <v>117</v>
      </c>
      <c r="C71" s="13">
        <v>27649</v>
      </c>
      <c r="D71" s="13">
        <v>37427</v>
      </c>
      <c r="E71" s="14">
        <v>45596</v>
      </c>
      <c r="F71" s="14">
        <v>45716</v>
      </c>
      <c r="G71" s="15">
        <v>182520</v>
      </c>
      <c r="H71" s="13">
        <v>33</v>
      </c>
      <c r="I71" s="13" t="s">
        <v>787</v>
      </c>
      <c r="J71" s="13" t="s">
        <v>22</v>
      </c>
      <c r="K71" s="13" t="s">
        <v>15</v>
      </c>
    </row>
    <row r="72" spans="1:11" x14ac:dyDescent="0.35">
      <c r="A72" s="13" t="s">
        <v>485</v>
      </c>
      <c r="B72" s="13" t="s">
        <v>486</v>
      </c>
      <c r="C72" s="13">
        <v>28795</v>
      </c>
      <c r="D72" s="13">
        <v>38881</v>
      </c>
      <c r="E72" s="14">
        <v>45693</v>
      </c>
      <c r="F72" s="14">
        <v>45723</v>
      </c>
      <c r="G72" s="15">
        <v>52990</v>
      </c>
      <c r="H72" s="13">
        <v>26</v>
      </c>
      <c r="I72" s="13" t="s">
        <v>487</v>
      </c>
      <c r="J72" s="13" t="s">
        <v>111</v>
      </c>
      <c r="K72" s="13"/>
    </row>
    <row r="73" spans="1:11" x14ac:dyDescent="0.35">
      <c r="A73" s="13" t="s">
        <v>68</v>
      </c>
      <c r="B73" s="13" t="s">
        <v>69</v>
      </c>
      <c r="C73" s="13">
        <v>28070</v>
      </c>
      <c r="D73" s="13">
        <v>37992</v>
      </c>
      <c r="E73" s="14">
        <v>45638</v>
      </c>
      <c r="F73" s="14">
        <v>45728</v>
      </c>
      <c r="G73" s="15">
        <v>39199.96</v>
      </c>
      <c r="H73" s="13">
        <v>21</v>
      </c>
      <c r="I73" s="13" t="s">
        <v>531</v>
      </c>
      <c r="J73" s="13" t="s">
        <v>14</v>
      </c>
      <c r="K73" s="13" t="s">
        <v>15</v>
      </c>
    </row>
    <row r="74" spans="1:11" x14ac:dyDescent="0.35">
      <c r="A74" s="13" t="s">
        <v>68</v>
      </c>
      <c r="B74" s="13" t="s">
        <v>69</v>
      </c>
      <c r="C74" s="13">
        <v>28072</v>
      </c>
      <c r="D74" s="13">
        <v>37994</v>
      </c>
      <c r="E74" s="14">
        <v>45638</v>
      </c>
      <c r="F74" s="14">
        <v>45728</v>
      </c>
      <c r="G74" s="15">
        <v>10999.99</v>
      </c>
      <c r="H74" s="13">
        <v>21</v>
      </c>
      <c r="I74" s="13" t="s">
        <v>291</v>
      </c>
      <c r="J74" s="13" t="s">
        <v>14</v>
      </c>
      <c r="K74" s="13" t="s">
        <v>15</v>
      </c>
    </row>
    <row r="75" spans="1:11" x14ac:dyDescent="0.35">
      <c r="A75" s="13" t="s">
        <v>68</v>
      </c>
      <c r="B75" s="13" t="s">
        <v>69</v>
      </c>
      <c r="C75" s="13">
        <v>28075</v>
      </c>
      <c r="D75" s="13">
        <v>37997</v>
      </c>
      <c r="E75" s="14">
        <v>45638</v>
      </c>
      <c r="F75" s="14">
        <v>45728</v>
      </c>
      <c r="G75" s="15">
        <v>12909.99</v>
      </c>
      <c r="H75" s="13">
        <v>21</v>
      </c>
      <c r="I75" s="13" t="s">
        <v>381</v>
      </c>
      <c r="J75" s="13" t="s">
        <v>14</v>
      </c>
      <c r="K75" s="13" t="s">
        <v>15</v>
      </c>
    </row>
    <row r="76" spans="1:11" x14ac:dyDescent="0.35">
      <c r="A76" s="13" t="s">
        <v>68</v>
      </c>
      <c r="B76" s="13" t="s">
        <v>69</v>
      </c>
      <c r="C76" s="13">
        <v>27383</v>
      </c>
      <c r="D76" s="13">
        <v>37109</v>
      </c>
      <c r="E76" s="14">
        <v>45579</v>
      </c>
      <c r="F76" s="14">
        <v>45729</v>
      </c>
      <c r="G76" s="15">
        <v>8812.5</v>
      </c>
      <c r="H76" s="13">
        <v>20</v>
      </c>
      <c r="I76" s="13" t="s">
        <v>1091</v>
      </c>
      <c r="J76" s="13" t="s">
        <v>14</v>
      </c>
      <c r="K76" s="13" t="s">
        <v>15</v>
      </c>
    </row>
    <row r="77" spans="1:11" x14ac:dyDescent="0.35">
      <c r="A77" s="13" t="s">
        <v>68</v>
      </c>
      <c r="B77" s="13" t="s">
        <v>69</v>
      </c>
      <c r="C77" s="13">
        <v>27384</v>
      </c>
      <c r="D77" s="13">
        <v>37110</v>
      </c>
      <c r="E77" s="14">
        <v>45579</v>
      </c>
      <c r="F77" s="14">
        <v>45729</v>
      </c>
      <c r="G77" s="15">
        <v>35515.339999999997</v>
      </c>
      <c r="H77" s="13">
        <v>20</v>
      </c>
      <c r="I77" s="13" t="s">
        <v>315</v>
      </c>
      <c r="J77" s="13" t="s">
        <v>14</v>
      </c>
      <c r="K77" s="13" t="s">
        <v>15</v>
      </c>
    </row>
    <row r="78" spans="1:11" x14ac:dyDescent="0.35">
      <c r="A78" s="13" t="s">
        <v>68</v>
      </c>
      <c r="B78" s="13" t="s">
        <v>69</v>
      </c>
      <c r="C78" s="13">
        <v>28389</v>
      </c>
      <c r="D78" s="13">
        <v>38386</v>
      </c>
      <c r="E78" s="14">
        <v>45670</v>
      </c>
      <c r="F78" s="14">
        <v>45730</v>
      </c>
      <c r="G78" s="15">
        <v>41124.959999999999</v>
      </c>
      <c r="H78" s="13">
        <v>19</v>
      </c>
      <c r="I78" s="13" t="s">
        <v>636</v>
      </c>
      <c r="J78" s="13" t="s">
        <v>14</v>
      </c>
      <c r="K78" s="13" t="s">
        <v>15</v>
      </c>
    </row>
    <row r="79" spans="1:11" x14ac:dyDescent="0.35">
      <c r="A79" s="13" t="s">
        <v>68</v>
      </c>
      <c r="B79" s="13" t="s">
        <v>69</v>
      </c>
      <c r="C79" s="13">
        <v>28452</v>
      </c>
      <c r="D79" s="13">
        <v>38449</v>
      </c>
      <c r="E79" s="14">
        <v>45672</v>
      </c>
      <c r="F79" s="14">
        <v>45733</v>
      </c>
      <c r="G79" s="15">
        <v>5731.99</v>
      </c>
      <c r="H79" s="13">
        <v>16</v>
      </c>
      <c r="I79" s="13" t="s">
        <v>810</v>
      </c>
      <c r="J79" s="13" t="s">
        <v>14</v>
      </c>
      <c r="K79" s="13" t="s">
        <v>15</v>
      </c>
    </row>
    <row r="80" spans="1:11" x14ac:dyDescent="0.35">
      <c r="A80" s="13" t="s">
        <v>68</v>
      </c>
      <c r="B80" s="13" t="s">
        <v>69</v>
      </c>
      <c r="C80" s="13">
        <v>28425</v>
      </c>
      <c r="D80" s="13">
        <v>38419</v>
      </c>
      <c r="E80" s="14">
        <v>45671</v>
      </c>
      <c r="F80" s="14">
        <v>45733</v>
      </c>
      <c r="G80" s="15">
        <v>20054.98</v>
      </c>
      <c r="H80" s="13">
        <v>16</v>
      </c>
      <c r="I80" s="13" t="s">
        <v>950</v>
      </c>
      <c r="J80" s="13" t="s">
        <v>14</v>
      </c>
      <c r="K80" s="13" t="s">
        <v>15</v>
      </c>
    </row>
    <row r="81" spans="1:11" x14ac:dyDescent="0.35">
      <c r="A81" s="13" t="s">
        <v>68</v>
      </c>
      <c r="B81" s="13" t="s">
        <v>69</v>
      </c>
      <c r="C81" s="13">
        <v>28198</v>
      </c>
      <c r="D81" s="13">
        <v>38139</v>
      </c>
      <c r="E81" s="14">
        <v>45646</v>
      </c>
      <c r="F81" s="14">
        <v>45736</v>
      </c>
      <c r="G81" s="15">
        <v>26234.97</v>
      </c>
      <c r="H81" s="13">
        <v>13</v>
      </c>
      <c r="I81" s="13" t="s">
        <v>613</v>
      </c>
      <c r="J81" s="13" t="s">
        <v>14</v>
      </c>
      <c r="K81" s="13" t="s">
        <v>15</v>
      </c>
    </row>
    <row r="82" spans="1:11" x14ac:dyDescent="0.35">
      <c r="A82" s="13" t="s">
        <v>921</v>
      </c>
      <c r="B82" s="13" t="s">
        <v>922</v>
      </c>
      <c r="C82" s="13">
        <v>26140</v>
      </c>
      <c r="D82" s="13">
        <v>35748</v>
      </c>
      <c r="E82" s="14">
        <v>45488</v>
      </c>
      <c r="F82" s="14">
        <v>45736</v>
      </c>
      <c r="G82" s="15">
        <v>36573.599999999999</v>
      </c>
      <c r="H82" s="13">
        <v>13</v>
      </c>
      <c r="I82" s="13" t="s">
        <v>1236</v>
      </c>
      <c r="J82" s="13" t="s">
        <v>41</v>
      </c>
      <c r="K82" s="13" t="s">
        <v>15</v>
      </c>
    </row>
    <row r="83" spans="1:11" x14ac:dyDescent="0.35">
      <c r="A83" s="13" t="s">
        <v>68</v>
      </c>
      <c r="B83" s="13" t="s">
        <v>69</v>
      </c>
      <c r="C83" s="13">
        <v>28197</v>
      </c>
      <c r="D83" s="13">
        <v>38138</v>
      </c>
      <c r="E83" s="14">
        <v>45646</v>
      </c>
      <c r="F83" s="14">
        <v>45736</v>
      </c>
      <c r="G83" s="15">
        <v>3863.93</v>
      </c>
      <c r="H83" s="13">
        <v>13</v>
      </c>
      <c r="I83" s="13" t="s">
        <v>1017</v>
      </c>
      <c r="J83" s="13" t="s">
        <v>14</v>
      </c>
      <c r="K83" s="13" t="s">
        <v>15</v>
      </c>
    </row>
    <row r="84" spans="1:11" x14ac:dyDescent="0.35">
      <c r="A84" s="13" t="s">
        <v>68</v>
      </c>
      <c r="B84" s="13" t="s">
        <v>69</v>
      </c>
      <c r="C84" s="13">
        <v>27488</v>
      </c>
      <c r="D84" s="13">
        <v>37254</v>
      </c>
      <c r="E84" s="14">
        <v>45588</v>
      </c>
      <c r="F84" s="14">
        <v>45740</v>
      </c>
      <c r="G84" s="15">
        <v>1620.34</v>
      </c>
      <c r="H84" s="13">
        <v>9</v>
      </c>
      <c r="I84" s="13" t="s">
        <v>70</v>
      </c>
      <c r="J84" s="13" t="s">
        <v>14</v>
      </c>
      <c r="K84" s="13" t="s">
        <v>15</v>
      </c>
    </row>
    <row r="85" spans="1:11" x14ac:dyDescent="0.35">
      <c r="A85" s="13" t="s">
        <v>68</v>
      </c>
      <c r="B85" s="13" t="s">
        <v>69</v>
      </c>
      <c r="C85" s="13">
        <v>27492</v>
      </c>
      <c r="D85" s="13">
        <v>37257</v>
      </c>
      <c r="E85" s="14">
        <v>45588</v>
      </c>
      <c r="F85" s="14">
        <v>45740</v>
      </c>
      <c r="G85" s="15">
        <v>952.5</v>
      </c>
      <c r="H85" s="13">
        <v>9</v>
      </c>
      <c r="I85" s="13" t="s">
        <v>720</v>
      </c>
      <c r="J85" s="13" t="s">
        <v>14</v>
      </c>
      <c r="K85" s="13" t="s">
        <v>15</v>
      </c>
    </row>
    <row r="86" spans="1:11" x14ac:dyDescent="0.35">
      <c r="A86" s="13" t="s">
        <v>27</v>
      </c>
      <c r="B86" s="13" t="s">
        <v>28</v>
      </c>
      <c r="C86" s="13">
        <v>27007</v>
      </c>
      <c r="D86" s="13">
        <v>36700</v>
      </c>
      <c r="E86" s="14">
        <v>45558</v>
      </c>
      <c r="F86" s="14">
        <v>45746</v>
      </c>
      <c r="G86" s="15">
        <v>69300</v>
      </c>
      <c r="H86" s="13">
        <v>3</v>
      </c>
      <c r="I86" s="13" t="s">
        <v>1225</v>
      </c>
      <c r="J86" s="13" t="s">
        <v>30</v>
      </c>
      <c r="K86" s="13" t="s">
        <v>15</v>
      </c>
    </row>
    <row r="87" spans="1:11" x14ac:dyDescent="0.35">
      <c r="A87" s="13" t="s">
        <v>394</v>
      </c>
      <c r="B87" s="13" t="s">
        <v>395</v>
      </c>
      <c r="C87" s="13">
        <v>27003</v>
      </c>
      <c r="D87" s="13">
        <v>36696</v>
      </c>
      <c r="E87" s="14">
        <v>45558</v>
      </c>
      <c r="F87" s="14">
        <v>45746</v>
      </c>
      <c r="G87" s="15">
        <v>39600</v>
      </c>
      <c r="H87" s="13">
        <v>3</v>
      </c>
      <c r="I87" s="13" t="s">
        <v>1115</v>
      </c>
      <c r="J87" s="13" t="s">
        <v>30</v>
      </c>
      <c r="K87" s="13" t="s">
        <v>15</v>
      </c>
    </row>
    <row r="88" spans="1:11" x14ac:dyDescent="0.35">
      <c r="A88" s="13" t="s">
        <v>188</v>
      </c>
      <c r="B88" s="13" t="s">
        <v>189</v>
      </c>
      <c r="C88" s="13">
        <v>27246</v>
      </c>
      <c r="D88" s="13">
        <v>36950</v>
      </c>
      <c r="E88" s="14">
        <v>45567</v>
      </c>
      <c r="F88" s="14">
        <v>45746</v>
      </c>
      <c r="G88" s="15">
        <v>59400</v>
      </c>
      <c r="H88" s="13">
        <v>3</v>
      </c>
      <c r="I88" s="13" t="s">
        <v>1404</v>
      </c>
      <c r="J88" s="13" t="s">
        <v>30</v>
      </c>
      <c r="K88" s="13" t="s">
        <v>15</v>
      </c>
    </row>
    <row r="89" spans="1:11" x14ac:dyDescent="0.35">
      <c r="A89" s="13" t="s">
        <v>188</v>
      </c>
      <c r="B89" s="13" t="s">
        <v>189</v>
      </c>
      <c r="C89" s="13">
        <v>27248</v>
      </c>
      <c r="D89" s="13">
        <v>36952</v>
      </c>
      <c r="E89" s="14">
        <v>45567</v>
      </c>
      <c r="F89" s="14">
        <v>45746</v>
      </c>
      <c r="G89" s="15">
        <v>29700</v>
      </c>
      <c r="H89" s="13">
        <v>3</v>
      </c>
      <c r="I89" s="13" t="s">
        <v>1405</v>
      </c>
      <c r="J89" s="13" t="s">
        <v>30</v>
      </c>
      <c r="K89" s="13" t="s">
        <v>15</v>
      </c>
    </row>
    <row r="90" spans="1:11" x14ac:dyDescent="0.35">
      <c r="A90" s="13" t="s">
        <v>188</v>
      </c>
      <c r="B90" s="13" t="s">
        <v>189</v>
      </c>
      <c r="C90" s="13">
        <v>27247</v>
      </c>
      <c r="D90" s="13">
        <v>36951</v>
      </c>
      <c r="E90" s="14">
        <v>45567</v>
      </c>
      <c r="F90" s="14">
        <v>45746</v>
      </c>
      <c r="G90" s="15">
        <v>89100</v>
      </c>
      <c r="H90" s="13">
        <v>3</v>
      </c>
      <c r="I90" s="13" t="s">
        <v>1631</v>
      </c>
      <c r="J90" s="13" t="s">
        <v>30</v>
      </c>
      <c r="K90" s="13" t="s">
        <v>15</v>
      </c>
    </row>
    <row r="91" spans="1:11" x14ac:dyDescent="0.35">
      <c r="A91" s="13" t="s">
        <v>603</v>
      </c>
      <c r="B91" s="13" t="s">
        <v>604</v>
      </c>
      <c r="C91" s="13">
        <v>26675</v>
      </c>
      <c r="D91" s="13">
        <v>36329</v>
      </c>
      <c r="E91" s="14">
        <v>45538</v>
      </c>
      <c r="F91" s="14">
        <v>45747</v>
      </c>
      <c r="G91" s="15">
        <v>49070</v>
      </c>
      <c r="H91" s="13">
        <v>2</v>
      </c>
      <c r="I91" s="13" t="s">
        <v>605</v>
      </c>
      <c r="J91" s="13" t="s">
        <v>107</v>
      </c>
      <c r="K91" s="13" t="s">
        <v>15</v>
      </c>
    </row>
    <row r="92" spans="1:11" x14ac:dyDescent="0.35">
      <c r="A92" s="13" t="s">
        <v>1053</v>
      </c>
      <c r="B92" s="13" t="s">
        <v>1054</v>
      </c>
      <c r="C92" s="13">
        <v>27048</v>
      </c>
      <c r="D92" s="13">
        <v>36741</v>
      </c>
      <c r="E92" s="14">
        <v>45559</v>
      </c>
      <c r="F92" s="14">
        <v>45747</v>
      </c>
      <c r="G92" s="15">
        <v>126715</v>
      </c>
      <c r="H92" s="13">
        <v>2</v>
      </c>
      <c r="I92" s="13" t="s">
        <v>1055</v>
      </c>
      <c r="J92" s="13" t="s">
        <v>107</v>
      </c>
      <c r="K92" s="13" t="s">
        <v>15</v>
      </c>
    </row>
    <row r="93" spans="1:11" x14ac:dyDescent="0.35">
      <c r="A93" s="13" t="s">
        <v>68</v>
      </c>
      <c r="B93" s="13" t="s">
        <v>69</v>
      </c>
      <c r="C93" s="13">
        <v>27943</v>
      </c>
      <c r="D93" s="13">
        <v>37811</v>
      </c>
      <c r="E93" s="14">
        <v>45625</v>
      </c>
      <c r="F93" s="14">
        <v>45747</v>
      </c>
      <c r="G93" s="15">
        <v>7047.5</v>
      </c>
      <c r="H93" s="13">
        <v>2</v>
      </c>
      <c r="I93" s="13" t="s">
        <v>1408</v>
      </c>
      <c r="J93" s="13" t="s">
        <v>14</v>
      </c>
      <c r="K93" s="13" t="s">
        <v>15</v>
      </c>
    </row>
    <row r="94" spans="1:11" x14ac:dyDescent="0.35">
      <c r="A94" s="13" t="s">
        <v>742</v>
      </c>
      <c r="B94" s="13" t="s">
        <v>743</v>
      </c>
      <c r="C94" s="13">
        <v>27674</v>
      </c>
      <c r="D94" s="13">
        <v>37452</v>
      </c>
      <c r="E94" s="14">
        <v>45596</v>
      </c>
      <c r="F94" s="14">
        <v>45747</v>
      </c>
      <c r="G94" s="15">
        <v>7021.67</v>
      </c>
      <c r="H94" s="13">
        <v>2</v>
      </c>
      <c r="I94" s="13" t="s">
        <v>749</v>
      </c>
      <c r="J94" s="13" t="s">
        <v>44</v>
      </c>
      <c r="K94" s="13" t="s">
        <v>15</v>
      </c>
    </row>
    <row r="95" spans="1:11" x14ac:dyDescent="0.35">
      <c r="A95" s="13" t="s">
        <v>603</v>
      </c>
      <c r="B95" s="13" t="s">
        <v>604</v>
      </c>
      <c r="C95" s="13">
        <v>27615</v>
      </c>
      <c r="D95" s="13">
        <v>37387</v>
      </c>
      <c r="E95" s="14">
        <v>45595</v>
      </c>
      <c r="F95" s="14">
        <v>45747</v>
      </c>
      <c r="G95" s="15">
        <v>15120</v>
      </c>
      <c r="H95" s="13">
        <v>2</v>
      </c>
      <c r="I95" s="13" t="s">
        <v>1602</v>
      </c>
      <c r="J95" s="13" t="s">
        <v>107</v>
      </c>
      <c r="K95" s="13" t="s">
        <v>15</v>
      </c>
    </row>
    <row r="96" spans="1:11" x14ac:dyDescent="0.35">
      <c r="A96" s="13" t="s">
        <v>68</v>
      </c>
      <c r="B96" s="13" t="s">
        <v>69</v>
      </c>
      <c r="C96" s="13">
        <v>27260</v>
      </c>
      <c r="D96" s="13">
        <v>36967</v>
      </c>
      <c r="E96" s="14">
        <v>45568</v>
      </c>
      <c r="F96" s="14">
        <v>45748</v>
      </c>
      <c r="G96" s="15">
        <v>493.9</v>
      </c>
      <c r="H96" s="13">
        <v>1</v>
      </c>
      <c r="I96" s="13" t="s">
        <v>916</v>
      </c>
      <c r="J96" s="13" t="s">
        <v>14</v>
      </c>
      <c r="K96" s="13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8C706-29D5-48EB-A0D3-E6565B15B280}">
  <sheetPr>
    <tabColor theme="4" tint="0.59999389629810485"/>
  </sheetPr>
  <dimension ref="A3:G21"/>
  <sheetViews>
    <sheetView showGridLines="0" topLeftCell="A11" zoomScale="56" workbookViewId="0">
      <selection activeCell="E23" sqref="E23"/>
    </sheetView>
  </sheetViews>
  <sheetFormatPr defaultRowHeight="14.5" x14ac:dyDescent="0.35"/>
  <cols>
    <col min="1" max="1" width="50.36328125" bestFit="1" customWidth="1"/>
    <col min="2" max="2" width="17.36328125" bestFit="1" customWidth="1"/>
    <col min="3" max="3" width="17.1796875" bestFit="1" customWidth="1"/>
    <col min="4" max="4" width="27.7265625" customWidth="1"/>
    <col min="5" max="5" width="59.90625" customWidth="1"/>
    <col min="6" max="6" width="46.7265625" customWidth="1"/>
    <col min="7" max="7" width="47.36328125" customWidth="1"/>
  </cols>
  <sheetData>
    <row r="3" spans="1:7" x14ac:dyDescent="0.35">
      <c r="A3" s="4" t="s">
        <v>1703</v>
      </c>
      <c r="B3" s="5" t="s">
        <v>1697</v>
      </c>
      <c r="C3" s="5" t="s">
        <v>1698</v>
      </c>
      <c r="D3" s="3" t="s">
        <v>1699</v>
      </c>
      <c r="E3" s="3" t="s">
        <v>1700</v>
      </c>
      <c r="F3" s="3" t="s">
        <v>1701</v>
      </c>
      <c r="G3" s="3" t="s">
        <v>1702</v>
      </c>
    </row>
    <row r="4" spans="1:7" ht="116" x14ac:dyDescent="0.35">
      <c r="A4" s="6" t="s">
        <v>117</v>
      </c>
      <c r="B4" s="7">
        <v>182520</v>
      </c>
      <c r="C4" s="5">
        <v>33</v>
      </c>
      <c r="D4" s="5" t="str">
        <f>VLOOKUP(A4,'TOTAL EM ABERTO'!B2:J96,9,FALSE)</f>
        <v>LEANDRO ALENCAR</v>
      </c>
      <c r="E4" s="5" t="str">
        <f>IFERROR(VLOOKUP(A4,'[1]ANALISE INADIMPLENCIA'!$A$4:$E$19,5,FALSE),"-")</f>
        <v>CLIENTE EM RECUPERAÇAO JUDICIAL, AGUARDANDO SAIR A APROVAÇÃO DA RECUPERAÇÃO JUDICIAL, ESTÁ PENDENTE ENTRAR EM CONTATO COM OS DEVEDORES DAS DUPLICATAS ENDOSSADAS QUE TIVEREM DUVIDAS SOBRE O PAGAMENTO, CLIENTE SE COMPROMETEU A AUXILIAR NO RECEBIMENTO DAS DUPLICATAS ENDOSSADAS, AO QUAL VAI PAGAR AOS CLIENTES O VALOR DOS PRODUTOS QUE NÃO FORAM ENTREGUES, PARA QUE O BOLETO DO ENDOSSO PARA A COMPO SEJA PAGO INTEGRALMENTE</v>
      </c>
      <c r="F4" s="5" t="str">
        <f>IFERROR(VLOOKUP(A4,'[1]ANALISE INADIMPLENCIA'!$A$4:$F$19,6,FALSE),"-")</f>
        <v>-</v>
      </c>
      <c r="G4" s="5" t="str">
        <f>IFERROR(VLOOKUP(A4,'[1]ANALISE INADIMPLENCIA'!$A$15:$G$19,7,FALSE),"-")</f>
        <v>-</v>
      </c>
    </row>
    <row r="5" spans="1:7" x14ac:dyDescent="0.35">
      <c r="A5" s="6" t="s">
        <v>395</v>
      </c>
      <c r="B5" s="7">
        <v>39600</v>
      </c>
      <c r="C5" s="5">
        <v>3</v>
      </c>
      <c r="D5" s="5" t="str">
        <f>VLOOKUP(A5,'TOTAL EM ABERTO'!B3:J97,9,FALSE)</f>
        <v>MARYANNA SILVEIRA</v>
      </c>
      <c r="E5" s="5" t="str">
        <f>IFERROR(VLOOKUP(A5,'[1]ANALISE INADIMPLENCIA'!$A$4:$E$19,5,FALSE),"-")</f>
        <v>-</v>
      </c>
      <c r="F5" s="5" t="str">
        <f>IFERROR(VLOOKUP(A5,'[1]ANALISE INADIMPLENCIA'!$A$4:$F$19,6,FALSE),"-")</f>
        <v>-</v>
      </c>
      <c r="G5" s="5" t="str">
        <f>IFERROR(VLOOKUP(A5,'[1]ANALISE INADIMPLENCIA'!$A$15:$G$19,7,FALSE),"-")</f>
        <v>-</v>
      </c>
    </row>
    <row r="6" spans="1:7" ht="58" x14ac:dyDescent="0.35">
      <c r="A6" s="6" t="s">
        <v>69</v>
      </c>
      <c r="B6" s="7">
        <v>214562.84999999998</v>
      </c>
      <c r="C6" s="5">
        <v>21</v>
      </c>
      <c r="D6" s="5" t="str">
        <f>VLOOKUP(A6,'TOTAL EM ABERTO'!B4:J98,9,FALSE)</f>
        <v>GABRIEL BORGES</v>
      </c>
      <c r="E6" s="5" t="str">
        <f>IFERROR(VLOOKUP(A6,'[1]ANALISE INADIMPLENCIA'!$A$4:$E$19,5,FALSE),"-")</f>
        <v>SOLICITADO AO JURÍDICO CONFISSÃO DE DÍVIDA PRORROGANDO OS PAGAMENTOS EM ABERTO COM A METADE PARA PAGAMENTO EM 15 DIAS E A OUTRA METADE PARA 3O DIAS, O PRIMEIRO PAGAMENTO É PARA DIA 17/03. NOVAS VENDAS NESTE PERÍODO SOMENTE A VISTA.</v>
      </c>
      <c r="F6" s="5" t="str">
        <f>IFERROR(VLOOKUP(A6,'[1]ANALISE INADIMPLENCIA'!$A$4:$F$19,6,FALSE),"-")</f>
        <v>-</v>
      </c>
      <c r="G6" s="5" t="str">
        <f>IFERROR(VLOOKUP(A6,'[1]ANALISE INADIMPLENCIA'!$A$15:$G$19,7,FALSE),"-")</f>
        <v>-</v>
      </c>
    </row>
    <row r="7" spans="1:7" ht="43.5" x14ac:dyDescent="0.35">
      <c r="A7" s="6" t="s">
        <v>539</v>
      </c>
      <c r="B7" s="7">
        <v>200630</v>
      </c>
      <c r="C7" s="5">
        <v>124</v>
      </c>
      <c r="D7" s="5" t="str">
        <f>VLOOKUP(A7,'TOTAL EM ABERTO'!B5:J99,9,FALSE)</f>
        <v>CESAR CAIXETA</v>
      </c>
      <c r="E7" s="5" t="str">
        <f>IFERROR(VLOOKUP(A7,'[1]ANALISE INADIMPLENCIA'!$A$4:$E$19,5,FALSE),"-")</f>
        <v>CONFISSÃO DE DÍVIDA ASSINADA, COM FILHO E ESPOSA COMO FIADORES DA RENEGOCIAÇÃO</v>
      </c>
      <c r="F7" s="5" t="str">
        <f>IFERROR(VLOOKUP(A7,'[1]ANALISE INADIMPLENCIA'!$A$4:$F$19,6,FALSE),"-")</f>
        <v>PAGAMENTO EM 6 PARCELAS: 02/12 (PAGA), 06/01/2025 (PAGA), 03/02/2025 (PAGO), 03/03/2025 (PAGO), 03/04/2025 e 02/05/2025</v>
      </c>
      <c r="G7" s="5" t="str">
        <f>IFERROR(VLOOKUP(A7,'[1]ANALISE INADIMPLENCIA'!$A$15:$G$19,7,FALSE),"-")</f>
        <v>-</v>
      </c>
    </row>
    <row r="8" spans="1:7" x14ac:dyDescent="0.35">
      <c r="A8" s="6" t="s">
        <v>189</v>
      </c>
      <c r="B8" s="7">
        <v>178200</v>
      </c>
      <c r="C8" s="5">
        <v>3</v>
      </c>
      <c r="D8" s="5" t="str">
        <f>VLOOKUP(A8,'TOTAL EM ABERTO'!B6:J100,9,FALSE)</f>
        <v>MARYANNA SILVEIRA</v>
      </c>
      <c r="E8" s="5" t="str">
        <f>IFERROR(VLOOKUP(A8,'[1]ANALISE INADIMPLENCIA'!$A$4:$E$19,5,FALSE),"-")</f>
        <v>-</v>
      </c>
      <c r="F8" s="5" t="str">
        <f>IFERROR(VLOOKUP(A8,'[1]ANALISE INADIMPLENCIA'!$A$4:$F$19,6,FALSE),"-")</f>
        <v>-</v>
      </c>
      <c r="G8" s="5" t="str">
        <f>IFERROR(VLOOKUP(A8,'[1]ANALISE INADIMPLENCIA'!$A$15:$G$19,7,FALSE),"-")</f>
        <v>-</v>
      </c>
    </row>
    <row r="9" spans="1:7" x14ac:dyDescent="0.35">
      <c r="A9" s="6" t="s">
        <v>28</v>
      </c>
      <c r="B9" s="7">
        <v>69300</v>
      </c>
      <c r="C9" s="5">
        <v>3</v>
      </c>
      <c r="D9" s="5" t="str">
        <f>VLOOKUP(A9,'TOTAL EM ABERTO'!B7:J101,9,FALSE)</f>
        <v>MARYANNA SILVEIRA</v>
      </c>
      <c r="E9" s="5" t="str">
        <f>IFERROR(VLOOKUP(A9,'[1]ANALISE INADIMPLENCIA'!$A$4:$E$19,5,FALSE),"-")</f>
        <v>-</v>
      </c>
      <c r="F9" s="5" t="str">
        <f>IFERROR(VLOOKUP(A9,'[1]ANALISE INADIMPLENCIA'!$A$4:$F$19,6,FALSE),"-")</f>
        <v>-</v>
      </c>
      <c r="G9" s="5" t="str">
        <f>IFERROR(VLOOKUP(A9,'[1]ANALISE INADIMPLENCIA'!$A$15:$G$19,7,FALSE),"-")</f>
        <v>-</v>
      </c>
    </row>
    <row r="10" spans="1:7" x14ac:dyDescent="0.35">
      <c r="A10" s="6" t="s">
        <v>486</v>
      </c>
      <c r="B10" s="7">
        <v>52990</v>
      </c>
      <c r="C10" s="5">
        <v>26</v>
      </c>
      <c r="D10" s="5" t="str">
        <f>VLOOKUP(A10,'TOTAL EM ABERTO'!B8:J102,9,FALSE)</f>
        <v>NATHALIA NAURE</v>
      </c>
      <c r="E10" s="5" t="str">
        <f>IFERROR(VLOOKUP(A10,'[1]ANALISE INADIMPLENCIA'!$A$4:$E$19,5,FALSE),"-")</f>
        <v>AGUARDANDO LIBERAÇAO DO CRÉDITO DE ICMS</v>
      </c>
      <c r="F10" s="5" t="str">
        <f>IFERROR(VLOOKUP(A10,'[1]ANALISE INADIMPLENCIA'!$A$4:$F$19,6,FALSE),"-")</f>
        <v>-</v>
      </c>
      <c r="G10" s="5" t="str">
        <f>IFERROR(VLOOKUP(A10,'[1]ANALISE INADIMPLENCIA'!$A$15:$G$19,7,FALSE),"-")</f>
        <v>-</v>
      </c>
    </row>
    <row r="11" spans="1:7" ht="174" x14ac:dyDescent="0.35">
      <c r="A11" s="6" t="s">
        <v>113</v>
      </c>
      <c r="B11" s="7">
        <v>2371405.2599999998</v>
      </c>
      <c r="C11" s="5">
        <v>673</v>
      </c>
      <c r="D11" s="5" t="str">
        <f>VLOOKUP(A11,'TOTAL EM ABERTO'!B9:J103,9,FALSE)</f>
        <v>CLAYRTON DA SILVA</v>
      </c>
      <c r="E11" s="5" t="str">
        <f>IFERROR(VLOOKUP(A11,'[1]ANALISE INADIMPLENCIA'!$A$4:$E$19,5,FALSE),"-")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11" s="5" t="str">
        <f>IFERROR(VLOOKUP(A11,'[1]ANALISE INADIMPLENCIA'!$A$4:$F$19,6,FALSE),"-")</f>
        <v>-</v>
      </c>
      <c r="G11" s="5" t="str">
        <f>IFERROR(VLOOKUP(A11,'[1]ANALISE INADIMPLENCIA'!$A$15:$G$19,7,FALSE),"-")</f>
        <v>-</v>
      </c>
    </row>
    <row r="12" spans="1:7" x14ac:dyDescent="0.35">
      <c r="A12" s="6" t="s">
        <v>743</v>
      </c>
      <c r="B12" s="7">
        <v>7021.67</v>
      </c>
      <c r="C12" s="5">
        <v>2</v>
      </c>
      <c r="D12" s="5" t="str">
        <f>VLOOKUP(A12,'TOTAL EM ABERTO'!B10:J104,9,FALSE)</f>
        <v>LUCAS FERREIRA</v>
      </c>
      <c r="E12" s="5" t="str">
        <f>IFERROR(VLOOKUP(A12,'[1]ANALISE INADIMPLENCIA'!$A$4:$E$19,5,FALSE),"-")</f>
        <v>-</v>
      </c>
      <c r="F12" s="5" t="str">
        <f>IFERROR(VLOOKUP(A12,'[1]ANALISE INADIMPLENCIA'!$A$4:$F$19,6,FALSE),"-")</f>
        <v>-</v>
      </c>
      <c r="G12" s="5" t="str">
        <f>IFERROR(VLOOKUP(A12,'[1]ANALISE INADIMPLENCIA'!$A$15:$G$19,7,FALSE),"-")</f>
        <v>-</v>
      </c>
    </row>
    <row r="13" spans="1:7" x14ac:dyDescent="0.35">
      <c r="A13" s="6" t="s">
        <v>604</v>
      </c>
      <c r="B13" s="7">
        <v>64190</v>
      </c>
      <c r="C13" s="5">
        <v>2</v>
      </c>
      <c r="D13" s="5" t="str">
        <f>VLOOKUP(A13,'TOTAL EM ABERTO'!B11:J105,9,FALSE)</f>
        <v>CARLOS BERNARDES</v>
      </c>
      <c r="E13" s="5" t="str">
        <f>IFERROR(VLOOKUP(A13,'[1]ANALISE INADIMPLENCIA'!$A$4:$E$19,5,FALSE),"-")</f>
        <v>-</v>
      </c>
      <c r="F13" s="5" t="str">
        <f>IFERROR(VLOOKUP(A13,'[1]ANALISE INADIMPLENCIA'!$A$4:$F$19,6,FALSE),"-")</f>
        <v>-</v>
      </c>
      <c r="G13" s="5" t="str">
        <f>IFERROR(VLOOKUP(A13,'[1]ANALISE INADIMPLENCIA'!$A$15:$G$19,7,FALSE),"-")</f>
        <v>-</v>
      </c>
    </row>
    <row r="14" spans="1:7" ht="101.5" x14ac:dyDescent="0.35">
      <c r="A14" s="6" t="s">
        <v>922</v>
      </c>
      <c r="B14" s="7">
        <v>36573.599999999999</v>
      </c>
      <c r="C14" s="5">
        <v>13</v>
      </c>
      <c r="D14" s="5" t="str">
        <f>VLOOKUP(A14,'TOTAL EM ABERTO'!B12:J106,9,FALSE)</f>
        <v>MATHEUS MACEDO</v>
      </c>
      <c r="E14" s="5" t="str">
        <f>IFERROR(VLOOKUP(A14,'[1]ANALISE INADIMPLENCIA'!$A$4:$E$19,5,FALSE),"-")</f>
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</c>
      <c r="F14" s="5" t="str">
        <f>IFERROR(VLOOKUP(A14,'[1]ANALISE INADIMPLENCIA'!$A$4:$F$19,6,FALSE),"-")</f>
        <v>-</v>
      </c>
      <c r="G14" s="5" t="str">
        <f>IFERROR(VLOOKUP(A14,'[1]ANALISE INADIMPLENCIA'!$A$15:$G$19,7,FALSE),"-")</f>
        <v>-</v>
      </c>
    </row>
    <row r="15" spans="1:7" ht="43.5" x14ac:dyDescent="0.35">
      <c r="A15" s="6" t="s">
        <v>12</v>
      </c>
      <c r="B15" s="7">
        <v>4538138.6500000004</v>
      </c>
      <c r="C15" s="5">
        <v>347</v>
      </c>
      <c r="D15" s="5" t="str">
        <f>VLOOKUP(A15,'TOTAL EM ABERTO'!B13:J107,9,FALSE)</f>
        <v>GABRIEL BORGES</v>
      </c>
      <c r="E15" s="5" t="str">
        <f>IFERROR(VLOOKUP(A15,'[1]ANALISE INADIMPLENCIA'!$A$4:$E$19,5,FALSE),"-")</f>
        <v>ENCAMINHADO PARA EXECUÇÃO JUDICIAL AS DUPLICATAS DO KASSIO E OS VEÍCULOS EM GARANTIA DA MOGIANA. ESTÁ EM NEGOCIAÇÃO AS MÁQUINAS, PENDENTE DE ASSINATURA.</v>
      </c>
      <c r="F15" s="5" t="str">
        <f>IFERROR(VLOOKUP(A15,'[1]ANALISE INADIMPLENCIA'!$A$4:$F$19,6,FALSE),"-")</f>
        <v>-</v>
      </c>
      <c r="G15" s="5" t="str">
        <f>IFERROR(VLOOKUP(A15,'[1]ANALISE INADIMPLENCIA'!$A$15:$G$19,7,FALSE),"-")</f>
        <v>NEGOCIAR AS MÁQUINAS E AGUARDAR PAGAMENTO NA SEGUNDA PARCELA PARA FORMALIZAR O ACORDO</v>
      </c>
    </row>
    <row r="16" spans="1:7" ht="58" x14ac:dyDescent="0.35">
      <c r="A16" s="6" t="s">
        <v>643</v>
      </c>
      <c r="B16" s="7">
        <v>32381.23</v>
      </c>
      <c r="C16" s="5">
        <v>100</v>
      </c>
      <c r="D16" s="5" t="str">
        <f>VLOOKUP(A16,'TOTAL EM ABERTO'!B14:J108,9,FALSE)</f>
        <v>ALEXSANDER CAMPAGNOLO</v>
      </c>
      <c r="E16" s="5" t="str">
        <f>IFERROR(VLOOKUP(A16,'[1]ANALISE INADIMPLENCIA'!$A$4:$E$19,5,FALSE),"-")</f>
        <v>CLIENTE NEGATIVADO, CNPJ E FIADORES, FICOU DISPONÍVEL A NEGATIVAÇAO NO DIA 21/01/2025. GARANTIA CARTA DE FIANÇA (130 MIL) E 120 MIL DE SEGURO EULER HERMES, SEGURO ACIONADO EM 07/02. ULTIMO PAGAMENTO DE 25 MIL EM 18/03/2025.</v>
      </c>
      <c r="F16" s="5" t="str">
        <f>IFERROR(VLOOKUP(A16,'[1]ANALISE INADIMPLENCIA'!$A$4:$F$19,6,FALSE),"-")</f>
        <v>-</v>
      </c>
      <c r="G16" s="5" t="str">
        <f>IFERROR(VLOOKUP(A16,'[1]ANALISE INADIMPLENCIA'!$A$15:$G$19,7,FALSE),"-")</f>
        <v>ENVIAR DOCUMENTAÇÃO PARA A SEGURADORA</v>
      </c>
    </row>
    <row r="17" spans="1:7" ht="87" x14ac:dyDescent="0.35">
      <c r="A17" s="6" t="s">
        <v>164</v>
      </c>
      <c r="B17" s="7">
        <v>2464871.87</v>
      </c>
      <c r="C17" s="5">
        <v>215</v>
      </c>
      <c r="D17" s="5" t="str">
        <f>VLOOKUP(A17,'TOTAL EM ABERTO'!B15:J109,9,FALSE)</f>
        <v>CARLOS BERNARDES</v>
      </c>
      <c r="E17" s="5" t="str">
        <f>IFERROR(VLOOKUP(A17,'[1]ANALISE INADIMPLENCIA'!$A$4:$E$19,5,FALSE),"-")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7" s="5" t="str">
        <f>IFERROR(VLOOKUP(A17,'[1]ANALISE INADIMPLENCIA'!$A$4:$F$19,6,FALSE),"-")</f>
        <v>-</v>
      </c>
      <c r="G17" s="5" t="str">
        <f>IFERROR(VLOOKUP(A17,'[1]ANALISE INADIMPLENCIA'!$A$15:$G$19,7,FALSE),"-")</f>
        <v>AGUARDANDO PAGAMENTO.</v>
      </c>
    </row>
    <row r="18" spans="1:7" x14ac:dyDescent="0.35">
      <c r="A18" s="6" t="s">
        <v>1054</v>
      </c>
      <c r="B18" s="7">
        <v>126715</v>
      </c>
      <c r="C18" s="5">
        <v>2</v>
      </c>
      <c r="D18" s="5" t="str">
        <f>VLOOKUP(A18,'TOTAL EM ABERTO'!B16:J110,9,FALSE)</f>
        <v>CARLOS BERNARDES</v>
      </c>
      <c r="E18" s="5" t="s">
        <v>1733</v>
      </c>
      <c r="F18" s="5" t="s">
        <v>1734</v>
      </c>
      <c r="G18" s="5" t="s">
        <v>1735</v>
      </c>
    </row>
    <row r="19" spans="1:7" x14ac:dyDescent="0.35">
      <c r="A19" s="6" t="s">
        <v>1696</v>
      </c>
      <c r="B19" s="7">
        <v>10579100.130000003</v>
      </c>
      <c r="C19" s="16">
        <v>673</v>
      </c>
      <c r="D19" s="17"/>
      <c r="E19" s="17"/>
      <c r="F19" s="17"/>
      <c r="G19" s="17"/>
    </row>
    <row r="20" spans="1:7" x14ac:dyDescent="0.35">
      <c r="A20" s="8" t="s">
        <v>1704</v>
      </c>
      <c r="B20" s="11">
        <f>SUM(Tabela1[Valor R$])</f>
        <v>118231709.17999989</v>
      </c>
    </row>
    <row r="21" spans="1:7" x14ac:dyDescent="0.35">
      <c r="A21" s="8" t="s">
        <v>1705</v>
      </c>
      <c r="B21" s="9">
        <f>GETPIVOTDATA("Soma de Valor R$",$A$3)/B20</f>
        <v>8.9477689220359896E-2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2025-03-31T11:39:09Z</dcterms:created>
  <dcterms:modified xsi:type="dcterms:W3CDTF">2025-04-04T12:52:08Z</dcterms:modified>
</cp:coreProperties>
</file>